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8_{0FB37E27-9177-6E4B-85DB-D2CA436AECB4}" xr6:coauthVersionLast="47" xr6:coauthVersionMax="47" xr10:uidLastSave="{00000000-0000-0000-0000-000000000000}"/>
  <bookViews>
    <workbookView xWindow="240" yWindow="105" windowWidth="14805" windowHeight="8010" firstSheet="15" activeTab="4" xr2:uid="{00000000-000D-0000-FFFF-FFFF00000000}"/>
  </bookViews>
  <sheets>
    <sheet name="User Demand by Hour" sheetId="10" r:id="rId1"/>
    <sheet name="Demand by Weather Condition" sheetId="11" r:id="rId2"/>
    <sheet name="Sheet3" sheetId="19" r:id="rId3"/>
    <sheet name="Weekend vs Weekday Demand" sheetId="12" r:id="rId4"/>
    <sheet name="dataset_1" sheetId="1" r:id="rId5"/>
    <sheet name="Sheet1" sheetId="8" r:id="rId6"/>
    <sheet name="User Demand Over Time" sheetId="13" r:id="rId7"/>
    <sheet name="Average User Demand by Humidity" sheetId="14" r:id="rId8"/>
    <sheet name="Casual vs Registered Users" sheetId="15" r:id="rId9"/>
    <sheet name="dataset_2" sheetId="2" r:id="rId10"/>
    <sheet name="Sheet2" sheetId="9" r:id="rId11"/>
    <sheet name="Average User Demand by Hour" sheetId="16" r:id="rId12"/>
    <sheet name="Average User Demand by Weather" sheetId="17" r:id="rId13"/>
    <sheet name="Weekend vs Weekday User Demand" sheetId="18" r:id="rId14"/>
    <sheet name="dataset_3" sheetId="3" r:id="rId15"/>
    <sheet name="Dashboard" sheetId="20" r:id="rId16"/>
  </sheets>
  <definedNames>
    <definedName name="Slicer_instant">#N/A</definedName>
    <definedName name="Slicer_season">#N/A</definedName>
    <definedName name="Slicer_weathersit">#N/A</definedName>
    <definedName name="Slicer_weekday">#N/A</definedName>
  </definedNames>
  <calcPr calcId="191028"/>
  <pivotCaches>
    <pivotCache cacheId="0" r:id="rId17"/>
    <pivotCache cacheId="1" r:id="rId18"/>
    <pivotCache cacheId="2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C3" i="3" l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2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2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X2" i="1"/>
  <c r="W2" i="1"/>
  <c r="K2" i="1"/>
  <c r="L2" i="1"/>
  <c r="M2" i="1"/>
  <c r="N2" i="1"/>
  <c r="O2" i="1"/>
  <c r="P2" i="1"/>
  <c r="Q2" i="1"/>
  <c r="R2" i="1"/>
  <c r="S2" i="1"/>
  <c r="T2" i="1"/>
  <c r="K3" i="1"/>
  <c r="L3" i="1"/>
  <c r="M3" i="1"/>
  <c r="N3" i="1"/>
  <c r="O3" i="1"/>
  <c r="P3" i="1"/>
  <c r="Q3" i="1"/>
  <c r="R3" i="1"/>
  <c r="S3" i="1"/>
  <c r="T3" i="1"/>
  <c r="K4" i="1"/>
  <c r="L4" i="1"/>
  <c r="M4" i="1"/>
  <c r="N4" i="1"/>
  <c r="O4" i="1"/>
  <c r="P4" i="1"/>
  <c r="Q4" i="1"/>
  <c r="R4" i="1"/>
  <c r="S4" i="1"/>
  <c r="T4" i="1"/>
  <c r="K5" i="1"/>
  <c r="L5" i="1"/>
  <c r="M5" i="1"/>
  <c r="N5" i="1"/>
  <c r="O5" i="1"/>
  <c r="P5" i="1"/>
  <c r="Q5" i="1"/>
  <c r="R5" i="1"/>
  <c r="S5" i="1"/>
  <c r="T5" i="1"/>
  <c r="K6" i="1"/>
  <c r="L6" i="1"/>
  <c r="M6" i="1"/>
  <c r="N6" i="1"/>
  <c r="O6" i="1"/>
  <c r="P6" i="1"/>
  <c r="Q6" i="1"/>
  <c r="R6" i="1"/>
  <c r="S6" i="1"/>
  <c r="T6" i="1"/>
  <c r="K7" i="1"/>
  <c r="L7" i="1"/>
  <c r="M7" i="1"/>
  <c r="N7" i="1"/>
  <c r="O7" i="1"/>
  <c r="P7" i="1"/>
  <c r="Q7" i="1"/>
  <c r="R7" i="1"/>
  <c r="S7" i="1"/>
  <c r="T7" i="1"/>
  <c r="K8" i="1"/>
  <c r="L8" i="1"/>
  <c r="M8" i="1"/>
  <c r="N8" i="1"/>
  <c r="O8" i="1"/>
  <c r="P8" i="1"/>
  <c r="Q8" i="1"/>
  <c r="R8" i="1"/>
  <c r="S8" i="1"/>
  <c r="T8" i="1"/>
  <c r="K9" i="1"/>
  <c r="L9" i="1"/>
  <c r="M9" i="1"/>
  <c r="N9" i="1"/>
  <c r="O9" i="1"/>
  <c r="P9" i="1"/>
  <c r="Q9" i="1"/>
  <c r="R9" i="1"/>
  <c r="S9" i="1"/>
  <c r="T9" i="1"/>
  <c r="K10" i="1"/>
  <c r="L10" i="1"/>
  <c r="M10" i="1"/>
  <c r="N10" i="1"/>
  <c r="O10" i="1"/>
  <c r="P10" i="1"/>
  <c r="Q10" i="1"/>
  <c r="R10" i="1"/>
  <c r="S10" i="1"/>
  <c r="T10" i="1"/>
  <c r="K11" i="1"/>
  <c r="L11" i="1"/>
  <c r="M11" i="1"/>
  <c r="N11" i="1"/>
  <c r="O11" i="1"/>
  <c r="P11" i="1"/>
  <c r="Q11" i="1"/>
  <c r="R11" i="1"/>
  <c r="S11" i="1"/>
  <c r="T11" i="1"/>
  <c r="K12" i="1"/>
  <c r="L12" i="1"/>
  <c r="M12" i="1"/>
  <c r="N12" i="1"/>
  <c r="O12" i="1"/>
  <c r="P12" i="1"/>
  <c r="Q12" i="1"/>
  <c r="R12" i="1"/>
  <c r="S12" i="1"/>
  <c r="T12" i="1"/>
  <c r="K13" i="1"/>
  <c r="L13" i="1"/>
  <c r="M13" i="1"/>
  <c r="N13" i="1"/>
  <c r="O13" i="1"/>
  <c r="P13" i="1"/>
  <c r="Q13" i="1"/>
  <c r="R13" i="1"/>
  <c r="S13" i="1"/>
  <c r="T13" i="1"/>
  <c r="K14" i="1"/>
  <c r="L14" i="1"/>
  <c r="M14" i="1"/>
  <c r="N14" i="1"/>
  <c r="O14" i="1"/>
  <c r="P14" i="1"/>
  <c r="Q14" i="1"/>
  <c r="R14" i="1"/>
  <c r="S14" i="1"/>
  <c r="T14" i="1"/>
  <c r="K15" i="1"/>
  <c r="L15" i="1"/>
  <c r="M15" i="1"/>
  <c r="N15" i="1"/>
  <c r="O15" i="1"/>
  <c r="P15" i="1"/>
  <c r="Q15" i="1"/>
  <c r="R15" i="1"/>
  <c r="S15" i="1"/>
  <c r="T15" i="1"/>
  <c r="K16" i="1"/>
  <c r="L16" i="1"/>
  <c r="M16" i="1"/>
  <c r="N16" i="1"/>
  <c r="O16" i="1"/>
  <c r="P16" i="1"/>
  <c r="Q16" i="1"/>
  <c r="R16" i="1"/>
  <c r="S16" i="1"/>
  <c r="T16" i="1"/>
  <c r="K17" i="1"/>
  <c r="L17" i="1"/>
  <c r="M17" i="1"/>
  <c r="N17" i="1"/>
  <c r="O17" i="1"/>
  <c r="P17" i="1"/>
  <c r="Q17" i="1"/>
  <c r="R17" i="1"/>
  <c r="S17" i="1"/>
  <c r="T17" i="1"/>
  <c r="K18" i="1"/>
  <c r="L18" i="1"/>
  <c r="M18" i="1"/>
  <c r="N18" i="1"/>
  <c r="O18" i="1"/>
  <c r="P18" i="1"/>
  <c r="Q18" i="1"/>
  <c r="R18" i="1"/>
  <c r="S18" i="1"/>
  <c r="T18" i="1"/>
  <c r="K19" i="1"/>
  <c r="L19" i="1"/>
  <c r="M19" i="1"/>
  <c r="N19" i="1"/>
  <c r="O19" i="1"/>
  <c r="P19" i="1"/>
  <c r="Q19" i="1"/>
  <c r="R19" i="1"/>
  <c r="S19" i="1"/>
  <c r="T19" i="1"/>
  <c r="K20" i="1"/>
  <c r="L20" i="1"/>
  <c r="M20" i="1"/>
  <c r="N20" i="1"/>
  <c r="O20" i="1"/>
  <c r="P20" i="1"/>
  <c r="Q20" i="1"/>
  <c r="R20" i="1"/>
  <c r="S20" i="1"/>
  <c r="T20" i="1"/>
  <c r="K21" i="1"/>
  <c r="L21" i="1"/>
  <c r="M21" i="1"/>
  <c r="N21" i="1"/>
  <c r="O21" i="1"/>
  <c r="P21" i="1"/>
  <c r="Q21" i="1"/>
  <c r="R21" i="1"/>
  <c r="S21" i="1"/>
  <c r="T21" i="1"/>
  <c r="K22" i="1"/>
  <c r="L22" i="1"/>
  <c r="M22" i="1"/>
  <c r="N22" i="1"/>
  <c r="O22" i="1"/>
  <c r="P22" i="1"/>
  <c r="Q22" i="1"/>
  <c r="R22" i="1"/>
  <c r="S22" i="1"/>
  <c r="T22" i="1"/>
  <c r="K23" i="1"/>
  <c r="L23" i="1"/>
  <c r="M23" i="1"/>
  <c r="N23" i="1"/>
  <c r="O23" i="1"/>
  <c r="P23" i="1"/>
  <c r="Q23" i="1"/>
  <c r="R23" i="1"/>
  <c r="S23" i="1"/>
  <c r="T23" i="1"/>
  <c r="K24" i="1"/>
  <c r="L24" i="1"/>
  <c r="M24" i="1"/>
  <c r="N24" i="1"/>
  <c r="O24" i="1"/>
  <c r="P24" i="1"/>
  <c r="Q24" i="1"/>
  <c r="R24" i="1"/>
  <c r="S24" i="1"/>
  <c r="T24" i="1"/>
  <c r="K25" i="1"/>
  <c r="L25" i="1"/>
  <c r="M25" i="1"/>
  <c r="N25" i="1"/>
  <c r="O25" i="1"/>
  <c r="P25" i="1"/>
  <c r="Q25" i="1"/>
  <c r="R25" i="1"/>
  <c r="S25" i="1"/>
  <c r="T25" i="1"/>
  <c r="K26" i="1"/>
  <c r="L26" i="1"/>
  <c r="M26" i="1"/>
  <c r="N26" i="1"/>
  <c r="O26" i="1"/>
  <c r="P26" i="1"/>
  <c r="Q26" i="1"/>
  <c r="R26" i="1"/>
  <c r="S26" i="1"/>
  <c r="T26" i="1"/>
  <c r="K27" i="1"/>
  <c r="L27" i="1"/>
  <c r="M27" i="1"/>
  <c r="N27" i="1"/>
  <c r="O27" i="1"/>
  <c r="P27" i="1"/>
  <c r="Q27" i="1"/>
  <c r="R27" i="1"/>
  <c r="S27" i="1"/>
  <c r="T27" i="1"/>
  <c r="K28" i="1"/>
  <c r="L28" i="1"/>
  <c r="M28" i="1"/>
  <c r="N28" i="1"/>
  <c r="O28" i="1"/>
  <c r="P28" i="1"/>
  <c r="Q28" i="1"/>
  <c r="R28" i="1"/>
  <c r="S28" i="1"/>
  <c r="T28" i="1"/>
  <c r="K29" i="1"/>
  <c r="L29" i="1"/>
  <c r="M29" i="1"/>
  <c r="N29" i="1"/>
  <c r="O29" i="1"/>
  <c r="P29" i="1"/>
  <c r="Q29" i="1"/>
  <c r="R29" i="1"/>
  <c r="S29" i="1"/>
  <c r="T29" i="1"/>
  <c r="K30" i="1"/>
  <c r="L30" i="1"/>
  <c r="M30" i="1"/>
  <c r="N30" i="1"/>
  <c r="O30" i="1"/>
  <c r="P30" i="1"/>
  <c r="Q30" i="1"/>
  <c r="R30" i="1"/>
  <c r="S30" i="1"/>
  <c r="T30" i="1"/>
  <c r="K31" i="1"/>
  <c r="L31" i="1"/>
  <c r="M31" i="1"/>
  <c r="N31" i="1"/>
  <c r="O31" i="1"/>
  <c r="P31" i="1"/>
  <c r="Q31" i="1"/>
  <c r="R31" i="1"/>
  <c r="S31" i="1"/>
  <c r="T31" i="1"/>
  <c r="K32" i="1"/>
  <c r="L32" i="1"/>
  <c r="M32" i="1"/>
  <c r="N32" i="1"/>
  <c r="O32" i="1"/>
  <c r="P32" i="1"/>
  <c r="Q32" i="1"/>
  <c r="R32" i="1"/>
  <c r="S32" i="1"/>
  <c r="T32" i="1"/>
  <c r="K33" i="1"/>
  <c r="L33" i="1"/>
  <c r="M33" i="1"/>
  <c r="N33" i="1"/>
  <c r="O33" i="1"/>
  <c r="P33" i="1"/>
  <c r="Q33" i="1"/>
  <c r="R33" i="1"/>
  <c r="S33" i="1"/>
  <c r="T33" i="1"/>
  <c r="K34" i="1"/>
  <c r="L34" i="1"/>
  <c r="M34" i="1"/>
  <c r="N34" i="1"/>
  <c r="O34" i="1"/>
  <c r="P34" i="1"/>
  <c r="Q34" i="1"/>
  <c r="R34" i="1"/>
  <c r="S34" i="1"/>
  <c r="T34" i="1"/>
  <c r="K35" i="1"/>
  <c r="L35" i="1"/>
  <c r="M35" i="1"/>
  <c r="N35" i="1"/>
  <c r="O35" i="1"/>
  <c r="P35" i="1"/>
  <c r="Q35" i="1"/>
  <c r="R35" i="1"/>
  <c r="S35" i="1"/>
  <c r="T35" i="1"/>
  <c r="K36" i="1"/>
  <c r="L36" i="1"/>
  <c r="M36" i="1"/>
  <c r="N36" i="1"/>
  <c r="O36" i="1"/>
  <c r="P36" i="1"/>
  <c r="Q36" i="1"/>
  <c r="R36" i="1"/>
  <c r="S36" i="1"/>
  <c r="T36" i="1"/>
  <c r="K37" i="1"/>
  <c r="L37" i="1"/>
  <c r="M37" i="1"/>
  <c r="N37" i="1"/>
  <c r="O37" i="1"/>
  <c r="P37" i="1"/>
  <c r="Q37" i="1"/>
  <c r="R37" i="1"/>
  <c r="S37" i="1"/>
  <c r="T37" i="1"/>
  <c r="K38" i="1"/>
  <c r="L38" i="1"/>
  <c r="M38" i="1"/>
  <c r="N38" i="1"/>
  <c r="O38" i="1"/>
  <c r="P38" i="1"/>
  <c r="Q38" i="1"/>
  <c r="R38" i="1"/>
  <c r="S38" i="1"/>
  <c r="T38" i="1"/>
  <c r="K39" i="1"/>
  <c r="L39" i="1"/>
  <c r="M39" i="1"/>
  <c r="N39" i="1"/>
  <c r="O39" i="1"/>
  <c r="P39" i="1"/>
  <c r="Q39" i="1"/>
  <c r="R39" i="1"/>
  <c r="S39" i="1"/>
  <c r="T39" i="1"/>
  <c r="K40" i="1"/>
  <c r="L40" i="1"/>
  <c r="M40" i="1"/>
  <c r="N40" i="1"/>
  <c r="O40" i="1"/>
  <c r="P40" i="1"/>
  <c r="Q40" i="1"/>
  <c r="R40" i="1"/>
  <c r="S40" i="1"/>
  <c r="T40" i="1"/>
  <c r="K41" i="1"/>
  <c r="L41" i="1"/>
  <c r="M41" i="1"/>
  <c r="N41" i="1"/>
  <c r="O41" i="1"/>
  <c r="P41" i="1"/>
  <c r="Q41" i="1"/>
  <c r="R41" i="1"/>
  <c r="S41" i="1"/>
  <c r="T41" i="1"/>
  <c r="K42" i="1"/>
  <c r="L42" i="1"/>
  <c r="M42" i="1"/>
  <c r="N42" i="1"/>
  <c r="O42" i="1"/>
  <c r="P42" i="1"/>
  <c r="Q42" i="1"/>
  <c r="R42" i="1"/>
  <c r="S42" i="1"/>
  <c r="T42" i="1"/>
  <c r="K43" i="1"/>
  <c r="L43" i="1"/>
  <c r="M43" i="1"/>
  <c r="N43" i="1"/>
  <c r="O43" i="1"/>
  <c r="P43" i="1"/>
  <c r="Q43" i="1"/>
  <c r="R43" i="1"/>
  <c r="S43" i="1"/>
  <c r="T43" i="1"/>
  <c r="K44" i="1"/>
  <c r="L44" i="1"/>
  <c r="M44" i="1"/>
  <c r="N44" i="1"/>
  <c r="O44" i="1"/>
  <c r="P44" i="1"/>
  <c r="Q44" i="1"/>
  <c r="R44" i="1"/>
  <c r="S44" i="1"/>
  <c r="T44" i="1"/>
  <c r="K45" i="1"/>
  <c r="L45" i="1"/>
  <c r="M45" i="1"/>
  <c r="N45" i="1"/>
  <c r="O45" i="1"/>
  <c r="P45" i="1"/>
  <c r="Q45" i="1"/>
  <c r="R45" i="1"/>
  <c r="S45" i="1"/>
  <c r="T45" i="1"/>
  <c r="K46" i="1"/>
  <c r="L46" i="1"/>
  <c r="M46" i="1"/>
  <c r="N46" i="1"/>
  <c r="O46" i="1"/>
  <c r="P46" i="1"/>
  <c r="Q46" i="1"/>
  <c r="R46" i="1"/>
  <c r="S46" i="1"/>
  <c r="T46" i="1"/>
  <c r="K47" i="1"/>
  <c r="L47" i="1"/>
  <c r="M47" i="1"/>
  <c r="N47" i="1"/>
  <c r="O47" i="1"/>
  <c r="P47" i="1"/>
  <c r="Q47" i="1"/>
  <c r="R47" i="1"/>
  <c r="S47" i="1"/>
  <c r="T47" i="1"/>
  <c r="K48" i="1"/>
  <c r="L48" i="1"/>
  <c r="M48" i="1"/>
  <c r="N48" i="1"/>
  <c r="O48" i="1"/>
  <c r="P48" i="1"/>
  <c r="Q48" i="1"/>
  <c r="R48" i="1"/>
  <c r="S48" i="1"/>
  <c r="T48" i="1"/>
  <c r="K49" i="1"/>
  <c r="L49" i="1"/>
  <c r="M49" i="1"/>
  <c r="N49" i="1"/>
  <c r="O49" i="1"/>
  <c r="P49" i="1"/>
  <c r="Q49" i="1"/>
  <c r="R49" i="1"/>
  <c r="S49" i="1"/>
  <c r="T49" i="1"/>
  <c r="K50" i="1"/>
  <c r="L50" i="1"/>
  <c r="M50" i="1"/>
  <c r="N50" i="1"/>
  <c r="O50" i="1"/>
  <c r="P50" i="1"/>
  <c r="Q50" i="1"/>
  <c r="R50" i="1"/>
  <c r="S50" i="1"/>
  <c r="T50" i="1"/>
  <c r="K51" i="1"/>
  <c r="L51" i="1"/>
  <c r="M51" i="1"/>
  <c r="N51" i="1"/>
  <c r="O51" i="1"/>
  <c r="P51" i="1"/>
  <c r="Q51" i="1"/>
  <c r="R51" i="1"/>
  <c r="S51" i="1"/>
  <c r="T51" i="1"/>
  <c r="K52" i="1"/>
  <c r="L52" i="1"/>
  <c r="M52" i="1"/>
  <c r="N52" i="1"/>
  <c r="O52" i="1"/>
  <c r="P52" i="1"/>
  <c r="Q52" i="1"/>
  <c r="R52" i="1"/>
  <c r="S52" i="1"/>
  <c r="T52" i="1"/>
  <c r="K53" i="1"/>
  <c r="L53" i="1"/>
  <c r="M53" i="1"/>
  <c r="N53" i="1"/>
  <c r="O53" i="1"/>
  <c r="P53" i="1"/>
  <c r="Q53" i="1"/>
  <c r="R53" i="1"/>
  <c r="S53" i="1"/>
  <c r="T53" i="1"/>
  <c r="K54" i="1"/>
  <c r="L54" i="1"/>
  <c r="M54" i="1"/>
  <c r="N54" i="1"/>
  <c r="O54" i="1"/>
  <c r="P54" i="1"/>
  <c r="Q54" i="1"/>
  <c r="R54" i="1"/>
  <c r="S54" i="1"/>
  <c r="T54" i="1"/>
  <c r="K55" i="1"/>
  <c r="L55" i="1"/>
  <c r="M55" i="1"/>
  <c r="N55" i="1"/>
  <c r="O55" i="1"/>
  <c r="P55" i="1"/>
  <c r="Q55" i="1"/>
  <c r="R55" i="1"/>
  <c r="S55" i="1"/>
  <c r="T55" i="1"/>
  <c r="K56" i="1"/>
  <c r="L56" i="1"/>
  <c r="M56" i="1"/>
  <c r="N56" i="1"/>
  <c r="O56" i="1"/>
  <c r="P56" i="1"/>
  <c r="Q56" i="1"/>
  <c r="R56" i="1"/>
  <c r="S56" i="1"/>
  <c r="T56" i="1"/>
  <c r="K57" i="1"/>
  <c r="L57" i="1"/>
  <c r="M57" i="1"/>
  <c r="N57" i="1"/>
  <c r="O57" i="1"/>
  <c r="P57" i="1"/>
  <c r="Q57" i="1"/>
  <c r="R57" i="1"/>
  <c r="S57" i="1"/>
  <c r="T57" i="1"/>
  <c r="K58" i="1"/>
  <c r="L58" i="1"/>
  <c r="M58" i="1"/>
  <c r="N58" i="1"/>
  <c r="O58" i="1"/>
  <c r="P58" i="1"/>
  <c r="Q58" i="1"/>
  <c r="R58" i="1"/>
  <c r="S58" i="1"/>
  <c r="T58" i="1"/>
  <c r="K59" i="1"/>
  <c r="L59" i="1"/>
  <c r="M59" i="1"/>
  <c r="N59" i="1"/>
  <c r="O59" i="1"/>
  <c r="P59" i="1"/>
  <c r="Q59" i="1"/>
  <c r="R59" i="1"/>
  <c r="S59" i="1"/>
  <c r="T59" i="1"/>
  <c r="K60" i="1"/>
  <c r="L60" i="1"/>
  <c r="M60" i="1"/>
  <c r="N60" i="1"/>
  <c r="O60" i="1"/>
  <c r="P60" i="1"/>
  <c r="Q60" i="1"/>
  <c r="R60" i="1"/>
  <c r="S60" i="1"/>
  <c r="T60" i="1"/>
  <c r="K61" i="1"/>
  <c r="L61" i="1"/>
  <c r="M61" i="1"/>
  <c r="N61" i="1"/>
  <c r="O61" i="1"/>
  <c r="P61" i="1"/>
  <c r="Q61" i="1"/>
  <c r="R61" i="1"/>
  <c r="S61" i="1"/>
  <c r="T61" i="1"/>
  <c r="K62" i="1"/>
  <c r="L62" i="1"/>
  <c r="M62" i="1"/>
  <c r="N62" i="1"/>
  <c r="O62" i="1"/>
  <c r="P62" i="1"/>
  <c r="Q62" i="1"/>
  <c r="R62" i="1"/>
  <c r="S62" i="1"/>
  <c r="T62" i="1"/>
  <c r="K63" i="1"/>
  <c r="L63" i="1"/>
  <c r="M63" i="1"/>
  <c r="N63" i="1"/>
  <c r="O63" i="1"/>
  <c r="P63" i="1"/>
  <c r="Q63" i="1"/>
  <c r="R63" i="1"/>
  <c r="S63" i="1"/>
  <c r="T63" i="1"/>
  <c r="K64" i="1"/>
  <c r="L64" i="1"/>
  <c r="M64" i="1"/>
  <c r="N64" i="1"/>
  <c r="O64" i="1"/>
  <c r="P64" i="1"/>
  <c r="Q64" i="1"/>
  <c r="R64" i="1"/>
  <c r="S64" i="1"/>
  <c r="T64" i="1"/>
  <c r="K65" i="1"/>
  <c r="L65" i="1"/>
  <c r="M65" i="1"/>
  <c r="N65" i="1"/>
  <c r="O65" i="1"/>
  <c r="P65" i="1"/>
  <c r="Q65" i="1"/>
  <c r="R65" i="1"/>
  <c r="S65" i="1"/>
  <c r="T65" i="1"/>
  <c r="K66" i="1"/>
  <c r="L66" i="1"/>
  <c r="M66" i="1"/>
  <c r="N66" i="1"/>
  <c r="O66" i="1"/>
  <c r="P66" i="1"/>
  <c r="Q66" i="1"/>
  <c r="R66" i="1"/>
  <c r="S66" i="1"/>
  <c r="T66" i="1"/>
  <c r="K67" i="1"/>
  <c r="L67" i="1"/>
  <c r="M67" i="1"/>
  <c r="N67" i="1"/>
  <c r="O67" i="1"/>
  <c r="P67" i="1"/>
  <c r="Q67" i="1"/>
  <c r="R67" i="1"/>
  <c r="S67" i="1"/>
  <c r="T67" i="1"/>
  <c r="K68" i="1"/>
  <c r="L68" i="1"/>
  <c r="M68" i="1"/>
  <c r="N68" i="1"/>
  <c r="O68" i="1"/>
  <c r="P68" i="1"/>
  <c r="Q68" i="1"/>
  <c r="R68" i="1"/>
  <c r="S68" i="1"/>
  <c r="T68" i="1"/>
  <c r="K69" i="1"/>
  <c r="L69" i="1"/>
  <c r="M69" i="1"/>
  <c r="N69" i="1"/>
  <c r="O69" i="1"/>
  <c r="P69" i="1"/>
  <c r="Q69" i="1"/>
  <c r="R69" i="1"/>
  <c r="S69" i="1"/>
  <c r="T69" i="1"/>
  <c r="K70" i="1"/>
  <c r="L70" i="1"/>
  <c r="M70" i="1"/>
  <c r="N70" i="1"/>
  <c r="O70" i="1"/>
  <c r="P70" i="1"/>
  <c r="Q70" i="1"/>
  <c r="R70" i="1"/>
  <c r="S70" i="1"/>
  <c r="T70" i="1"/>
  <c r="K71" i="1"/>
  <c r="L71" i="1"/>
  <c r="M71" i="1"/>
  <c r="N71" i="1"/>
  <c r="O71" i="1"/>
  <c r="P71" i="1"/>
  <c r="Q71" i="1"/>
  <c r="R71" i="1"/>
  <c r="S71" i="1"/>
  <c r="T71" i="1"/>
  <c r="K72" i="1"/>
  <c r="L72" i="1"/>
  <c r="M72" i="1"/>
  <c r="N72" i="1"/>
  <c r="O72" i="1"/>
  <c r="P72" i="1"/>
  <c r="Q72" i="1"/>
  <c r="R72" i="1"/>
  <c r="S72" i="1"/>
  <c r="T72" i="1"/>
  <c r="K73" i="1"/>
  <c r="L73" i="1"/>
  <c r="M73" i="1"/>
  <c r="N73" i="1"/>
  <c r="O73" i="1"/>
  <c r="P73" i="1"/>
  <c r="Q73" i="1"/>
  <c r="R73" i="1"/>
  <c r="S73" i="1"/>
  <c r="T73" i="1"/>
  <c r="K74" i="1"/>
  <c r="L74" i="1"/>
  <c r="M74" i="1"/>
  <c r="N74" i="1"/>
  <c r="O74" i="1"/>
  <c r="P74" i="1"/>
  <c r="Q74" i="1"/>
  <c r="R74" i="1"/>
  <c r="S74" i="1"/>
  <c r="T74" i="1"/>
  <c r="K75" i="1"/>
  <c r="L75" i="1"/>
  <c r="M75" i="1"/>
  <c r="N75" i="1"/>
  <c r="O75" i="1"/>
  <c r="P75" i="1"/>
  <c r="Q75" i="1"/>
  <c r="R75" i="1"/>
  <c r="S75" i="1"/>
  <c r="T75" i="1"/>
  <c r="K76" i="1"/>
  <c r="L76" i="1"/>
  <c r="M76" i="1"/>
  <c r="N76" i="1"/>
  <c r="O76" i="1"/>
  <c r="P76" i="1"/>
  <c r="Q76" i="1"/>
  <c r="R76" i="1"/>
  <c r="S76" i="1"/>
  <c r="T76" i="1"/>
  <c r="K77" i="1"/>
  <c r="L77" i="1"/>
  <c r="M77" i="1"/>
  <c r="N77" i="1"/>
  <c r="O77" i="1"/>
  <c r="P77" i="1"/>
  <c r="Q77" i="1"/>
  <c r="R77" i="1"/>
  <c r="S77" i="1"/>
  <c r="T77" i="1"/>
  <c r="K78" i="1"/>
  <c r="L78" i="1"/>
  <c r="M78" i="1"/>
  <c r="N78" i="1"/>
  <c r="O78" i="1"/>
  <c r="P78" i="1"/>
  <c r="Q78" i="1"/>
  <c r="R78" i="1"/>
  <c r="S78" i="1"/>
  <c r="T78" i="1"/>
  <c r="K79" i="1"/>
  <c r="L79" i="1"/>
  <c r="M79" i="1"/>
  <c r="N79" i="1"/>
  <c r="O79" i="1"/>
  <c r="P79" i="1"/>
  <c r="Q79" i="1"/>
  <c r="R79" i="1"/>
  <c r="S79" i="1"/>
  <c r="T79" i="1"/>
  <c r="K80" i="1"/>
  <c r="L80" i="1"/>
  <c r="M80" i="1"/>
  <c r="N80" i="1"/>
  <c r="O80" i="1"/>
  <c r="P80" i="1"/>
  <c r="Q80" i="1"/>
  <c r="R80" i="1"/>
  <c r="S80" i="1"/>
  <c r="T80" i="1"/>
  <c r="K81" i="1"/>
  <c r="L81" i="1"/>
  <c r="M81" i="1"/>
  <c r="N81" i="1"/>
  <c r="O81" i="1"/>
  <c r="P81" i="1"/>
  <c r="Q81" i="1"/>
  <c r="R81" i="1"/>
  <c r="S81" i="1"/>
  <c r="T81" i="1"/>
  <c r="K82" i="1"/>
  <c r="L82" i="1"/>
  <c r="M82" i="1"/>
  <c r="N82" i="1"/>
  <c r="O82" i="1"/>
  <c r="P82" i="1"/>
  <c r="Q82" i="1"/>
  <c r="R82" i="1"/>
  <c r="S82" i="1"/>
  <c r="T82" i="1"/>
  <c r="K83" i="1"/>
  <c r="L83" i="1"/>
  <c r="M83" i="1"/>
  <c r="N83" i="1"/>
  <c r="O83" i="1"/>
  <c r="P83" i="1"/>
  <c r="Q83" i="1"/>
  <c r="R83" i="1"/>
  <c r="S83" i="1"/>
  <c r="T83" i="1"/>
  <c r="K84" i="1"/>
  <c r="L84" i="1"/>
  <c r="M84" i="1"/>
  <c r="N84" i="1"/>
  <c r="O84" i="1"/>
  <c r="P84" i="1"/>
  <c r="Q84" i="1"/>
  <c r="R84" i="1"/>
  <c r="S84" i="1"/>
  <c r="T84" i="1"/>
  <c r="K85" i="1"/>
  <c r="L85" i="1"/>
  <c r="M85" i="1"/>
  <c r="N85" i="1"/>
  <c r="O85" i="1"/>
  <c r="P85" i="1"/>
  <c r="Q85" i="1"/>
  <c r="R85" i="1"/>
  <c r="S85" i="1"/>
  <c r="T85" i="1"/>
  <c r="K86" i="1"/>
  <c r="L86" i="1"/>
  <c r="M86" i="1"/>
  <c r="N86" i="1"/>
  <c r="O86" i="1"/>
  <c r="P86" i="1"/>
  <c r="Q86" i="1"/>
  <c r="R86" i="1"/>
  <c r="S86" i="1"/>
  <c r="T86" i="1"/>
  <c r="K87" i="1"/>
  <c r="L87" i="1"/>
  <c r="M87" i="1"/>
  <c r="N87" i="1"/>
  <c r="O87" i="1"/>
  <c r="P87" i="1"/>
  <c r="Q87" i="1"/>
  <c r="R87" i="1"/>
  <c r="S87" i="1"/>
  <c r="T87" i="1"/>
  <c r="K88" i="1"/>
  <c r="L88" i="1"/>
  <c r="M88" i="1"/>
  <c r="N88" i="1"/>
  <c r="O88" i="1"/>
  <c r="P88" i="1"/>
  <c r="Q88" i="1"/>
  <c r="R88" i="1"/>
  <c r="S88" i="1"/>
  <c r="T88" i="1"/>
  <c r="K89" i="1"/>
  <c r="L89" i="1"/>
  <c r="M89" i="1"/>
  <c r="N89" i="1"/>
  <c r="O89" i="1"/>
  <c r="P89" i="1"/>
  <c r="Q89" i="1"/>
  <c r="R89" i="1"/>
  <c r="S89" i="1"/>
  <c r="T89" i="1"/>
  <c r="K90" i="1"/>
  <c r="L90" i="1"/>
  <c r="M90" i="1"/>
  <c r="N90" i="1"/>
  <c r="O90" i="1"/>
  <c r="P90" i="1"/>
  <c r="Q90" i="1"/>
  <c r="R90" i="1"/>
  <c r="S90" i="1"/>
  <c r="T90" i="1"/>
  <c r="K91" i="1"/>
  <c r="L91" i="1"/>
  <c r="M91" i="1"/>
  <c r="N91" i="1"/>
  <c r="O91" i="1"/>
  <c r="P91" i="1"/>
  <c r="Q91" i="1"/>
  <c r="R91" i="1"/>
  <c r="S91" i="1"/>
  <c r="T91" i="1"/>
  <c r="K92" i="1"/>
  <c r="L92" i="1"/>
  <c r="M92" i="1"/>
  <c r="N92" i="1"/>
  <c r="O92" i="1"/>
  <c r="P92" i="1"/>
  <c r="Q92" i="1"/>
  <c r="R92" i="1"/>
  <c r="S92" i="1"/>
  <c r="T92" i="1"/>
  <c r="K93" i="1"/>
  <c r="L93" i="1"/>
  <c r="M93" i="1"/>
  <c r="N93" i="1"/>
  <c r="O93" i="1"/>
  <c r="P93" i="1"/>
  <c r="Q93" i="1"/>
  <c r="R93" i="1"/>
  <c r="S93" i="1"/>
  <c r="T93" i="1"/>
  <c r="K94" i="1"/>
  <c r="L94" i="1"/>
  <c r="M94" i="1"/>
  <c r="N94" i="1"/>
  <c r="O94" i="1"/>
  <c r="P94" i="1"/>
  <c r="Q94" i="1"/>
  <c r="R94" i="1"/>
  <c r="S94" i="1"/>
  <c r="T94" i="1"/>
  <c r="K95" i="1"/>
  <c r="L95" i="1"/>
  <c r="M95" i="1"/>
  <c r="N95" i="1"/>
  <c r="O95" i="1"/>
  <c r="P95" i="1"/>
  <c r="Q95" i="1"/>
  <c r="R95" i="1"/>
  <c r="S95" i="1"/>
  <c r="T95" i="1"/>
  <c r="K96" i="1"/>
  <c r="L96" i="1"/>
  <c r="M96" i="1"/>
  <c r="N96" i="1"/>
  <c r="O96" i="1"/>
  <c r="P96" i="1"/>
  <c r="Q96" i="1"/>
  <c r="R96" i="1"/>
  <c r="S96" i="1"/>
  <c r="T96" i="1"/>
  <c r="K97" i="1"/>
  <c r="L97" i="1"/>
  <c r="M97" i="1"/>
  <c r="N97" i="1"/>
  <c r="O97" i="1"/>
  <c r="P97" i="1"/>
  <c r="Q97" i="1"/>
  <c r="R97" i="1"/>
  <c r="S97" i="1"/>
  <c r="T97" i="1"/>
  <c r="K98" i="1"/>
  <c r="L98" i="1"/>
  <c r="M98" i="1"/>
  <c r="N98" i="1"/>
  <c r="O98" i="1"/>
  <c r="P98" i="1"/>
  <c r="Q98" i="1"/>
  <c r="R98" i="1"/>
  <c r="S98" i="1"/>
  <c r="T98" i="1"/>
  <c r="K99" i="1"/>
  <c r="L99" i="1"/>
  <c r="M99" i="1"/>
  <c r="N99" i="1"/>
  <c r="O99" i="1"/>
  <c r="P99" i="1"/>
  <c r="Q99" i="1"/>
  <c r="R99" i="1"/>
  <c r="S99" i="1"/>
  <c r="T99" i="1"/>
  <c r="K100" i="1"/>
  <c r="L100" i="1"/>
  <c r="M100" i="1"/>
  <c r="N100" i="1"/>
  <c r="O100" i="1"/>
  <c r="P100" i="1"/>
  <c r="Q100" i="1"/>
  <c r="R100" i="1"/>
  <c r="S100" i="1"/>
  <c r="T100" i="1"/>
  <c r="K101" i="1"/>
  <c r="L101" i="1"/>
  <c r="M101" i="1"/>
  <c r="N101" i="1"/>
  <c r="O101" i="1"/>
  <c r="P101" i="1"/>
  <c r="Q101" i="1"/>
  <c r="R101" i="1"/>
  <c r="S101" i="1"/>
  <c r="T101" i="1"/>
  <c r="K102" i="1"/>
  <c r="L102" i="1"/>
  <c r="M102" i="1"/>
  <c r="N102" i="1"/>
  <c r="O102" i="1"/>
  <c r="P102" i="1"/>
  <c r="Q102" i="1"/>
  <c r="R102" i="1"/>
  <c r="S102" i="1"/>
  <c r="T102" i="1"/>
  <c r="K103" i="1"/>
  <c r="L103" i="1"/>
  <c r="M103" i="1"/>
  <c r="N103" i="1"/>
  <c r="O103" i="1"/>
  <c r="P103" i="1"/>
  <c r="Q103" i="1"/>
  <c r="R103" i="1"/>
  <c r="S103" i="1"/>
  <c r="T103" i="1"/>
  <c r="K104" i="1"/>
  <c r="L104" i="1"/>
  <c r="M104" i="1"/>
  <c r="N104" i="1"/>
  <c r="O104" i="1"/>
  <c r="P104" i="1"/>
  <c r="Q104" i="1"/>
  <c r="R104" i="1"/>
  <c r="S104" i="1"/>
  <c r="T104" i="1"/>
  <c r="K105" i="1"/>
  <c r="L105" i="1"/>
  <c r="M105" i="1"/>
  <c r="N105" i="1"/>
  <c r="O105" i="1"/>
  <c r="P105" i="1"/>
  <c r="Q105" i="1"/>
  <c r="R105" i="1"/>
  <c r="S105" i="1"/>
  <c r="T105" i="1"/>
  <c r="K106" i="1"/>
  <c r="L106" i="1"/>
  <c r="M106" i="1"/>
  <c r="N106" i="1"/>
  <c r="O106" i="1"/>
  <c r="P106" i="1"/>
  <c r="Q106" i="1"/>
  <c r="R106" i="1"/>
  <c r="S106" i="1"/>
  <c r="T106" i="1"/>
  <c r="K107" i="1"/>
  <c r="L107" i="1"/>
  <c r="M107" i="1"/>
  <c r="N107" i="1"/>
  <c r="O107" i="1"/>
  <c r="P107" i="1"/>
  <c r="Q107" i="1"/>
  <c r="R107" i="1"/>
  <c r="S107" i="1"/>
  <c r="T107" i="1"/>
  <c r="K108" i="1"/>
  <c r="L108" i="1"/>
  <c r="M108" i="1"/>
  <c r="N108" i="1"/>
  <c r="O108" i="1"/>
  <c r="P108" i="1"/>
  <c r="Q108" i="1"/>
  <c r="R108" i="1"/>
  <c r="S108" i="1"/>
  <c r="T108" i="1"/>
  <c r="K109" i="1"/>
  <c r="L109" i="1"/>
  <c r="M109" i="1"/>
  <c r="N109" i="1"/>
  <c r="O109" i="1"/>
  <c r="P109" i="1"/>
  <c r="Q109" i="1"/>
  <c r="R109" i="1"/>
  <c r="S109" i="1"/>
  <c r="T109" i="1"/>
  <c r="K110" i="1"/>
  <c r="L110" i="1"/>
  <c r="M110" i="1"/>
  <c r="N110" i="1"/>
  <c r="O110" i="1"/>
  <c r="P110" i="1"/>
  <c r="Q110" i="1"/>
  <c r="R110" i="1"/>
  <c r="S110" i="1"/>
  <c r="T110" i="1"/>
  <c r="K111" i="1"/>
  <c r="L111" i="1"/>
  <c r="M111" i="1"/>
  <c r="N111" i="1"/>
  <c r="O111" i="1"/>
  <c r="P111" i="1"/>
  <c r="Q111" i="1"/>
  <c r="R111" i="1"/>
  <c r="S111" i="1"/>
  <c r="T111" i="1"/>
  <c r="K112" i="1"/>
  <c r="L112" i="1"/>
  <c r="M112" i="1"/>
  <c r="N112" i="1"/>
  <c r="O112" i="1"/>
  <c r="P112" i="1"/>
  <c r="Q112" i="1"/>
  <c r="R112" i="1"/>
  <c r="S112" i="1"/>
  <c r="T112" i="1"/>
  <c r="K113" i="1"/>
  <c r="L113" i="1"/>
  <c r="M113" i="1"/>
  <c r="N113" i="1"/>
  <c r="O113" i="1"/>
  <c r="P113" i="1"/>
  <c r="Q113" i="1"/>
  <c r="R113" i="1"/>
  <c r="S113" i="1"/>
  <c r="T113" i="1"/>
  <c r="K114" i="1"/>
  <c r="L114" i="1"/>
  <c r="M114" i="1"/>
  <c r="N114" i="1"/>
  <c r="O114" i="1"/>
  <c r="P114" i="1"/>
  <c r="Q114" i="1"/>
  <c r="R114" i="1"/>
  <c r="S114" i="1"/>
  <c r="T114" i="1"/>
  <c r="K115" i="1"/>
  <c r="L115" i="1"/>
  <c r="M115" i="1"/>
  <c r="N115" i="1"/>
  <c r="O115" i="1"/>
  <c r="P115" i="1"/>
  <c r="Q115" i="1"/>
  <c r="R115" i="1"/>
  <c r="S115" i="1"/>
  <c r="T115" i="1"/>
  <c r="K116" i="1"/>
  <c r="L116" i="1"/>
  <c r="M116" i="1"/>
  <c r="N116" i="1"/>
  <c r="O116" i="1"/>
  <c r="P116" i="1"/>
  <c r="Q116" i="1"/>
  <c r="R116" i="1"/>
  <c r="S116" i="1"/>
  <c r="T116" i="1"/>
  <c r="K117" i="1"/>
  <c r="L117" i="1"/>
  <c r="M117" i="1"/>
  <c r="N117" i="1"/>
  <c r="O117" i="1"/>
  <c r="P117" i="1"/>
  <c r="Q117" i="1"/>
  <c r="R117" i="1"/>
  <c r="S117" i="1"/>
  <c r="T117" i="1"/>
  <c r="K118" i="1"/>
  <c r="L118" i="1"/>
  <c r="M118" i="1"/>
  <c r="N118" i="1"/>
  <c r="O118" i="1"/>
  <c r="P118" i="1"/>
  <c r="Q118" i="1"/>
  <c r="R118" i="1"/>
  <c r="S118" i="1"/>
  <c r="T118" i="1"/>
  <c r="K119" i="1"/>
  <c r="L119" i="1"/>
  <c r="M119" i="1"/>
  <c r="N119" i="1"/>
  <c r="O119" i="1"/>
  <c r="P119" i="1"/>
  <c r="Q119" i="1"/>
  <c r="R119" i="1"/>
  <c r="S119" i="1"/>
  <c r="T119" i="1"/>
  <c r="K120" i="1"/>
  <c r="L120" i="1"/>
  <c r="M120" i="1"/>
  <c r="N120" i="1"/>
  <c r="O120" i="1"/>
  <c r="P120" i="1"/>
  <c r="Q120" i="1"/>
  <c r="R120" i="1"/>
  <c r="S120" i="1"/>
  <c r="T120" i="1"/>
  <c r="K121" i="1"/>
  <c r="L121" i="1"/>
  <c r="M121" i="1"/>
  <c r="N121" i="1"/>
  <c r="O121" i="1"/>
  <c r="P121" i="1"/>
  <c r="Q121" i="1"/>
  <c r="R121" i="1"/>
  <c r="S121" i="1"/>
  <c r="T121" i="1"/>
  <c r="K122" i="1"/>
  <c r="L122" i="1"/>
  <c r="M122" i="1"/>
  <c r="N122" i="1"/>
  <c r="O122" i="1"/>
  <c r="P122" i="1"/>
  <c r="Q122" i="1"/>
  <c r="R122" i="1"/>
  <c r="S122" i="1"/>
  <c r="T122" i="1"/>
  <c r="K123" i="1"/>
  <c r="L123" i="1"/>
  <c r="M123" i="1"/>
  <c r="N123" i="1"/>
  <c r="O123" i="1"/>
  <c r="P123" i="1"/>
  <c r="Q123" i="1"/>
  <c r="R123" i="1"/>
  <c r="S123" i="1"/>
  <c r="T123" i="1"/>
  <c r="K124" i="1"/>
  <c r="L124" i="1"/>
  <c r="M124" i="1"/>
  <c r="N124" i="1"/>
  <c r="O124" i="1"/>
  <c r="P124" i="1"/>
  <c r="Q124" i="1"/>
  <c r="R124" i="1"/>
  <c r="S124" i="1"/>
  <c r="T124" i="1"/>
  <c r="K125" i="1"/>
  <c r="L125" i="1"/>
  <c r="M125" i="1"/>
  <c r="N125" i="1"/>
  <c r="O125" i="1"/>
  <c r="P125" i="1"/>
  <c r="Q125" i="1"/>
  <c r="R125" i="1"/>
  <c r="S125" i="1"/>
  <c r="T125" i="1"/>
  <c r="K126" i="1"/>
  <c r="L126" i="1"/>
  <c r="M126" i="1"/>
  <c r="N126" i="1"/>
  <c r="O126" i="1"/>
  <c r="P126" i="1"/>
  <c r="Q126" i="1"/>
  <c r="R126" i="1"/>
  <c r="S126" i="1"/>
  <c r="T126" i="1"/>
  <c r="K127" i="1"/>
  <c r="L127" i="1"/>
  <c r="M127" i="1"/>
  <c r="N127" i="1"/>
  <c r="O127" i="1"/>
  <c r="P127" i="1"/>
  <c r="Q127" i="1"/>
  <c r="R127" i="1"/>
  <c r="S127" i="1"/>
  <c r="T127" i="1"/>
  <c r="K128" i="1"/>
  <c r="L128" i="1"/>
  <c r="M128" i="1"/>
  <c r="N128" i="1"/>
  <c r="O128" i="1"/>
  <c r="P128" i="1"/>
  <c r="Q128" i="1"/>
  <c r="R128" i="1"/>
  <c r="S128" i="1"/>
  <c r="T128" i="1"/>
  <c r="K129" i="1"/>
  <c r="L129" i="1"/>
  <c r="M129" i="1"/>
  <c r="N129" i="1"/>
  <c r="O129" i="1"/>
  <c r="P129" i="1"/>
  <c r="Q129" i="1"/>
  <c r="R129" i="1"/>
  <c r="S129" i="1"/>
  <c r="T129" i="1"/>
  <c r="K130" i="1"/>
  <c r="L130" i="1"/>
  <c r="M130" i="1"/>
  <c r="N130" i="1"/>
  <c r="O130" i="1"/>
  <c r="P130" i="1"/>
  <c r="Q130" i="1"/>
  <c r="R130" i="1"/>
  <c r="S130" i="1"/>
  <c r="T130" i="1"/>
  <c r="K131" i="1"/>
  <c r="L131" i="1"/>
  <c r="M131" i="1"/>
  <c r="N131" i="1"/>
  <c r="O131" i="1"/>
  <c r="P131" i="1"/>
  <c r="Q131" i="1"/>
  <c r="R131" i="1"/>
  <c r="S131" i="1"/>
  <c r="T131" i="1"/>
  <c r="K132" i="1"/>
  <c r="L132" i="1"/>
  <c r="M132" i="1"/>
  <c r="N132" i="1"/>
  <c r="O132" i="1"/>
  <c r="P132" i="1"/>
  <c r="Q132" i="1"/>
  <c r="R132" i="1"/>
  <c r="S132" i="1"/>
  <c r="T132" i="1"/>
  <c r="K133" i="1"/>
  <c r="L133" i="1"/>
  <c r="M133" i="1"/>
  <c r="N133" i="1"/>
  <c r="O133" i="1"/>
  <c r="P133" i="1"/>
  <c r="Q133" i="1"/>
  <c r="R133" i="1"/>
  <c r="S133" i="1"/>
  <c r="T133" i="1"/>
  <c r="K134" i="1"/>
  <c r="L134" i="1"/>
  <c r="M134" i="1"/>
  <c r="N134" i="1"/>
  <c r="O134" i="1"/>
  <c r="P134" i="1"/>
  <c r="Q134" i="1"/>
  <c r="R134" i="1"/>
  <c r="S134" i="1"/>
  <c r="T134" i="1"/>
  <c r="K135" i="1"/>
  <c r="L135" i="1"/>
  <c r="M135" i="1"/>
  <c r="N135" i="1"/>
  <c r="O135" i="1"/>
  <c r="P135" i="1"/>
  <c r="Q135" i="1"/>
  <c r="R135" i="1"/>
  <c r="S135" i="1"/>
  <c r="T135" i="1"/>
  <c r="K136" i="1"/>
  <c r="L136" i="1"/>
  <c r="M136" i="1"/>
  <c r="N136" i="1"/>
  <c r="O136" i="1"/>
  <c r="P136" i="1"/>
  <c r="Q136" i="1"/>
  <c r="R136" i="1"/>
  <c r="S136" i="1"/>
  <c r="T136" i="1"/>
  <c r="K137" i="1"/>
  <c r="L137" i="1"/>
  <c r="M137" i="1"/>
  <c r="N137" i="1"/>
  <c r="O137" i="1"/>
  <c r="P137" i="1"/>
  <c r="Q137" i="1"/>
  <c r="R137" i="1"/>
  <c r="S137" i="1"/>
  <c r="T137" i="1"/>
  <c r="K138" i="1"/>
  <c r="L138" i="1"/>
  <c r="M138" i="1"/>
  <c r="N138" i="1"/>
  <c r="O138" i="1"/>
  <c r="P138" i="1"/>
  <c r="Q138" i="1"/>
  <c r="R138" i="1"/>
  <c r="S138" i="1"/>
  <c r="T138" i="1"/>
  <c r="K139" i="1"/>
  <c r="L139" i="1"/>
  <c r="M139" i="1"/>
  <c r="N139" i="1"/>
  <c r="O139" i="1"/>
  <c r="P139" i="1"/>
  <c r="Q139" i="1"/>
  <c r="R139" i="1"/>
  <c r="S139" i="1"/>
  <c r="T139" i="1"/>
  <c r="K140" i="1"/>
  <c r="L140" i="1"/>
  <c r="M140" i="1"/>
  <c r="N140" i="1"/>
  <c r="O140" i="1"/>
  <c r="P140" i="1"/>
  <c r="Q140" i="1"/>
  <c r="R140" i="1"/>
  <c r="S140" i="1"/>
  <c r="T140" i="1"/>
  <c r="K141" i="1"/>
  <c r="L141" i="1"/>
  <c r="M141" i="1"/>
  <c r="N141" i="1"/>
  <c r="O141" i="1"/>
  <c r="P141" i="1"/>
  <c r="Q141" i="1"/>
  <c r="R141" i="1"/>
  <c r="S141" i="1"/>
  <c r="T141" i="1"/>
  <c r="K142" i="1"/>
  <c r="L142" i="1"/>
  <c r="M142" i="1"/>
  <c r="N142" i="1"/>
  <c r="O142" i="1"/>
  <c r="P142" i="1"/>
  <c r="Q142" i="1"/>
  <c r="R142" i="1"/>
  <c r="S142" i="1"/>
  <c r="T142" i="1"/>
  <c r="K143" i="1"/>
  <c r="L143" i="1"/>
  <c r="M143" i="1"/>
  <c r="N143" i="1"/>
  <c r="O143" i="1"/>
  <c r="P143" i="1"/>
  <c r="Q143" i="1"/>
  <c r="R143" i="1"/>
  <c r="S143" i="1"/>
  <c r="T143" i="1"/>
  <c r="K144" i="1"/>
  <c r="L144" i="1"/>
  <c r="M144" i="1"/>
  <c r="N144" i="1"/>
  <c r="O144" i="1"/>
  <c r="P144" i="1"/>
  <c r="Q144" i="1"/>
  <c r="R144" i="1"/>
  <c r="S144" i="1"/>
  <c r="T144" i="1"/>
  <c r="K145" i="1"/>
  <c r="L145" i="1"/>
  <c r="M145" i="1"/>
  <c r="N145" i="1"/>
  <c r="O145" i="1"/>
  <c r="P145" i="1"/>
  <c r="Q145" i="1"/>
  <c r="R145" i="1"/>
  <c r="S145" i="1"/>
  <c r="T145" i="1"/>
  <c r="K146" i="1"/>
  <c r="L146" i="1"/>
  <c r="M146" i="1"/>
  <c r="N146" i="1"/>
  <c r="O146" i="1"/>
  <c r="P146" i="1"/>
  <c r="Q146" i="1"/>
  <c r="R146" i="1"/>
  <c r="S146" i="1"/>
  <c r="T146" i="1"/>
  <c r="K147" i="1"/>
  <c r="L147" i="1"/>
  <c r="M147" i="1"/>
  <c r="N147" i="1"/>
  <c r="O147" i="1"/>
  <c r="P147" i="1"/>
  <c r="Q147" i="1"/>
  <c r="R147" i="1"/>
  <c r="S147" i="1"/>
  <c r="T147" i="1"/>
  <c r="K148" i="1"/>
  <c r="L148" i="1"/>
  <c r="M148" i="1"/>
  <c r="N148" i="1"/>
  <c r="O148" i="1"/>
  <c r="P148" i="1"/>
  <c r="Q148" i="1"/>
  <c r="R148" i="1"/>
  <c r="S148" i="1"/>
  <c r="T148" i="1"/>
  <c r="K149" i="1"/>
  <c r="L149" i="1"/>
  <c r="M149" i="1"/>
  <c r="N149" i="1"/>
  <c r="O149" i="1"/>
  <c r="P149" i="1"/>
  <c r="Q149" i="1"/>
  <c r="R149" i="1"/>
  <c r="S149" i="1"/>
  <c r="T149" i="1"/>
  <c r="K150" i="1"/>
  <c r="L150" i="1"/>
  <c r="M150" i="1"/>
  <c r="N150" i="1"/>
  <c r="O150" i="1"/>
  <c r="P150" i="1"/>
  <c r="Q150" i="1"/>
  <c r="R150" i="1"/>
  <c r="S150" i="1"/>
  <c r="T150" i="1"/>
  <c r="K151" i="1"/>
  <c r="L151" i="1"/>
  <c r="M151" i="1"/>
  <c r="N151" i="1"/>
  <c r="O151" i="1"/>
  <c r="P151" i="1"/>
  <c r="Q151" i="1"/>
  <c r="R151" i="1"/>
  <c r="S151" i="1"/>
  <c r="T151" i="1"/>
  <c r="K152" i="1"/>
  <c r="L152" i="1"/>
  <c r="M152" i="1"/>
  <c r="N152" i="1"/>
  <c r="O152" i="1"/>
  <c r="P152" i="1"/>
  <c r="Q152" i="1"/>
  <c r="R152" i="1"/>
  <c r="S152" i="1"/>
  <c r="T152" i="1"/>
  <c r="K153" i="1"/>
  <c r="L153" i="1"/>
  <c r="M153" i="1"/>
  <c r="N153" i="1"/>
  <c r="O153" i="1"/>
  <c r="P153" i="1"/>
  <c r="Q153" i="1"/>
  <c r="R153" i="1"/>
  <c r="S153" i="1"/>
  <c r="T153" i="1"/>
  <c r="K154" i="1"/>
  <c r="L154" i="1"/>
  <c r="M154" i="1"/>
  <c r="N154" i="1"/>
  <c r="O154" i="1"/>
  <c r="P154" i="1"/>
  <c r="Q154" i="1"/>
  <c r="R154" i="1"/>
  <c r="S154" i="1"/>
  <c r="T154" i="1"/>
  <c r="K155" i="1"/>
  <c r="L155" i="1"/>
  <c r="M155" i="1"/>
  <c r="N155" i="1"/>
  <c r="O155" i="1"/>
  <c r="P155" i="1"/>
  <c r="Q155" i="1"/>
  <c r="R155" i="1"/>
  <c r="S155" i="1"/>
  <c r="T155" i="1"/>
  <c r="K156" i="1"/>
  <c r="L156" i="1"/>
  <c r="M156" i="1"/>
  <c r="N156" i="1"/>
  <c r="O156" i="1"/>
  <c r="P156" i="1"/>
  <c r="Q156" i="1"/>
  <c r="R156" i="1"/>
  <c r="S156" i="1"/>
  <c r="T156" i="1"/>
  <c r="K157" i="1"/>
  <c r="L157" i="1"/>
  <c r="M157" i="1"/>
  <c r="N157" i="1"/>
  <c r="O157" i="1"/>
  <c r="P157" i="1"/>
  <c r="Q157" i="1"/>
  <c r="R157" i="1"/>
  <c r="S157" i="1"/>
  <c r="T157" i="1"/>
  <c r="K158" i="1"/>
  <c r="L158" i="1"/>
  <c r="M158" i="1"/>
  <c r="N158" i="1"/>
  <c r="O158" i="1"/>
  <c r="P158" i="1"/>
  <c r="Q158" i="1"/>
  <c r="R158" i="1"/>
  <c r="S158" i="1"/>
  <c r="T158" i="1"/>
  <c r="K159" i="1"/>
  <c r="L159" i="1"/>
  <c r="M159" i="1"/>
  <c r="N159" i="1"/>
  <c r="O159" i="1"/>
  <c r="P159" i="1"/>
  <c r="Q159" i="1"/>
  <c r="R159" i="1"/>
  <c r="S159" i="1"/>
  <c r="T159" i="1"/>
  <c r="K160" i="1"/>
  <c r="L160" i="1"/>
  <c r="M160" i="1"/>
  <c r="N160" i="1"/>
  <c r="O160" i="1"/>
  <c r="P160" i="1"/>
  <c r="Q160" i="1"/>
  <c r="R160" i="1"/>
  <c r="S160" i="1"/>
  <c r="T160" i="1"/>
  <c r="K161" i="1"/>
  <c r="L161" i="1"/>
  <c r="M161" i="1"/>
  <c r="N161" i="1"/>
  <c r="O161" i="1"/>
  <c r="P161" i="1"/>
  <c r="Q161" i="1"/>
  <c r="R161" i="1"/>
  <c r="S161" i="1"/>
  <c r="T161" i="1"/>
  <c r="K162" i="1"/>
  <c r="L162" i="1"/>
  <c r="M162" i="1"/>
  <c r="N162" i="1"/>
  <c r="O162" i="1"/>
  <c r="P162" i="1"/>
  <c r="Q162" i="1"/>
  <c r="R162" i="1"/>
  <c r="S162" i="1"/>
  <c r="T162" i="1"/>
  <c r="K163" i="1"/>
  <c r="L163" i="1"/>
  <c r="M163" i="1"/>
  <c r="N163" i="1"/>
  <c r="O163" i="1"/>
  <c r="P163" i="1"/>
  <c r="Q163" i="1"/>
  <c r="R163" i="1"/>
  <c r="S163" i="1"/>
  <c r="T163" i="1"/>
  <c r="K164" i="1"/>
  <c r="L164" i="1"/>
  <c r="M164" i="1"/>
  <c r="N164" i="1"/>
  <c r="O164" i="1"/>
  <c r="P164" i="1"/>
  <c r="Q164" i="1"/>
  <c r="R164" i="1"/>
  <c r="S164" i="1"/>
  <c r="T164" i="1"/>
  <c r="K165" i="1"/>
  <c r="L165" i="1"/>
  <c r="M165" i="1"/>
  <c r="N165" i="1"/>
  <c r="O165" i="1"/>
  <c r="P165" i="1"/>
  <c r="Q165" i="1"/>
  <c r="R165" i="1"/>
  <c r="S165" i="1"/>
  <c r="T165" i="1"/>
  <c r="K166" i="1"/>
  <c r="L166" i="1"/>
  <c r="M166" i="1"/>
  <c r="N166" i="1"/>
  <c r="O166" i="1"/>
  <c r="P166" i="1"/>
  <c r="Q166" i="1"/>
  <c r="R166" i="1"/>
  <c r="S166" i="1"/>
  <c r="T166" i="1"/>
  <c r="K167" i="1"/>
  <c r="L167" i="1"/>
  <c r="M167" i="1"/>
  <c r="N167" i="1"/>
  <c r="O167" i="1"/>
  <c r="P167" i="1"/>
  <c r="Q167" i="1"/>
  <c r="R167" i="1"/>
  <c r="S167" i="1"/>
  <c r="T167" i="1"/>
  <c r="K168" i="1"/>
  <c r="L168" i="1"/>
  <c r="M168" i="1"/>
  <c r="N168" i="1"/>
  <c r="O168" i="1"/>
  <c r="P168" i="1"/>
  <c r="Q168" i="1"/>
  <c r="R168" i="1"/>
  <c r="S168" i="1"/>
  <c r="T168" i="1"/>
  <c r="K169" i="1"/>
  <c r="L169" i="1"/>
  <c r="M169" i="1"/>
  <c r="N169" i="1"/>
  <c r="O169" i="1"/>
  <c r="P169" i="1"/>
  <c r="Q169" i="1"/>
  <c r="R169" i="1"/>
  <c r="S169" i="1"/>
  <c r="T169" i="1"/>
  <c r="K170" i="1"/>
  <c r="L170" i="1"/>
  <c r="M170" i="1"/>
  <c r="N170" i="1"/>
  <c r="O170" i="1"/>
  <c r="P170" i="1"/>
  <c r="Q170" i="1"/>
  <c r="R170" i="1"/>
  <c r="S170" i="1"/>
  <c r="T170" i="1"/>
  <c r="K171" i="1"/>
  <c r="L171" i="1"/>
  <c r="M171" i="1"/>
  <c r="N171" i="1"/>
  <c r="O171" i="1"/>
  <c r="P171" i="1"/>
  <c r="Q171" i="1"/>
  <c r="R171" i="1"/>
  <c r="S171" i="1"/>
  <c r="T171" i="1"/>
  <c r="K172" i="1"/>
  <c r="L172" i="1"/>
  <c r="M172" i="1"/>
  <c r="N172" i="1"/>
  <c r="O172" i="1"/>
  <c r="P172" i="1"/>
  <c r="Q172" i="1"/>
  <c r="R172" i="1"/>
  <c r="S172" i="1"/>
  <c r="T172" i="1"/>
  <c r="K173" i="1"/>
  <c r="L173" i="1"/>
  <c r="M173" i="1"/>
  <c r="N173" i="1"/>
  <c r="O173" i="1"/>
  <c r="P173" i="1"/>
  <c r="Q173" i="1"/>
  <c r="R173" i="1"/>
  <c r="S173" i="1"/>
  <c r="T173" i="1"/>
  <c r="K174" i="1"/>
  <c r="L174" i="1"/>
  <c r="M174" i="1"/>
  <c r="N174" i="1"/>
  <c r="O174" i="1"/>
  <c r="P174" i="1"/>
  <c r="Q174" i="1"/>
  <c r="R174" i="1"/>
  <c r="S174" i="1"/>
  <c r="T174" i="1"/>
  <c r="K175" i="1"/>
  <c r="L175" i="1"/>
  <c r="M175" i="1"/>
  <c r="N175" i="1"/>
  <c r="O175" i="1"/>
  <c r="P175" i="1"/>
  <c r="Q175" i="1"/>
  <c r="R175" i="1"/>
  <c r="S175" i="1"/>
  <c r="T175" i="1"/>
  <c r="K176" i="1"/>
  <c r="L176" i="1"/>
  <c r="M176" i="1"/>
  <c r="N176" i="1"/>
  <c r="O176" i="1"/>
  <c r="P176" i="1"/>
  <c r="Q176" i="1"/>
  <c r="R176" i="1"/>
  <c r="S176" i="1"/>
  <c r="T176" i="1"/>
  <c r="K177" i="1"/>
  <c r="L177" i="1"/>
  <c r="M177" i="1"/>
  <c r="N177" i="1"/>
  <c r="O177" i="1"/>
  <c r="P177" i="1"/>
  <c r="Q177" i="1"/>
  <c r="R177" i="1"/>
  <c r="S177" i="1"/>
  <c r="T177" i="1"/>
  <c r="K178" i="1"/>
  <c r="L178" i="1"/>
  <c r="M178" i="1"/>
  <c r="N178" i="1"/>
  <c r="O178" i="1"/>
  <c r="P178" i="1"/>
  <c r="Q178" i="1"/>
  <c r="R178" i="1"/>
  <c r="S178" i="1"/>
  <c r="T178" i="1"/>
  <c r="K179" i="1"/>
  <c r="L179" i="1"/>
  <c r="M179" i="1"/>
  <c r="N179" i="1"/>
  <c r="O179" i="1"/>
  <c r="P179" i="1"/>
  <c r="Q179" i="1"/>
  <c r="R179" i="1"/>
  <c r="S179" i="1"/>
  <c r="T179" i="1"/>
  <c r="K180" i="1"/>
  <c r="L180" i="1"/>
  <c r="M180" i="1"/>
  <c r="N180" i="1"/>
  <c r="O180" i="1"/>
  <c r="P180" i="1"/>
  <c r="Q180" i="1"/>
  <c r="R180" i="1"/>
  <c r="S180" i="1"/>
  <c r="T180" i="1"/>
  <c r="K181" i="1"/>
  <c r="L181" i="1"/>
  <c r="M181" i="1"/>
  <c r="N181" i="1"/>
  <c r="O181" i="1"/>
  <c r="P181" i="1"/>
  <c r="Q181" i="1"/>
  <c r="R181" i="1"/>
  <c r="S181" i="1"/>
  <c r="T181" i="1"/>
  <c r="K182" i="1"/>
  <c r="L182" i="1"/>
  <c r="M182" i="1"/>
  <c r="N182" i="1"/>
  <c r="O182" i="1"/>
  <c r="P182" i="1"/>
  <c r="Q182" i="1"/>
  <c r="R182" i="1"/>
  <c r="S182" i="1"/>
  <c r="T182" i="1"/>
  <c r="K183" i="1"/>
  <c r="L183" i="1"/>
  <c r="M183" i="1"/>
  <c r="N183" i="1"/>
  <c r="O183" i="1"/>
  <c r="P183" i="1"/>
  <c r="Q183" i="1"/>
  <c r="R183" i="1"/>
  <c r="S183" i="1"/>
  <c r="T183" i="1"/>
  <c r="K184" i="1"/>
  <c r="L184" i="1"/>
  <c r="M184" i="1"/>
  <c r="N184" i="1"/>
  <c r="O184" i="1"/>
  <c r="P184" i="1"/>
  <c r="Q184" i="1"/>
  <c r="R184" i="1"/>
  <c r="S184" i="1"/>
  <c r="T184" i="1"/>
  <c r="K185" i="1"/>
  <c r="L185" i="1"/>
  <c r="M185" i="1"/>
  <c r="N185" i="1"/>
  <c r="O185" i="1"/>
  <c r="P185" i="1"/>
  <c r="Q185" i="1"/>
  <c r="R185" i="1"/>
  <c r="S185" i="1"/>
  <c r="T185" i="1"/>
  <c r="K186" i="1"/>
  <c r="L186" i="1"/>
  <c r="M186" i="1"/>
  <c r="N186" i="1"/>
  <c r="O186" i="1"/>
  <c r="P186" i="1"/>
  <c r="Q186" i="1"/>
  <c r="R186" i="1"/>
  <c r="S186" i="1"/>
  <c r="T186" i="1"/>
  <c r="K187" i="1"/>
  <c r="L187" i="1"/>
  <c r="M187" i="1"/>
  <c r="N187" i="1"/>
  <c r="O187" i="1"/>
  <c r="P187" i="1"/>
  <c r="Q187" i="1"/>
  <c r="R187" i="1"/>
  <c r="S187" i="1"/>
  <c r="T187" i="1"/>
  <c r="K188" i="1"/>
  <c r="L188" i="1"/>
  <c r="M188" i="1"/>
  <c r="N188" i="1"/>
  <c r="O188" i="1"/>
  <c r="P188" i="1"/>
  <c r="Q188" i="1"/>
  <c r="R188" i="1"/>
  <c r="S188" i="1"/>
  <c r="T188" i="1"/>
  <c r="K189" i="1"/>
  <c r="L189" i="1"/>
  <c r="M189" i="1"/>
  <c r="N189" i="1"/>
  <c r="O189" i="1"/>
  <c r="P189" i="1"/>
  <c r="Q189" i="1"/>
  <c r="R189" i="1"/>
  <c r="S189" i="1"/>
  <c r="T189" i="1"/>
  <c r="K190" i="1"/>
  <c r="L190" i="1"/>
  <c r="M190" i="1"/>
  <c r="N190" i="1"/>
  <c r="O190" i="1"/>
  <c r="P190" i="1"/>
  <c r="Q190" i="1"/>
  <c r="R190" i="1"/>
  <c r="S190" i="1"/>
  <c r="T190" i="1"/>
  <c r="K191" i="1"/>
  <c r="L191" i="1"/>
  <c r="M191" i="1"/>
  <c r="N191" i="1"/>
  <c r="O191" i="1"/>
  <c r="P191" i="1"/>
  <c r="Q191" i="1"/>
  <c r="R191" i="1"/>
  <c r="S191" i="1"/>
  <c r="T191" i="1"/>
  <c r="K192" i="1"/>
  <c r="L192" i="1"/>
  <c r="M192" i="1"/>
  <c r="N192" i="1"/>
  <c r="O192" i="1"/>
  <c r="P192" i="1"/>
  <c r="Q192" i="1"/>
  <c r="R192" i="1"/>
  <c r="S192" i="1"/>
  <c r="T192" i="1"/>
  <c r="K193" i="1"/>
  <c r="L193" i="1"/>
  <c r="M193" i="1"/>
  <c r="N193" i="1"/>
  <c r="O193" i="1"/>
  <c r="P193" i="1"/>
  <c r="Q193" i="1"/>
  <c r="R193" i="1"/>
  <c r="S193" i="1"/>
  <c r="T193" i="1"/>
  <c r="K194" i="1"/>
  <c r="L194" i="1"/>
  <c r="M194" i="1"/>
  <c r="N194" i="1"/>
  <c r="O194" i="1"/>
  <c r="P194" i="1"/>
  <c r="Q194" i="1"/>
  <c r="R194" i="1"/>
  <c r="S194" i="1"/>
  <c r="T194" i="1"/>
  <c r="K195" i="1"/>
  <c r="L195" i="1"/>
  <c r="M195" i="1"/>
  <c r="N195" i="1"/>
  <c r="O195" i="1"/>
  <c r="P195" i="1"/>
  <c r="Q195" i="1"/>
  <c r="R195" i="1"/>
  <c r="S195" i="1"/>
  <c r="T195" i="1"/>
  <c r="K196" i="1"/>
  <c r="L196" i="1"/>
  <c r="M196" i="1"/>
  <c r="N196" i="1"/>
  <c r="O196" i="1"/>
  <c r="P196" i="1"/>
  <c r="Q196" i="1"/>
  <c r="R196" i="1"/>
  <c r="S196" i="1"/>
  <c r="T196" i="1"/>
  <c r="K197" i="1"/>
  <c r="L197" i="1"/>
  <c r="M197" i="1"/>
  <c r="N197" i="1"/>
  <c r="O197" i="1"/>
  <c r="P197" i="1"/>
  <c r="Q197" i="1"/>
  <c r="R197" i="1"/>
  <c r="S197" i="1"/>
  <c r="T197" i="1"/>
  <c r="K198" i="1"/>
  <c r="L198" i="1"/>
  <c r="M198" i="1"/>
  <c r="N198" i="1"/>
  <c r="O198" i="1"/>
  <c r="P198" i="1"/>
  <c r="Q198" i="1"/>
  <c r="R198" i="1"/>
  <c r="S198" i="1"/>
  <c r="T198" i="1"/>
  <c r="K199" i="1"/>
  <c r="L199" i="1"/>
  <c r="M199" i="1"/>
  <c r="N199" i="1"/>
  <c r="O199" i="1"/>
  <c r="P199" i="1"/>
  <c r="Q199" i="1"/>
  <c r="R199" i="1"/>
  <c r="S199" i="1"/>
  <c r="T199" i="1"/>
  <c r="K200" i="1"/>
  <c r="L200" i="1"/>
  <c r="M200" i="1"/>
  <c r="N200" i="1"/>
  <c r="O200" i="1"/>
  <c r="P200" i="1"/>
  <c r="Q200" i="1"/>
  <c r="R200" i="1"/>
  <c r="S200" i="1"/>
  <c r="T200" i="1"/>
  <c r="K201" i="1"/>
  <c r="L201" i="1"/>
  <c r="M201" i="1"/>
  <c r="N201" i="1"/>
  <c r="O201" i="1"/>
  <c r="P201" i="1"/>
  <c r="Q201" i="1"/>
  <c r="R201" i="1"/>
  <c r="S201" i="1"/>
  <c r="T201" i="1"/>
  <c r="K202" i="1"/>
  <c r="L202" i="1"/>
  <c r="M202" i="1"/>
  <c r="N202" i="1"/>
  <c r="O202" i="1"/>
  <c r="P202" i="1"/>
  <c r="Q202" i="1"/>
  <c r="R202" i="1"/>
  <c r="S202" i="1"/>
  <c r="T202" i="1"/>
  <c r="K203" i="1"/>
  <c r="L203" i="1"/>
  <c r="M203" i="1"/>
  <c r="N203" i="1"/>
  <c r="O203" i="1"/>
  <c r="P203" i="1"/>
  <c r="Q203" i="1"/>
  <c r="R203" i="1"/>
  <c r="S203" i="1"/>
  <c r="T203" i="1"/>
  <c r="K204" i="1"/>
  <c r="L204" i="1"/>
  <c r="M204" i="1"/>
  <c r="N204" i="1"/>
  <c r="O204" i="1"/>
  <c r="P204" i="1"/>
  <c r="Q204" i="1"/>
  <c r="R204" i="1"/>
  <c r="S204" i="1"/>
  <c r="T204" i="1"/>
  <c r="K205" i="1"/>
  <c r="L205" i="1"/>
  <c r="M205" i="1"/>
  <c r="N205" i="1"/>
  <c r="O205" i="1"/>
  <c r="P205" i="1"/>
  <c r="Q205" i="1"/>
  <c r="R205" i="1"/>
  <c r="S205" i="1"/>
  <c r="T205" i="1"/>
  <c r="K206" i="1"/>
  <c r="L206" i="1"/>
  <c r="M206" i="1"/>
  <c r="N206" i="1"/>
  <c r="O206" i="1"/>
  <c r="P206" i="1"/>
  <c r="Q206" i="1"/>
  <c r="R206" i="1"/>
  <c r="S206" i="1"/>
  <c r="T206" i="1"/>
  <c r="K207" i="1"/>
  <c r="L207" i="1"/>
  <c r="M207" i="1"/>
  <c r="N207" i="1"/>
  <c r="O207" i="1"/>
  <c r="P207" i="1"/>
  <c r="Q207" i="1"/>
  <c r="R207" i="1"/>
  <c r="S207" i="1"/>
  <c r="T207" i="1"/>
  <c r="K208" i="1"/>
  <c r="L208" i="1"/>
  <c r="M208" i="1"/>
  <c r="N208" i="1"/>
  <c r="O208" i="1"/>
  <c r="P208" i="1"/>
  <c r="Q208" i="1"/>
  <c r="R208" i="1"/>
  <c r="S208" i="1"/>
  <c r="T208" i="1"/>
  <c r="K209" i="1"/>
  <c r="L209" i="1"/>
  <c r="M209" i="1"/>
  <c r="N209" i="1"/>
  <c r="O209" i="1"/>
  <c r="P209" i="1"/>
  <c r="Q209" i="1"/>
  <c r="R209" i="1"/>
  <c r="S209" i="1"/>
  <c r="T209" i="1"/>
  <c r="K210" i="1"/>
  <c r="L210" i="1"/>
  <c r="M210" i="1"/>
  <c r="N210" i="1"/>
  <c r="O210" i="1"/>
  <c r="P210" i="1"/>
  <c r="Q210" i="1"/>
  <c r="R210" i="1"/>
  <c r="S210" i="1"/>
  <c r="T210" i="1"/>
  <c r="K211" i="1"/>
  <c r="L211" i="1"/>
  <c r="M211" i="1"/>
  <c r="N211" i="1"/>
  <c r="O211" i="1"/>
  <c r="P211" i="1"/>
  <c r="Q211" i="1"/>
  <c r="R211" i="1"/>
  <c r="S211" i="1"/>
  <c r="T211" i="1"/>
  <c r="K212" i="1"/>
  <c r="L212" i="1"/>
  <c r="M212" i="1"/>
  <c r="N212" i="1"/>
  <c r="O212" i="1"/>
  <c r="P212" i="1"/>
  <c r="Q212" i="1"/>
  <c r="R212" i="1"/>
  <c r="S212" i="1"/>
  <c r="T212" i="1"/>
  <c r="K213" i="1"/>
  <c r="L213" i="1"/>
  <c r="M213" i="1"/>
  <c r="N213" i="1"/>
  <c r="O213" i="1"/>
  <c r="P213" i="1"/>
  <c r="Q213" i="1"/>
  <c r="R213" i="1"/>
  <c r="S213" i="1"/>
  <c r="T213" i="1"/>
  <c r="K214" i="1"/>
  <c r="L214" i="1"/>
  <c r="M214" i="1"/>
  <c r="N214" i="1"/>
  <c r="O214" i="1"/>
  <c r="P214" i="1"/>
  <c r="Q214" i="1"/>
  <c r="R214" i="1"/>
  <c r="S214" i="1"/>
  <c r="T214" i="1"/>
  <c r="K215" i="1"/>
  <c r="L215" i="1"/>
  <c r="M215" i="1"/>
  <c r="N215" i="1"/>
  <c r="O215" i="1"/>
  <c r="P215" i="1"/>
  <c r="Q215" i="1"/>
  <c r="R215" i="1"/>
  <c r="S215" i="1"/>
  <c r="T215" i="1"/>
  <c r="K216" i="1"/>
  <c r="L216" i="1"/>
  <c r="M216" i="1"/>
  <c r="N216" i="1"/>
  <c r="O216" i="1"/>
  <c r="P216" i="1"/>
  <c r="Q216" i="1"/>
  <c r="R216" i="1"/>
  <c r="S216" i="1"/>
  <c r="T216" i="1"/>
  <c r="K217" i="1"/>
  <c r="L217" i="1"/>
  <c r="M217" i="1"/>
  <c r="N217" i="1"/>
  <c r="O217" i="1"/>
  <c r="P217" i="1"/>
  <c r="Q217" i="1"/>
  <c r="R217" i="1"/>
  <c r="S217" i="1"/>
  <c r="T217" i="1"/>
  <c r="K218" i="1"/>
  <c r="L218" i="1"/>
  <c r="M218" i="1"/>
  <c r="N218" i="1"/>
  <c r="O218" i="1"/>
  <c r="P218" i="1"/>
  <c r="Q218" i="1"/>
  <c r="R218" i="1"/>
  <c r="S218" i="1"/>
  <c r="T218" i="1"/>
  <c r="K219" i="1"/>
  <c r="L219" i="1"/>
  <c r="M219" i="1"/>
  <c r="N219" i="1"/>
  <c r="O219" i="1"/>
  <c r="P219" i="1"/>
  <c r="Q219" i="1"/>
  <c r="R219" i="1"/>
  <c r="S219" i="1"/>
  <c r="T219" i="1"/>
  <c r="K220" i="1"/>
  <c r="L220" i="1"/>
  <c r="M220" i="1"/>
  <c r="N220" i="1"/>
  <c r="O220" i="1"/>
  <c r="P220" i="1"/>
  <c r="Q220" i="1"/>
  <c r="R220" i="1"/>
  <c r="S220" i="1"/>
  <c r="T220" i="1"/>
  <c r="K221" i="1"/>
  <c r="L221" i="1"/>
  <c r="M221" i="1"/>
  <c r="N221" i="1"/>
  <c r="O221" i="1"/>
  <c r="P221" i="1"/>
  <c r="Q221" i="1"/>
  <c r="R221" i="1"/>
  <c r="S221" i="1"/>
  <c r="T221" i="1"/>
  <c r="K222" i="1"/>
  <c r="L222" i="1"/>
  <c r="M222" i="1"/>
  <c r="N222" i="1"/>
  <c r="O222" i="1"/>
  <c r="P222" i="1"/>
  <c r="Q222" i="1"/>
  <c r="R222" i="1"/>
  <c r="S222" i="1"/>
  <c r="T222" i="1"/>
  <c r="K223" i="1"/>
  <c r="L223" i="1"/>
  <c r="M223" i="1"/>
  <c r="N223" i="1"/>
  <c r="O223" i="1"/>
  <c r="P223" i="1"/>
  <c r="Q223" i="1"/>
  <c r="R223" i="1"/>
  <c r="S223" i="1"/>
  <c r="T223" i="1"/>
  <c r="K224" i="1"/>
  <c r="L224" i="1"/>
  <c r="M224" i="1"/>
  <c r="N224" i="1"/>
  <c r="O224" i="1"/>
  <c r="P224" i="1"/>
  <c r="Q224" i="1"/>
  <c r="R224" i="1"/>
  <c r="S224" i="1"/>
  <c r="T224" i="1"/>
  <c r="K225" i="1"/>
  <c r="L225" i="1"/>
  <c r="M225" i="1"/>
  <c r="N225" i="1"/>
  <c r="O225" i="1"/>
  <c r="P225" i="1"/>
  <c r="Q225" i="1"/>
  <c r="R225" i="1"/>
  <c r="S225" i="1"/>
  <c r="T225" i="1"/>
  <c r="K226" i="1"/>
  <c r="L226" i="1"/>
  <c r="M226" i="1"/>
  <c r="N226" i="1"/>
  <c r="O226" i="1"/>
  <c r="P226" i="1"/>
  <c r="Q226" i="1"/>
  <c r="R226" i="1"/>
  <c r="S226" i="1"/>
  <c r="T226" i="1"/>
  <c r="K227" i="1"/>
  <c r="L227" i="1"/>
  <c r="M227" i="1"/>
  <c r="N227" i="1"/>
  <c r="O227" i="1"/>
  <c r="P227" i="1"/>
  <c r="Q227" i="1"/>
  <c r="R227" i="1"/>
  <c r="S227" i="1"/>
  <c r="T227" i="1"/>
  <c r="K228" i="1"/>
  <c r="L228" i="1"/>
  <c r="M228" i="1"/>
  <c r="N228" i="1"/>
  <c r="O228" i="1"/>
  <c r="P228" i="1"/>
  <c r="Q228" i="1"/>
  <c r="R228" i="1"/>
  <c r="S228" i="1"/>
  <c r="T228" i="1"/>
  <c r="K229" i="1"/>
  <c r="L229" i="1"/>
  <c r="M229" i="1"/>
  <c r="N229" i="1"/>
  <c r="O229" i="1"/>
  <c r="P229" i="1"/>
  <c r="Q229" i="1"/>
  <c r="R229" i="1"/>
  <c r="S229" i="1"/>
  <c r="T229" i="1"/>
  <c r="K230" i="1"/>
  <c r="L230" i="1"/>
  <c r="M230" i="1"/>
  <c r="N230" i="1"/>
  <c r="O230" i="1"/>
  <c r="P230" i="1"/>
  <c r="Q230" i="1"/>
  <c r="R230" i="1"/>
  <c r="S230" i="1"/>
  <c r="T230" i="1"/>
  <c r="K231" i="1"/>
  <c r="L231" i="1"/>
  <c r="M231" i="1"/>
  <c r="N231" i="1"/>
  <c r="O231" i="1"/>
  <c r="P231" i="1"/>
  <c r="Q231" i="1"/>
  <c r="R231" i="1"/>
  <c r="S231" i="1"/>
  <c r="T231" i="1"/>
  <c r="K232" i="1"/>
  <c r="L232" i="1"/>
  <c r="M232" i="1"/>
  <c r="N232" i="1"/>
  <c r="O232" i="1"/>
  <c r="P232" i="1"/>
  <c r="Q232" i="1"/>
  <c r="R232" i="1"/>
  <c r="S232" i="1"/>
  <c r="T232" i="1"/>
  <c r="K233" i="1"/>
  <c r="L233" i="1"/>
  <c r="M233" i="1"/>
  <c r="N233" i="1"/>
  <c r="O233" i="1"/>
  <c r="P233" i="1"/>
  <c r="Q233" i="1"/>
  <c r="R233" i="1"/>
  <c r="S233" i="1"/>
  <c r="T233" i="1"/>
  <c r="K234" i="1"/>
  <c r="L234" i="1"/>
  <c r="M234" i="1"/>
  <c r="N234" i="1"/>
  <c r="O234" i="1"/>
  <c r="P234" i="1"/>
  <c r="Q234" i="1"/>
  <c r="R234" i="1"/>
  <c r="S234" i="1"/>
  <c r="T234" i="1"/>
  <c r="K235" i="1"/>
  <c r="L235" i="1"/>
  <c r="M235" i="1"/>
  <c r="N235" i="1"/>
  <c r="O235" i="1"/>
  <c r="P235" i="1"/>
  <c r="Q235" i="1"/>
  <c r="R235" i="1"/>
  <c r="S235" i="1"/>
  <c r="T235" i="1"/>
  <c r="K236" i="1"/>
  <c r="L236" i="1"/>
  <c r="M236" i="1"/>
  <c r="N236" i="1"/>
  <c r="O236" i="1"/>
  <c r="P236" i="1"/>
  <c r="Q236" i="1"/>
  <c r="R236" i="1"/>
  <c r="S236" i="1"/>
  <c r="T236" i="1"/>
  <c r="K237" i="1"/>
  <c r="L237" i="1"/>
  <c r="M237" i="1"/>
  <c r="N237" i="1"/>
  <c r="O237" i="1"/>
  <c r="P237" i="1"/>
  <c r="Q237" i="1"/>
  <c r="R237" i="1"/>
  <c r="S237" i="1"/>
  <c r="T237" i="1"/>
  <c r="K238" i="1"/>
  <c r="L238" i="1"/>
  <c r="M238" i="1"/>
  <c r="N238" i="1"/>
  <c r="O238" i="1"/>
  <c r="P238" i="1"/>
  <c r="Q238" i="1"/>
  <c r="R238" i="1"/>
  <c r="S238" i="1"/>
  <c r="T238" i="1"/>
  <c r="K239" i="1"/>
  <c r="L239" i="1"/>
  <c r="M239" i="1"/>
  <c r="N239" i="1"/>
  <c r="O239" i="1"/>
  <c r="P239" i="1"/>
  <c r="Q239" i="1"/>
  <c r="R239" i="1"/>
  <c r="S239" i="1"/>
  <c r="T239" i="1"/>
  <c r="K240" i="1"/>
  <c r="L240" i="1"/>
  <c r="M240" i="1"/>
  <c r="N240" i="1"/>
  <c r="O240" i="1"/>
  <c r="P240" i="1"/>
  <c r="Q240" i="1"/>
  <c r="R240" i="1"/>
  <c r="S240" i="1"/>
  <c r="T240" i="1"/>
  <c r="K241" i="1"/>
  <c r="L241" i="1"/>
  <c r="M241" i="1"/>
  <c r="N241" i="1"/>
  <c r="O241" i="1"/>
  <c r="P241" i="1"/>
  <c r="Q241" i="1"/>
  <c r="R241" i="1"/>
  <c r="S241" i="1"/>
  <c r="T241" i="1"/>
  <c r="K242" i="1"/>
  <c r="L242" i="1"/>
  <c r="M242" i="1"/>
  <c r="N242" i="1"/>
  <c r="O242" i="1"/>
  <c r="P242" i="1"/>
  <c r="Q242" i="1"/>
  <c r="R242" i="1"/>
  <c r="S242" i="1"/>
  <c r="T242" i="1"/>
  <c r="K243" i="1"/>
  <c r="L243" i="1"/>
  <c r="M243" i="1"/>
  <c r="N243" i="1"/>
  <c r="O243" i="1"/>
  <c r="P243" i="1"/>
  <c r="Q243" i="1"/>
  <c r="R243" i="1"/>
  <c r="S243" i="1"/>
  <c r="T243" i="1"/>
  <c r="K244" i="1"/>
  <c r="L244" i="1"/>
  <c r="M244" i="1"/>
  <c r="N244" i="1"/>
  <c r="O244" i="1"/>
  <c r="P244" i="1"/>
  <c r="Q244" i="1"/>
  <c r="R244" i="1"/>
  <c r="S244" i="1"/>
  <c r="T244" i="1"/>
  <c r="K245" i="1"/>
  <c r="L245" i="1"/>
  <c r="M245" i="1"/>
  <c r="N245" i="1"/>
  <c r="O245" i="1"/>
  <c r="P245" i="1"/>
  <c r="Q245" i="1"/>
  <c r="R245" i="1"/>
  <c r="S245" i="1"/>
  <c r="T245" i="1"/>
  <c r="K246" i="1"/>
  <c r="L246" i="1"/>
  <c r="M246" i="1"/>
  <c r="N246" i="1"/>
  <c r="O246" i="1"/>
  <c r="P246" i="1"/>
  <c r="Q246" i="1"/>
  <c r="R246" i="1"/>
  <c r="S246" i="1"/>
  <c r="T246" i="1"/>
  <c r="K247" i="1"/>
  <c r="L247" i="1"/>
  <c r="M247" i="1"/>
  <c r="N247" i="1"/>
  <c r="O247" i="1"/>
  <c r="P247" i="1"/>
  <c r="Q247" i="1"/>
  <c r="R247" i="1"/>
  <c r="S247" i="1"/>
  <c r="T247" i="1"/>
  <c r="K248" i="1"/>
  <c r="L248" i="1"/>
  <c r="M248" i="1"/>
  <c r="N248" i="1"/>
  <c r="O248" i="1"/>
  <c r="P248" i="1"/>
  <c r="Q248" i="1"/>
  <c r="R248" i="1"/>
  <c r="S248" i="1"/>
  <c r="T248" i="1"/>
  <c r="K249" i="1"/>
  <c r="L249" i="1"/>
  <c r="M249" i="1"/>
  <c r="N249" i="1"/>
  <c r="O249" i="1"/>
  <c r="P249" i="1"/>
  <c r="Q249" i="1"/>
  <c r="R249" i="1"/>
  <c r="S249" i="1"/>
  <c r="T249" i="1"/>
  <c r="K250" i="1"/>
  <c r="L250" i="1"/>
  <c r="M250" i="1"/>
  <c r="N250" i="1"/>
  <c r="O250" i="1"/>
  <c r="P250" i="1"/>
  <c r="Q250" i="1"/>
  <c r="R250" i="1"/>
  <c r="S250" i="1"/>
  <c r="T250" i="1"/>
  <c r="K251" i="1"/>
  <c r="L251" i="1"/>
  <c r="M251" i="1"/>
  <c r="N251" i="1"/>
  <c r="O251" i="1"/>
  <c r="P251" i="1"/>
  <c r="Q251" i="1"/>
  <c r="R251" i="1"/>
  <c r="S251" i="1"/>
  <c r="T251" i="1"/>
  <c r="K252" i="1"/>
  <c r="L252" i="1"/>
  <c r="M252" i="1"/>
  <c r="N252" i="1"/>
  <c r="O252" i="1"/>
  <c r="P252" i="1"/>
  <c r="Q252" i="1"/>
  <c r="R252" i="1"/>
  <c r="S252" i="1"/>
  <c r="T252" i="1"/>
  <c r="K253" i="1"/>
  <c r="L253" i="1"/>
  <c r="M253" i="1"/>
  <c r="N253" i="1"/>
  <c r="O253" i="1"/>
  <c r="P253" i="1"/>
  <c r="Q253" i="1"/>
  <c r="R253" i="1"/>
  <c r="S253" i="1"/>
  <c r="T253" i="1"/>
  <c r="K254" i="1"/>
  <c r="L254" i="1"/>
  <c r="M254" i="1"/>
  <c r="N254" i="1"/>
  <c r="O254" i="1"/>
  <c r="P254" i="1"/>
  <c r="Q254" i="1"/>
  <c r="R254" i="1"/>
  <c r="S254" i="1"/>
  <c r="T254" i="1"/>
  <c r="K255" i="1"/>
  <c r="L255" i="1"/>
  <c r="M255" i="1"/>
  <c r="N255" i="1"/>
  <c r="O255" i="1"/>
  <c r="P255" i="1"/>
  <c r="Q255" i="1"/>
  <c r="R255" i="1"/>
  <c r="S255" i="1"/>
  <c r="T255" i="1"/>
  <c r="K256" i="1"/>
  <c r="L256" i="1"/>
  <c r="M256" i="1"/>
  <c r="N256" i="1"/>
  <c r="O256" i="1"/>
  <c r="P256" i="1"/>
  <c r="Q256" i="1"/>
  <c r="R256" i="1"/>
  <c r="S256" i="1"/>
  <c r="T256" i="1"/>
  <c r="K257" i="1"/>
  <c r="L257" i="1"/>
  <c r="M257" i="1"/>
  <c r="N257" i="1"/>
  <c r="O257" i="1"/>
  <c r="P257" i="1"/>
  <c r="Q257" i="1"/>
  <c r="R257" i="1"/>
  <c r="S257" i="1"/>
  <c r="T257" i="1"/>
  <c r="K258" i="1"/>
  <c r="L258" i="1"/>
  <c r="M258" i="1"/>
  <c r="N258" i="1"/>
  <c r="O258" i="1"/>
  <c r="P258" i="1"/>
  <c r="Q258" i="1"/>
  <c r="R258" i="1"/>
  <c r="S258" i="1"/>
  <c r="T258" i="1"/>
  <c r="K259" i="1"/>
  <c r="L259" i="1"/>
  <c r="M259" i="1"/>
  <c r="N259" i="1"/>
  <c r="O259" i="1"/>
  <c r="P259" i="1"/>
  <c r="Q259" i="1"/>
  <c r="R259" i="1"/>
  <c r="S259" i="1"/>
  <c r="T259" i="1"/>
  <c r="K260" i="1"/>
  <c r="L260" i="1"/>
  <c r="M260" i="1"/>
  <c r="N260" i="1"/>
  <c r="O260" i="1"/>
  <c r="P260" i="1"/>
  <c r="Q260" i="1"/>
  <c r="R260" i="1"/>
  <c r="S260" i="1"/>
  <c r="T260" i="1"/>
  <c r="K261" i="1"/>
  <c r="L261" i="1"/>
  <c r="M261" i="1"/>
  <c r="N261" i="1"/>
  <c r="O261" i="1"/>
  <c r="P261" i="1"/>
  <c r="Q261" i="1"/>
  <c r="R261" i="1"/>
  <c r="S261" i="1"/>
  <c r="T261" i="1"/>
  <c r="K262" i="1"/>
  <c r="L262" i="1"/>
  <c r="M262" i="1"/>
  <c r="N262" i="1"/>
  <c r="O262" i="1"/>
  <c r="P262" i="1"/>
  <c r="Q262" i="1"/>
  <c r="R262" i="1"/>
  <c r="S262" i="1"/>
  <c r="T262" i="1"/>
  <c r="K263" i="1"/>
  <c r="L263" i="1"/>
  <c r="M263" i="1"/>
  <c r="N263" i="1"/>
  <c r="O263" i="1"/>
  <c r="P263" i="1"/>
  <c r="Q263" i="1"/>
  <c r="R263" i="1"/>
  <c r="S263" i="1"/>
  <c r="T263" i="1"/>
  <c r="K264" i="1"/>
  <c r="L264" i="1"/>
  <c r="M264" i="1"/>
  <c r="N264" i="1"/>
  <c r="O264" i="1"/>
  <c r="P264" i="1"/>
  <c r="Q264" i="1"/>
  <c r="R264" i="1"/>
  <c r="S264" i="1"/>
  <c r="T264" i="1"/>
  <c r="K265" i="1"/>
  <c r="L265" i="1"/>
  <c r="M265" i="1"/>
  <c r="N265" i="1"/>
  <c r="O265" i="1"/>
  <c r="P265" i="1"/>
  <c r="Q265" i="1"/>
  <c r="R265" i="1"/>
  <c r="S265" i="1"/>
  <c r="T265" i="1"/>
  <c r="K266" i="1"/>
  <c r="L266" i="1"/>
  <c r="M266" i="1"/>
  <c r="N266" i="1"/>
  <c r="O266" i="1"/>
  <c r="P266" i="1"/>
  <c r="Q266" i="1"/>
  <c r="R266" i="1"/>
  <c r="S266" i="1"/>
  <c r="T266" i="1"/>
  <c r="K267" i="1"/>
  <c r="L267" i="1"/>
  <c r="M267" i="1"/>
  <c r="N267" i="1"/>
  <c r="O267" i="1"/>
  <c r="P267" i="1"/>
  <c r="Q267" i="1"/>
  <c r="R267" i="1"/>
  <c r="S267" i="1"/>
  <c r="T267" i="1"/>
  <c r="K268" i="1"/>
  <c r="L268" i="1"/>
  <c r="M268" i="1"/>
  <c r="N268" i="1"/>
  <c r="O268" i="1"/>
  <c r="P268" i="1"/>
  <c r="Q268" i="1"/>
  <c r="R268" i="1"/>
  <c r="S268" i="1"/>
  <c r="T268" i="1"/>
  <c r="K269" i="1"/>
  <c r="L269" i="1"/>
  <c r="M269" i="1"/>
  <c r="N269" i="1"/>
  <c r="O269" i="1"/>
  <c r="P269" i="1"/>
  <c r="Q269" i="1"/>
  <c r="R269" i="1"/>
  <c r="S269" i="1"/>
  <c r="T269" i="1"/>
  <c r="K270" i="1"/>
  <c r="L270" i="1"/>
  <c r="M270" i="1"/>
  <c r="N270" i="1"/>
  <c r="O270" i="1"/>
  <c r="P270" i="1"/>
  <c r="Q270" i="1"/>
  <c r="R270" i="1"/>
  <c r="S270" i="1"/>
  <c r="T270" i="1"/>
  <c r="K271" i="1"/>
  <c r="L271" i="1"/>
  <c r="M271" i="1"/>
  <c r="N271" i="1"/>
  <c r="O271" i="1"/>
  <c r="P271" i="1"/>
  <c r="Q271" i="1"/>
  <c r="R271" i="1"/>
  <c r="S271" i="1"/>
  <c r="T271" i="1"/>
  <c r="K272" i="1"/>
  <c r="L272" i="1"/>
  <c r="M272" i="1"/>
  <c r="N272" i="1"/>
  <c r="O272" i="1"/>
  <c r="P272" i="1"/>
  <c r="Q272" i="1"/>
  <c r="R272" i="1"/>
  <c r="S272" i="1"/>
  <c r="T272" i="1"/>
  <c r="K273" i="1"/>
  <c r="L273" i="1"/>
  <c r="M273" i="1"/>
  <c r="N273" i="1"/>
  <c r="O273" i="1"/>
  <c r="P273" i="1"/>
  <c r="Q273" i="1"/>
  <c r="R273" i="1"/>
  <c r="S273" i="1"/>
  <c r="T273" i="1"/>
  <c r="K274" i="1"/>
  <c r="L274" i="1"/>
  <c r="M274" i="1"/>
  <c r="N274" i="1"/>
  <c r="O274" i="1"/>
  <c r="P274" i="1"/>
  <c r="Q274" i="1"/>
  <c r="R274" i="1"/>
  <c r="S274" i="1"/>
  <c r="T274" i="1"/>
  <c r="K275" i="1"/>
  <c r="L275" i="1"/>
  <c r="M275" i="1"/>
  <c r="N275" i="1"/>
  <c r="O275" i="1"/>
  <c r="P275" i="1"/>
  <c r="Q275" i="1"/>
  <c r="R275" i="1"/>
  <c r="S275" i="1"/>
  <c r="T275" i="1"/>
  <c r="K276" i="1"/>
  <c r="L276" i="1"/>
  <c r="M276" i="1"/>
  <c r="N276" i="1"/>
  <c r="O276" i="1"/>
  <c r="P276" i="1"/>
  <c r="Q276" i="1"/>
  <c r="R276" i="1"/>
  <c r="S276" i="1"/>
  <c r="T276" i="1"/>
  <c r="K277" i="1"/>
  <c r="L277" i="1"/>
  <c r="M277" i="1"/>
  <c r="N277" i="1"/>
  <c r="O277" i="1"/>
  <c r="P277" i="1"/>
  <c r="Q277" i="1"/>
  <c r="R277" i="1"/>
  <c r="S277" i="1"/>
  <c r="T277" i="1"/>
  <c r="K278" i="1"/>
  <c r="L278" i="1"/>
  <c r="M278" i="1"/>
  <c r="N278" i="1"/>
  <c r="O278" i="1"/>
  <c r="P278" i="1"/>
  <c r="Q278" i="1"/>
  <c r="R278" i="1"/>
  <c r="S278" i="1"/>
  <c r="T278" i="1"/>
  <c r="K279" i="1"/>
  <c r="L279" i="1"/>
  <c r="M279" i="1"/>
  <c r="N279" i="1"/>
  <c r="O279" i="1"/>
  <c r="P279" i="1"/>
  <c r="Q279" i="1"/>
  <c r="R279" i="1"/>
  <c r="S279" i="1"/>
  <c r="T279" i="1"/>
  <c r="K280" i="1"/>
  <c r="L280" i="1"/>
  <c r="M280" i="1"/>
  <c r="N280" i="1"/>
  <c r="O280" i="1"/>
  <c r="P280" i="1"/>
  <c r="Q280" i="1"/>
  <c r="R280" i="1"/>
  <c r="S280" i="1"/>
  <c r="T280" i="1"/>
  <c r="K281" i="1"/>
  <c r="L281" i="1"/>
  <c r="M281" i="1"/>
  <c r="N281" i="1"/>
  <c r="O281" i="1"/>
  <c r="P281" i="1"/>
  <c r="Q281" i="1"/>
  <c r="R281" i="1"/>
  <c r="S281" i="1"/>
  <c r="T281" i="1"/>
  <c r="K282" i="1"/>
  <c r="L282" i="1"/>
  <c r="M282" i="1"/>
  <c r="N282" i="1"/>
  <c r="O282" i="1"/>
  <c r="P282" i="1"/>
  <c r="Q282" i="1"/>
  <c r="R282" i="1"/>
  <c r="S282" i="1"/>
  <c r="T282" i="1"/>
  <c r="K283" i="1"/>
  <c r="L283" i="1"/>
  <c r="M283" i="1"/>
  <c r="N283" i="1"/>
  <c r="O283" i="1"/>
  <c r="P283" i="1"/>
  <c r="Q283" i="1"/>
  <c r="R283" i="1"/>
  <c r="S283" i="1"/>
  <c r="T283" i="1"/>
  <c r="K284" i="1"/>
  <c r="L284" i="1"/>
  <c r="M284" i="1"/>
  <c r="N284" i="1"/>
  <c r="O284" i="1"/>
  <c r="P284" i="1"/>
  <c r="Q284" i="1"/>
  <c r="R284" i="1"/>
  <c r="S284" i="1"/>
  <c r="T284" i="1"/>
  <c r="K285" i="1"/>
  <c r="L285" i="1"/>
  <c r="M285" i="1"/>
  <c r="N285" i="1"/>
  <c r="O285" i="1"/>
  <c r="P285" i="1"/>
  <c r="Q285" i="1"/>
  <c r="R285" i="1"/>
  <c r="S285" i="1"/>
  <c r="T285" i="1"/>
  <c r="K286" i="1"/>
  <c r="L286" i="1"/>
  <c r="M286" i="1"/>
  <c r="N286" i="1"/>
  <c r="O286" i="1"/>
  <c r="P286" i="1"/>
  <c r="Q286" i="1"/>
  <c r="R286" i="1"/>
  <c r="S286" i="1"/>
  <c r="T286" i="1"/>
  <c r="K287" i="1"/>
  <c r="L287" i="1"/>
  <c r="M287" i="1"/>
  <c r="N287" i="1"/>
  <c r="O287" i="1"/>
  <c r="P287" i="1"/>
  <c r="Q287" i="1"/>
  <c r="R287" i="1"/>
  <c r="S287" i="1"/>
  <c r="T287" i="1"/>
  <c r="K288" i="1"/>
  <c r="L288" i="1"/>
  <c r="M288" i="1"/>
  <c r="N288" i="1"/>
  <c r="O288" i="1"/>
  <c r="P288" i="1"/>
  <c r="Q288" i="1"/>
  <c r="R288" i="1"/>
  <c r="S288" i="1"/>
  <c r="T288" i="1"/>
  <c r="K289" i="1"/>
  <c r="L289" i="1"/>
  <c r="M289" i="1"/>
  <c r="N289" i="1"/>
  <c r="O289" i="1"/>
  <c r="P289" i="1"/>
  <c r="Q289" i="1"/>
  <c r="R289" i="1"/>
  <c r="S289" i="1"/>
  <c r="T289" i="1"/>
  <c r="K290" i="1"/>
  <c r="L290" i="1"/>
  <c r="M290" i="1"/>
  <c r="N290" i="1"/>
  <c r="O290" i="1"/>
  <c r="P290" i="1"/>
  <c r="Q290" i="1"/>
  <c r="R290" i="1"/>
  <c r="S290" i="1"/>
  <c r="T290" i="1"/>
  <c r="K291" i="1"/>
  <c r="L291" i="1"/>
  <c r="M291" i="1"/>
  <c r="N291" i="1"/>
  <c r="O291" i="1"/>
  <c r="P291" i="1"/>
  <c r="Q291" i="1"/>
  <c r="R291" i="1"/>
  <c r="S291" i="1"/>
  <c r="T291" i="1"/>
  <c r="K292" i="1"/>
  <c r="L292" i="1"/>
  <c r="M292" i="1"/>
  <c r="N292" i="1"/>
  <c r="O292" i="1"/>
  <c r="P292" i="1"/>
  <c r="Q292" i="1"/>
  <c r="R292" i="1"/>
  <c r="S292" i="1"/>
  <c r="T292" i="1"/>
  <c r="K293" i="1"/>
  <c r="L293" i="1"/>
  <c r="M293" i="1"/>
  <c r="N293" i="1"/>
  <c r="O293" i="1"/>
  <c r="P293" i="1"/>
  <c r="Q293" i="1"/>
  <c r="R293" i="1"/>
  <c r="S293" i="1"/>
  <c r="T293" i="1"/>
  <c r="K294" i="1"/>
  <c r="L294" i="1"/>
  <c r="M294" i="1"/>
  <c r="N294" i="1"/>
  <c r="O294" i="1"/>
  <c r="P294" i="1"/>
  <c r="Q294" i="1"/>
  <c r="R294" i="1"/>
  <c r="S294" i="1"/>
  <c r="T294" i="1"/>
  <c r="K295" i="1"/>
  <c r="L295" i="1"/>
  <c r="M295" i="1"/>
  <c r="N295" i="1"/>
  <c r="O295" i="1"/>
  <c r="P295" i="1"/>
  <c r="Q295" i="1"/>
  <c r="R295" i="1"/>
  <c r="S295" i="1"/>
  <c r="T295" i="1"/>
  <c r="K296" i="1"/>
  <c r="L296" i="1"/>
  <c r="M296" i="1"/>
  <c r="N296" i="1"/>
  <c r="O296" i="1"/>
  <c r="P296" i="1"/>
  <c r="Q296" i="1"/>
  <c r="R296" i="1"/>
  <c r="S296" i="1"/>
  <c r="T296" i="1"/>
  <c r="K297" i="1"/>
  <c r="L297" i="1"/>
  <c r="M297" i="1"/>
  <c r="N297" i="1"/>
  <c r="O297" i="1"/>
  <c r="P297" i="1"/>
  <c r="Q297" i="1"/>
  <c r="R297" i="1"/>
  <c r="S297" i="1"/>
  <c r="T297" i="1"/>
  <c r="K298" i="1"/>
  <c r="L298" i="1"/>
  <c r="M298" i="1"/>
  <c r="N298" i="1"/>
  <c r="O298" i="1"/>
  <c r="P298" i="1"/>
  <c r="Q298" i="1"/>
  <c r="R298" i="1"/>
  <c r="S298" i="1"/>
  <c r="T298" i="1"/>
  <c r="K299" i="1"/>
  <c r="L299" i="1"/>
  <c r="M299" i="1"/>
  <c r="N299" i="1"/>
  <c r="O299" i="1"/>
  <c r="P299" i="1"/>
  <c r="Q299" i="1"/>
  <c r="R299" i="1"/>
  <c r="S299" i="1"/>
  <c r="T299" i="1"/>
  <c r="K300" i="1"/>
  <c r="L300" i="1"/>
  <c r="M300" i="1"/>
  <c r="N300" i="1"/>
  <c r="O300" i="1"/>
  <c r="P300" i="1"/>
  <c r="Q300" i="1"/>
  <c r="R300" i="1"/>
  <c r="S300" i="1"/>
  <c r="T300" i="1"/>
  <c r="K301" i="1"/>
  <c r="L301" i="1"/>
  <c r="M301" i="1"/>
  <c r="N301" i="1"/>
  <c r="O301" i="1"/>
  <c r="P301" i="1"/>
  <c r="Q301" i="1"/>
  <c r="R301" i="1"/>
  <c r="S301" i="1"/>
  <c r="T301" i="1"/>
  <c r="K302" i="1"/>
  <c r="L302" i="1"/>
  <c r="M302" i="1"/>
  <c r="N302" i="1"/>
  <c r="O302" i="1"/>
  <c r="P302" i="1"/>
  <c r="Q302" i="1"/>
  <c r="R302" i="1"/>
  <c r="S302" i="1"/>
  <c r="T302" i="1"/>
  <c r="K303" i="1"/>
  <c r="L303" i="1"/>
  <c r="M303" i="1"/>
  <c r="N303" i="1"/>
  <c r="O303" i="1"/>
  <c r="P303" i="1"/>
  <c r="Q303" i="1"/>
  <c r="R303" i="1"/>
  <c r="S303" i="1"/>
  <c r="T303" i="1"/>
  <c r="K304" i="1"/>
  <c r="L304" i="1"/>
  <c r="M304" i="1"/>
  <c r="N304" i="1"/>
  <c r="O304" i="1"/>
  <c r="P304" i="1"/>
  <c r="Q304" i="1"/>
  <c r="R304" i="1"/>
  <c r="S304" i="1"/>
  <c r="T304" i="1"/>
  <c r="K305" i="1"/>
  <c r="L305" i="1"/>
  <c r="M305" i="1"/>
  <c r="N305" i="1"/>
  <c r="O305" i="1"/>
  <c r="P305" i="1"/>
  <c r="Q305" i="1"/>
  <c r="R305" i="1"/>
  <c r="S305" i="1"/>
  <c r="T305" i="1"/>
  <c r="K306" i="1"/>
  <c r="L306" i="1"/>
  <c r="M306" i="1"/>
  <c r="N306" i="1"/>
  <c r="O306" i="1"/>
  <c r="P306" i="1"/>
  <c r="Q306" i="1"/>
  <c r="R306" i="1"/>
  <c r="S306" i="1"/>
  <c r="T306" i="1"/>
  <c r="K307" i="1"/>
  <c r="L307" i="1"/>
  <c r="M307" i="1"/>
  <c r="N307" i="1"/>
  <c r="O307" i="1"/>
  <c r="P307" i="1"/>
  <c r="Q307" i="1"/>
  <c r="R307" i="1"/>
  <c r="S307" i="1"/>
  <c r="T307" i="1"/>
  <c r="K308" i="1"/>
  <c r="L308" i="1"/>
  <c r="M308" i="1"/>
  <c r="N308" i="1"/>
  <c r="O308" i="1"/>
  <c r="P308" i="1"/>
  <c r="Q308" i="1"/>
  <c r="R308" i="1"/>
  <c r="S308" i="1"/>
  <c r="T308" i="1"/>
  <c r="K309" i="1"/>
  <c r="L309" i="1"/>
  <c r="M309" i="1"/>
  <c r="N309" i="1"/>
  <c r="O309" i="1"/>
  <c r="P309" i="1"/>
  <c r="Q309" i="1"/>
  <c r="R309" i="1"/>
  <c r="S309" i="1"/>
  <c r="T309" i="1"/>
  <c r="K310" i="1"/>
  <c r="L310" i="1"/>
  <c r="M310" i="1"/>
  <c r="N310" i="1"/>
  <c r="O310" i="1"/>
  <c r="P310" i="1"/>
  <c r="Q310" i="1"/>
  <c r="R310" i="1"/>
  <c r="S310" i="1"/>
  <c r="T310" i="1"/>
  <c r="K311" i="1"/>
  <c r="L311" i="1"/>
  <c r="M311" i="1"/>
  <c r="N311" i="1"/>
  <c r="O311" i="1"/>
  <c r="P311" i="1"/>
  <c r="Q311" i="1"/>
  <c r="R311" i="1"/>
  <c r="S311" i="1"/>
  <c r="T311" i="1"/>
  <c r="K312" i="1"/>
  <c r="L312" i="1"/>
  <c r="M312" i="1"/>
  <c r="N312" i="1"/>
  <c r="O312" i="1"/>
  <c r="P312" i="1"/>
  <c r="Q312" i="1"/>
  <c r="R312" i="1"/>
  <c r="S312" i="1"/>
  <c r="T312" i="1"/>
  <c r="K313" i="1"/>
  <c r="L313" i="1"/>
  <c r="M313" i="1"/>
  <c r="N313" i="1"/>
  <c r="O313" i="1"/>
  <c r="P313" i="1"/>
  <c r="Q313" i="1"/>
  <c r="R313" i="1"/>
  <c r="S313" i="1"/>
  <c r="T313" i="1"/>
  <c r="K314" i="1"/>
  <c r="L314" i="1"/>
  <c r="M314" i="1"/>
  <c r="N314" i="1"/>
  <c r="O314" i="1"/>
  <c r="P314" i="1"/>
  <c r="Q314" i="1"/>
  <c r="R314" i="1"/>
  <c r="S314" i="1"/>
  <c r="T314" i="1"/>
  <c r="K315" i="1"/>
  <c r="L315" i="1"/>
  <c r="M315" i="1"/>
  <c r="N315" i="1"/>
  <c r="O315" i="1"/>
  <c r="P315" i="1"/>
  <c r="Q315" i="1"/>
  <c r="R315" i="1"/>
  <c r="S315" i="1"/>
  <c r="T315" i="1"/>
  <c r="K316" i="1"/>
  <c r="L316" i="1"/>
  <c r="M316" i="1"/>
  <c r="N316" i="1"/>
  <c r="O316" i="1"/>
  <c r="P316" i="1"/>
  <c r="Q316" i="1"/>
  <c r="R316" i="1"/>
  <c r="S316" i="1"/>
  <c r="T316" i="1"/>
  <c r="K317" i="1"/>
  <c r="L317" i="1"/>
  <c r="M317" i="1"/>
  <c r="N317" i="1"/>
  <c r="O317" i="1"/>
  <c r="P317" i="1"/>
  <c r="Q317" i="1"/>
  <c r="R317" i="1"/>
  <c r="S317" i="1"/>
  <c r="T317" i="1"/>
  <c r="K318" i="1"/>
  <c r="L318" i="1"/>
  <c r="M318" i="1"/>
  <c r="N318" i="1"/>
  <c r="O318" i="1"/>
  <c r="P318" i="1"/>
  <c r="Q318" i="1"/>
  <c r="R318" i="1"/>
  <c r="S318" i="1"/>
  <c r="T318" i="1"/>
  <c r="K319" i="1"/>
  <c r="L319" i="1"/>
  <c r="M319" i="1"/>
  <c r="N319" i="1"/>
  <c r="O319" i="1"/>
  <c r="P319" i="1"/>
  <c r="Q319" i="1"/>
  <c r="R319" i="1"/>
  <c r="S319" i="1"/>
  <c r="T319" i="1"/>
  <c r="K320" i="1"/>
  <c r="L320" i="1"/>
  <c r="M320" i="1"/>
  <c r="N320" i="1"/>
  <c r="O320" i="1"/>
  <c r="P320" i="1"/>
  <c r="Q320" i="1"/>
  <c r="R320" i="1"/>
  <c r="S320" i="1"/>
  <c r="T320" i="1"/>
  <c r="K321" i="1"/>
  <c r="L321" i="1"/>
  <c r="M321" i="1"/>
  <c r="N321" i="1"/>
  <c r="O321" i="1"/>
  <c r="P321" i="1"/>
  <c r="Q321" i="1"/>
  <c r="R321" i="1"/>
  <c r="S321" i="1"/>
  <c r="T321" i="1"/>
  <c r="K322" i="1"/>
  <c r="L322" i="1"/>
  <c r="M322" i="1"/>
  <c r="N322" i="1"/>
  <c r="O322" i="1"/>
  <c r="P322" i="1"/>
  <c r="Q322" i="1"/>
  <c r="R322" i="1"/>
  <c r="S322" i="1"/>
  <c r="T322" i="1"/>
  <c r="K323" i="1"/>
  <c r="L323" i="1"/>
  <c r="M323" i="1"/>
  <c r="N323" i="1"/>
  <c r="O323" i="1"/>
  <c r="P323" i="1"/>
  <c r="Q323" i="1"/>
  <c r="R323" i="1"/>
  <c r="S323" i="1"/>
  <c r="T323" i="1"/>
  <c r="K324" i="1"/>
  <c r="L324" i="1"/>
  <c r="M324" i="1"/>
  <c r="N324" i="1"/>
  <c r="O324" i="1"/>
  <c r="P324" i="1"/>
  <c r="Q324" i="1"/>
  <c r="R324" i="1"/>
  <c r="S324" i="1"/>
  <c r="T324" i="1"/>
  <c r="K325" i="1"/>
  <c r="L325" i="1"/>
  <c r="M325" i="1"/>
  <c r="N325" i="1"/>
  <c r="O325" i="1"/>
  <c r="P325" i="1"/>
  <c r="Q325" i="1"/>
  <c r="R325" i="1"/>
  <c r="S325" i="1"/>
  <c r="T325" i="1"/>
  <c r="K326" i="1"/>
  <c r="L326" i="1"/>
  <c r="M326" i="1"/>
  <c r="N326" i="1"/>
  <c r="O326" i="1"/>
  <c r="P326" i="1"/>
  <c r="Q326" i="1"/>
  <c r="R326" i="1"/>
  <c r="S326" i="1"/>
  <c r="T326" i="1"/>
  <c r="K327" i="1"/>
  <c r="L327" i="1"/>
  <c r="M327" i="1"/>
  <c r="N327" i="1"/>
  <c r="O327" i="1"/>
  <c r="P327" i="1"/>
  <c r="Q327" i="1"/>
  <c r="R327" i="1"/>
  <c r="S327" i="1"/>
  <c r="T327" i="1"/>
  <c r="K328" i="1"/>
  <c r="L328" i="1"/>
  <c r="M328" i="1"/>
  <c r="N328" i="1"/>
  <c r="O328" i="1"/>
  <c r="P328" i="1"/>
  <c r="Q328" i="1"/>
  <c r="R328" i="1"/>
  <c r="S328" i="1"/>
  <c r="T328" i="1"/>
  <c r="K329" i="1"/>
  <c r="L329" i="1"/>
  <c r="M329" i="1"/>
  <c r="N329" i="1"/>
  <c r="O329" i="1"/>
  <c r="P329" i="1"/>
  <c r="Q329" i="1"/>
  <c r="R329" i="1"/>
  <c r="S329" i="1"/>
  <c r="T329" i="1"/>
  <c r="K330" i="1"/>
  <c r="L330" i="1"/>
  <c r="M330" i="1"/>
  <c r="N330" i="1"/>
  <c r="O330" i="1"/>
  <c r="P330" i="1"/>
  <c r="Q330" i="1"/>
  <c r="R330" i="1"/>
  <c r="S330" i="1"/>
  <c r="T330" i="1"/>
  <c r="K331" i="1"/>
  <c r="L331" i="1"/>
  <c r="M331" i="1"/>
  <c r="N331" i="1"/>
  <c r="O331" i="1"/>
  <c r="P331" i="1"/>
  <c r="Q331" i="1"/>
  <c r="R331" i="1"/>
  <c r="S331" i="1"/>
  <c r="T331" i="1"/>
  <c r="K332" i="1"/>
  <c r="L332" i="1"/>
  <c r="M332" i="1"/>
  <c r="N332" i="1"/>
  <c r="O332" i="1"/>
  <c r="P332" i="1"/>
  <c r="Q332" i="1"/>
  <c r="R332" i="1"/>
  <c r="S332" i="1"/>
  <c r="T332" i="1"/>
  <c r="K333" i="1"/>
  <c r="L333" i="1"/>
  <c r="M333" i="1"/>
  <c r="N333" i="1"/>
  <c r="O333" i="1"/>
  <c r="P333" i="1"/>
  <c r="Q333" i="1"/>
  <c r="R333" i="1"/>
  <c r="S333" i="1"/>
  <c r="T333" i="1"/>
  <c r="K334" i="1"/>
  <c r="L334" i="1"/>
  <c r="M334" i="1"/>
  <c r="N334" i="1"/>
  <c r="O334" i="1"/>
  <c r="P334" i="1"/>
  <c r="Q334" i="1"/>
  <c r="R334" i="1"/>
  <c r="S334" i="1"/>
  <c r="T334" i="1"/>
  <c r="K335" i="1"/>
  <c r="L335" i="1"/>
  <c r="M335" i="1"/>
  <c r="N335" i="1"/>
  <c r="O335" i="1"/>
  <c r="P335" i="1"/>
  <c r="Q335" i="1"/>
  <c r="R335" i="1"/>
  <c r="S335" i="1"/>
  <c r="T335" i="1"/>
  <c r="K336" i="1"/>
  <c r="L336" i="1"/>
  <c r="M336" i="1"/>
  <c r="N336" i="1"/>
  <c r="O336" i="1"/>
  <c r="P336" i="1"/>
  <c r="Q336" i="1"/>
  <c r="R336" i="1"/>
  <c r="S336" i="1"/>
  <c r="T336" i="1"/>
  <c r="K337" i="1"/>
  <c r="L337" i="1"/>
  <c r="M337" i="1"/>
  <c r="N337" i="1"/>
  <c r="O337" i="1"/>
  <c r="P337" i="1"/>
  <c r="Q337" i="1"/>
  <c r="R337" i="1"/>
  <c r="S337" i="1"/>
  <c r="T337" i="1"/>
  <c r="K338" i="1"/>
  <c r="L338" i="1"/>
  <c r="M338" i="1"/>
  <c r="N338" i="1"/>
  <c r="O338" i="1"/>
  <c r="P338" i="1"/>
  <c r="Q338" i="1"/>
  <c r="R338" i="1"/>
  <c r="S338" i="1"/>
  <c r="T338" i="1"/>
  <c r="K339" i="1"/>
  <c r="L339" i="1"/>
  <c r="M339" i="1"/>
  <c r="N339" i="1"/>
  <c r="O339" i="1"/>
  <c r="P339" i="1"/>
  <c r="Q339" i="1"/>
  <c r="R339" i="1"/>
  <c r="S339" i="1"/>
  <c r="T339" i="1"/>
  <c r="K340" i="1"/>
  <c r="L340" i="1"/>
  <c r="M340" i="1"/>
  <c r="N340" i="1"/>
  <c r="O340" i="1"/>
  <c r="P340" i="1"/>
  <c r="Q340" i="1"/>
  <c r="R340" i="1"/>
  <c r="S340" i="1"/>
  <c r="T340" i="1"/>
  <c r="K341" i="1"/>
  <c r="L341" i="1"/>
  <c r="M341" i="1"/>
  <c r="N341" i="1"/>
  <c r="O341" i="1"/>
  <c r="P341" i="1"/>
  <c r="Q341" i="1"/>
  <c r="R341" i="1"/>
  <c r="S341" i="1"/>
  <c r="T341" i="1"/>
  <c r="K342" i="1"/>
  <c r="L342" i="1"/>
  <c r="M342" i="1"/>
  <c r="N342" i="1"/>
  <c r="O342" i="1"/>
  <c r="P342" i="1"/>
  <c r="Q342" i="1"/>
  <c r="R342" i="1"/>
  <c r="S342" i="1"/>
  <c r="T342" i="1"/>
  <c r="K343" i="1"/>
  <c r="L343" i="1"/>
  <c r="M343" i="1"/>
  <c r="N343" i="1"/>
  <c r="O343" i="1"/>
  <c r="P343" i="1"/>
  <c r="Q343" i="1"/>
  <c r="R343" i="1"/>
  <c r="S343" i="1"/>
  <c r="T343" i="1"/>
  <c r="K344" i="1"/>
  <c r="L344" i="1"/>
  <c r="M344" i="1"/>
  <c r="N344" i="1"/>
  <c r="O344" i="1"/>
  <c r="P344" i="1"/>
  <c r="Q344" i="1"/>
  <c r="R344" i="1"/>
  <c r="S344" i="1"/>
  <c r="T344" i="1"/>
  <c r="K345" i="1"/>
  <c r="L345" i="1"/>
  <c r="M345" i="1"/>
  <c r="N345" i="1"/>
  <c r="O345" i="1"/>
  <c r="P345" i="1"/>
  <c r="Q345" i="1"/>
  <c r="R345" i="1"/>
  <c r="S345" i="1"/>
  <c r="T345" i="1"/>
  <c r="K346" i="1"/>
  <c r="L346" i="1"/>
  <c r="M346" i="1"/>
  <c r="N346" i="1"/>
  <c r="O346" i="1"/>
  <c r="P346" i="1"/>
  <c r="Q346" i="1"/>
  <c r="R346" i="1"/>
  <c r="S346" i="1"/>
  <c r="T346" i="1"/>
  <c r="K347" i="1"/>
  <c r="L347" i="1"/>
  <c r="M347" i="1"/>
  <c r="N347" i="1"/>
  <c r="O347" i="1"/>
  <c r="P347" i="1"/>
  <c r="Q347" i="1"/>
  <c r="R347" i="1"/>
  <c r="S347" i="1"/>
  <c r="T347" i="1"/>
  <c r="K348" i="1"/>
  <c r="L348" i="1"/>
  <c r="M348" i="1"/>
  <c r="N348" i="1"/>
  <c r="O348" i="1"/>
  <c r="P348" i="1"/>
  <c r="Q348" i="1"/>
  <c r="R348" i="1"/>
  <c r="S348" i="1"/>
  <c r="T348" i="1"/>
  <c r="K349" i="1"/>
  <c r="L349" i="1"/>
  <c r="M349" i="1"/>
  <c r="N349" i="1"/>
  <c r="O349" i="1"/>
  <c r="P349" i="1"/>
  <c r="Q349" i="1"/>
  <c r="R349" i="1"/>
  <c r="S349" i="1"/>
  <c r="T349" i="1"/>
  <c r="K350" i="1"/>
  <c r="L350" i="1"/>
  <c r="M350" i="1"/>
  <c r="N350" i="1"/>
  <c r="O350" i="1"/>
  <c r="P350" i="1"/>
  <c r="Q350" i="1"/>
  <c r="R350" i="1"/>
  <c r="S350" i="1"/>
  <c r="T350" i="1"/>
  <c r="K351" i="1"/>
  <c r="L351" i="1"/>
  <c r="M351" i="1"/>
  <c r="N351" i="1"/>
  <c r="O351" i="1"/>
  <c r="P351" i="1"/>
  <c r="Q351" i="1"/>
  <c r="R351" i="1"/>
  <c r="S351" i="1"/>
  <c r="T351" i="1"/>
  <c r="K352" i="1"/>
  <c r="L352" i="1"/>
  <c r="M352" i="1"/>
  <c r="N352" i="1"/>
  <c r="O352" i="1"/>
  <c r="P352" i="1"/>
  <c r="Q352" i="1"/>
  <c r="R352" i="1"/>
  <c r="S352" i="1"/>
  <c r="T352" i="1"/>
  <c r="K353" i="1"/>
  <c r="L353" i="1"/>
  <c r="M353" i="1"/>
  <c r="N353" i="1"/>
  <c r="O353" i="1"/>
  <c r="P353" i="1"/>
  <c r="Q353" i="1"/>
  <c r="R353" i="1"/>
  <c r="S353" i="1"/>
  <c r="T353" i="1"/>
  <c r="K354" i="1"/>
  <c r="L354" i="1"/>
  <c r="M354" i="1"/>
  <c r="N354" i="1"/>
  <c r="O354" i="1"/>
  <c r="P354" i="1"/>
  <c r="Q354" i="1"/>
  <c r="R354" i="1"/>
  <c r="S354" i="1"/>
  <c r="T354" i="1"/>
  <c r="K355" i="1"/>
  <c r="L355" i="1"/>
  <c r="M355" i="1"/>
  <c r="N355" i="1"/>
  <c r="O355" i="1"/>
  <c r="P355" i="1"/>
  <c r="Q355" i="1"/>
  <c r="R355" i="1"/>
  <c r="S355" i="1"/>
  <c r="T355" i="1"/>
  <c r="K356" i="1"/>
  <c r="L356" i="1"/>
  <c r="M356" i="1"/>
  <c r="N356" i="1"/>
  <c r="O356" i="1"/>
  <c r="P356" i="1"/>
  <c r="Q356" i="1"/>
  <c r="R356" i="1"/>
  <c r="S356" i="1"/>
  <c r="T356" i="1"/>
  <c r="K357" i="1"/>
  <c r="L357" i="1"/>
  <c r="M357" i="1"/>
  <c r="N357" i="1"/>
  <c r="O357" i="1"/>
  <c r="P357" i="1"/>
  <c r="Q357" i="1"/>
  <c r="R357" i="1"/>
  <c r="S357" i="1"/>
  <c r="T357" i="1"/>
  <c r="K358" i="1"/>
  <c r="L358" i="1"/>
  <c r="M358" i="1"/>
  <c r="N358" i="1"/>
  <c r="O358" i="1"/>
  <c r="P358" i="1"/>
  <c r="Q358" i="1"/>
  <c r="R358" i="1"/>
  <c r="S358" i="1"/>
  <c r="T358" i="1"/>
  <c r="K359" i="1"/>
  <c r="L359" i="1"/>
  <c r="M359" i="1"/>
  <c r="N359" i="1"/>
  <c r="O359" i="1"/>
  <c r="P359" i="1"/>
  <c r="Q359" i="1"/>
  <c r="R359" i="1"/>
  <c r="S359" i="1"/>
  <c r="T359" i="1"/>
  <c r="K360" i="1"/>
  <c r="L360" i="1"/>
  <c r="M360" i="1"/>
  <c r="N360" i="1"/>
  <c r="O360" i="1"/>
  <c r="P360" i="1"/>
  <c r="Q360" i="1"/>
  <c r="R360" i="1"/>
  <c r="S360" i="1"/>
  <c r="T360" i="1"/>
  <c r="K361" i="1"/>
  <c r="L361" i="1"/>
  <c r="M361" i="1"/>
  <c r="N361" i="1"/>
  <c r="O361" i="1"/>
  <c r="P361" i="1"/>
  <c r="Q361" i="1"/>
  <c r="R361" i="1"/>
  <c r="S361" i="1"/>
  <c r="T361" i="1"/>
  <c r="K362" i="1"/>
  <c r="L362" i="1"/>
  <c r="M362" i="1"/>
  <c r="N362" i="1"/>
  <c r="O362" i="1"/>
  <c r="P362" i="1"/>
  <c r="Q362" i="1"/>
  <c r="R362" i="1"/>
  <c r="S362" i="1"/>
  <c r="T362" i="1"/>
  <c r="K363" i="1"/>
  <c r="L363" i="1"/>
  <c r="M363" i="1"/>
  <c r="N363" i="1"/>
  <c r="O363" i="1"/>
  <c r="P363" i="1"/>
  <c r="Q363" i="1"/>
  <c r="R363" i="1"/>
  <c r="S363" i="1"/>
  <c r="T363" i="1"/>
  <c r="K364" i="1"/>
  <c r="L364" i="1"/>
  <c r="M364" i="1"/>
  <c r="N364" i="1"/>
  <c r="O364" i="1"/>
  <c r="P364" i="1"/>
  <c r="Q364" i="1"/>
  <c r="R364" i="1"/>
  <c r="S364" i="1"/>
  <c r="T364" i="1"/>
  <c r="K365" i="1"/>
  <c r="L365" i="1"/>
  <c r="M365" i="1"/>
  <c r="N365" i="1"/>
  <c r="O365" i="1"/>
  <c r="P365" i="1"/>
  <c r="Q365" i="1"/>
  <c r="R365" i="1"/>
  <c r="S365" i="1"/>
  <c r="T365" i="1"/>
  <c r="K366" i="1"/>
  <c r="L366" i="1"/>
  <c r="M366" i="1"/>
  <c r="N366" i="1"/>
  <c r="O366" i="1"/>
  <c r="P366" i="1"/>
  <c r="Q366" i="1"/>
  <c r="R366" i="1"/>
  <c r="S366" i="1"/>
  <c r="T366" i="1"/>
  <c r="K367" i="1"/>
  <c r="L367" i="1"/>
  <c r="M367" i="1"/>
  <c r="N367" i="1"/>
  <c r="O367" i="1"/>
  <c r="P367" i="1"/>
  <c r="Q367" i="1"/>
  <c r="R367" i="1"/>
  <c r="S367" i="1"/>
  <c r="T367" i="1"/>
  <c r="K368" i="1"/>
  <c r="L368" i="1"/>
  <c r="M368" i="1"/>
  <c r="N368" i="1"/>
  <c r="O368" i="1"/>
  <c r="P368" i="1"/>
  <c r="Q368" i="1"/>
  <c r="R368" i="1"/>
  <c r="S368" i="1"/>
  <c r="T368" i="1"/>
  <c r="K369" i="1"/>
  <c r="L369" i="1"/>
  <c r="M369" i="1"/>
  <c r="N369" i="1"/>
  <c r="O369" i="1"/>
  <c r="P369" i="1"/>
  <c r="Q369" i="1"/>
  <c r="R369" i="1"/>
  <c r="S369" i="1"/>
  <c r="T369" i="1"/>
  <c r="K370" i="1"/>
  <c r="L370" i="1"/>
  <c r="M370" i="1"/>
  <c r="N370" i="1"/>
  <c r="O370" i="1"/>
  <c r="P370" i="1"/>
  <c r="Q370" i="1"/>
  <c r="R370" i="1"/>
  <c r="S370" i="1"/>
  <c r="T370" i="1"/>
  <c r="K371" i="1"/>
  <c r="L371" i="1"/>
  <c r="M371" i="1"/>
  <c r="N371" i="1"/>
  <c r="O371" i="1"/>
  <c r="P371" i="1"/>
  <c r="Q371" i="1"/>
  <c r="R371" i="1"/>
  <c r="S371" i="1"/>
  <c r="T371" i="1"/>
  <c r="K372" i="1"/>
  <c r="L372" i="1"/>
  <c r="M372" i="1"/>
  <c r="N372" i="1"/>
  <c r="O372" i="1"/>
  <c r="P372" i="1"/>
  <c r="Q372" i="1"/>
  <c r="R372" i="1"/>
  <c r="S372" i="1"/>
  <c r="T372" i="1"/>
  <c r="K373" i="1"/>
  <c r="L373" i="1"/>
  <c r="M373" i="1"/>
  <c r="N373" i="1"/>
  <c r="O373" i="1"/>
  <c r="P373" i="1"/>
  <c r="Q373" i="1"/>
  <c r="R373" i="1"/>
  <c r="S373" i="1"/>
  <c r="T373" i="1"/>
  <c r="K374" i="1"/>
  <c r="L374" i="1"/>
  <c r="M374" i="1"/>
  <c r="N374" i="1"/>
  <c r="O374" i="1"/>
  <c r="P374" i="1"/>
  <c r="Q374" i="1"/>
  <c r="R374" i="1"/>
  <c r="S374" i="1"/>
  <c r="T374" i="1"/>
  <c r="K375" i="1"/>
  <c r="L375" i="1"/>
  <c r="M375" i="1"/>
  <c r="N375" i="1"/>
  <c r="O375" i="1"/>
  <c r="P375" i="1"/>
  <c r="Q375" i="1"/>
  <c r="R375" i="1"/>
  <c r="S375" i="1"/>
  <c r="T375" i="1"/>
  <c r="K376" i="1"/>
  <c r="L376" i="1"/>
  <c r="M376" i="1"/>
  <c r="N376" i="1"/>
  <c r="O376" i="1"/>
  <c r="P376" i="1"/>
  <c r="Q376" i="1"/>
  <c r="R376" i="1"/>
  <c r="S376" i="1"/>
  <c r="T376" i="1"/>
  <c r="K377" i="1"/>
  <c r="L377" i="1"/>
  <c r="M377" i="1"/>
  <c r="N377" i="1"/>
  <c r="O377" i="1"/>
  <c r="P377" i="1"/>
  <c r="Q377" i="1"/>
  <c r="R377" i="1"/>
  <c r="S377" i="1"/>
  <c r="T377" i="1"/>
  <c r="K378" i="1"/>
  <c r="L378" i="1"/>
  <c r="M378" i="1"/>
  <c r="N378" i="1"/>
  <c r="O378" i="1"/>
  <c r="P378" i="1"/>
  <c r="Q378" i="1"/>
  <c r="R378" i="1"/>
  <c r="S378" i="1"/>
  <c r="T378" i="1"/>
  <c r="K379" i="1"/>
  <c r="L379" i="1"/>
  <c r="M379" i="1"/>
  <c r="N379" i="1"/>
  <c r="O379" i="1"/>
  <c r="P379" i="1"/>
  <c r="Q379" i="1"/>
  <c r="R379" i="1"/>
  <c r="S379" i="1"/>
  <c r="T379" i="1"/>
  <c r="K380" i="1"/>
  <c r="L380" i="1"/>
  <c r="M380" i="1"/>
  <c r="N380" i="1"/>
  <c r="O380" i="1"/>
  <c r="P380" i="1"/>
  <c r="Q380" i="1"/>
  <c r="R380" i="1"/>
  <c r="S380" i="1"/>
  <c r="T380" i="1"/>
  <c r="K381" i="1"/>
  <c r="L381" i="1"/>
  <c r="M381" i="1"/>
  <c r="N381" i="1"/>
  <c r="O381" i="1"/>
  <c r="P381" i="1"/>
  <c r="Q381" i="1"/>
  <c r="R381" i="1"/>
  <c r="S381" i="1"/>
  <c r="T381" i="1"/>
  <c r="K382" i="1"/>
  <c r="L382" i="1"/>
  <c r="M382" i="1"/>
  <c r="N382" i="1"/>
  <c r="O382" i="1"/>
  <c r="P382" i="1"/>
  <c r="Q382" i="1"/>
  <c r="R382" i="1"/>
  <c r="S382" i="1"/>
  <c r="T382" i="1"/>
  <c r="K383" i="1"/>
  <c r="L383" i="1"/>
  <c r="M383" i="1"/>
  <c r="N383" i="1"/>
  <c r="O383" i="1"/>
  <c r="P383" i="1"/>
  <c r="Q383" i="1"/>
  <c r="R383" i="1"/>
  <c r="S383" i="1"/>
  <c r="T383" i="1"/>
  <c r="K384" i="1"/>
  <c r="L384" i="1"/>
  <c r="M384" i="1"/>
  <c r="N384" i="1"/>
  <c r="O384" i="1"/>
  <c r="P384" i="1"/>
  <c r="Q384" i="1"/>
  <c r="R384" i="1"/>
  <c r="S384" i="1"/>
  <c r="T384" i="1"/>
  <c r="K385" i="1"/>
  <c r="L385" i="1"/>
  <c r="M385" i="1"/>
  <c r="N385" i="1"/>
  <c r="O385" i="1"/>
  <c r="P385" i="1"/>
  <c r="Q385" i="1"/>
  <c r="R385" i="1"/>
  <c r="S385" i="1"/>
  <c r="T385" i="1"/>
  <c r="K386" i="1"/>
  <c r="L386" i="1"/>
  <c r="M386" i="1"/>
  <c r="N386" i="1"/>
  <c r="O386" i="1"/>
  <c r="P386" i="1"/>
  <c r="Q386" i="1"/>
  <c r="R386" i="1"/>
  <c r="S386" i="1"/>
  <c r="T386" i="1"/>
  <c r="K387" i="1"/>
  <c r="L387" i="1"/>
  <c r="M387" i="1"/>
  <c r="N387" i="1"/>
  <c r="O387" i="1"/>
  <c r="P387" i="1"/>
  <c r="Q387" i="1"/>
  <c r="R387" i="1"/>
  <c r="S387" i="1"/>
  <c r="T387" i="1"/>
  <c r="K388" i="1"/>
  <c r="L388" i="1"/>
  <c r="M388" i="1"/>
  <c r="N388" i="1"/>
  <c r="O388" i="1"/>
  <c r="P388" i="1"/>
  <c r="Q388" i="1"/>
  <c r="R388" i="1"/>
  <c r="S388" i="1"/>
  <c r="T388" i="1"/>
  <c r="K389" i="1"/>
  <c r="L389" i="1"/>
  <c r="M389" i="1"/>
  <c r="N389" i="1"/>
  <c r="O389" i="1"/>
  <c r="P389" i="1"/>
  <c r="Q389" i="1"/>
  <c r="R389" i="1"/>
  <c r="S389" i="1"/>
  <c r="T389" i="1"/>
  <c r="K390" i="1"/>
  <c r="L390" i="1"/>
  <c r="M390" i="1"/>
  <c r="N390" i="1"/>
  <c r="O390" i="1"/>
  <c r="P390" i="1"/>
  <c r="Q390" i="1"/>
  <c r="R390" i="1"/>
  <c r="S390" i="1"/>
  <c r="T390" i="1"/>
  <c r="K391" i="1"/>
  <c r="L391" i="1"/>
  <c r="M391" i="1"/>
  <c r="N391" i="1"/>
  <c r="O391" i="1"/>
  <c r="P391" i="1"/>
  <c r="Q391" i="1"/>
  <c r="R391" i="1"/>
  <c r="S391" i="1"/>
  <c r="T391" i="1"/>
  <c r="K392" i="1"/>
  <c r="L392" i="1"/>
  <c r="M392" i="1"/>
  <c r="N392" i="1"/>
  <c r="O392" i="1"/>
  <c r="P392" i="1"/>
  <c r="Q392" i="1"/>
  <c r="R392" i="1"/>
  <c r="S392" i="1"/>
  <c r="T392" i="1"/>
  <c r="K393" i="1"/>
  <c r="L393" i="1"/>
  <c r="M393" i="1"/>
  <c r="N393" i="1"/>
  <c r="O393" i="1"/>
  <c r="P393" i="1"/>
  <c r="Q393" i="1"/>
  <c r="R393" i="1"/>
  <c r="S393" i="1"/>
  <c r="T393" i="1"/>
  <c r="K394" i="1"/>
  <c r="L394" i="1"/>
  <c r="M394" i="1"/>
  <c r="N394" i="1"/>
  <c r="O394" i="1"/>
  <c r="P394" i="1"/>
  <c r="Q394" i="1"/>
  <c r="R394" i="1"/>
  <c r="S394" i="1"/>
  <c r="T394" i="1"/>
  <c r="K395" i="1"/>
  <c r="L395" i="1"/>
  <c r="M395" i="1"/>
  <c r="N395" i="1"/>
  <c r="O395" i="1"/>
  <c r="P395" i="1"/>
  <c r="Q395" i="1"/>
  <c r="R395" i="1"/>
  <c r="S395" i="1"/>
  <c r="T395" i="1"/>
  <c r="K396" i="1"/>
  <c r="L396" i="1"/>
  <c r="M396" i="1"/>
  <c r="N396" i="1"/>
  <c r="O396" i="1"/>
  <c r="P396" i="1"/>
  <c r="Q396" i="1"/>
  <c r="R396" i="1"/>
  <c r="S396" i="1"/>
  <c r="T396" i="1"/>
  <c r="K397" i="1"/>
  <c r="L397" i="1"/>
  <c r="M397" i="1"/>
  <c r="N397" i="1"/>
  <c r="O397" i="1"/>
  <c r="P397" i="1"/>
  <c r="Q397" i="1"/>
  <c r="R397" i="1"/>
  <c r="S397" i="1"/>
  <c r="T397" i="1"/>
  <c r="K398" i="1"/>
  <c r="L398" i="1"/>
  <c r="M398" i="1"/>
  <c r="N398" i="1"/>
  <c r="O398" i="1"/>
  <c r="P398" i="1"/>
  <c r="Q398" i="1"/>
  <c r="R398" i="1"/>
  <c r="S398" i="1"/>
  <c r="T398" i="1"/>
  <c r="K399" i="1"/>
  <c r="L399" i="1"/>
  <c r="M399" i="1"/>
  <c r="N399" i="1"/>
  <c r="O399" i="1"/>
  <c r="P399" i="1"/>
  <c r="Q399" i="1"/>
  <c r="R399" i="1"/>
  <c r="S399" i="1"/>
  <c r="T399" i="1"/>
  <c r="K400" i="1"/>
  <c r="L400" i="1"/>
  <c r="M400" i="1"/>
  <c r="N400" i="1"/>
  <c r="O400" i="1"/>
  <c r="P400" i="1"/>
  <c r="Q400" i="1"/>
  <c r="R400" i="1"/>
  <c r="S400" i="1"/>
  <c r="T400" i="1"/>
  <c r="K401" i="1"/>
  <c r="L401" i="1"/>
  <c r="M401" i="1"/>
  <c r="N401" i="1"/>
  <c r="O401" i="1"/>
  <c r="P401" i="1"/>
  <c r="Q401" i="1"/>
  <c r="R401" i="1"/>
  <c r="S401" i="1"/>
  <c r="T401" i="1"/>
  <c r="K402" i="1"/>
  <c r="L402" i="1"/>
  <c r="M402" i="1"/>
  <c r="N402" i="1"/>
  <c r="O402" i="1"/>
  <c r="P402" i="1"/>
  <c r="Q402" i="1"/>
  <c r="R402" i="1"/>
  <c r="S402" i="1"/>
  <c r="T402" i="1"/>
  <c r="K403" i="1"/>
  <c r="L403" i="1"/>
  <c r="M403" i="1"/>
  <c r="N403" i="1"/>
  <c r="O403" i="1"/>
  <c r="P403" i="1"/>
  <c r="Q403" i="1"/>
  <c r="R403" i="1"/>
  <c r="S403" i="1"/>
  <c r="T403" i="1"/>
  <c r="K404" i="1"/>
  <c r="L404" i="1"/>
  <c r="M404" i="1"/>
  <c r="N404" i="1"/>
  <c r="O404" i="1"/>
  <c r="P404" i="1"/>
  <c r="Q404" i="1"/>
  <c r="R404" i="1"/>
  <c r="S404" i="1"/>
  <c r="T404" i="1"/>
  <c r="K405" i="1"/>
  <c r="L405" i="1"/>
  <c r="M405" i="1"/>
  <c r="N405" i="1"/>
  <c r="O405" i="1"/>
  <c r="P405" i="1"/>
  <c r="Q405" i="1"/>
  <c r="R405" i="1"/>
  <c r="S405" i="1"/>
  <c r="T405" i="1"/>
  <c r="K406" i="1"/>
  <c r="L406" i="1"/>
  <c r="M406" i="1"/>
  <c r="N406" i="1"/>
  <c r="O406" i="1"/>
  <c r="P406" i="1"/>
  <c r="Q406" i="1"/>
  <c r="R406" i="1"/>
  <c r="S406" i="1"/>
  <c r="T406" i="1"/>
  <c r="K407" i="1"/>
  <c r="L407" i="1"/>
  <c r="M407" i="1"/>
  <c r="N407" i="1"/>
  <c r="O407" i="1"/>
  <c r="P407" i="1"/>
  <c r="Q407" i="1"/>
  <c r="R407" i="1"/>
  <c r="S407" i="1"/>
  <c r="T407" i="1"/>
  <c r="K408" i="1"/>
  <c r="L408" i="1"/>
  <c r="M408" i="1"/>
  <c r="N408" i="1"/>
  <c r="O408" i="1"/>
  <c r="P408" i="1"/>
  <c r="Q408" i="1"/>
  <c r="R408" i="1"/>
  <c r="S408" i="1"/>
  <c r="T408" i="1"/>
  <c r="K409" i="1"/>
  <c r="L409" i="1"/>
  <c r="M409" i="1"/>
  <c r="N409" i="1"/>
  <c r="O409" i="1"/>
  <c r="P409" i="1"/>
  <c r="Q409" i="1"/>
  <c r="R409" i="1"/>
  <c r="S409" i="1"/>
  <c r="T409" i="1"/>
  <c r="K410" i="1"/>
  <c r="L410" i="1"/>
  <c r="M410" i="1"/>
  <c r="N410" i="1"/>
  <c r="O410" i="1"/>
  <c r="P410" i="1"/>
  <c r="Q410" i="1"/>
  <c r="R410" i="1"/>
  <c r="S410" i="1"/>
  <c r="T410" i="1"/>
  <c r="K411" i="1"/>
  <c r="L411" i="1"/>
  <c r="M411" i="1"/>
  <c r="N411" i="1"/>
  <c r="O411" i="1"/>
  <c r="P411" i="1"/>
  <c r="Q411" i="1"/>
  <c r="R411" i="1"/>
  <c r="S411" i="1"/>
  <c r="T411" i="1"/>
  <c r="K412" i="1"/>
  <c r="L412" i="1"/>
  <c r="M412" i="1"/>
  <c r="N412" i="1"/>
  <c r="O412" i="1"/>
  <c r="P412" i="1"/>
  <c r="Q412" i="1"/>
  <c r="R412" i="1"/>
  <c r="S412" i="1"/>
  <c r="T412" i="1"/>
  <c r="K413" i="1"/>
  <c r="L413" i="1"/>
  <c r="M413" i="1"/>
  <c r="N413" i="1"/>
  <c r="O413" i="1"/>
  <c r="P413" i="1"/>
  <c r="Q413" i="1"/>
  <c r="R413" i="1"/>
  <c r="S413" i="1"/>
  <c r="T413" i="1"/>
  <c r="K414" i="1"/>
  <c r="L414" i="1"/>
  <c r="M414" i="1"/>
  <c r="N414" i="1"/>
  <c r="O414" i="1"/>
  <c r="P414" i="1"/>
  <c r="Q414" i="1"/>
  <c r="R414" i="1"/>
  <c r="S414" i="1"/>
  <c r="T414" i="1"/>
  <c r="K415" i="1"/>
  <c r="L415" i="1"/>
  <c r="M415" i="1"/>
  <c r="N415" i="1"/>
  <c r="O415" i="1"/>
  <c r="P415" i="1"/>
  <c r="Q415" i="1"/>
  <c r="R415" i="1"/>
  <c r="S415" i="1"/>
  <c r="T415" i="1"/>
  <c r="K416" i="1"/>
  <c r="L416" i="1"/>
  <c r="M416" i="1"/>
  <c r="N416" i="1"/>
  <c r="O416" i="1"/>
  <c r="P416" i="1"/>
  <c r="Q416" i="1"/>
  <c r="R416" i="1"/>
  <c r="S416" i="1"/>
  <c r="T416" i="1"/>
  <c r="K417" i="1"/>
  <c r="L417" i="1"/>
  <c r="M417" i="1"/>
  <c r="N417" i="1"/>
  <c r="O417" i="1"/>
  <c r="P417" i="1"/>
  <c r="Q417" i="1"/>
  <c r="R417" i="1"/>
  <c r="S417" i="1"/>
  <c r="T417" i="1"/>
  <c r="K418" i="1"/>
  <c r="L418" i="1"/>
  <c r="M418" i="1"/>
  <c r="N418" i="1"/>
  <c r="O418" i="1"/>
  <c r="P418" i="1"/>
  <c r="Q418" i="1"/>
  <c r="R418" i="1"/>
  <c r="S418" i="1"/>
  <c r="T418" i="1"/>
  <c r="K419" i="1"/>
  <c r="L419" i="1"/>
  <c r="M419" i="1"/>
  <c r="N419" i="1"/>
  <c r="O419" i="1"/>
  <c r="P419" i="1"/>
  <c r="Q419" i="1"/>
  <c r="R419" i="1"/>
  <c r="S419" i="1"/>
  <c r="T419" i="1"/>
  <c r="K420" i="1"/>
  <c r="L420" i="1"/>
  <c r="M420" i="1"/>
  <c r="N420" i="1"/>
  <c r="O420" i="1"/>
  <c r="P420" i="1"/>
  <c r="Q420" i="1"/>
  <c r="R420" i="1"/>
  <c r="S420" i="1"/>
  <c r="T420" i="1"/>
  <c r="K421" i="1"/>
  <c r="L421" i="1"/>
  <c r="M421" i="1"/>
  <c r="N421" i="1"/>
  <c r="O421" i="1"/>
  <c r="P421" i="1"/>
  <c r="Q421" i="1"/>
  <c r="R421" i="1"/>
  <c r="S421" i="1"/>
  <c r="T421" i="1"/>
  <c r="K422" i="1"/>
  <c r="L422" i="1"/>
  <c r="M422" i="1"/>
  <c r="N422" i="1"/>
  <c r="O422" i="1"/>
  <c r="P422" i="1"/>
  <c r="Q422" i="1"/>
  <c r="R422" i="1"/>
  <c r="S422" i="1"/>
  <c r="T422" i="1"/>
  <c r="K423" i="1"/>
  <c r="L423" i="1"/>
  <c r="M423" i="1"/>
  <c r="N423" i="1"/>
  <c r="O423" i="1"/>
  <c r="P423" i="1"/>
  <c r="Q423" i="1"/>
  <c r="R423" i="1"/>
  <c r="S423" i="1"/>
  <c r="T423" i="1"/>
  <c r="K424" i="1"/>
  <c r="L424" i="1"/>
  <c r="M424" i="1"/>
  <c r="N424" i="1"/>
  <c r="O424" i="1"/>
  <c r="P424" i="1"/>
  <c r="Q424" i="1"/>
  <c r="R424" i="1"/>
  <c r="S424" i="1"/>
  <c r="T424" i="1"/>
  <c r="K425" i="1"/>
  <c r="L425" i="1"/>
  <c r="M425" i="1"/>
  <c r="N425" i="1"/>
  <c r="O425" i="1"/>
  <c r="P425" i="1"/>
  <c r="Q425" i="1"/>
  <c r="R425" i="1"/>
  <c r="S425" i="1"/>
  <c r="T425" i="1"/>
  <c r="K426" i="1"/>
  <c r="L426" i="1"/>
  <c r="M426" i="1"/>
  <c r="N426" i="1"/>
  <c r="O426" i="1"/>
  <c r="P426" i="1"/>
  <c r="Q426" i="1"/>
  <c r="R426" i="1"/>
  <c r="S426" i="1"/>
  <c r="T426" i="1"/>
  <c r="K427" i="1"/>
  <c r="L427" i="1"/>
  <c r="M427" i="1"/>
  <c r="N427" i="1"/>
  <c r="O427" i="1"/>
  <c r="P427" i="1"/>
  <c r="Q427" i="1"/>
  <c r="R427" i="1"/>
  <c r="S427" i="1"/>
  <c r="T427" i="1"/>
  <c r="K428" i="1"/>
  <c r="L428" i="1"/>
  <c r="M428" i="1"/>
  <c r="N428" i="1"/>
  <c r="O428" i="1"/>
  <c r="P428" i="1"/>
  <c r="Q428" i="1"/>
  <c r="R428" i="1"/>
  <c r="S428" i="1"/>
  <c r="T428" i="1"/>
  <c r="K429" i="1"/>
  <c r="L429" i="1"/>
  <c r="M429" i="1"/>
  <c r="N429" i="1"/>
  <c r="O429" i="1"/>
  <c r="P429" i="1"/>
  <c r="Q429" i="1"/>
  <c r="R429" i="1"/>
  <c r="S429" i="1"/>
  <c r="T429" i="1"/>
  <c r="K430" i="1"/>
  <c r="L430" i="1"/>
  <c r="M430" i="1"/>
  <c r="N430" i="1"/>
  <c r="O430" i="1"/>
  <c r="P430" i="1"/>
  <c r="Q430" i="1"/>
  <c r="R430" i="1"/>
  <c r="S430" i="1"/>
  <c r="T430" i="1"/>
  <c r="K431" i="1"/>
  <c r="L431" i="1"/>
  <c r="M431" i="1"/>
  <c r="N431" i="1"/>
  <c r="O431" i="1"/>
  <c r="P431" i="1"/>
  <c r="Q431" i="1"/>
  <c r="R431" i="1"/>
  <c r="S431" i="1"/>
  <c r="T431" i="1"/>
  <c r="K432" i="1"/>
  <c r="L432" i="1"/>
  <c r="M432" i="1"/>
  <c r="N432" i="1"/>
  <c r="O432" i="1"/>
  <c r="P432" i="1"/>
  <c r="Q432" i="1"/>
  <c r="R432" i="1"/>
  <c r="S432" i="1"/>
  <c r="T432" i="1"/>
  <c r="K433" i="1"/>
  <c r="L433" i="1"/>
  <c r="M433" i="1"/>
  <c r="N433" i="1"/>
  <c r="O433" i="1"/>
  <c r="P433" i="1"/>
  <c r="Q433" i="1"/>
  <c r="R433" i="1"/>
  <c r="S433" i="1"/>
  <c r="T433" i="1"/>
  <c r="K434" i="1"/>
  <c r="L434" i="1"/>
  <c r="M434" i="1"/>
  <c r="N434" i="1"/>
  <c r="O434" i="1"/>
  <c r="P434" i="1"/>
  <c r="Q434" i="1"/>
  <c r="R434" i="1"/>
  <c r="S434" i="1"/>
  <c r="T434" i="1"/>
  <c r="K435" i="1"/>
  <c r="L435" i="1"/>
  <c r="M435" i="1"/>
  <c r="N435" i="1"/>
  <c r="O435" i="1"/>
  <c r="P435" i="1"/>
  <c r="Q435" i="1"/>
  <c r="R435" i="1"/>
  <c r="S435" i="1"/>
  <c r="T435" i="1"/>
  <c r="K436" i="1"/>
  <c r="L436" i="1"/>
  <c r="M436" i="1"/>
  <c r="N436" i="1"/>
  <c r="O436" i="1"/>
  <c r="P436" i="1"/>
  <c r="Q436" i="1"/>
  <c r="R436" i="1"/>
  <c r="S436" i="1"/>
  <c r="T436" i="1"/>
  <c r="K437" i="1"/>
  <c r="L437" i="1"/>
  <c r="M437" i="1"/>
  <c r="N437" i="1"/>
  <c r="O437" i="1"/>
  <c r="P437" i="1"/>
  <c r="Q437" i="1"/>
  <c r="R437" i="1"/>
  <c r="S437" i="1"/>
  <c r="T437" i="1"/>
  <c r="K438" i="1"/>
  <c r="L438" i="1"/>
  <c r="M438" i="1"/>
  <c r="N438" i="1"/>
  <c r="O438" i="1"/>
  <c r="P438" i="1"/>
  <c r="Q438" i="1"/>
  <c r="R438" i="1"/>
  <c r="S438" i="1"/>
  <c r="T438" i="1"/>
  <c r="K439" i="1"/>
  <c r="L439" i="1"/>
  <c r="M439" i="1"/>
  <c r="N439" i="1"/>
  <c r="O439" i="1"/>
  <c r="P439" i="1"/>
  <c r="Q439" i="1"/>
  <c r="R439" i="1"/>
  <c r="S439" i="1"/>
  <c r="T439" i="1"/>
  <c r="K440" i="1"/>
  <c r="L440" i="1"/>
  <c r="M440" i="1"/>
  <c r="N440" i="1"/>
  <c r="O440" i="1"/>
  <c r="P440" i="1"/>
  <c r="Q440" i="1"/>
  <c r="R440" i="1"/>
  <c r="S440" i="1"/>
  <c r="T440" i="1"/>
  <c r="K441" i="1"/>
  <c r="L441" i="1"/>
  <c r="M441" i="1"/>
  <c r="N441" i="1"/>
  <c r="O441" i="1"/>
  <c r="P441" i="1"/>
  <c r="Q441" i="1"/>
  <c r="R441" i="1"/>
  <c r="S441" i="1"/>
  <c r="T441" i="1"/>
  <c r="K442" i="1"/>
  <c r="L442" i="1"/>
  <c r="M442" i="1"/>
  <c r="N442" i="1"/>
  <c r="O442" i="1"/>
  <c r="P442" i="1"/>
  <c r="Q442" i="1"/>
  <c r="R442" i="1"/>
  <c r="S442" i="1"/>
  <c r="T442" i="1"/>
  <c r="K443" i="1"/>
  <c r="L443" i="1"/>
  <c r="M443" i="1"/>
  <c r="N443" i="1"/>
  <c r="O443" i="1"/>
  <c r="P443" i="1"/>
  <c r="Q443" i="1"/>
  <c r="R443" i="1"/>
  <c r="S443" i="1"/>
  <c r="T443" i="1"/>
  <c r="K444" i="1"/>
  <c r="L444" i="1"/>
  <c r="M444" i="1"/>
  <c r="N444" i="1"/>
  <c r="O444" i="1"/>
  <c r="P444" i="1"/>
  <c r="Q444" i="1"/>
  <c r="R444" i="1"/>
  <c r="S444" i="1"/>
  <c r="T444" i="1"/>
  <c r="K445" i="1"/>
  <c r="L445" i="1"/>
  <c r="M445" i="1"/>
  <c r="N445" i="1"/>
  <c r="O445" i="1"/>
  <c r="P445" i="1"/>
  <c r="Q445" i="1"/>
  <c r="R445" i="1"/>
  <c r="S445" i="1"/>
  <c r="T445" i="1"/>
  <c r="K446" i="1"/>
  <c r="L446" i="1"/>
  <c r="M446" i="1"/>
  <c r="N446" i="1"/>
  <c r="O446" i="1"/>
  <c r="P446" i="1"/>
  <c r="Q446" i="1"/>
  <c r="R446" i="1"/>
  <c r="S446" i="1"/>
  <c r="T446" i="1"/>
  <c r="K447" i="1"/>
  <c r="L447" i="1"/>
  <c r="M447" i="1"/>
  <c r="N447" i="1"/>
  <c r="O447" i="1"/>
  <c r="P447" i="1"/>
  <c r="Q447" i="1"/>
  <c r="R447" i="1"/>
  <c r="S447" i="1"/>
  <c r="T447" i="1"/>
  <c r="K448" i="1"/>
  <c r="L448" i="1"/>
  <c r="M448" i="1"/>
  <c r="N448" i="1"/>
  <c r="O448" i="1"/>
  <c r="P448" i="1"/>
  <c r="Q448" i="1"/>
  <c r="R448" i="1"/>
  <c r="S448" i="1"/>
  <c r="T448" i="1"/>
  <c r="K449" i="1"/>
  <c r="L449" i="1"/>
  <c r="M449" i="1"/>
  <c r="N449" i="1"/>
  <c r="O449" i="1"/>
  <c r="P449" i="1"/>
  <c r="Q449" i="1"/>
  <c r="R449" i="1"/>
  <c r="S449" i="1"/>
  <c r="T449" i="1"/>
  <c r="K450" i="1"/>
  <c r="L450" i="1"/>
  <c r="M450" i="1"/>
  <c r="N450" i="1"/>
  <c r="O450" i="1"/>
  <c r="P450" i="1"/>
  <c r="Q450" i="1"/>
  <c r="R450" i="1"/>
  <c r="S450" i="1"/>
  <c r="T450" i="1"/>
  <c r="K451" i="1"/>
  <c r="L451" i="1"/>
  <c r="M451" i="1"/>
  <c r="N451" i="1"/>
  <c r="O451" i="1"/>
  <c r="P451" i="1"/>
  <c r="Q451" i="1"/>
  <c r="R451" i="1"/>
  <c r="S451" i="1"/>
  <c r="T451" i="1"/>
  <c r="K452" i="1"/>
  <c r="L452" i="1"/>
  <c r="M452" i="1"/>
  <c r="N452" i="1"/>
  <c r="O452" i="1"/>
  <c r="P452" i="1"/>
  <c r="Q452" i="1"/>
  <c r="R452" i="1"/>
  <c r="S452" i="1"/>
  <c r="T452" i="1"/>
  <c r="K453" i="1"/>
  <c r="L453" i="1"/>
  <c r="M453" i="1"/>
  <c r="N453" i="1"/>
  <c r="O453" i="1"/>
  <c r="P453" i="1"/>
  <c r="Q453" i="1"/>
  <c r="R453" i="1"/>
  <c r="S453" i="1"/>
  <c r="T453" i="1"/>
  <c r="K454" i="1"/>
  <c r="L454" i="1"/>
  <c r="M454" i="1"/>
  <c r="N454" i="1"/>
  <c r="O454" i="1"/>
  <c r="P454" i="1"/>
  <c r="Q454" i="1"/>
  <c r="R454" i="1"/>
  <c r="S454" i="1"/>
  <c r="T454" i="1"/>
  <c r="K455" i="1"/>
  <c r="L455" i="1"/>
  <c r="M455" i="1"/>
  <c r="N455" i="1"/>
  <c r="O455" i="1"/>
  <c r="P455" i="1"/>
  <c r="Q455" i="1"/>
  <c r="R455" i="1"/>
  <c r="S455" i="1"/>
  <c r="T455" i="1"/>
  <c r="K456" i="1"/>
  <c r="L456" i="1"/>
  <c r="M456" i="1"/>
  <c r="N456" i="1"/>
  <c r="O456" i="1"/>
  <c r="P456" i="1"/>
  <c r="Q456" i="1"/>
  <c r="R456" i="1"/>
  <c r="S456" i="1"/>
  <c r="T456" i="1"/>
  <c r="K457" i="1"/>
  <c r="L457" i="1"/>
  <c r="M457" i="1"/>
  <c r="N457" i="1"/>
  <c r="O457" i="1"/>
  <c r="P457" i="1"/>
  <c r="Q457" i="1"/>
  <c r="R457" i="1"/>
  <c r="S457" i="1"/>
  <c r="T457" i="1"/>
  <c r="K458" i="1"/>
  <c r="L458" i="1"/>
  <c r="M458" i="1"/>
  <c r="N458" i="1"/>
  <c r="O458" i="1"/>
  <c r="P458" i="1"/>
  <c r="Q458" i="1"/>
  <c r="R458" i="1"/>
  <c r="S458" i="1"/>
  <c r="T458" i="1"/>
  <c r="K459" i="1"/>
  <c r="L459" i="1"/>
  <c r="M459" i="1"/>
  <c r="N459" i="1"/>
  <c r="O459" i="1"/>
  <c r="P459" i="1"/>
  <c r="Q459" i="1"/>
  <c r="R459" i="1"/>
  <c r="S459" i="1"/>
  <c r="T459" i="1"/>
  <c r="K460" i="1"/>
  <c r="L460" i="1"/>
  <c r="M460" i="1"/>
  <c r="N460" i="1"/>
  <c r="O460" i="1"/>
  <c r="P460" i="1"/>
  <c r="Q460" i="1"/>
  <c r="R460" i="1"/>
  <c r="S460" i="1"/>
  <c r="T460" i="1"/>
  <c r="K461" i="1"/>
  <c r="L461" i="1"/>
  <c r="M461" i="1"/>
  <c r="N461" i="1"/>
  <c r="O461" i="1"/>
  <c r="P461" i="1"/>
  <c r="Q461" i="1"/>
  <c r="R461" i="1"/>
  <c r="S461" i="1"/>
  <c r="T461" i="1"/>
  <c r="K462" i="1"/>
  <c r="L462" i="1"/>
  <c r="M462" i="1"/>
  <c r="N462" i="1"/>
  <c r="O462" i="1"/>
  <c r="P462" i="1"/>
  <c r="Q462" i="1"/>
  <c r="R462" i="1"/>
  <c r="S462" i="1"/>
  <c r="T462" i="1"/>
  <c r="K463" i="1"/>
  <c r="L463" i="1"/>
  <c r="M463" i="1"/>
  <c r="N463" i="1"/>
  <c r="O463" i="1"/>
  <c r="P463" i="1"/>
  <c r="Q463" i="1"/>
  <c r="R463" i="1"/>
  <c r="S463" i="1"/>
  <c r="T463" i="1"/>
  <c r="K464" i="1"/>
  <c r="L464" i="1"/>
  <c r="M464" i="1"/>
  <c r="N464" i="1"/>
  <c r="O464" i="1"/>
  <c r="P464" i="1"/>
  <c r="Q464" i="1"/>
  <c r="R464" i="1"/>
  <c r="S464" i="1"/>
  <c r="T464" i="1"/>
  <c r="K465" i="1"/>
  <c r="L465" i="1"/>
  <c r="M465" i="1"/>
  <c r="N465" i="1"/>
  <c r="O465" i="1"/>
  <c r="P465" i="1"/>
  <c r="Q465" i="1"/>
  <c r="R465" i="1"/>
  <c r="S465" i="1"/>
  <c r="T465" i="1"/>
  <c r="K466" i="1"/>
  <c r="L466" i="1"/>
  <c r="M466" i="1"/>
  <c r="N466" i="1"/>
  <c r="O466" i="1"/>
  <c r="P466" i="1"/>
  <c r="Q466" i="1"/>
  <c r="R466" i="1"/>
  <c r="S466" i="1"/>
  <c r="T466" i="1"/>
  <c r="K467" i="1"/>
  <c r="L467" i="1"/>
  <c r="M467" i="1"/>
  <c r="N467" i="1"/>
  <c r="O467" i="1"/>
  <c r="P467" i="1"/>
  <c r="Q467" i="1"/>
  <c r="R467" i="1"/>
  <c r="S467" i="1"/>
  <c r="T467" i="1"/>
  <c r="K468" i="1"/>
  <c r="L468" i="1"/>
  <c r="M468" i="1"/>
  <c r="N468" i="1"/>
  <c r="O468" i="1"/>
  <c r="P468" i="1"/>
  <c r="Q468" i="1"/>
  <c r="R468" i="1"/>
  <c r="S468" i="1"/>
  <c r="T468" i="1"/>
  <c r="K469" i="1"/>
  <c r="L469" i="1"/>
  <c r="M469" i="1"/>
  <c r="N469" i="1"/>
  <c r="O469" i="1"/>
  <c r="P469" i="1"/>
  <c r="Q469" i="1"/>
  <c r="R469" i="1"/>
  <c r="S469" i="1"/>
  <c r="T469" i="1"/>
  <c r="K470" i="1"/>
  <c r="L470" i="1"/>
  <c r="M470" i="1"/>
  <c r="N470" i="1"/>
  <c r="O470" i="1"/>
  <c r="P470" i="1"/>
  <c r="Q470" i="1"/>
  <c r="R470" i="1"/>
  <c r="S470" i="1"/>
  <c r="T470" i="1"/>
  <c r="K471" i="1"/>
  <c r="L471" i="1"/>
  <c r="M471" i="1"/>
  <c r="N471" i="1"/>
  <c r="O471" i="1"/>
  <c r="P471" i="1"/>
  <c r="Q471" i="1"/>
  <c r="R471" i="1"/>
  <c r="S471" i="1"/>
  <c r="T471" i="1"/>
  <c r="K472" i="1"/>
  <c r="L472" i="1"/>
  <c r="M472" i="1"/>
  <c r="N472" i="1"/>
  <c r="O472" i="1"/>
  <c r="P472" i="1"/>
  <c r="Q472" i="1"/>
  <c r="R472" i="1"/>
  <c r="S472" i="1"/>
  <c r="T472" i="1"/>
  <c r="K473" i="1"/>
  <c r="L473" i="1"/>
  <c r="M473" i="1"/>
  <c r="N473" i="1"/>
  <c r="O473" i="1"/>
  <c r="P473" i="1"/>
  <c r="Q473" i="1"/>
  <c r="R473" i="1"/>
  <c r="S473" i="1"/>
  <c r="T473" i="1"/>
  <c r="K474" i="1"/>
  <c r="L474" i="1"/>
  <c r="M474" i="1"/>
  <c r="N474" i="1"/>
  <c r="O474" i="1"/>
  <c r="P474" i="1"/>
  <c r="Q474" i="1"/>
  <c r="R474" i="1"/>
  <c r="S474" i="1"/>
  <c r="T474" i="1"/>
  <c r="K475" i="1"/>
  <c r="L475" i="1"/>
  <c r="M475" i="1"/>
  <c r="N475" i="1"/>
  <c r="O475" i="1"/>
  <c r="P475" i="1"/>
  <c r="Q475" i="1"/>
  <c r="R475" i="1"/>
  <c r="S475" i="1"/>
  <c r="T475" i="1"/>
  <c r="K476" i="1"/>
  <c r="L476" i="1"/>
  <c r="M476" i="1"/>
  <c r="N476" i="1"/>
  <c r="O476" i="1"/>
  <c r="P476" i="1"/>
  <c r="Q476" i="1"/>
  <c r="R476" i="1"/>
  <c r="S476" i="1"/>
  <c r="T476" i="1"/>
  <c r="K477" i="1"/>
  <c r="L477" i="1"/>
  <c r="M477" i="1"/>
  <c r="N477" i="1"/>
  <c r="O477" i="1"/>
  <c r="P477" i="1"/>
  <c r="Q477" i="1"/>
  <c r="R477" i="1"/>
  <c r="S477" i="1"/>
  <c r="T477" i="1"/>
  <c r="K478" i="1"/>
  <c r="L478" i="1"/>
  <c r="M478" i="1"/>
  <c r="N478" i="1"/>
  <c r="O478" i="1"/>
  <c r="P478" i="1"/>
  <c r="Q478" i="1"/>
  <c r="R478" i="1"/>
  <c r="S478" i="1"/>
  <c r="T478" i="1"/>
  <c r="K479" i="1"/>
  <c r="L479" i="1"/>
  <c r="M479" i="1"/>
  <c r="N479" i="1"/>
  <c r="O479" i="1"/>
  <c r="P479" i="1"/>
  <c r="Q479" i="1"/>
  <c r="R479" i="1"/>
  <c r="S479" i="1"/>
  <c r="T479" i="1"/>
  <c r="K480" i="1"/>
  <c r="L480" i="1"/>
  <c r="M480" i="1"/>
  <c r="N480" i="1"/>
  <c r="O480" i="1"/>
  <c r="P480" i="1"/>
  <c r="Q480" i="1"/>
  <c r="R480" i="1"/>
  <c r="S480" i="1"/>
  <c r="T480" i="1"/>
  <c r="K481" i="1"/>
  <c r="L481" i="1"/>
  <c r="M481" i="1"/>
  <c r="N481" i="1"/>
  <c r="O481" i="1"/>
  <c r="P481" i="1"/>
  <c r="Q481" i="1"/>
  <c r="R481" i="1"/>
  <c r="S481" i="1"/>
  <c r="T481" i="1"/>
  <c r="K482" i="1"/>
  <c r="L482" i="1"/>
  <c r="M482" i="1"/>
  <c r="N482" i="1"/>
  <c r="O482" i="1"/>
  <c r="P482" i="1"/>
  <c r="Q482" i="1"/>
  <c r="R482" i="1"/>
  <c r="S482" i="1"/>
  <c r="T482" i="1"/>
  <c r="K483" i="1"/>
  <c r="L483" i="1"/>
  <c r="M483" i="1"/>
  <c r="N483" i="1"/>
  <c r="O483" i="1"/>
  <c r="P483" i="1"/>
  <c r="Q483" i="1"/>
  <c r="R483" i="1"/>
  <c r="S483" i="1"/>
  <c r="T483" i="1"/>
  <c r="K484" i="1"/>
  <c r="L484" i="1"/>
  <c r="M484" i="1"/>
  <c r="N484" i="1"/>
  <c r="O484" i="1"/>
  <c r="P484" i="1"/>
  <c r="Q484" i="1"/>
  <c r="R484" i="1"/>
  <c r="S484" i="1"/>
  <c r="T484" i="1"/>
  <c r="K485" i="1"/>
  <c r="L485" i="1"/>
  <c r="M485" i="1"/>
  <c r="N485" i="1"/>
  <c r="O485" i="1"/>
  <c r="P485" i="1"/>
  <c r="Q485" i="1"/>
  <c r="R485" i="1"/>
  <c r="S485" i="1"/>
  <c r="T485" i="1"/>
  <c r="K486" i="1"/>
  <c r="L486" i="1"/>
  <c r="M486" i="1"/>
  <c r="N486" i="1"/>
  <c r="O486" i="1"/>
  <c r="P486" i="1"/>
  <c r="Q486" i="1"/>
  <c r="R486" i="1"/>
  <c r="S486" i="1"/>
  <c r="T486" i="1"/>
  <c r="K487" i="1"/>
  <c r="L487" i="1"/>
  <c r="M487" i="1"/>
  <c r="N487" i="1"/>
  <c r="O487" i="1"/>
  <c r="P487" i="1"/>
  <c r="Q487" i="1"/>
  <c r="R487" i="1"/>
  <c r="S487" i="1"/>
  <c r="T487" i="1"/>
  <c r="K488" i="1"/>
  <c r="L488" i="1"/>
  <c r="M488" i="1"/>
  <c r="N488" i="1"/>
  <c r="O488" i="1"/>
  <c r="P488" i="1"/>
  <c r="Q488" i="1"/>
  <c r="R488" i="1"/>
  <c r="S488" i="1"/>
  <c r="T488" i="1"/>
  <c r="K489" i="1"/>
  <c r="L489" i="1"/>
  <c r="M489" i="1"/>
  <c r="N489" i="1"/>
  <c r="O489" i="1"/>
  <c r="P489" i="1"/>
  <c r="Q489" i="1"/>
  <c r="R489" i="1"/>
  <c r="S489" i="1"/>
  <c r="T489" i="1"/>
  <c r="K490" i="1"/>
  <c r="L490" i="1"/>
  <c r="M490" i="1"/>
  <c r="N490" i="1"/>
  <c r="O490" i="1"/>
  <c r="P490" i="1"/>
  <c r="Q490" i="1"/>
  <c r="R490" i="1"/>
  <c r="S490" i="1"/>
  <c r="T490" i="1"/>
  <c r="K491" i="1"/>
  <c r="L491" i="1"/>
  <c r="M491" i="1"/>
  <c r="N491" i="1"/>
  <c r="O491" i="1"/>
  <c r="P491" i="1"/>
  <c r="Q491" i="1"/>
  <c r="R491" i="1"/>
  <c r="S491" i="1"/>
  <c r="T491" i="1"/>
  <c r="K492" i="1"/>
  <c r="L492" i="1"/>
  <c r="M492" i="1"/>
  <c r="N492" i="1"/>
  <c r="O492" i="1"/>
  <c r="P492" i="1"/>
  <c r="Q492" i="1"/>
  <c r="R492" i="1"/>
  <c r="S492" i="1"/>
  <c r="T492" i="1"/>
  <c r="K493" i="1"/>
  <c r="L493" i="1"/>
  <c r="M493" i="1"/>
  <c r="N493" i="1"/>
  <c r="O493" i="1"/>
  <c r="P493" i="1"/>
  <c r="Q493" i="1"/>
  <c r="R493" i="1"/>
  <c r="S493" i="1"/>
  <c r="T493" i="1"/>
  <c r="K494" i="1"/>
  <c r="L494" i="1"/>
  <c r="M494" i="1"/>
  <c r="N494" i="1"/>
  <c r="O494" i="1"/>
  <c r="P494" i="1"/>
  <c r="Q494" i="1"/>
  <c r="R494" i="1"/>
  <c r="S494" i="1"/>
  <c r="T494" i="1"/>
  <c r="K495" i="1"/>
  <c r="L495" i="1"/>
  <c r="M495" i="1"/>
  <c r="N495" i="1"/>
  <c r="O495" i="1"/>
  <c r="P495" i="1"/>
  <c r="Q495" i="1"/>
  <c r="R495" i="1"/>
  <c r="S495" i="1"/>
  <c r="T495" i="1"/>
  <c r="K496" i="1"/>
  <c r="L496" i="1"/>
  <c r="M496" i="1"/>
  <c r="N496" i="1"/>
  <c r="O496" i="1"/>
  <c r="P496" i="1"/>
  <c r="Q496" i="1"/>
  <c r="R496" i="1"/>
  <c r="S496" i="1"/>
  <c r="T496" i="1"/>
  <c r="K497" i="1"/>
  <c r="L497" i="1"/>
  <c r="M497" i="1"/>
  <c r="N497" i="1"/>
  <c r="O497" i="1"/>
  <c r="P497" i="1"/>
  <c r="Q497" i="1"/>
  <c r="R497" i="1"/>
  <c r="S497" i="1"/>
  <c r="T497" i="1"/>
  <c r="K498" i="1"/>
  <c r="L498" i="1"/>
  <c r="M498" i="1"/>
  <c r="N498" i="1"/>
  <c r="O498" i="1"/>
  <c r="P498" i="1"/>
  <c r="Q498" i="1"/>
  <c r="R498" i="1"/>
  <c r="S498" i="1"/>
  <c r="T498" i="1"/>
  <c r="K499" i="1"/>
  <c r="L499" i="1"/>
  <c r="M499" i="1"/>
  <c r="N499" i="1"/>
  <c r="O499" i="1"/>
  <c r="P499" i="1"/>
  <c r="Q499" i="1"/>
  <c r="R499" i="1"/>
  <c r="S499" i="1"/>
  <c r="T499" i="1"/>
  <c r="K500" i="1"/>
  <c r="L500" i="1"/>
  <c r="M500" i="1"/>
  <c r="N500" i="1"/>
  <c r="O500" i="1"/>
  <c r="P500" i="1"/>
  <c r="Q500" i="1"/>
  <c r="R500" i="1"/>
  <c r="S500" i="1"/>
  <c r="T500" i="1"/>
  <c r="K501" i="1"/>
  <c r="L501" i="1"/>
  <c r="M501" i="1"/>
  <c r="N501" i="1"/>
  <c r="O501" i="1"/>
  <c r="P501" i="1"/>
  <c r="Q501" i="1"/>
  <c r="R501" i="1"/>
  <c r="S501" i="1"/>
  <c r="T501" i="1"/>
  <c r="K502" i="1"/>
  <c r="L502" i="1"/>
  <c r="M502" i="1"/>
  <c r="N502" i="1"/>
  <c r="O502" i="1"/>
  <c r="P502" i="1"/>
  <c r="Q502" i="1"/>
  <c r="R502" i="1"/>
  <c r="S502" i="1"/>
  <c r="T502" i="1"/>
  <c r="K503" i="1"/>
  <c r="L503" i="1"/>
  <c r="M503" i="1"/>
  <c r="N503" i="1"/>
  <c r="O503" i="1"/>
  <c r="P503" i="1"/>
  <c r="Q503" i="1"/>
  <c r="R503" i="1"/>
  <c r="S503" i="1"/>
  <c r="T503" i="1"/>
  <c r="K504" i="1"/>
  <c r="L504" i="1"/>
  <c r="M504" i="1"/>
  <c r="N504" i="1"/>
  <c r="O504" i="1"/>
  <c r="P504" i="1"/>
  <c r="Q504" i="1"/>
  <c r="R504" i="1"/>
  <c r="S504" i="1"/>
  <c r="T504" i="1"/>
  <c r="K505" i="1"/>
  <c r="L505" i="1"/>
  <c r="M505" i="1"/>
  <c r="N505" i="1"/>
  <c r="O505" i="1"/>
  <c r="P505" i="1"/>
  <c r="Q505" i="1"/>
  <c r="R505" i="1"/>
  <c r="S505" i="1"/>
  <c r="T505" i="1"/>
  <c r="K506" i="1"/>
  <c r="L506" i="1"/>
  <c r="M506" i="1"/>
  <c r="N506" i="1"/>
  <c r="O506" i="1"/>
  <c r="P506" i="1"/>
  <c r="Q506" i="1"/>
  <c r="R506" i="1"/>
  <c r="S506" i="1"/>
  <c r="T506" i="1"/>
  <c r="K507" i="1"/>
  <c r="L507" i="1"/>
  <c r="M507" i="1"/>
  <c r="N507" i="1"/>
  <c r="O507" i="1"/>
  <c r="P507" i="1"/>
  <c r="Q507" i="1"/>
  <c r="R507" i="1"/>
  <c r="S507" i="1"/>
  <c r="T507" i="1"/>
  <c r="K508" i="1"/>
  <c r="L508" i="1"/>
  <c r="M508" i="1"/>
  <c r="N508" i="1"/>
  <c r="O508" i="1"/>
  <c r="P508" i="1"/>
  <c r="Q508" i="1"/>
  <c r="R508" i="1"/>
  <c r="S508" i="1"/>
  <c r="T508" i="1"/>
  <c r="K509" i="1"/>
  <c r="L509" i="1"/>
  <c r="M509" i="1"/>
  <c r="N509" i="1"/>
  <c r="O509" i="1"/>
  <c r="P509" i="1"/>
  <c r="Q509" i="1"/>
  <c r="R509" i="1"/>
  <c r="S509" i="1"/>
  <c r="T509" i="1"/>
  <c r="K510" i="1"/>
  <c r="L510" i="1"/>
  <c r="M510" i="1"/>
  <c r="N510" i="1"/>
  <c r="O510" i="1"/>
  <c r="P510" i="1"/>
  <c r="Q510" i="1"/>
  <c r="R510" i="1"/>
  <c r="S510" i="1"/>
  <c r="T510" i="1"/>
  <c r="K511" i="1"/>
  <c r="L511" i="1"/>
  <c r="M511" i="1"/>
  <c r="N511" i="1"/>
  <c r="O511" i="1"/>
  <c r="P511" i="1"/>
  <c r="Q511" i="1"/>
  <c r="R511" i="1"/>
  <c r="S511" i="1"/>
  <c r="T511" i="1"/>
  <c r="K512" i="1"/>
  <c r="L512" i="1"/>
  <c r="M512" i="1"/>
  <c r="N512" i="1"/>
  <c r="O512" i="1"/>
  <c r="P512" i="1"/>
  <c r="Q512" i="1"/>
  <c r="R512" i="1"/>
  <c r="S512" i="1"/>
  <c r="T512" i="1"/>
  <c r="K513" i="1"/>
  <c r="L513" i="1"/>
  <c r="M513" i="1"/>
  <c r="N513" i="1"/>
  <c r="O513" i="1"/>
  <c r="P513" i="1"/>
  <c r="Q513" i="1"/>
  <c r="R513" i="1"/>
  <c r="S513" i="1"/>
  <c r="T513" i="1"/>
  <c r="K514" i="1"/>
  <c r="L514" i="1"/>
  <c r="M514" i="1"/>
  <c r="N514" i="1"/>
  <c r="O514" i="1"/>
  <c r="P514" i="1"/>
  <c r="Q514" i="1"/>
  <c r="R514" i="1"/>
  <c r="S514" i="1"/>
  <c r="T514" i="1"/>
  <c r="K515" i="1"/>
  <c r="L515" i="1"/>
  <c r="M515" i="1"/>
  <c r="N515" i="1"/>
  <c r="O515" i="1"/>
  <c r="P515" i="1"/>
  <c r="Q515" i="1"/>
  <c r="R515" i="1"/>
  <c r="S515" i="1"/>
  <c r="T515" i="1"/>
  <c r="K516" i="1"/>
  <c r="L516" i="1"/>
  <c r="M516" i="1"/>
  <c r="N516" i="1"/>
  <c r="O516" i="1"/>
  <c r="P516" i="1"/>
  <c r="Q516" i="1"/>
  <c r="R516" i="1"/>
  <c r="S516" i="1"/>
  <c r="T516" i="1"/>
  <c r="K517" i="1"/>
  <c r="L517" i="1"/>
  <c r="M517" i="1"/>
  <c r="N517" i="1"/>
  <c r="O517" i="1"/>
  <c r="P517" i="1"/>
  <c r="Q517" i="1"/>
  <c r="R517" i="1"/>
  <c r="S517" i="1"/>
  <c r="T517" i="1"/>
  <c r="K518" i="1"/>
  <c r="L518" i="1"/>
  <c r="M518" i="1"/>
  <c r="N518" i="1"/>
  <c r="O518" i="1"/>
  <c r="P518" i="1"/>
  <c r="Q518" i="1"/>
  <c r="R518" i="1"/>
  <c r="S518" i="1"/>
  <c r="T518" i="1"/>
  <c r="K519" i="1"/>
  <c r="L519" i="1"/>
  <c r="M519" i="1"/>
  <c r="N519" i="1"/>
  <c r="O519" i="1"/>
  <c r="P519" i="1"/>
  <c r="Q519" i="1"/>
  <c r="R519" i="1"/>
  <c r="S519" i="1"/>
  <c r="T519" i="1"/>
  <c r="K520" i="1"/>
  <c r="L520" i="1"/>
  <c r="M520" i="1"/>
  <c r="N520" i="1"/>
  <c r="O520" i="1"/>
  <c r="P520" i="1"/>
  <c r="Q520" i="1"/>
  <c r="R520" i="1"/>
  <c r="S520" i="1"/>
  <c r="T520" i="1"/>
  <c r="K521" i="1"/>
  <c r="L521" i="1"/>
  <c r="M521" i="1"/>
  <c r="N521" i="1"/>
  <c r="O521" i="1"/>
  <c r="P521" i="1"/>
  <c r="Q521" i="1"/>
  <c r="R521" i="1"/>
  <c r="S521" i="1"/>
  <c r="T521" i="1"/>
  <c r="K522" i="1"/>
  <c r="L522" i="1"/>
  <c r="M522" i="1"/>
  <c r="N522" i="1"/>
  <c r="O522" i="1"/>
  <c r="P522" i="1"/>
  <c r="Q522" i="1"/>
  <c r="R522" i="1"/>
  <c r="S522" i="1"/>
  <c r="T522" i="1"/>
  <c r="K523" i="1"/>
  <c r="L523" i="1"/>
  <c r="M523" i="1"/>
  <c r="N523" i="1"/>
  <c r="O523" i="1"/>
  <c r="P523" i="1"/>
  <c r="Q523" i="1"/>
  <c r="R523" i="1"/>
  <c r="S523" i="1"/>
  <c r="T523" i="1"/>
  <c r="K524" i="1"/>
  <c r="L524" i="1"/>
  <c r="M524" i="1"/>
  <c r="N524" i="1"/>
  <c r="O524" i="1"/>
  <c r="P524" i="1"/>
  <c r="Q524" i="1"/>
  <c r="R524" i="1"/>
  <c r="S524" i="1"/>
  <c r="T524" i="1"/>
  <c r="K525" i="1"/>
  <c r="L525" i="1"/>
  <c r="M525" i="1"/>
  <c r="N525" i="1"/>
  <c r="O525" i="1"/>
  <c r="P525" i="1"/>
  <c r="Q525" i="1"/>
  <c r="R525" i="1"/>
  <c r="S525" i="1"/>
  <c r="T525" i="1"/>
  <c r="K526" i="1"/>
  <c r="L526" i="1"/>
  <c r="M526" i="1"/>
  <c r="N526" i="1"/>
  <c r="O526" i="1"/>
  <c r="P526" i="1"/>
  <c r="Q526" i="1"/>
  <c r="R526" i="1"/>
  <c r="S526" i="1"/>
  <c r="T526" i="1"/>
  <c r="K527" i="1"/>
  <c r="L527" i="1"/>
  <c r="M527" i="1"/>
  <c r="N527" i="1"/>
  <c r="O527" i="1"/>
  <c r="P527" i="1"/>
  <c r="Q527" i="1"/>
  <c r="R527" i="1"/>
  <c r="S527" i="1"/>
  <c r="T527" i="1"/>
  <c r="K528" i="1"/>
  <c r="L528" i="1"/>
  <c r="M528" i="1"/>
  <c r="N528" i="1"/>
  <c r="O528" i="1"/>
  <c r="P528" i="1"/>
  <c r="Q528" i="1"/>
  <c r="R528" i="1"/>
  <c r="S528" i="1"/>
  <c r="T528" i="1"/>
  <c r="K529" i="1"/>
  <c r="L529" i="1"/>
  <c r="M529" i="1"/>
  <c r="N529" i="1"/>
  <c r="O529" i="1"/>
  <c r="P529" i="1"/>
  <c r="Q529" i="1"/>
  <c r="R529" i="1"/>
  <c r="S529" i="1"/>
  <c r="T529" i="1"/>
  <c r="K530" i="1"/>
  <c r="L530" i="1"/>
  <c r="M530" i="1"/>
  <c r="N530" i="1"/>
  <c r="O530" i="1"/>
  <c r="P530" i="1"/>
  <c r="Q530" i="1"/>
  <c r="R530" i="1"/>
  <c r="S530" i="1"/>
  <c r="T530" i="1"/>
  <c r="K531" i="1"/>
  <c r="L531" i="1"/>
  <c r="M531" i="1"/>
  <c r="N531" i="1"/>
  <c r="O531" i="1"/>
  <c r="P531" i="1"/>
  <c r="Q531" i="1"/>
  <c r="R531" i="1"/>
  <c r="S531" i="1"/>
  <c r="T531" i="1"/>
  <c r="K532" i="1"/>
  <c r="L532" i="1"/>
  <c r="M532" i="1"/>
  <c r="N532" i="1"/>
  <c r="O532" i="1"/>
  <c r="P532" i="1"/>
  <c r="Q532" i="1"/>
  <c r="R532" i="1"/>
  <c r="S532" i="1"/>
  <c r="T532" i="1"/>
  <c r="K533" i="1"/>
  <c r="L533" i="1"/>
  <c r="M533" i="1"/>
  <c r="N533" i="1"/>
  <c r="O533" i="1"/>
  <c r="P533" i="1"/>
  <c r="Q533" i="1"/>
  <c r="R533" i="1"/>
  <c r="S533" i="1"/>
  <c r="T533" i="1"/>
  <c r="K534" i="1"/>
  <c r="L534" i="1"/>
  <c r="M534" i="1"/>
  <c r="N534" i="1"/>
  <c r="O534" i="1"/>
  <c r="P534" i="1"/>
  <c r="Q534" i="1"/>
  <c r="R534" i="1"/>
  <c r="S534" i="1"/>
  <c r="T534" i="1"/>
  <c r="K535" i="1"/>
  <c r="L535" i="1"/>
  <c r="M535" i="1"/>
  <c r="N535" i="1"/>
  <c r="O535" i="1"/>
  <c r="P535" i="1"/>
  <c r="Q535" i="1"/>
  <c r="R535" i="1"/>
  <c r="S535" i="1"/>
  <c r="T535" i="1"/>
  <c r="K536" i="1"/>
  <c r="L536" i="1"/>
  <c r="M536" i="1"/>
  <c r="N536" i="1"/>
  <c r="O536" i="1"/>
  <c r="P536" i="1"/>
  <c r="Q536" i="1"/>
  <c r="R536" i="1"/>
  <c r="S536" i="1"/>
  <c r="T536" i="1"/>
  <c r="K537" i="1"/>
  <c r="L537" i="1"/>
  <c r="M537" i="1"/>
  <c r="N537" i="1"/>
  <c r="O537" i="1"/>
  <c r="P537" i="1"/>
  <c r="Q537" i="1"/>
  <c r="R537" i="1"/>
  <c r="S537" i="1"/>
  <c r="T537" i="1"/>
  <c r="K538" i="1"/>
  <c r="L538" i="1"/>
  <c r="M538" i="1"/>
  <c r="N538" i="1"/>
  <c r="O538" i="1"/>
  <c r="P538" i="1"/>
  <c r="Q538" i="1"/>
  <c r="R538" i="1"/>
  <c r="S538" i="1"/>
  <c r="T538" i="1"/>
  <c r="K539" i="1"/>
  <c r="L539" i="1"/>
  <c r="M539" i="1"/>
  <c r="N539" i="1"/>
  <c r="O539" i="1"/>
  <c r="P539" i="1"/>
  <c r="Q539" i="1"/>
  <c r="R539" i="1"/>
  <c r="S539" i="1"/>
  <c r="T539" i="1"/>
  <c r="K540" i="1"/>
  <c r="L540" i="1"/>
  <c r="M540" i="1"/>
  <c r="N540" i="1"/>
  <c r="O540" i="1"/>
  <c r="P540" i="1"/>
  <c r="Q540" i="1"/>
  <c r="R540" i="1"/>
  <c r="S540" i="1"/>
  <c r="T540" i="1"/>
  <c r="K541" i="1"/>
  <c r="L541" i="1"/>
  <c r="M541" i="1"/>
  <c r="N541" i="1"/>
  <c r="O541" i="1"/>
  <c r="P541" i="1"/>
  <c r="Q541" i="1"/>
  <c r="R541" i="1"/>
  <c r="S541" i="1"/>
  <c r="T541" i="1"/>
  <c r="K542" i="1"/>
  <c r="L542" i="1"/>
  <c r="M542" i="1"/>
  <c r="N542" i="1"/>
  <c r="O542" i="1"/>
  <c r="P542" i="1"/>
  <c r="Q542" i="1"/>
  <c r="R542" i="1"/>
  <c r="S542" i="1"/>
  <c r="T542" i="1"/>
  <c r="K543" i="1"/>
  <c r="L543" i="1"/>
  <c r="M543" i="1"/>
  <c r="N543" i="1"/>
  <c r="O543" i="1"/>
  <c r="P543" i="1"/>
  <c r="Q543" i="1"/>
  <c r="R543" i="1"/>
  <c r="S543" i="1"/>
  <c r="T543" i="1"/>
  <c r="K544" i="1"/>
  <c r="L544" i="1"/>
  <c r="M544" i="1"/>
  <c r="N544" i="1"/>
  <c r="O544" i="1"/>
  <c r="P544" i="1"/>
  <c r="Q544" i="1"/>
  <c r="R544" i="1"/>
  <c r="S544" i="1"/>
  <c r="T544" i="1"/>
  <c r="K545" i="1"/>
  <c r="L545" i="1"/>
  <c r="M545" i="1"/>
  <c r="N545" i="1"/>
  <c r="O545" i="1"/>
  <c r="P545" i="1"/>
  <c r="Q545" i="1"/>
  <c r="R545" i="1"/>
  <c r="S545" i="1"/>
  <c r="T545" i="1"/>
  <c r="K546" i="1"/>
  <c r="L546" i="1"/>
  <c r="M546" i="1"/>
  <c r="N546" i="1"/>
  <c r="O546" i="1"/>
  <c r="P546" i="1"/>
  <c r="Q546" i="1"/>
  <c r="R546" i="1"/>
  <c r="S546" i="1"/>
  <c r="T546" i="1"/>
  <c r="K547" i="1"/>
  <c r="L547" i="1"/>
  <c r="M547" i="1"/>
  <c r="N547" i="1"/>
  <c r="O547" i="1"/>
  <c r="P547" i="1"/>
  <c r="Q547" i="1"/>
  <c r="R547" i="1"/>
  <c r="S547" i="1"/>
  <c r="T547" i="1"/>
  <c r="K548" i="1"/>
  <c r="L548" i="1"/>
  <c r="M548" i="1"/>
  <c r="N548" i="1"/>
  <c r="O548" i="1"/>
  <c r="P548" i="1"/>
  <c r="Q548" i="1"/>
  <c r="R548" i="1"/>
  <c r="S548" i="1"/>
  <c r="T548" i="1"/>
  <c r="K549" i="1"/>
  <c r="L549" i="1"/>
  <c r="M549" i="1"/>
  <c r="N549" i="1"/>
  <c r="O549" i="1"/>
  <c r="P549" i="1"/>
  <c r="Q549" i="1"/>
  <c r="R549" i="1"/>
  <c r="S549" i="1"/>
  <c r="T549" i="1"/>
  <c r="K550" i="1"/>
  <c r="L550" i="1"/>
  <c r="M550" i="1"/>
  <c r="N550" i="1"/>
  <c r="O550" i="1"/>
  <c r="P550" i="1"/>
  <c r="Q550" i="1"/>
  <c r="R550" i="1"/>
  <c r="S550" i="1"/>
  <c r="T550" i="1"/>
  <c r="K551" i="1"/>
  <c r="L551" i="1"/>
  <c r="M551" i="1"/>
  <c r="N551" i="1"/>
  <c r="O551" i="1"/>
  <c r="P551" i="1"/>
  <c r="Q551" i="1"/>
  <c r="R551" i="1"/>
  <c r="S551" i="1"/>
  <c r="T551" i="1"/>
  <c r="K552" i="1"/>
  <c r="L552" i="1"/>
  <c r="M552" i="1"/>
  <c r="N552" i="1"/>
  <c r="O552" i="1"/>
  <c r="P552" i="1"/>
  <c r="Q552" i="1"/>
  <c r="R552" i="1"/>
  <c r="S552" i="1"/>
  <c r="T552" i="1"/>
  <c r="K553" i="1"/>
  <c r="L553" i="1"/>
  <c r="M553" i="1"/>
  <c r="N553" i="1"/>
  <c r="O553" i="1"/>
  <c r="P553" i="1"/>
  <c r="Q553" i="1"/>
  <c r="R553" i="1"/>
  <c r="S553" i="1"/>
  <c r="T553" i="1"/>
  <c r="K554" i="1"/>
  <c r="L554" i="1"/>
  <c r="M554" i="1"/>
  <c r="N554" i="1"/>
  <c r="O554" i="1"/>
  <c r="P554" i="1"/>
  <c r="Q554" i="1"/>
  <c r="R554" i="1"/>
  <c r="S554" i="1"/>
  <c r="T554" i="1"/>
  <c r="K555" i="1"/>
  <c r="L555" i="1"/>
  <c r="M555" i="1"/>
  <c r="N555" i="1"/>
  <c r="O555" i="1"/>
  <c r="P555" i="1"/>
  <c r="Q555" i="1"/>
  <c r="R555" i="1"/>
  <c r="S555" i="1"/>
  <c r="T555" i="1"/>
  <c r="K556" i="1"/>
  <c r="L556" i="1"/>
  <c r="M556" i="1"/>
  <c r="N556" i="1"/>
  <c r="O556" i="1"/>
  <c r="P556" i="1"/>
  <c r="Q556" i="1"/>
  <c r="R556" i="1"/>
  <c r="S556" i="1"/>
  <c r="T556" i="1"/>
  <c r="K557" i="1"/>
  <c r="L557" i="1"/>
  <c r="M557" i="1"/>
  <c r="N557" i="1"/>
  <c r="O557" i="1"/>
  <c r="P557" i="1"/>
  <c r="Q557" i="1"/>
  <c r="R557" i="1"/>
  <c r="S557" i="1"/>
  <c r="T557" i="1"/>
  <c r="K558" i="1"/>
  <c r="L558" i="1"/>
  <c r="M558" i="1"/>
  <c r="N558" i="1"/>
  <c r="O558" i="1"/>
  <c r="P558" i="1"/>
  <c r="Q558" i="1"/>
  <c r="R558" i="1"/>
  <c r="S558" i="1"/>
  <c r="T558" i="1"/>
  <c r="K559" i="1"/>
  <c r="L559" i="1"/>
  <c r="M559" i="1"/>
  <c r="N559" i="1"/>
  <c r="O559" i="1"/>
  <c r="P559" i="1"/>
  <c r="Q559" i="1"/>
  <c r="R559" i="1"/>
  <c r="S559" i="1"/>
  <c r="T559" i="1"/>
  <c r="K560" i="1"/>
  <c r="L560" i="1"/>
  <c r="M560" i="1"/>
  <c r="N560" i="1"/>
  <c r="O560" i="1"/>
  <c r="P560" i="1"/>
  <c r="Q560" i="1"/>
  <c r="R560" i="1"/>
  <c r="S560" i="1"/>
  <c r="T560" i="1"/>
  <c r="K561" i="1"/>
  <c r="L561" i="1"/>
  <c r="M561" i="1"/>
  <c r="N561" i="1"/>
  <c r="O561" i="1"/>
  <c r="P561" i="1"/>
  <c r="Q561" i="1"/>
  <c r="R561" i="1"/>
  <c r="S561" i="1"/>
  <c r="T561" i="1"/>
  <c r="K562" i="1"/>
  <c r="L562" i="1"/>
  <c r="M562" i="1"/>
  <c r="N562" i="1"/>
  <c r="O562" i="1"/>
  <c r="P562" i="1"/>
  <c r="Q562" i="1"/>
  <c r="R562" i="1"/>
  <c r="S562" i="1"/>
  <c r="T562" i="1"/>
  <c r="K563" i="1"/>
  <c r="L563" i="1"/>
  <c r="M563" i="1"/>
  <c r="N563" i="1"/>
  <c r="O563" i="1"/>
  <c r="P563" i="1"/>
  <c r="Q563" i="1"/>
  <c r="R563" i="1"/>
  <c r="S563" i="1"/>
  <c r="T563" i="1"/>
  <c r="K564" i="1"/>
  <c r="L564" i="1"/>
  <c r="M564" i="1"/>
  <c r="N564" i="1"/>
  <c r="O564" i="1"/>
  <c r="P564" i="1"/>
  <c r="Q564" i="1"/>
  <c r="R564" i="1"/>
  <c r="S564" i="1"/>
  <c r="T564" i="1"/>
  <c r="K565" i="1"/>
  <c r="L565" i="1"/>
  <c r="M565" i="1"/>
  <c r="N565" i="1"/>
  <c r="O565" i="1"/>
  <c r="P565" i="1"/>
  <c r="Q565" i="1"/>
  <c r="R565" i="1"/>
  <c r="S565" i="1"/>
  <c r="T565" i="1"/>
  <c r="K566" i="1"/>
  <c r="L566" i="1"/>
  <c r="M566" i="1"/>
  <c r="N566" i="1"/>
  <c r="O566" i="1"/>
  <c r="P566" i="1"/>
  <c r="Q566" i="1"/>
  <c r="R566" i="1"/>
  <c r="S566" i="1"/>
  <c r="T566" i="1"/>
  <c r="K567" i="1"/>
  <c r="L567" i="1"/>
  <c r="M567" i="1"/>
  <c r="N567" i="1"/>
  <c r="O567" i="1"/>
  <c r="P567" i="1"/>
  <c r="Q567" i="1"/>
  <c r="R567" i="1"/>
  <c r="S567" i="1"/>
  <c r="T567" i="1"/>
  <c r="K568" i="1"/>
  <c r="L568" i="1"/>
  <c r="M568" i="1"/>
  <c r="N568" i="1"/>
  <c r="O568" i="1"/>
  <c r="P568" i="1"/>
  <c r="Q568" i="1"/>
  <c r="R568" i="1"/>
  <c r="S568" i="1"/>
  <c r="T568" i="1"/>
  <c r="K569" i="1"/>
  <c r="L569" i="1"/>
  <c r="M569" i="1"/>
  <c r="N569" i="1"/>
  <c r="O569" i="1"/>
  <c r="P569" i="1"/>
  <c r="Q569" i="1"/>
  <c r="R569" i="1"/>
  <c r="S569" i="1"/>
  <c r="T569" i="1"/>
  <c r="K570" i="1"/>
  <c r="L570" i="1"/>
  <c r="M570" i="1"/>
  <c r="N570" i="1"/>
  <c r="O570" i="1"/>
  <c r="P570" i="1"/>
  <c r="Q570" i="1"/>
  <c r="R570" i="1"/>
  <c r="S570" i="1"/>
  <c r="T570" i="1"/>
  <c r="K571" i="1"/>
  <c r="L571" i="1"/>
  <c r="M571" i="1"/>
  <c r="N571" i="1"/>
  <c r="O571" i="1"/>
  <c r="P571" i="1"/>
  <c r="Q571" i="1"/>
  <c r="R571" i="1"/>
  <c r="S571" i="1"/>
  <c r="T571" i="1"/>
  <c r="K572" i="1"/>
  <c r="L572" i="1"/>
  <c r="M572" i="1"/>
  <c r="N572" i="1"/>
  <c r="O572" i="1"/>
  <c r="P572" i="1"/>
  <c r="Q572" i="1"/>
  <c r="R572" i="1"/>
  <c r="S572" i="1"/>
  <c r="T572" i="1"/>
  <c r="K573" i="1"/>
  <c r="L573" i="1"/>
  <c r="M573" i="1"/>
  <c r="N573" i="1"/>
  <c r="O573" i="1"/>
  <c r="P573" i="1"/>
  <c r="Q573" i="1"/>
  <c r="R573" i="1"/>
  <c r="S573" i="1"/>
  <c r="T573" i="1"/>
  <c r="K574" i="1"/>
  <c r="L574" i="1"/>
  <c r="M574" i="1"/>
  <c r="N574" i="1"/>
  <c r="O574" i="1"/>
  <c r="P574" i="1"/>
  <c r="Q574" i="1"/>
  <c r="R574" i="1"/>
  <c r="S574" i="1"/>
  <c r="T574" i="1"/>
  <c r="K575" i="1"/>
  <c r="L575" i="1"/>
  <c r="M575" i="1"/>
  <c r="N575" i="1"/>
  <c r="O575" i="1"/>
  <c r="P575" i="1"/>
  <c r="Q575" i="1"/>
  <c r="R575" i="1"/>
  <c r="S575" i="1"/>
  <c r="T575" i="1"/>
  <c r="K576" i="1"/>
  <c r="L576" i="1"/>
  <c r="M576" i="1"/>
  <c r="N576" i="1"/>
  <c r="O576" i="1"/>
  <c r="P576" i="1"/>
  <c r="Q576" i="1"/>
  <c r="R576" i="1"/>
  <c r="S576" i="1"/>
  <c r="T576" i="1"/>
  <c r="K577" i="1"/>
  <c r="L577" i="1"/>
  <c r="M577" i="1"/>
  <c r="N577" i="1"/>
  <c r="O577" i="1"/>
  <c r="P577" i="1"/>
  <c r="Q577" i="1"/>
  <c r="R577" i="1"/>
  <c r="S577" i="1"/>
  <c r="T577" i="1"/>
  <c r="K578" i="1"/>
  <c r="L578" i="1"/>
  <c r="M578" i="1"/>
  <c r="N578" i="1"/>
  <c r="O578" i="1"/>
  <c r="P578" i="1"/>
  <c r="Q578" i="1"/>
  <c r="R578" i="1"/>
  <c r="S578" i="1"/>
  <c r="T578" i="1"/>
  <c r="K579" i="1"/>
  <c r="L579" i="1"/>
  <c r="M579" i="1"/>
  <c r="N579" i="1"/>
  <c r="O579" i="1"/>
  <c r="P579" i="1"/>
  <c r="Q579" i="1"/>
  <c r="R579" i="1"/>
  <c r="S579" i="1"/>
  <c r="T579" i="1"/>
  <c r="K580" i="1"/>
  <c r="L580" i="1"/>
  <c r="M580" i="1"/>
  <c r="N580" i="1"/>
  <c r="O580" i="1"/>
  <c r="P580" i="1"/>
  <c r="Q580" i="1"/>
  <c r="R580" i="1"/>
  <c r="S580" i="1"/>
  <c r="T580" i="1"/>
  <c r="K581" i="1"/>
  <c r="L581" i="1"/>
  <c r="M581" i="1"/>
  <c r="N581" i="1"/>
  <c r="O581" i="1"/>
  <c r="P581" i="1"/>
  <c r="Q581" i="1"/>
  <c r="R581" i="1"/>
  <c r="S581" i="1"/>
  <c r="T581" i="1"/>
  <c r="K582" i="1"/>
  <c r="L582" i="1"/>
  <c r="M582" i="1"/>
  <c r="N582" i="1"/>
  <c r="O582" i="1"/>
  <c r="P582" i="1"/>
  <c r="Q582" i="1"/>
  <c r="R582" i="1"/>
  <c r="S582" i="1"/>
  <c r="T582" i="1"/>
  <c r="K583" i="1"/>
  <c r="L583" i="1"/>
  <c r="M583" i="1"/>
  <c r="N583" i="1"/>
  <c r="O583" i="1"/>
  <c r="P583" i="1"/>
  <c r="Q583" i="1"/>
  <c r="R583" i="1"/>
  <c r="S583" i="1"/>
  <c r="T583" i="1"/>
  <c r="K584" i="1"/>
  <c r="L584" i="1"/>
  <c r="M584" i="1"/>
  <c r="N584" i="1"/>
  <c r="O584" i="1"/>
  <c r="P584" i="1"/>
  <c r="Q584" i="1"/>
  <c r="R584" i="1"/>
  <c r="S584" i="1"/>
  <c r="T584" i="1"/>
  <c r="K585" i="1"/>
  <c r="L585" i="1"/>
  <c r="M585" i="1"/>
  <c r="N585" i="1"/>
  <c r="O585" i="1"/>
  <c r="P585" i="1"/>
  <c r="Q585" i="1"/>
  <c r="R585" i="1"/>
  <c r="S585" i="1"/>
  <c r="T585" i="1"/>
  <c r="K586" i="1"/>
  <c r="L586" i="1"/>
  <c r="M586" i="1"/>
  <c r="N586" i="1"/>
  <c r="O586" i="1"/>
  <c r="P586" i="1"/>
  <c r="Q586" i="1"/>
  <c r="R586" i="1"/>
  <c r="S586" i="1"/>
  <c r="T586" i="1"/>
  <c r="K587" i="1"/>
  <c r="L587" i="1"/>
  <c r="M587" i="1"/>
  <c r="N587" i="1"/>
  <c r="O587" i="1"/>
  <c r="P587" i="1"/>
  <c r="Q587" i="1"/>
  <c r="R587" i="1"/>
  <c r="S587" i="1"/>
  <c r="T587" i="1"/>
  <c r="K588" i="1"/>
  <c r="L588" i="1"/>
  <c r="M588" i="1"/>
  <c r="N588" i="1"/>
  <c r="O588" i="1"/>
  <c r="P588" i="1"/>
  <c r="Q588" i="1"/>
  <c r="R588" i="1"/>
  <c r="S588" i="1"/>
  <c r="T588" i="1"/>
  <c r="K589" i="1"/>
  <c r="L589" i="1"/>
  <c r="M589" i="1"/>
  <c r="N589" i="1"/>
  <c r="O589" i="1"/>
  <c r="P589" i="1"/>
  <c r="Q589" i="1"/>
  <c r="R589" i="1"/>
  <c r="S589" i="1"/>
  <c r="T589" i="1"/>
  <c r="K590" i="1"/>
  <c r="L590" i="1"/>
  <c r="M590" i="1"/>
  <c r="N590" i="1"/>
  <c r="O590" i="1"/>
  <c r="P590" i="1"/>
  <c r="Q590" i="1"/>
  <c r="R590" i="1"/>
  <c r="S590" i="1"/>
  <c r="T590" i="1"/>
  <c r="K591" i="1"/>
  <c r="L591" i="1"/>
  <c r="M591" i="1"/>
  <c r="N591" i="1"/>
  <c r="O591" i="1"/>
  <c r="P591" i="1"/>
  <c r="Q591" i="1"/>
  <c r="R591" i="1"/>
  <c r="S591" i="1"/>
  <c r="T591" i="1"/>
  <c r="K592" i="1"/>
  <c r="L592" i="1"/>
  <c r="M592" i="1"/>
  <c r="N592" i="1"/>
  <c r="O592" i="1"/>
  <c r="P592" i="1"/>
  <c r="Q592" i="1"/>
  <c r="R592" i="1"/>
  <c r="S592" i="1"/>
  <c r="T592" i="1"/>
  <c r="K593" i="1"/>
  <c r="L593" i="1"/>
  <c r="M593" i="1"/>
  <c r="N593" i="1"/>
  <c r="O593" i="1"/>
  <c r="P593" i="1"/>
  <c r="Q593" i="1"/>
  <c r="R593" i="1"/>
  <c r="S593" i="1"/>
  <c r="T593" i="1"/>
  <c r="K594" i="1"/>
  <c r="L594" i="1"/>
  <c r="M594" i="1"/>
  <c r="N594" i="1"/>
  <c r="O594" i="1"/>
  <c r="P594" i="1"/>
  <c r="Q594" i="1"/>
  <c r="R594" i="1"/>
  <c r="S594" i="1"/>
  <c r="T594" i="1"/>
  <c r="K595" i="1"/>
  <c r="L595" i="1"/>
  <c r="M595" i="1"/>
  <c r="N595" i="1"/>
  <c r="O595" i="1"/>
  <c r="P595" i="1"/>
  <c r="Q595" i="1"/>
  <c r="R595" i="1"/>
  <c r="S595" i="1"/>
  <c r="T595" i="1"/>
  <c r="K596" i="1"/>
  <c r="L596" i="1"/>
  <c r="M596" i="1"/>
  <c r="N596" i="1"/>
  <c r="O596" i="1"/>
  <c r="P596" i="1"/>
  <c r="Q596" i="1"/>
  <c r="R596" i="1"/>
  <c r="S596" i="1"/>
  <c r="T596" i="1"/>
  <c r="K597" i="1"/>
  <c r="L597" i="1"/>
  <c r="M597" i="1"/>
  <c r="N597" i="1"/>
  <c r="O597" i="1"/>
  <c r="P597" i="1"/>
  <c r="Q597" i="1"/>
  <c r="R597" i="1"/>
  <c r="S597" i="1"/>
  <c r="T597" i="1"/>
  <c r="K598" i="1"/>
  <c r="L598" i="1"/>
  <c r="M598" i="1"/>
  <c r="N598" i="1"/>
  <c r="O598" i="1"/>
  <c r="P598" i="1"/>
  <c r="Q598" i="1"/>
  <c r="R598" i="1"/>
  <c r="S598" i="1"/>
  <c r="T598" i="1"/>
  <c r="K599" i="1"/>
  <c r="L599" i="1"/>
  <c r="M599" i="1"/>
  <c r="N599" i="1"/>
  <c r="O599" i="1"/>
  <c r="P599" i="1"/>
  <c r="Q599" i="1"/>
  <c r="R599" i="1"/>
  <c r="S599" i="1"/>
  <c r="T599" i="1"/>
  <c r="K600" i="1"/>
  <c r="L600" i="1"/>
  <c r="M600" i="1"/>
  <c r="N600" i="1"/>
  <c r="O600" i="1"/>
  <c r="P600" i="1"/>
  <c r="Q600" i="1"/>
  <c r="R600" i="1"/>
  <c r="S600" i="1"/>
  <c r="T600" i="1"/>
  <c r="K601" i="1"/>
  <c r="L601" i="1"/>
  <c r="M601" i="1"/>
  <c r="N601" i="1"/>
  <c r="O601" i="1"/>
  <c r="P601" i="1"/>
  <c r="Q601" i="1"/>
  <c r="R601" i="1"/>
  <c r="S601" i="1"/>
  <c r="T601" i="1"/>
  <c r="K602" i="1"/>
  <c r="L602" i="1"/>
  <c r="M602" i="1"/>
  <c r="N602" i="1"/>
  <c r="O602" i="1"/>
  <c r="P602" i="1"/>
  <c r="Q602" i="1"/>
  <c r="R602" i="1"/>
  <c r="S602" i="1"/>
  <c r="T602" i="1"/>
  <c r="K603" i="1"/>
  <c r="L603" i="1"/>
  <c r="M603" i="1"/>
  <c r="N603" i="1"/>
  <c r="O603" i="1"/>
  <c r="P603" i="1"/>
  <c r="Q603" i="1"/>
  <c r="R603" i="1"/>
  <c r="S603" i="1"/>
  <c r="T603" i="1"/>
  <c r="K604" i="1"/>
  <c r="L604" i="1"/>
  <c r="M604" i="1"/>
  <c r="N604" i="1"/>
  <c r="O604" i="1"/>
  <c r="P604" i="1"/>
  <c r="Q604" i="1"/>
  <c r="R604" i="1"/>
  <c r="S604" i="1"/>
  <c r="T604" i="1"/>
  <c r="K605" i="1"/>
  <c r="L605" i="1"/>
  <c r="M605" i="1"/>
  <c r="N605" i="1"/>
  <c r="O605" i="1"/>
  <c r="P605" i="1"/>
  <c r="Q605" i="1"/>
  <c r="R605" i="1"/>
  <c r="S605" i="1"/>
  <c r="T605" i="1"/>
  <c r="K606" i="1"/>
  <c r="L606" i="1"/>
  <c r="M606" i="1"/>
  <c r="N606" i="1"/>
  <c r="O606" i="1"/>
  <c r="P606" i="1"/>
  <c r="Q606" i="1"/>
  <c r="R606" i="1"/>
  <c r="S606" i="1"/>
  <c r="T606" i="1"/>
  <c r="K607" i="1"/>
  <c r="L607" i="1"/>
  <c r="M607" i="1"/>
  <c r="N607" i="1"/>
  <c r="O607" i="1"/>
  <c r="P607" i="1"/>
  <c r="Q607" i="1"/>
  <c r="R607" i="1"/>
  <c r="S607" i="1"/>
  <c r="T607" i="1"/>
  <c r="K608" i="1"/>
  <c r="L608" i="1"/>
  <c r="M608" i="1"/>
  <c r="N608" i="1"/>
  <c r="O608" i="1"/>
  <c r="P608" i="1"/>
  <c r="Q608" i="1"/>
  <c r="R608" i="1"/>
  <c r="S608" i="1"/>
  <c r="T608" i="1"/>
  <c r="K609" i="1"/>
  <c r="L609" i="1"/>
  <c r="M609" i="1"/>
  <c r="N609" i="1"/>
  <c r="O609" i="1"/>
  <c r="P609" i="1"/>
  <c r="Q609" i="1"/>
  <c r="R609" i="1"/>
  <c r="S609" i="1"/>
  <c r="T609" i="1"/>
  <c r="K610" i="1"/>
  <c r="L610" i="1"/>
  <c r="M610" i="1"/>
  <c r="N610" i="1"/>
  <c r="O610" i="1"/>
  <c r="P610" i="1"/>
  <c r="Q610" i="1"/>
  <c r="R610" i="1"/>
  <c r="S610" i="1"/>
  <c r="T610" i="1"/>
  <c r="K611" i="1"/>
  <c r="L611" i="1"/>
  <c r="M611" i="1"/>
  <c r="N611" i="1"/>
  <c r="O611" i="1"/>
  <c r="P611" i="1"/>
  <c r="Q611" i="1"/>
  <c r="R611" i="1"/>
  <c r="S611" i="1"/>
  <c r="T611" i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2" i="3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2" i="9"/>
  <c r="T6" i="2"/>
  <c r="X611" i="8"/>
  <c r="X610" i="8"/>
  <c r="X609" i="8"/>
  <c r="X608" i="8"/>
  <c r="X607" i="8"/>
  <c r="X606" i="8"/>
  <c r="X605" i="8"/>
  <c r="X604" i="8"/>
  <c r="X603" i="8"/>
  <c r="X602" i="8"/>
  <c r="X601" i="8"/>
  <c r="X600" i="8"/>
  <c r="X599" i="8"/>
  <c r="X598" i="8"/>
  <c r="X597" i="8"/>
  <c r="X596" i="8"/>
  <c r="X595" i="8"/>
  <c r="X594" i="8"/>
  <c r="X593" i="8"/>
  <c r="X592" i="8"/>
  <c r="X591" i="8"/>
  <c r="X590" i="8"/>
  <c r="X589" i="8"/>
  <c r="X588" i="8"/>
  <c r="X587" i="8"/>
  <c r="X586" i="8"/>
  <c r="X585" i="8"/>
  <c r="X584" i="8"/>
  <c r="X583" i="8"/>
  <c r="X582" i="8"/>
  <c r="X581" i="8"/>
  <c r="X580" i="8"/>
  <c r="X579" i="8"/>
  <c r="X578" i="8"/>
  <c r="X577" i="8"/>
  <c r="X576" i="8"/>
  <c r="X575" i="8"/>
  <c r="X574" i="8"/>
  <c r="X573" i="8"/>
  <c r="X572" i="8"/>
  <c r="X571" i="8"/>
  <c r="X570" i="8"/>
  <c r="X569" i="8"/>
  <c r="X568" i="8"/>
  <c r="X567" i="8"/>
  <c r="X566" i="8"/>
  <c r="X565" i="8"/>
  <c r="X564" i="8"/>
  <c r="X563" i="8"/>
  <c r="X562" i="8"/>
  <c r="X561" i="8"/>
  <c r="X560" i="8"/>
  <c r="X559" i="8"/>
  <c r="X558" i="8"/>
  <c r="X557" i="8"/>
  <c r="X556" i="8"/>
  <c r="X555" i="8"/>
  <c r="X554" i="8"/>
  <c r="X553" i="8"/>
  <c r="X552" i="8"/>
  <c r="X551" i="8"/>
  <c r="X550" i="8"/>
  <c r="X549" i="8"/>
  <c r="X548" i="8"/>
  <c r="X547" i="8"/>
  <c r="X546" i="8"/>
  <c r="X545" i="8"/>
  <c r="X544" i="8"/>
  <c r="X543" i="8"/>
  <c r="X542" i="8"/>
  <c r="X541" i="8"/>
  <c r="X540" i="8"/>
  <c r="X539" i="8"/>
  <c r="X538" i="8"/>
  <c r="X537" i="8"/>
  <c r="X536" i="8"/>
  <c r="X535" i="8"/>
  <c r="X534" i="8"/>
  <c r="X533" i="8"/>
  <c r="X532" i="8"/>
  <c r="X531" i="8"/>
  <c r="X530" i="8"/>
  <c r="X529" i="8"/>
  <c r="X528" i="8"/>
  <c r="X527" i="8"/>
  <c r="X526" i="8"/>
  <c r="X525" i="8"/>
  <c r="X524" i="8"/>
  <c r="X523" i="8"/>
  <c r="X522" i="8"/>
  <c r="X521" i="8"/>
  <c r="X520" i="8"/>
  <c r="X519" i="8"/>
  <c r="X518" i="8"/>
  <c r="X517" i="8"/>
  <c r="X516" i="8"/>
  <c r="X515" i="8"/>
  <c r="X514" i="8"/>
  <c r="X513" i="8"/>
  <c r="X512" i="8"/>
  <c r="X511" i="8"/>
  <c r="X510" i="8"/>
  <c r="X509" i="8"/>
  <c r="X508" i="8"/>
  <c r="X507" i="8"/>
  <c r="X506" i="8"/>
  <c r="X505" i="8"/>
  <c r="X504" i="8"/>
  <c r="X503" i="8"/>
  <c r="X502" i="8"/>
  <c r="X501" i="8"/>
  <c r="X500" i="8"/>
  <c r="X499" i="8"/>
  <c r="X498" i="8"/>
  <c r="X497" i="8"/>
  <c r="X496" i="8"/>
  <c r="X495" i="8"/>
  <c r="X494" i="8"/>
  <c r="X493" i="8"/>
  <c r="X492" i="8"/>
  <c r="X491" i="8"/>
  <c r="X490" i="8"/>
  <c r="X489" i="8"/>
  <c r="X488" i="8"/>
  <c r="X487" i="8"/>
  <c r="X486" i="8"/>
  <c r="X485" i="8"/>
  <c r="X484" i="8"/>
  <c r="X483" i="8"/>
  <c r="X482" i="8"/>
  <c r="X481" i="8"/>
  <c r="X480" i="8"/>
  <c r="X479" i="8"/>
  <c r="X478" i="8"/>
  <c r="X477" i="8"/>
  <c r="X476" i="8"/>
  <c r="X475" i="8"/>
  <c r="X474" i="8"/>
  <c r="X473" i="8"/>
  <c r="X472" i="8"/>
  <c r="X471" i="8"/>
  <c r="X470" i="8"/>
  <c r="X469" i="8"/>
  <c r="X468" i="8"/>
  <c r="X467" i="8"/>
  <c r="X466" i="8"/>
  <c r="X465" i="8"/>
  <c r="X464" i="8"/>
  <c r="X463" i="8"/>
  <c r="X462" i="8"/>
  <c r="X461" i="8"/>
  <c r="X460" i="8"/>
  <c r="X459" i="8"/>
  <c r="X458" i="8"/>
  <c r="X457" i="8"/>
  <c r="X456" i="8"/>
  <c r="X455" i="8"/>
  <c r="X454" i="8"/>
  <c r="X453" i="8"/>
  <c r="X452" i="8"/>
  <c r="X451" i="8"/>
  <c r="X450" i="8"/>
  <c r="X449" i="8"/>
  <c r="X448" i="8"/>
  <c r="X447" i="8"/>
  <c r="X446" i="8"/>
  <c r="X445" i="8"/>
  <c r="X444" i="8"/>
  <c r="X443" i="8"/>
  <c r="X442" i="8"/>
  <c r="X441" i="8"/>
  <c r="X440" i="8"/>
  <c r="X439" i="8"/>
  <c r="X438" i="8"/>
  <c r="X437" i="8"/>
  <c r="X436" i="8"/>
  <c r="X435" i="8"/>
  <c r="X434" i="8"/>
  <c r="X433" i="8"/>
  <c r="X432" i="8"/>
  <c r="X431" i="8"/>
  <c r="X430" i="8"/>
  <c r="X429" i="8"/>
  <c r="X428" i="8"/>
  <c r="X427" i="8"/>
  <c r="X426" i="8"/>
  <c r="X425" i="8"/>
  <c r="X424" i="8"/>
  <c r="X423" i="8"/>
  <c r="X422" i="8"/>
  <c r="X421" i="8"/>
  <c r="X420" i="8"/>
  <c r="X419" i="8"/>
  <c r="X418" i="8"/>
  <c r="X417" i="8"/>
  <c r="X416" i="8"/>
  <c r="X415" i="8"/>
  <c r="X414" i="8"/>
  <c r="X413" i="8"/>
  <c r="X412" i="8"/>
  <c r="X411" i="8"/>
  <c r="X410" i="8"/>
  <c r="X409" i="8"/>
  <c r="X408" i="8"/>
  <c r="X407" i="8"/>
  <c r="X406" i="8"/>
  <c r="X405" i="8"/>
  <c r="X404" i="8"/>
  <c r="X403" i="8"/>
  <c r="X402" i="8"/>
  <c r="X401" i="8"/>
  <c r="X400" i="8"/>
  <c r="X399" i="8"/>
  <c r="X398" i="8"/>
  <c r="X397" i="8"/>
  <c r="X396" i="8"/>
  <c r="X395" i="8"/>
  <c r="X394" i="8"/>
  <c r="X393" i="8"/>
  <c r="X392" i="8"/>
  <c r="X391" i="8"/>
  <c r="X390" i="8"/>
  <c r="X389" i="8"/>
  <c r="X388" i="8"/>
  <c r="X387" i="8"/>
  <c r="X386" i="8"/>
  <c r="X385" i="8"/>
  <c r="X384" i="8"/>
  <c r="X383" i="8"/>
  <c r="X382" i="8"/>
  <c r="X381" i="8"/>
  <c r="X380" i="8"/>
  <c r="X379" i="8"/>
  <c r="X378" i="8"/>
  <c r="X377" i="8"/>
  <c r="X376" i="8"/>
  <c r="X375" i="8"/>
  <c r="X374" i="8"/>
  <c r="X373" i="8"/>
  <c r="X372" i="8"/>
  <c r="X371" i="8"/>
  <c r="X370" i="8"/>
  <c r="X369" i="8"/>
  <c r="X368" i="8"/>
  <c r="X367" i="8"/>
  <c r="X366" i="8"/>
  <c r="X365" i="8"/>
  <c r="X364" i="8"/>
  <c r="X363" i="8"/>
  <c r="X362" i="8"/>
  <c r="X361" i="8"/>
  <c r="X360" i="8"/>
  <c r="X359" i="8"/>
  <c r="X358" i="8"/>
  <c r="X357" i="8"/>
  <c r="X356" i="8"/>
  <c r="X355" i="8"/>
  <c r="X354" i="8"/>
  <c r="X353" i="8"/>
  <c r="X352" i="8"/>
  <c r="X351" i="8"/>
  <c r="X350" i="8"/>
  <c r="X349" i="8"/>
  <c r="X348" i="8"/>
  <c r="X347" i="8"/>
  <c r="X346" i="8"/>
  <c r="X345" i="8"/>
  <c r="X344" i="8"/>
  <c r="X343" i="8"/>
  <c r="X342" i="8"/>
  <c r="X341" i="8"/>
  <c r="X340" i="8"/>
  <c r="X339" i="8"/>
  <c r="X338" i="8"/>
  <c r="X337" i="8"/>
  <c r="X336" i="8"/>
  <c r="X335" i="8"/>
  <c r="X334" i="8"/>
  <c r="X333" i="8"/>
  <c r="X332" i="8"/>
  <c r="X331" i="8"/>
  <c r="X330" i="8"/>
  <c r="X329" i="8"/>
  <c r="X328" i="8"/>
  <c r="X327" i="8"/>
  <c r="X326" i="8"/>
  <c r="X325" i="8"/>
  <c r="X324" i="8"/>
  <c r="X323" i="8"/>
  <c r="X322" i="8"/>
  <c r="X321" i="8"/>
  <c r="X320" i="8"/>
  <c r="X319" i="8"/>
  <c r="X318" i="8"/>
  <c r="X317" i="8"/>
  <c r="X316" i="8"/>
  <c r="X315" i="8"/>
  <c r="X314" i="8"/>
  <c r="X313" i="8"/>
  <c r="X312" i="8"/>
  <c r="X311" i="8"/>
  <c r="X310" i="8"/>
  <c r="X309" i="8"/>
  <c r="X308" i="8"/>
  <c r="X307" i="8"/>
  <c r="X306" i="8"/>
  <c r="X305" i="8"/>
  <c r="X304" i="8"/>
  <c r="X303" i="8"/>
  <c r="X302" i="8"/>
  <c r="X301" i="8"/>
  <c r="X300" i="8"/>
  <c r="X299" i="8"/>
  <c r="X298" i="8"/>
  <c r="X297" i="8"/>
  <c r="X296" i="8"/>
  <c r="X295" i="8"/>
  <c r="X294" i="8"/>
  <c r="X293" i="8"/>
  <c r="X292" i="8"/>
  <c r="X291" i="8"/>
  <c r="X290" i="8"/>
  <c r="X289" i="8"/>
  <c r="X288" i="8"/>
  <c r="X287" i="8"/>
  <c r="X286" i="8"/>
  <c r="X285" i="8"/>
  <c r="X284" i="8"/>
  <c r="X283" i="8"/>
  <c r="X282" i="8"/>
  <c r="X281" i="8"/>
  <c r="X280" i="8"/>
  <c r="X279" i="8"/>
  <c r="X278" i="8"/>
  <c r="X277" i="8"/>
  <c r="X276" i="8"/>
  <c r="X275" i="8"/>
  <c r="X274" i="8"/>
  <c r="X273" i="8"/>
  <c r="X272" i="8"/>
  <c r="X271" i="8"/>
  <c r="X270" i="8"/>
  <c r="X269" i="8"/>
  <c r="X268" i="8"/>
  <c r="X267" i="8"/>
  <c r="X266" i="8"/>
  <c r="X265" i="8"/>
  <c r="X264" i="8"/>
  <c r="X263" i="8"/>
  <c r="X262" i="8"/>
  <c r="X261" i="8"/>
  <c r="X260" i="8"/>
  <c r="X259" i="8"/>
  <c r="X258" i="8"/>
  <c r="X257" i="8"/>
  <c r="X256" i="8"/>
  <c r="X255" i="8"/>
  <c r="X254" i="8"/>
  <c r="X253" i="8"/>
  <c r="X252" i="8"/>
  <c r="X251" i="8"/>
  <c r="X250" i="8"/>
  <c r="X249" i="8"/>
  <c r="X248" i="8"/>
  <c r="X247" i="8"/>
  <c r="X246" i="8"/>
  <c r="X245" i="8"/>
  <c r="X244" i="8"/>
  <c r="X243" i="8"/>
  <c r="X242" i="8"/>
  <c r="X241" i="8"/>
  <c r="X240" i="8"/>
  <c r="X239" i="8"/>
  <c r="X238" i="8"/>
  <c r="X237" i="8"/>
  <c r="X236" i="8"/>
  <c r="X235" i="8"/>
  <c r="X234" i="8"/>
  <c r="X233" i="8"/>
  <c r="X232" i="8"/>
  <c r="X231" i="8"/>
  <c r="X230" i="8"/>
  <c r="X229" i="8"/>
  <c r="X228" i="8"/>
  <c r="X227" i="8"/>
  <c r="X226" i="8"/>
  <c r="X225" i="8"/>
  <c r="X224" i="8"/>
  <c r="X223" i="8"/>
  <c r="X222" i="8"/>
  <c r="X221" i="8"/>
  <c r="X220" i="8"/>
  <c r="X219" i="8"/>
  <c r="X218" i="8"/>
  <c r="X217" i="8"/>
  <c r="X216" i="8"/>
  <c r="X215" i="8"/>
  <c r="X214" i="8"/>
  <c r="X213" i="8"/>
  <c r="X21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X181" i="8"/>
  <c r="X180" i="8"/>
  <c r="X179" i="8"/>
  <c r="X178" i="8"/>
  <c r="X17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X147" i="8"/>
  <c r="X146" i="8"/>
  <c r="X145" i="8"/>
  <c r="X144" i="8"/>
  <c r="X143" i="8"/>
  <c r="X14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X111" i="8"/>
  <c r="X110" i="8"/>
  <c r="X109" i="8"/>
  <c r="X108" i="8"/>
  <c r="X10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X77" i="8"/>
  <c r="X76" i="8"/>
  <c r="X75" i="8"/>
  <c r="X74" i="8"/>
  <c r="X73" i="8"/>
  <c r="X7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X2" i="8"/>
  <c r="W2" i="8"/>
  <c r="W611" i="8"/>
  <c r="W610" i="8"/>
  <c r="W609" i="8"/>
  <c r="W608" i="8"/>
  <c r="W607" i="8"/>
  <c r="W606" i="8"/>
  <c r="W605" i="8"/>
  <c r="W604" i="8"/>
  <c r="W603" i="8"/>
  <c r="W602" i="8"/>
  <c r="W601" i="8"/>
  <c r="W600" i="8"/>
  <c r="W599" i="8"/>
  <c r="W598" i="8"/>
  <c r="W597" i="8"/>
  <c r="W596" i="8"/>
  <c r="W595" i="8"/>
  <c r="W594" i="8"/>
  <c r="W593" i="8"/>
  <c r="W592" i="8"/>
  <c r="W591" i="8"/>
  <c r="W590" i="8"/>
  <c r="W589" i="8"/>
  <c r="W588" i="8"/>
  <c r="W587" i="8"/>
  <c r="W586" i="8"/>
  <c r="W585" i="8"/>
  <c r="W584" i="8"/>
  <c r="W583" i="8"/>
  <c r="W582" i="8"/>
  <c r="W581" i="8"/>
  <c r="W580" i="8"/>
  <c r="W579" i="8"/>
  <c r="W578" i="8"/>
  <c r="W577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W557" i="8"/>
  <c r="W556" i="8"/>
  <c r="W555" i="8"/>
  <c r="W554" i="8"/>
  <c r="W553" i="8"/>
  <c r="W552" i="8"/>
  <c r="W551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W531" i="8"/>
  <c r="W530" i="8"/>
  <c r="W529" i="8"/>
  <c r="W528" i="8"/>
  <c r="W527" i="8"/>
  <c r="W526" i="8"/>
  <c r="W525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W505" i="8"/>
  <c r="W504" i="8"/>
  <c r="W503" i="8"/>
  <c r="W502" i="8"/>
  <c r="W50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W480" i="8"/>
  <c r="W479" i="8"/>
  <c r="W478" i="8"/>
  <c r="W477" i="8"/>
  <c r="W476" i="8"/>
  <c r="W475" i="8"/>
  <c r="W474" i="8"/>
  <c r="W473" i="8"/>
  <c r="W472" i="8"/>
  <c r="W471" i="8"/>
  <c r="W470" i="8"/>
  <c r="W469" i="8"/>
  <c r="W468" i="8"/>
  <c r="W467" i="8"/>
  <c r="W466" i="8"/>
  <c r="W465" i="8"/>
  <c r="W464" i="8"/>
  <c r="W463" i="8"/>
  <c r="W462" i="8"/>
  <c r="W461" i="8"/>
  <c r="W460" i="8"/>
  <c r="W459" i="8"/>
  <c r="W458" i="8"/>
  <c r="W457" i="8"/>
  <c r="W456" i="8"/>
  <c r="W455" i="8"/>
  <c r="W454" i="8"/>
  <c r="W453" i="8"/>
  <c r="W452" i="8"/>
  <c r="W451" i="8"/>
  <c r="W450" i="8"/>
  <c r="W449" i="8"/>
  <c r="W448" i="8"/>
  <c r="W447" i="8"/>
  <c r="W446" i="8"/>
  <c r="W445" i="8"/>
  <c r="W444" i="8"/>
  <c r="W443" i="8"/>
  <c r="W442" i="8"/>
  <c r="W441" i="8"/>
  <c r="W440" i="8"/>
  <c r="W439" i="8"/>
  <c r="W438" i="8"/>
  <c r="W437" i="8"/>
  <c r="W436" i="8"/>
  <c r="W435" i="8"/>
  <c r="W434" i="8"/>
  <c r="W433" i="8"/>
  <c r="W432" i="8"/>
  <c r="W431" i="8"/>
  <c r="W430" i="8"/>
  <c r="W429" i="8"/>
  <c r="W428" i="8"/>
  <c r="W427" i="8"/>
  <c r="W426" i="8"/>
  <c r="W425" i="8"/>
  <c r="W424" i="8"/>
  <c r="W423" i="8"/>
  <c r="W422" i="8"/>
  <c r="W421" i="8"/>
  <c r="W420" i="8"/>
  <c r="W419" i="8"/>
  <c r="W418" i="8"/>
  <c r="W417" i="8"/>
  <c r="W416" i="8"/>
  <c r="W415" i="8"/>
  <c r="W414" i="8"/>
  <c r="W413" i="8"/>
  <c r="W412" i="8"/>
  <c r="W411" i="8"/>
  <c r="W410" i="8"/>
  <c r="W409" i="8"/>
  <c r="W408" i="8"/>
  <c r="W407" i="8"/>
  <c r="W406" i="8"/>
  <c r="W405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W390" i="8"/>
  <c r="W389" i="8"/>
  <c r="W388" i="8"/>
  <c r="W387" i="8"/>
  <c r="W386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W370" i="8"/>
  <c r="W369" i="8"/>
  <c r="W368" i="8"/>
  <c r="W367" i="8"/>
  <c r="W366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W350" i="8"/>
  <c r="W349" i="8"/>
  <c r="W348" i="8"/>
  <c r="W347" i="8"/>
  <c r="W346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1" i="8"/>
  <c r="W300" i="8"/>
  <c r="W299" i="8"/>
  <c r="W298" i="8"/>
  <c r="W297" i="8"/>
  <c r="W296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W166" i="8"/>
  <c r="W165" i="8"/>
  <c r="W164" i="8"/>
  <c r="W163" i="8"/>
  <c r="W162" i="8"/>
  <c r="W161" i="8"/>
  <c r="W160" i="8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104" i="8"/>
  <c r="W103" i="8"/>
  <c r="W102" i="8"/>
  <c r="W101" i="8"/>
  <c r="W100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T611" i="9"/>
  <c r="S611" i="9"/>
  <c r="R611" i="9"/>
  <c r="Q611" i="9"/>
  <c r="P611" i="9"/>
  <c r="O611" i="9"/>
  <c r="N611" i="9"/>
  <c r="M611" i="9"/>
  <c r="L611" i="9"/>
  <c r="K611" i="9"/>
  <c r="J611" i="9"/>
  <c r="I611" i="9"/>
  <c r="T610" i="9"/>
  <c r="S610" i="9"/>
  <c r="R610" i="9"/>
  <c r="Q610" i="9"/>
  <c r="P610" i="9"/>
  <c r="O610" i="9"/>
  <c r="N610" i="9"/>
  <c r="M610" i="9"/>
  <c r="L610" i="9"/>
  <c r="K610" i="9"/>
  <c r="J610" i="9"/>
  <c r="I610" i="9"/>
  <c r="T609" i="9"/>
  <c r="S609" i="9"/>
  <c r="R609" i="9"/>
  <c r="Q609" i="9"/>
  <c r="P609" i="9"/>
  <c r="O609" i="9"/>
  <c r="N609" i="9"/>
  <c r="M609" i="9"/>
  <c r="L609" i="9"/>
  <c r="K609" i="9"/>
  <c r="J609" i="9"/>
  <c r="I609" i="9"/>
  <c r="T608" i="9"/>
  <c r="S608" i="9"/>
  <c r="R608" i="9"/>
  <c r="Q608" i="9"/>
  <c r="P608" i="9"/>
  <c r="O608" i="9"/>
  <c r="N608" i="9"/>
  <c r="M608" i="9"/>
  <c r="L608" i="9"/>
  <c r="K608" i="9"/>
  <c r="J608" i="9"/>
  <c r="I608" i="9"/>
  <c r="T607" i="9"/>
  <c r="S607" i="9"/>
  <c r="R607" i="9"/>
  <c r="Q607" i="9"/>
  <c r="P607" i="9"/>
  <c r="O607" i="9"/>
  <c r="N607" i="9"/>
  <c r="M607" i="9"/>
  <c r="L607" i="9"/>
  <c r="K607" i="9"/>
  <c r="J607" i="9"/>
  <c r="I607" i="9"/>
  <c r="T606" i="9"/>
  <c r="S606" i="9"/>
  <c r="R606" i="9"/>
  <c r="Q606" i="9"/>
  <c r="P606" i="9"/>
  <c r="O606" i="9"/>
  <c r="N606" i="9"/>
  <c r="M606" i="9"/>
  <c r="L606" i="9"/>
  <c r="K606" i="9"/>
  <c r="J606" i="9"/>
  <c r="I606" i="9"/>
  <c r="T605" i="9"/>
  <c r="S605" i="9"/>
  <c r="R605" i="9"/>
  <c r="Q605" i="9"/>
  <c r="P605" i="9"/>
  <c r="O605" i="9"/>
  <c r="N605" i="9"/>
  <c r="M605" i="9"/>
  <c r="L605" i="9"/>
  <c r="K605" i="9"/>
  <c r="J605" i="9"/>
  <c r="I605" i="9"/>
  <c r="T604" i="9"/>
  <c r="S604" i="9"/>
  <c r="R604" i="9"/>
  <c r="Q604" i="9"/>
  <c r="P604" i="9"/>
  <c r="O604" i="9"/>
  <c r="N604" i="9"/>
  <c r="M604" i="9"/>
  <c r="L604" i="9"/>
  <c r="K604" i="9"/>
  <c r="J604" i="9"/>
  <c r="I604" i="9"/>
  <c r="T603" i="9"/>
  <c r="S603" i="9"/>
  <c r="R603" i="9"/>
  <c r="Q603" i="9"/>
  <c r="P603" i="9"/>
  <c r="O603" i="9"/>
  <c r="N603" i="9"/>
  <c r="M603" i="9"/>
  <c r="L603" i="9"/>
  <c r="K603" i="9"/>
  <c r="J603" i="9"/>
  <c r="I603" i="9"/>
  <c r="T602" i="9"/>
  <c r="S602" i="9"/>
  <c r="R602" i="9"/>
  <c r="Q602" i="9"/>
  <c r="P602" i="9"/>
  <c r="O602" i="9"/>
  <c r="N602" i="9"/>
  <c r="M602" i="9"/>
  <c r="L602" i="9"/>
  <c r="K602" i="9"/>
  <c r="J602" i="9"/>
  <c r="I602" i="9"/>
  <c r="T601" i="9"/>
  <c r="S601" i="9"/>
  <c r="R601" i="9"/>
  <c r="Q601" i="9"/>
  <c r="P601" i="9"/>
  <c r="O601" i="9"/>
  <c r="N601" i="9"/>
  <c r="M601" i="9"/>
  <c r="L601" i="9"/>
  <c r="K601" i="9"/>
  <c r="J601" i="9"/>
  <c r="I601" i="9"/>
  <c r="T600" i="9"/>
  <c r="S600" i="9"/>
  <c r="R600" i="9"/>
  <c r="Q600" i="9"/>
  <c r="P600" i="9"/>
  <c r="O600" i="9"/>
  <c r="N600" i="9"/>
  <c r="M600" i="9"/>
  <c r="L600" i="9"/>
  <c r="K600" i="9"/>
  <c r="J600" i="9"/>
  <c r="I600" i="9"/>
  <c r="T599" i="9"/>
  <c r="S599" i="9"/>
  <c r="R599" i="9"/>
  <c r="Q599" i="9"/>
  <c r="P599" i="9"/>
  <c r="O599" i="9"/>
  <c r="N599" i="9"/>
  <c r="M599" i="9"/>
  <c r="L599" i="9"/>
  <c r="K599" i="9"/>
  <c r="J599" i="9"/>
  <c r="I599" i="9"/>
  <c r="T598" i="9"/>
  <c r="S598" i="9"/>
  <c r="R598" i="9"/>
  <c r="Q598" i="9"/>
  <c r="P598" i="9"/>
  <c r="O598" i="9"/>
  <c r="N598" i="9"/>
  <c r="M598" i="9"/>
  <c r="L598" i="9"/>
  <c r="K598" i="9"/>
  <c r="J598" i="9"/>
  <c r="I598" i="9"/>
  <c r="T597" i="9"/>
  <c r="S597" i="9"/>
  <c r="R597" i="9"/>
  <c r="Q597" i="9"/>
  <c r="P597" i="9"/>
  <c r="O597" i="9"/>
  <c r="N597" i="9"/>
  <c r="M597" i="9"/>
  <c r="L597" i="9"/>
  <c r="K597" i="9"/>
  <c r="J597" i="9"/>
  <c r="I597" i="9"/>
  <c r="T596" i="9"/>
  <c r="S596" i="9"/>
  <c r="R596" i="9"/>
  <c r="Q596" i="9"/>
  <c r="P596" i="9"/>
  <c r="O596" i="9"/>
  <c r="N596" i="9"/>
  <c r="M596" i="9"/>
  <c r="L596" i="9"/>
  <c r="K596" i="9"/>
  <c r="J596" i="9"/>
  <c r="I596" i="9"/>
  <c r="T595" i="9"/>
  <c r="S595" i="9"/>
  <c r="R595" i="9"/>
  <c r="Q595" i="9"/>
  <c r="P595" i="9"/>
  <c r="O595" i="9"/>
  <c r="N595" i="9"/>
  <c r="M595" i="9"/>
  <c r="L595" i="9"/>
  <c r="K595" i="9"/>
  <c r="J595" i="9"/>
  <c r="I595" i="9"/>
  <c r="T594" i="9"/>
  <c r="S594" i="9"/>
  <c r="R594" i="9"/>
  <c r="Q594" i="9"/>
  <c r="P594" i="9"/>
  <c r="O594" i="9"/>
  <c r="N594" i="9"/>
  <c r="M594" i="9"/>
  <c r="L594" i="9"/>
  <c r="K594" i="9"/>
  <c r="J594" i="9"/>
  <c r="I594" i="9"/>
  <c r="T593" i="9"/>
  <c r="S593" i="9"/>
  <c r="R593" i="9"/>
  <c r="Q593" i="9"/>
  <c r="P593" i="9"/>
  <c r="O593" i="9"/>
  <c r="N593" i="9"/>
  <c r="M593" i="9"/>
  <c r="L593" i="9"/>
  <c r="K593" i="9"/>
  <c r="J593" i="9"/>
  <c r="I593" i="9"/>
  <c r="T592" i="9"/>
  <c r="S592" i="9"/>
  <c r="R592" i="9"/>
  <c r="Q592" i="9"/>
  <c r="P592" i="9"/>
  <c r="O592" i="9"/>
  <c r="N592" i="9"/>
  <c r="M592" i="9"/>
  <c r="L592" i="9"/>
  <c r="K592" i="9"/>
  <c r="J592" i="9"/>
  <c r="I592" i="9"/>
  <c r="T591" i="9"/>
  <c r="S591" i="9"/>
  <c r="R591" i="9"/>
  <c r="Q591" i="9"/>
  <c r="P591" i="9"/>
  <c r="O591" i="9"/>
  <c r="N591" i="9"/>
  <c r="M591" i="9"/>
  <c r="L591" i="9"/>
  <c r="K591" i="9"/>
  <c r="J591" i="9"/>
  <c r="I591" i="9"/>
  <c r="T590" i="9"/>
  <c r="S590" i="9"/>
  <c r="R590" i="9"/>
  <c r="Q590" i="9"/>
  <c r="P590" i="9"/>
  <c r="O590" i="9"/>
  <c r="N590" i="9"/>
  <c r="M590" i="9"/>
  <c r="L590" i="9"/>
  <c r="K590" i="9"/>
  <c r="J590" i="9"/>
  <c r="I590" i="9"/>
  <c r="T589" i="9"/>
  <c r="S589" i="9"/>
  <c r="R589" i="9"/>
  <c r="Q589" i="9"/>
  <c r="P589" i="9"/>
  <c r="O589" i="9"/>
  <c r="N589" i="9"/>
  <c r="M589" i="9"/>
  <c r="L589" i="9"/>
  <c r="K589" i="9"/>
  <c r="J589" i="9"/>
  <c r="I589" i="9"/>
  <c r="T588" i="9"/>
  <c r="S588" i="9"/>
  <c r="R588" i="9"/>
  <c r="Q588" i="9"/>
  <c r="P588" i="9"/>
  <c r="O588" i="9"/>
  <c r="N588" i="9"/>
  <c r="M588" i="9"/>
  <c r="L588" i="9"/>
  <c r="K588" i="9"/>
  <c r="J588" i="9"/>
  <c r="I588" i="9"/>
  <c r="T587" i="9"/>
  <c r="S587" i="9"/>
  <c r="R587" i="9"/>
  <c r="Q587" i="9"/>
  <c r="P587" i="9"/>
  <c r="O587" i="9"/>
  <c r="N587" i="9"/>
  <c r="M587" i="9"/>
  <c r="L587" i="9"/>
  <c r="K587" i="9"/>
  <c r="J587" i="9"/>
  <c r="I587" i="9"/>
  <c r="T586" i="9"/>
  <c r="S586" i="9"/>
  <c r="R586" i="9"/>
  <c r="Q586" i="9"/>
  <c r="P586" i="9"/>
  <c r="O586" i="9"/>
  <c r="N586" i="9"/>
  <c r="M586" i="9"/>
  <c r="L586" i="9"/>
  <c r="K586" i="9"/>
  <c r="J586" i="9"/>
  <c r="I586" i="9"/>
  <c r="T585" i="9"/>
  <c r="S585" i="9"/>
  <c r="R585" i="9"/>
  <c r="Q585" i="9"/>
  <c r="P585" i="9"/>
  <c r="O585" i="9"/>
  <c r="N585" i="9"/>
  <c r="M585" i="9"/>
  <c r="L585" i="9"/>
  <c r="K585" i="9"/>
  <c r="J585" i="9"/>
  <c r="I585" i="9"/>
  <c r="T584" i="9"/>
  <c r="S584" i="9"/>
  <c r="R584" i="9"/>
  <c r="Q584" i="9"/>
  <c r="P584" i="9"/>
  <c r="O584" i="9"/>
  <c r="N584" i="9"/>
  <c r="M584" i="9"/>
  <c r="L584" i="9"/>
  <c r="K584" i="9"/>
  <c r="J584" i="9"/>
  <c r="I584" i="9"/>
  <c r="T583" i="9"/>
  <c r="S583" i="9"/>
  <c r="R583" i="9"/>
  <c r="Q583" i="9"/>
  <c r="P583" i="9"/>
  <c r="O583" i="9"/>
  <c r="N583" i="9"/>
  <c r="M583" i="9"/>
  <c r="L583" i="9"/>
  <c r="K583" i="9"/>
  <c r="J583" i="9"/>
  <c r="I583" i="9"/>
  <c r="T582" i="9"/>
  <c r="S582" i="9"/>
  <c r="R582" i="9"/>
  <c r="Q582" i="9"/>
  <c r="P582" i="9"/>
  <c r="O582" i="9"/>
  <c r="N582" i="9"/>
  <c r="M582" i="9"/>
  <c r="L582" i="9"/>
  <c r="K582" i="9"/>
  <c r="J582" i="9"/>
  <c r="I582" i="9"/>
  <c r="T581" i="9"/>
  <c r="S581" i="9"/>
  <c r="R581" i="9"/>
  <c r="Q581" i="9"/>
  <c r="P581" i="9"/>
  <c r="O581" i="9"/>
  <c r="N581" i="9"/>
  <c r="M581" i="9"/>
  <c r="L581" i="9"/>
  <c r="K581" i="9"/>
  <c r="J581" i="9"/>
  <c r="I581" i="9"/>
  <c r="T580" i="9"/>
  <c r="S580" i="9"/>
  <c r="R580" i="9"/>
  <c r="Q580" i="9"/>
  <c r="P580" i="9"/>
  <c r="O580" i="9"/>
  <c r="N580" i="9"/>
  <c r="M580" i="9"/>
  <c r="L580" i="9"/>
  <c r="K580" i="9"/>
  <c r="J580" i="9"/>
  <c r="I580" i="9"/>
  <c r="T579" i="9"/>
  <c r="S579" i="9"/>
  <c r="R579" i="9"/>
  <c r="Q579" i="9"/>
  <c r="P579" i="9"/>
  <c r="O579" i="9"/>
  <c r="N579" i="9"/>
  <c r="M579" i="9"/>
  <c r="L579" i="9"/>
  <c r="K579" i="9"/>
  <c r="J579" i="9"/>
  <c r="I579" i="9"/>
  <c r="T578" i="9"/>
  <c r="S578" i="9"/>
  <c r="R578" i="9"/>
  <c r="Q578" i="9"/>
  <c r="P578" i="9"/>
  <c r="O578" i="9"/>
  <c r="N578" i="9"/>
  <c r="M578" i="9"/>
  <c r="L578" i="9"/>
  <c r="K578" i="9"/>
  <c r="J578" i="9"/>
  <c r="I578" i="9"/>
  <c r="T577" i="9"/>
  <c r="S577" i="9"/>
  <c r="R577" i="9"/>
  <c r="Q577" i="9"/>
  <c r="P577" i="9"/>
  <c r="O577" i="9"/>
  <c r="N577" i="9"/>
  <c r="M577" i="9"/>
  <c r="L577" i="9"/>
  <c r="K577" i="9"/>
  <c r="J577" i="9"/>
  <c r="I577" i="9"/>
  <c r="T576" i="9"/>
  <c r="S576" i="9"/>
  <c r="R576" i="9"/>
  <c r="Q576" i="9"/>
  <c r="P576" i="9"/>
  <c r="O576" i="9"/>
  <c r="N576" i="9"/>
  <c r="M576" i="9"/>
  <c r="L576" i="9"/>
  <c r="K576" i="9"/>
  <c r="J576" i="9"/>
  <c r="I576" i="9"/>
  <c r="T575" i="9"/>
  <c r="S575" i="9"/>
  <c r="R575" i="9"/>
  <c r="Q575" i="9"/>
  <c r="P575" i="9"/>
  <c r="O575" i="9"/>
  <c r="N575" i="9"/>
  <c r="M575" i="9"/>
  <c r="L575" i="9"/>
  <c r="K575" i="9"/>
  <c r="J575" i="9"/>
  <c r="I575" i="9"/>
  <c r="T574" i="9"/>
  <c r="S574" i="9"/>
  <c r="R574" i="9"/>
  <c r="Q574" i="9"/>
  <c r="P574" i="9"/>
  <c r="O574" i="9"/>
  <c r="N574" i="9"/>
  <c r="M574" i="9"/>
  <c r="L574" i="9"/>
  <c r="K574" i="9"/>
  <c r="J574" i="9"/>
  <c r="I574" i="9"/>
  <c r="T573" i="9"/>
  <c r="S573" i="9"/>
  <c r="R573" i="9"/>
  <c r="Q573" i="9"/>
  <c r="P573" i="9"/>
  <c r="O573" i="9"/>
  <c r="N573" i="9"/>
  <c r="M573" i="9"/>
  <c r="L573" i="9"/>
  <c r="K573" i="9"/>
  <c r="J573" i="9"/>
  <c r="I573" i="9"/>
  <c r="T572" i="9"/>
  <c r="S572" i="9"/>
  <c r="R572" i="9"/>
  <c r="Q572" i="9"/>
  <c r="P572" i="9"/>
  <c r="O572" i="9"/>
  <c r="N572" i="9"/>
  <c r="M572" i="9"/>
  <c r="L572" i="9"/>
  <c r="K572" i="9"/>
  <c r="J572" i="9"/>
  <c r="I572" i="9"/>
  <c r="T571" i="9"/>
  <c r="S571" i="9"/>
  <c r="R571" i="9"/>
  <c r="Q571" i="9"/>
  <c r="P571" i="9"/>
  <c r="O571" i="9"/>
  <c r="N571" i="9"/>
  <c r="M571" i="9"/>
  <c r="L571" i="9"/>
  <c r="K571" i="9"/>
  <c r="J571" i="9"/>
  <c r="I571" i="9"/>
  <c r="T570" i="9"/>
  <c r="S570" i="9"/>
  <c r="R570" i="9"/>
  <c r="Q570" i="9"/>
  <c r="P570" i="9"/>
  <c r="O570" i="9"/>
  <c r="N570" i="9"/>
  <c r="M570" i="9"/>
  <c r="L570" i="9"/>
  <c r="K570" i="9"/>
  <c r="J570" i="9"/>
  <c r="I570" i="9"/>
  <c r="T569" i="9"/>
  <c r="S569" i="9"/>
  <c r="R569" i="9"/>
  <c r="Q569" i="9"/>
  <c r="P569" i="9"/>
  <c r="O569" i="9"/>
  <c r="N569" i="9"/>
  <c r="M569" i="9"/>
  <c r="L569" i="9"/>
  <c r="K569" i="9"/>
  <c r="J569" i="9"/>
  <c r="I569" i="9"/>
  <c r="T568" i="9"/>
  <c r="S568" i="9"/>
  <c r="R568" i="9"/>
  <c r="Q568" i="9"/>
  <c r="P568" i="9"/>
  <c r="O568" i="9"/>
  <c r="N568" i="9"/>
  <c r="M568" i="9"/>
  <c r="L568" i="9"/>
  <c r="K568" i="9"/>
  <c r="J568" i="9"/>
  <c r="I568" i="9"/>
  <c r="T567" i="9"/>
  <c r="S567" i="9"/>
  <c r="R567" i="9"/>
  <c r="Q567" i="9"/>
  <c r="P567" i="9"/>
  <c r="O567" i="9"/>
  <c r="N567" i="9"/>
  <c r="M567" i="9"/>
  <c r="L567" i="9"/>
  <c r="K567" i="9"/>
  <c r="J567" i="9"/>
  <c r="I567" i="9"/>
  <c r="T566" i="9"/>
  <c r="S566" i="9"/>
  <c r="R566" i="9"/>
  <c r="Q566" i="9"/>
  <c r="P566" i="9"/>
  <c r="O566" i="9"/>
  <c r="N566" i="9"/>
  <c r="M566" i="9"/>
  <c r="L566" i="9"/>
  <c r="K566" i="9"/>
  <c r="J566" i="9"/>
  <c r="I566" i="9"/>
  <c r="T565" i="9"/>
  <c r="S565" i="9"/>
  <c r="R565" i="9"/>
  <c r="Q565" i="9"/>
  <c r="P565" i="9"/>
  <c r="O565" i="9"/>
  <c r="N565" i="9"/>
  <c r="M565" i="9"/>
  <c r="L565" i="9"/>
  <c r="K565" i="9"/>
  <c r="J565" i="9"/>
  <c r="I565" i="9"/>
  <c r="T564" i="9"/>
  <c r="S564" i="9"/>
  <c r="R564" i="9"/>
  <c r="Q564" i="9"/>
  <c r="P564" i="9"/>
  <c r="O564" i="9"/>
  <c r="N564" i="9"/>
  <c r="M564" i="9"/>
  <c r="L564" i="9"/>
  <c r="K564" i="9"/>
  <c r="J564" i="9"/>
  <c r="I564" i="9"/>
  <c r="T563" i="9"/>
  <c r="S563" i="9"/>
  <c r="R563" i="9"/>
  <c r="Q563" i="9"/>
  <c r="P563" i="9"/>
  <c r="O563" i="9"/>
  <c r="N563" i="9"/>
  <c r="M563" i="9"/>
  <c r="L563" i="9"/>
  <c r="K563" i="9"/>
  <c r="J563" i="9"/>
  <c r="I563" i="9"/>
  <c r="T562" i="9"/>
  <c r="S562" i="9"/>
  <c r="R562" i="9"/>
  <c r="Q562" i="9"/>
  <c r="P562" i="9"/>
  <c r="O562" i="9"/>
  <c r="N562" i="9"/>
  <c r="M562" i="9"/>
  <c r="L562" i="9"/>
  <c r="K562" i="9"/>
  <c r="J562" i="9"/>
  <c r="I562" i="9"/>
  <c r="T561" i="9"/>
  <c r="S561" i="9"/>
  <c r="R561" i="9"/>
  <c r="Q561" i="9"/>
  <c r="P561" i="9"/>
  <c r="O561" i="9"/>
  <c r="N561" i="9"/>
  <c r="M561" i="9"/>
  <c r="L561" i="9"/>
  <c r="K561" i="9"/>
  <c r="J561" i="9"/>
  <c r="I561" i="9"/>
  <c r="T560" i="9"/>
  <c r="S560" i="9"/>
  <c r="R560" i="9"/>
  <c r="Q560" i="9"/>
  <c r="P560" i="9"/>
  <c r="O560" i="9"/>
  <c r="N560" i="9"/>
  <c r="M560" i="9"/>
  <c r="L560" i="9"/>
  <c r="K560" i="9"/>
  <c r="J560" i="9"/>
  <c r="I560" i="9"/>
  <c r="T559" i="9"/>
  <c r="S559" i="9"/>
  <c r="R559" i="9"/>
  <c r="Q559" i="9"/>
  <c r="P559" i="9"/>
  <c r="O559" i="9"/>
  <c r="N559" i="9"/>
  <c r="M559" i="9"/>
  <c r="L559" i="9"/>
  <c r="K559" i="9"/>
  <c r="J559" i="9"/>
  <c r="I559" i="9"/>
  <c r="T558" i="9"/>
  <c r="S558" i="9"/>
  <c r="R558" i="9"/>
  <c r="Q558" i="9"/>
  <c r="P558" i="9"/>
  <c r="O558" i="9"/>
  <c r="N558" i="9"/>
  <c r="M558" i="9"/>
  <c r="L558" i="9"/>
  <c r="K558" i="9"/>
  <c r="J558" i="9"/>
  <c r="I558" i="9"/>
  <c r="T557" i="9"/>
  <c r="S557" i="9"/>
  <c r="R557" i="9"/>
  <c r="Q557" i="9"/>
  <c r="P557" i="9"/>
  <c r="O557" i="9"/>
  <c r="N557" i="9"/>
  <c r="M557" i="9"/>
  <c r="L557" i="9"/>
  <c r="K557" i="9"/>
  <c r="J557" i="9"/>
  <c r="I557" i="9"/>
  <c r="T556" i="9"/>
  <c r="S556" i="9"/>
  <c r="R556" i="9"/>
  <c r="Q556" i="9"/>
  <c r="P556" i="9"/>
  <c r="O556" i="9"/>
  <c r="N556" i="9"/>
  <c r="M556" i="9"/>
  <c r="L556" i="9"/>
  <c r="K556" i="9"/>
  <c r="J556" i="9"/>
  <c r="I556" i="9"/>
  <c r="T555" i="9"/>
  <c r="S555" i="9"/>
  <c r="R555" i="9"/>
  <c r="Q555" i="9"/>
  <c r="P555" i="9"/>
  <c r="O555" i="9"/>
  <c r="N555" i="9"/>
  <c r="M555" i="9"/>
  <c r="L555" i="9"/>
  <c r="K555" i="9"/>
  <c r="J555" i="9"/>
  <c r="I555" i="9"/>
  <c r="T554" i="9"/>
  <c r="S554" i="9"/>
  <c r="R554" i="9"/>
  <c r="Q554" i="9"/>
  <c r="P554" i="9"/>
  <c r="O554" i="9"/>
  <c r="N554" i="9"/>
  <c r="M554" i="9"/>
  <c r="L554" i="9"/>
  <c r="K554" i="9"/>
  <c r="J554" i="9"/>
  <c r="I554" i="9"/>
  <c r="T553" i="9"/>
  <c r="S553" i="9"/>
  <c r="R553" i="9"/>
  <c r="Q553" i="9"/>
  <c r="P553" i="9"/>
  <c r="O553" i="9"/>
  <c r="N553" i="9"/>
  <c r="M553" i="9"/>
  <c r="L553" i="9"/>
  <c r="K553" i="9"/>
  <c r="J553" i="9"/>
  <c r="I553" i="9"/>
  <c r="T552" i="9"/>
  <c r="S552" i="9"/>
  <c r="R552" i="9"/>
  <c r="Q552" i="9"/>
  <c r="P552" i="9"/>
  <c r="O552" i="9"/>
  <c r="N552" i="9"/>
  <c r="M552" i="9"/>
  <c r="L552" i="9"/>
  <c r="K552" i="9"/>
  <c r="J552" i="9"/>
  <c r="I552" i="9"/>
  <c r="T551" i="9"/>
  <c r="S551" i="9"/>
  <c r="R551" i="9"/>
  <c r="Q551" i="9"/>
  <c r="P551" i="9"/>
  <c r="O551" i="9"/>
  <c r="N551" i="9"/>
  <c r="M551" i="9"/>
  <c r="L551" i="9"/>
  <c r="K551" i="9"/>
  <c r="J551" i="9"/>
  <c r="I551" i="9"/>
  <c r="T550" i="9"/>
  <c r="S550" i="9"/>
  <c r="R550" i="9"/>
  <c r="Q550" i="9"/>
  <c r="P550" i="9"/>
  <c r="O550" i="9"/>
  <c r="N550" i="9"/>
  <c r="M550" i="9"/>
  <c r="L550" i="9"/>
  <c r="K550" i="9"/>
  <c r="J550" i="9"/>
  <c r="I550" i="9"/>
  <c r="T549" i="9"/>
  <c r="S549" i="9"/>
  <c r="R549" i="9"/>
  <c r="Q549" i="9"/>
  <c r="P549" i="9"/>
  <c r="O549" i="9"/>
  <c r="N549" i="9"/>
  <c r="M549" i="9"/>
  <c r="L549" i="9"/>
  <c r="K549" i="9"/>
  <c r="J549" i="9"/>
  <c r="I549" i="9"/>
  <c r="T548" i="9"/>
  <c r="S548" i="9"/>
  <c r="R548" i="9"/>
  <c r="Q548" i="9"/>
  <c r="P548" i="9"/>
  <c r="O548" i="9"/>
  <c r="N548" i="9"/>
  <c r="M548" i="9"/>
  <c r="L548" i="9"/>
  <c r="K548" i="9"/>
  <c r="J548" i="9"/>
  <c r="I548" i="9"/>
  <c r="T547" i="9"/>
  <c r="S547" i="9"/>
  <c r="R547" i="9"/>
  <c r="Q547" i="9"/>
  <c r="P547" i="9"/>
  <c r="O547" i="9"/>
  <c r="N547" i="9"/>
  <c r="M547" i="9"/>
  <c r="L547" i="9"/>
  <c r="K547" i="9"/>
  <c r="J547" i="9"/>
  <c r="I547" i="9"/>
  <c r="T546" i="9"/>
  <c r="S546" i="9"/>
  <c r="R546" i="9"/>
  <c r="Q546" i="9"/>
  <c r="P546" i="9"/>
  <c r="O546" i="9"/>
  <c r="N546" i="9"/>
  <c r="M546" i="9"/>
  <c r="L546" i="9"/>
  <c r="K546" i="9"/>
  <c r="J546" i="9"/>
  <c r="I546" i="9"/>
  <c r="T545" i="9"/>
  <c r="S545" i="9"/>
  <c r="R545" i="9"/>
  <c r="Q545" i="9"/>
  <c r="P545" i="9"/>
  <c r="O545" i="9"/>
  <c r="N545" i="9"/>
  <c r="M545" i="9"/>
  <c r="L545" i="9"/>
  <c r="K545" i="9"/>
  <c r="J545" i="9"/>
  <c r="I545" i="9"/>
  <c r="T544" i="9"/>
  <c r="S544" i="9"/>
  <c r="R544" i="9"/>
  <c r="Q544" i="9"/>
  <c r="P544" i="9"/>
  <c r="O544" i="9"/>
  <c r="N544" i="9"/>
  <c r="M544" i="9"/>
  <c r="L544" i="9"/>
  <c r="K544" i="9"/>
  <c r="J544" i="9"/>
  <c r="I544" i="9"/>
  <c r="T543" i="9"/>
  <c r="S543" i="9"/>
  <c r="R543" i="9"/>
  <c r="Q543" i="9"/>
  <c r="P543" i="9"/>
  <c r="O543" i="9"/>
  <c r="N543" i="9"/>
  <c r="M543" i="9"/>
  <c r="L543" i="9"/>
  <c r="K543" i="9"/>
  <c r="J543" i="9"/>
  <c r="I543" i="9"/>
  <c r="T542" i="9"/>
  <c r="S542" i="9"/>
  <c r="R542" i="9"/>
  <c r="Q542" i="9"/>
  <c r="P542" i="9"/>
  <c r="O542" i="9"/>
  <c r="N542" i="9"/>
  <c r="M542" i="9"/>
  <c r="L542" i="9"/>
  <c r="K542" i="9"/>
  <c r="J542" i="9"/>
  <c r="I542" i="9"/>
  <c r="T541" i="9"/>
  <c r="S541" i="9"/>
  <c r="R541" i="9"/>
  <c r="Q541" i="9"/>
  <c r="P541" i="9"/>
  <c r="O541" i="9"/>
  <c r="N541" i="9"/>
  <c r="M541" i="9"/>
  <c r="L541" i="9"/>
  <c r="K541" i="9"/>
  <c r="J541" i="9"/>
  <c r="I541" i="9"/>
  <c r="T540" i="9"/>
  <c r="S540" i="9"/>
  <c r="R540" i="9"/>
  <c r="Q540" i="9"/>
  <c r="P540" i="9"/>
  <c r="O540" i="9"/>
  <c r="N540" i="9"/>
  <c r="M540" i="9"/>
  <c r="L540" i="9"/>
  <c r="K540" i="9"/>
  <c r="J540" i="9"/>
  <c r="I540" i="9"/>
  <c r="T539" i="9"/>
  <c r="S539" i="9"/>
  <c r="R539" i="9"/>
  <c r="Q539" i="9"/>
  <c r="P539" i="9"/>
  <c r="O539" i="9"/>
  <c r="N539" i="9"/>
  <c r="M539" i="9"/>
  <c r="L539" i="9"/>
  <c r="K539" i="9"/>
  <c r="J539" i="9"/>
  <c r="I539" i="9"/>
  <c r="T538" i="9"/>
  <c r="S538" i="9"/>
  <c r="R538" i="9"/>
  <c r="Q538" i="9"/>
  <c r="P538" i="9"/>
  <c r="O538" i="9"/>
  <c r="N538" i="9"/>
  <c r="M538" i="9"/>
  <c r="L538" i="9"/>
  <c r="K538" i="9"/>
  <c r="J538" i="9"/>
  <c r="I538" i="9"/>
  <c r="T537" i="9"/>
  <c r="S537" i="9"/>
  <c r="R537" i="9"/>
  <c r="Q537" i="9"/>
  <c r="P537" i="9"/>
  <c r="O537" i="9"/>
  <c r="N537" i="9"/>
  <c r="M537" i="9"/>
  <c r="L537" i="9"/>
  <c r="K537" i="9"/>
  <c r="J537" i="9"/>
  <c r="I537" i="9"/>
  <c r="T536" i="9"/>
  <c r="S536" i="9"/>
  <c r="R536" i="9"/>
  <c r="Q536" i="9"/>
  <c r="P536" i="9"/>
  <c r="O536" i="9"/>
  <c r="N536" i="9"/>
  <c r="M536" i="9"/>
  <c r="L536" i="9"/>
  <c r="K536" i="9"/>
  <c r="J536" i="9"/>
  <c r="I536" i="9"/>
  <c r="T535" i="9"/>
  <c r="S535" i="9"/>
  <c r="R535" i="9"/>
  <c r="Q535" i="9"/>
  <c r="P535" i="9"/>
  <c r="O535" i="9"/>
  <c r="N535" i="9"/>
  <c r="M535" i="9"/>
  <c r="L535" i="9"/>
  <c r="K535" i="9"/>
  <c r="J535" i="9"/>
  <c r="I535" i="9"/>
  <c r="T534" i="9"/>
  <c r="S534" i="9"/>
  <c r="R534" i="9"/>
  <c r="Q534" i="9"/>
  <c r="P534" i="9"/>
  <c r="O534" i="9"/>
  <c r="N534" i="9"/>
  <c r="M534" i="9"/>
  <c r="L534" i="9"/>
  <c r="K534" i="9"/>
  <c r="J534" i="9"/>
  <c r="I534" i="9"/>
  <c r="T533" i="9"/>
  <c r="S533" i="9"/>
  <c r="R533" i="9"/>
  <c r="Q533" i="9"/>
  <c r="P533" i="9"/>
  <c r="O533" i="9"/>
  <c r="N533" i="9"/>
  <c r="M533" i="9"/>
  <c r="L533" i="9"/>
  <c r="K533" i="9"/>
  <c r="J533" i="9"/>
  <c r="I533" i="9"/>
  <c r="T532" i="9"/>
  <c r="S532" i="9"/>
  <c r="R532" i="9"/>
  <c r="Q532" i="9"/>
  <c r="P532" i="9"/>
  <c r="O532" i="9"/>
  <c r="N532" i="9"/>
  <c r="M532" i="9"/>
  <c r="L532" i="9"/>
  <c r="K532" i="9"/>
  <c r="J532" i="9"/>
  <c r="I532" i="9"/>
  <c r="T531" i="9"/>
  <c r="S531" i="9"/>
  <c r="R531" i="9"/>
  <c r="Q531" i="9"/>
  <c r="P531" i="9"/>
  <c r="O531" i="9"/>
  <c r="N531" i="9"/>
  <c r="M531" i="9"/>
  <c r="L531" i="9"/>
  <c r="K531" i="9"/>
  <c r="J531" i="9"/>
  <c r="I531" i="9"/>
  <c r="T530" i="9"/>
  <c r="S530" i="9"/>
  <c r="R530" i="9"/>
  <c r="Q530" i="9"/>
  <c r="P530" i="9"/>
  <c r="O530" i="9"/>
  <c r="N530" i="9"/>
  <c r="M530" i="9"/>
  <c r="L530" i="9"/>
  <c r="K530" i="9"/>
  <c r="J530" i="9"/>
  <c r="I530" i="9"/>
  <c r="T529" i="9"/>
  <c r="S529" i="9"/>
  <c r="R529" i="9"/>
  <c r="Q529" i="9"/>
  <c r="P529" i="9"/>
  <c r="O529" i="9"/>
  <c r="N529" i="9"/>
  <c r="M529" i="9"/>
  <c r="L529" i="9"/>
  <c r="K529" i="9"/>
  <c r="J529" i="9"/>
  <c r="I529" i="9"/>
  <c r="T528" i="9"/>
  <c r="S528" i="9"/>
  <c r="R528" i="9"/>
  <c r="Q528" i="9"/>
  <c r="P528" i="9"/>
  <c r="O528" i="9"/>
  <c r="N528" i="9"/>
  <c r="M528" i="9"/>
  <c r="L528" i="9"/>
  <c r="K528" i="9"/>
  <c r="J528" i="9"/>
  <c r="I528" i="9"/>
  <c r="T527" i="9"/>
  <c r="S527" i="9"/>
  <c r="R527" i="9"/>
  <c r="Q527" i="9"/>
  <c r="P527" i="9"/>
  <c r="O527" i="9"/>
  <c r="N527" i="9"/>
  <c r="M527" i="9"/>
  <c r="L527" i="9"/>
  <c r="K527" i="9"/>
  <c r="J527" i="9"/>
  <c r="I527" i="9"/>
  <c r="T526" i="9"/>
  <c r="S526" i="9"/>
  <c r="R526" i="9"/>
  <c r="Q526" i="9"/>
  <c r="P526" i="9"/>
  <c r="O526" i="9"/>
  <c r="N526" i="9"/>
  <c r="M526" i="9"/>
  <c r="L526" i="9"/>
  <c r="K526" i="9"/>
  <c r="J526" i="9"/>
  <c r="I526" i="9"/>
  <c r="T525" i="9"/>
  <c r="S525" i="9"/>
  <c r="R525" i="9"/>
  <c r="Q525" i="9"/>
  <c r="P525" i="9"/>
  <c r="O525" i="9"/>
  <c r="N525" i="9"/>
  <c r="M525" i="9"/>
  <c r="L525" i="9"/>
  <c r="K525" i="9"/>
  <c r="J525" i="9"/>
  <c r="I525" i="9"/>
  <c r="T524" i="9"/>
  <c r="S524" i="9"/>
  <c r="R524" i="9"/>
  <c r="Q524" i="9"/>
  <c r="P524" i="9"/>
  <c r="O524" i="9"/>
  <c r="N524" i="9"/>
  <c r="M524" i="9"/>
  <c r="L524" i="9"/>
  <c r="K524" i="9"/>
  <c r="J524" i="9"/>
  <c r="I524" i="9"/>
  <c r="T523" i="9"/>
  <c r="S523" i="9"/>
  <c r="R523" i="9"/>
  <c r="Q523" i="9"/>
  <c r="P523" i="9"/>
  <c r="O523" i="9"/>
  <c r="N523" i="9"/>
  <c r="M523" i="9"/>
  <c r="L523" i="9"/>
  <c r="K523" i="9"/>
  <c r="J523" i="9"/>
  <c r="I523" i="9"/>
  <c r="T522" i="9"/>
  <c r="S522" i="9"/>
  <c r="R522" i="9"/>
  <c r="Q522" i="9"/>
  <c r="P522" i="9"/>
  <c r="O522" i="9"/>
  <c r="N522" i="9"/>
  <c r="M522" i="9"/>
  <c r="L522" i="9"/>
  <c r="K522" i="9"/>
  <c r="J522" i="9"/>
  <c r="I522" i="9"/>
  <c r="T521" i="9"/>
  <c r="S521" i="9"/>
  <c r="R521" i="9"/>
  <c r="Q521" i="9"/>
  <c r="P521" i="9"/>
  <c r="O521" i="9"/>
  <c r="N521" i="9"/>
  <c r="M521" i="9"/>
  <c r="L521" i="9"/>
  <c r="K521" i="9"/>
  <c r="J521" i="9"/>
  <c r="I521" i="9"/>
  <c r="T520" i="9"/>
  <c r="S520" i="9"/>
  <c r="R520" i="9"/>
  <c r="Q520" i="9"/>
  <c r="P520" i="9"/>
  <c r="O520" i="9"/>
  <c r="N520" i="9"/>
  <c r="M520" i="9"/>
  <c r="L520" i="9"/>
  <c r="K520" i="9"/>
  <c r="J520" i="9"/>
  <c r="I520" i="9"/>
  <c r="T519" i="9"/>
  <c r="S519" i="9"/>
  <c r="R519" i="9"/>
  <c r="Q519" i="9"/>
  <c r="P519" i="9"/>
  <c r="O519" i="9"/>
  <c r="N519" i="9"/>
  <c r="M519" i="9"/>
  <c r="L519" i="9"/>
  <c r="K519" i="9"/>
  <c r="J519" i="9"/>
  <c r="I519" i="9"/>
  <c r="T518" i="9"/>
  <c r="S518" i="9"/>
  <c r="R518" i="9"/>
  <c r="Q518" i="9"/>
  <c r="P518" i="9"/>
  <c r="O518" i="9"/>
  <c r="N518" i="9"/>
  <c r="M518" i="9"/>
  <c r="L518" i="9"/>
  <c r="K518" i="9"/>
  <c r="J518" i="9"/>
  <c r="I518" i="9"/>
  <c r="T517" i="9"/>
  <c r="S517" i="9"/>
  <c r="R517" i="9"/>
  <c r="Q517" i="9"/>
  <c r="P517" i="9"/>
  <c r="O517" i="9"/>
  <c r="N517" i="9"/>
  <c r="M517" i="9"/>
  <c r="L517" i="9"/>
  <c r="K517" i="9"/>
  <c r="J517" i="9"/>
  <c r="I517" i="9"/>
  <c r="T516" i="9"/>
  <c r="S516" i="9"/>
  <c r="R516" i="9"/>
  <c r="Q516" i="9"/>
  <c r="P516" i="9"/>
  <c r="O516" i="9"/>
  <c r="N516" i="9"/>
  <c r="M516" i="9"/>
  <c r="L516" i="9"/>
  <c r="K516" i="9"/>
  <c r="J516" i="9"/>
  <c r="I516" i="9"/>
  <c r="T515" i="9"/>
  <c r="S515" i="9"/>
  <c r="R515" i="9"/>
  <c r="Q515" i="9"/>
  <c r="P515" i="9"/>
  <c r="O515" i="9"/>
  <c r="N515" i="9"/>
  <c r="M515" i="9"/>
  <c r="L515" i="9"/>
  <c r="K515" i="9"/>
  <c r="J515" i="9"/>
  <c r="I515" i="9"/>
  <c r="T514" i="9"/>
  <c r="S514" i="9"/>
  <c r="R514" i="9"/>
  <c r="Q514" i="9"/>
  <c r="P514" i="9"/>
  <c r="O514" i="9"/>
  <c r="N514" i="9"/>
  <c r="M514" i="9"/>
  <c r="L514" i="9"/>
  <c r="K514" i="9"/>
  <c r="J514" i="9"/>
  <c r="I514" i="9"/>
  <c r="T513" i="9"/>
  <c r="S513" i="9"/>
  <c r="R513" i="9"/>
  <c r="Q513" i="9"/>
  <c r="P513" i="9"/>
  <c r="O513" i="9"/>
  <c r="N513" i="9"/>
  <c r="M513" i="9"/>
  <c r="L513" i="9"/>
  <c r="K513" i="9"/>
  <c r="J513" i="9"/>
  <c r="I513" i="9"/>
  <c r="T512" i="9"/>
  <c r="S512" i="9"/>
  <c r="R512" i="9"/>
  <c r="Q512" i="9"/>
  <c r="P512" i="9"/>
  <c r="O512" i="9"/>
  <c r="N512" i="9"/>
  <c r="M512" i="9"/>
  <c r="L512" i="9"/>
  <c r="K512" i="9"/>
  <c r="J512" i="9"/>
  <c r="I512" i="9"/>
  <c r="T511" i="9"/>
  <c r="S511" i="9"/>
  <c r="R511" i="9"/>
  <c r="Q511" i="9"/>
  <c r="P511" i="9"/>
  <c r="O511" i="9"/>
  <c r="N511" i="9"/>
  <c r="M511" i="9"/>
  <c r="L511" i="9"/>
  <c r="K511" i="9"/>
  <c r="J511" i="9"/>
  <c r="I511" i="9"/>
  <c r="T510" i="9"/>
  <c r="S510" i="9"/>
  <c r="R510" i="9"/>
  <c r="Q510" i="9"/>
  <c r="P510" i="9"/>
  <c r="O510" i="9"/>
  <c r="N510" i="9"/>
  <c r="M510" i="9"/>
  <c r="L510" i="9"/>
  <c r="K510" i="9"/>
  <c r="J510" i="9"/>
  <c r="I510" i="9"/>
  <c r="T509" i="9"/>
  <c r="S509" i="9"/>
  <c r="R509" i="9"/>
  <c r="Q509" i="9"/>
  <c r="P509" i="9"/>
  <c r="O509" i="9"/>
  <c r="N509" i="9"/>
  <c r="M509" i="9"/>
  <c r="L509" i="9"/>
  <c r="K509" i="9"/>
  <c r="J509" i="9"/>
  <c r="I509" i="9"/>
  <c r="T508" i="9"/>
  <c r="S508" i="9"/>
  <c r="R508" i="9"/>
  <c r="Q508" i="9"/>
  <c r="P508" i="9"/>
  <c r="O508" i="9"/>
  <c r="N508" i="9"/>
  <c r="M508" i="9"/>
  <c r="L508" i="9"/>
  <c r="K508" i="9"/>
  <c r="J508" i="9"/>
  <c r="I508" i="9"/>
  <c r="T507" i="9"/>
  <c r="S507" i="9"/>
  <c r="R507" i="9"/>
  <c r="Q507" i="9"/>
  <c r="P507" i="9"/>
  <c r="O507" i="9"/>
  <c r="N507" i="9"/>
  <c r="M507" i="9"/>
  <c r="L507" i="9"/>
  <c r="K507" i="9"/>
  <c r="J507" i="9"/>
  <c r="I507" i="9"/>
  <c r="T506" i="9"/>
  <c r="S506" i="9"/>
  <c r="R506" i="9"/>
  <c r="Q506" i="9"/>
  <c r="P506" i="9"/>
  <c r="O506" i="9"/>
  <c r="N506" i="9"/>
  <c r="M506" i="9"/>
  <c r="L506" i="9"/>
  <c r="K506" i="9"/>
  <c r="J506" i="9"/>
  <c r="I506" i="9"/>
  <c r="T505" i="9"/>
  <c r="S505" i="9"/>
  <c r="R505" i="9"/>
  <c r="Q505" i="9"/>
  <c r="P505" i="9"/>
  <c r="O505" i="9"/>
  <c r="N505" i="9"/>
  <c r="M505" i="9"/>
  <c r="L505" i="9"/>
  <c r="K505" i="9"/>
  <c r="J505" i="9"/>
  <c r="I505" i="9"/>
  <c r="T504" i="9"/>
  <c r="S504" i="9"/>
  <c r="R504" i="9"/>
  <c r="Q504" i="9"/>
  <c r="P504" i="9"/>
  <c r="O504" i="9"/>
  <c r="N504" i="9"/>
  <c r="M504" i="9"/>
  <c r="L504" i="9"/>
  <c r="K504" i="9"/>
  <c r="J504" i="9"/>
  <c r="I504" i="9"/>
  <c r="T503" i="9"/>
  <c r="S503" i="9"/>
  <c r="R503" i="9"/>
  <c r="Q503" i="9"/>
  <c r="P503" i="9"/>
  <c r="O503" i="9"/>
  <c r="N503" i="9"/>
  <c r="M503" i="9"/>
  <c r="L503" i="9"/>
  <c r="K503" i="9"/>
  <c r="J503" i="9"/>
  <c r="I503" i="9"/>
  <c r="T502" i="9"/>
  <c r="S502" i="9"/>
  <c r="R502" i="9"/>
  <c r="Q502" i="9"/>
  <c r="P502" i="9"/>
  <c r="O502" i="9"/>
  <c r="N502" i="9"/>
  <c r="M502" i="9"/>
  <c r="L502" i="9"/>
  <c r="K502" i="9"/>
  <c r="J502" i="9"/>
  <c r="I502" i="9"/>
  <c r="T501" i="9"/>
  <c r="S501" i="9"/>
  <c r="R501" i="9"/>
  <c r="Q501" i="9"/>
  <c r="P501" i="9"/>
  <c r="O501" i="9"/>
  <c r="N501" i="9"/>
  <c r="M501" i="9"/>
  <c r="L501" i="9"/>
  <c r="K501" i="9"/>
  <c r="J501" i="9"/>
  <c r="I501" i="9"/>
  <c r="T500" i="9"/>
  <c r="S500" i="9"/>
  <c r="R500" i="9"/>
  <c r="Q500" i="9"/>
  <c r="P500" i="9"/>
  <c r="O500" i="9"/>
  <c r="N500" i="9"/>
  <c r="M500" i="9"/>
  <c r="L500" i="9"/>
  <c r="K500" i="9"/>
  <c r="J500" i="9"/>
  <c r="I500" i="9"/>
  <c r="T499" i="9"/>
  <c r="S499" i="9"/>
  <c r="R499" i="9"/>
  <c r="Q499" i="9"/>
  <c r="P499" i="9"/>
  <c r="O499" i="9"/>
  <c r="N499" i="9"/>
  <c r="M499" i="9"/>
  <c r="L499" i="9"/>
  <c r="K499" i="9"/>
  <c r="J499" i="9"/>
  <c r="I499" i="9"/>
  <c r="T498" i="9"/>
  <c r="S498" i="9"/>
  <c r="R498" i="9"/>
  <c r="Q498" i="9"/>
  <c r="P498" i="9"/>
  <c r="O498" i="9"/>
  <c r="N498" i="9"/>
  <c r="M498" i="9"/>
  <c r="L498" i="9"/>
  <c r="K498" i="9"/>
  <c r="J498" i="9"/>
  <c r="I498" i="9"/>
  <c r="T497" i="9"/>
  <c r="S497" i="9"/>
  <c r="R497" i="9"/>
  <c r="Q497" i="9"/>
  <c r="P497" i="9"/>
  <c r="O497" i="9"/>
  <c r="N497" i="9"/>
  <c r="M497" i="9"/>
  <c r="L497" i="9"/>
  <c r="K497" i="9"/>
  <c r="J497" i="9"/>
  <c r="I497" i="9"/>
  <c r="T496" i="9"/>
  <c r="S496" i="9"/>
  <c r="R496" i="9"/>
  <c r="Q496" i="9"/>
  <c r="P496" i="9"/>
  <c r="O496" i="9"/>
  <c r="N496" i="9"/>
  <c r="M496" i="9"/>
  <c r="L496" i="9"/>
  <c r="K496" i="9"/>
  <c r="J496" i="9"/>
  <c r="I496" i="9"/>
  <c r="T495" i="9"/>
  <c r="S495" i="9"/>
  <c r="R495" i="9"/>
  <c r="Q495" i="9"/>
  <c r="P495" i="9"/>
  <c r="O495" i="9"/>
  <c r="N495" i="9"/>
  <c r="M495" i="9"/>
  <c r="L495" i="9"/>
  <c r="K495" i="9"/>
  <c r="J495" i="9"/>
  <c r="I495" i="9"/>
  <c r="T494" i="9"/>
  <c r="S494" i="9"/>
  <c r="R494" i="9"/>
  <c r="Q494" i="9"/>
  <c r="P494" i="9"/>
  <c r="O494" i="9"/>
  <c r="N494" i="9"/>
  <c r="M494" i="9"/>
  <c r="L494" i="9"/>
  <c r="K494" i="9"/>
  <c r="J494" i="9"/>
  <c r="I494" i="9"/>
  <c r="T493" i="9"/>
  <c r="S493" i="9"/>
  <c r="R493" i="9"/>
  <c r="Q493" i="9"/>
  <c r="P493" i="9"/>
  <c r="O493" i="9"/>
  <c r="N493" i="9"/>
  <c r="M493" i="9"/>
  <c r="L493" i="9"/>
  <c r="K493" i="9"/>
  <c r="J493" i="9"/>
  <c r="I493" i="9"/>
  <c r="T492" i="9"/>
  <c r="S492" i="9"/>
  <c r="R492" i="9"/>
  <c r="Q492" i="9"/>
  <c r="P492" i="9"/>
  <c r="O492" i="9"/>
  <c r="N492" i="9"/>
  <c r="M492" i="9"/>
  <c r="L492" i="9"/>
  <c r="K492" i="9"/>
  <c r="J492" i="9"/>
  <c r="I492" i="9"/>
  <c r="T491" i="9"/>
  <c r="S491" i="9"/>
  <c r="R491" i="9"/>
  <c r="Q491" i="9"/>
  <c r="P491" i="9"/>
  <c r="O491" i="9"/>
  <c r="N491" i="9"/>
  <c r="M491" i="9"/>
  <c r="L491" i="9"/>
  <c r="K491" i="9"/>
  <c r="J491" i="9"/>
  <c r="I491" i="9"/>
  <c r="T490" i="9"/>
  <c r="S490" i="9"/>
  <c r="R490" i="9"/>
  <c r="Q490" i="9"/>
  <c r="P490" i="9"/>
  <c r="O490" i="9"/>
  <c r="N490" i="9"/>
  <c r="M490" i="9"/>
  <c r="L490" i="9"/>
  <c r="K490" i="9"/>
  <c r="J490" i="9"/>
  <c r="I490" i="9"/>
  <c r="T489" i="9"/>
  <c r="S489" i="9"/>
  <c r="R489" i="9"/>
  <c r="Q489" i="9"/>
  <c r="P489" i="9"/>
  <c r="O489" i="9"/>
  <c r="N489" i="9"/>
  <c r="M489" i="9"/>
  <c r="L489" i="9"/>
  <c r="K489" i="9"/>
  <c r="J489" i="9"/>
  <c r="I489" i="9"/>
  <c r="T488" i="9"/>
  <c r="S488" i="9"/>
  <c r="R488" i="9"/>
  <c r="Q488" i="9"/>
  <c r="P488" i="9"/>
  <c r="O488" i="9"/>
  <c r="N488" i="9"/>
  <c r="M488" i="9"/>
  <c r="L488" i="9"/>
  <c r="K488" i="9"/>
  <c r="J488" i="9"/>
  <c r="I488" i="9"/>
  <c r="T487" i="9"/>
  <c r="S487" i="9"/>
  <c r="R487" i="9"/>
  <c r="Q487" i="9"/>
  <c r="P487" i="9"/>
  <c r="O487" i="9"/>
  <c r="N487" i="9"/>
  <c r="M487" i="9"/>
  <c r="L487" i="9"/>
  <c r="K487" i="9"/>
  <c r="J487" i="9"/>
  <c r="I487" i="9"/>
  <c r="T486" i="9"/>
  <c r="S486" i="9"/>
  <c r="R486" i="9"/>
  <c r="Q486" i="9"/>
  <c r="P486" i="9"/>
  <c r="O486" i="9"/>
  <c r="N486" i="9"/>
  <c r="M486" i="9"/>
  <c r="L486" i="9"/>
  <c r="K486" i="9"/>
  <c r="J486" i="9"/>
  <c r="I486" i="9"/>
  <c r="T485" i="9"/>
  <c r="S485" i="9"/>
  <c r="R485" i="9"/>
  <c r="Q485" i="9"/>
  <c r="P485" i="9"/>
  <c r="O485" i="9"/>
  <c r="N485" i="9"/>
  <c r="M485" i="9"/>
  <c r="L485" i="9"/>
  <c r="K485" i="9"/>
  <c r="J485" i="9"/>
  <c r="I485" i="9"/>
  <c r="T484" i="9"/>
  <c r="S484" i="9"/>
  <c r="R484" i="9"/>
  <c r="Q484" i="9"/>
  <c r="P484" i="9"/>
  <c r="O484" i="9"/>
  <c r="N484" i="9"/>
  <c r="M484" i="9"/>
  <c r="L484" i="9"/>
  <c r="K484" i="9"/>
  <c r="J484" i="9"/>
  <c r="I484" i="9"/>
  <c r="T483" i="9"/>
  <c r="S483" i="9"/>
  <c r="R483" i="9"/>
  <c r="Q483" i="9"/>
  <c r="P483" i="9"/>
  <c r="O483" i="9"/>
  <c r="N483" i="9"/>
  <c r="M483" i="9"/>
  <c r="L483" i="9"/>
  <c r="K483" i="9"/>
  <c r="J483" i="9"/>
  <c r="I483" i="9"/>
  <c r="T482" i="9"/>
  <c r="S482" i="9"/>
  <c r="R482" i="9"/>
  <c r="Q482" i="9"/>
  <c r="P482" i="9"/>
  <c r="O482" i="9"/>
  <c r="N482" i="9"/>
  <c r="M482" i="9"/>
  <c r="L482" i="9"/>
  <c r="K482" i="9"/>
  <c r="J482" i="9"/>
  <c r="I482" i="9"/>
  <c r="T481" i="9"/>
  <c r="S481" i="9"/>
  <c r="R481" i="9"/>
  <c r="Q481" i="9"/>
  <c r="P481" i="9"/>
  <c r="O481" i="9"/>
  <c r="N481" i="9"/>
  <c r="M481" i="9"/>
  <c r="L481" i="9"/>
  <c r="K481" i="9"/>
  <c r="J481" i="9"/>
  <c r="I481" i="9"/>
  <c r="T480" i="9"/>
  <c r="S480" i="9"/>
  <c r="R480" i="9"/>
  <c r="Q480" i="9"/>
  <c r="P480" i="9"/>
  <c r="O480" i="9"/>
  <c r="N480" i="9"/>
  <c r="M480" i="9"/>
  <c r="L480" i="9"/>
  <c r="K480" i="9"/>
  <c r="J480" i="9"/>
  <c r="I480" i="9"/>
  <c r="T479" i="9"/>
  <c r="S479" i="9"/>
  <c r="R479" i="9"/>
  <c r="Q479" i="9"/>
  <c r="P479" i="9"/>
  <c r="O479" i="9"/>
  <c r="N479" i="9"/>
  <c r="M479" i="9"/>
  <c r="L479" i="9"/>
  <c r="K479" i="9"/>
  <c r="J479" i="9"/>
  <c r="I479" i="9"/>
  <c r="T478" i="9"/>
  <c r="S478" i="9"/>
  <c r="R478" i="9"/>
  <c r="Q478" i="9"/>
  <c r="P478" i="9"/>
  <c r="O478" i="9"/>
  <c r="N478" i="9"/>
  <c r="M478" i="9"/>
  <c r="L478" i="9"/>
  <c r="K478" i="9"/>
  <c r="J478" i="9"/>
  <c r="I478" i="9"/>
  <c r="T477" i="9"/>
  <c r="S477" i="9"/>
  <c r="R477" i="9"/>
  <c r="Q477" i="9"/>
  <c r="P477" i="9"/>
  <c r="O477" i="9"/>
  <c r="N477" i="9"/>
  <c r="M477" i="9"/>
  <c r="L477" i="9"/>
  <c r="K477" i="9"/>
  <c r="J477" i="9"/>
  <c r="I477" i="9"/>
  <c r="T476" i="9"/>
  <c r="S476" i="9"/>
  <c r="R476" i="9"/>
  <c r="Q476" i="9"/>
  <c r="P476" i="9"/>
  <c r="O476" i="9"/>
  <c r="N476" i="9"/>
  <c r="M476" i="9"/>
  <c r="L476" i="9"/>
  <c r="K476" i="9"/>
  <c r="J476" i="9"/>
  <c r="I476" i="9"/>
  <c r="T475" i="9"/>
  <c r="S475" i="9"/>
  <c r="R475" i="9"/>
  <c r="Q475" i="9"/>
  <c r="P475" i="9"/>
  <c r="O475" i="9"/>
  <c r="N475" i="9"/>
  <c r="M475" i="9"/>
  <c r="L475" i="9"/>
  <c r="K475" i="9"/>
  <c r="J475" i="9"/>
  <c r="I475" i="9"/>
  <c r="T474" i="9"/>
  <c r="S474" i="9"/>
  <c r="R474" i="9"/>
  <c r="Q474" i="9"/>
  <c r="P474" i="9"/>
  <c r="O474" i="9"/>
  <c r="N474" i="9"/>
  <c r="M474" i="9"/>
  <c r="L474" i="9"/>
  <c r="K474" i="9"/>
  <c r="J474" i="9"/>
  <c r="I474" i="9"/>
  <c r="T473" i="9"/>
  <c r="S473" i="9"/>
  <c r="R473" i="9"/>
  <c r="Q473" i="9"/>
  <c r="P473" i="9"/>
  <c r="O473" i="9"/>
  <c r="N473" i="9"/>
  <c r="M473" i="9"/>
  <c r="L473" i="9"/>
  <c r="K473" i="9"/>
  <c r="J473" i="9"/>
  <c r="I473" i="9"/>
  <c r="T472" i="9"/>
  <c r="S472" i="9"/>
  <c r="R472" i="9"/>
  <c r="Q472" i="9"/>
  <c r="P472" i="9"/>
  <c r="O472" i="9"/>
  <c r="N472" i="9"/>
  <c r="M472" i="9"/>
  <c r="L472" i="9"/>
  <c r="K472" i="9"/>
  <c r="J472" i="9"/>
  <c r="I472" i="9"/>
  <c r="T471" i="9"/>
  <c r="S471" i="9"/>
  <c r="R471" i="9"/>
  <c r="Q471" i="9"/>
  <c r="P471" i="9"/>
  <c r="O471" i="9"/>
  <c r="N471" i="9"/>
  <c r="M471" i="9"/>
  <c r="L471" i="9"/>
  <c r="K471" i="9"/>
  <c r="J471" i="9"/>
  <c r="I471" i="9"/>
  <c r="T470" i="9"/>
  <c r="S470" i="9"/>
  <c r="R470" i="9"/>
  <c r="Q470" i="9"/>
  <c r="P470" i="9"/>
  <c r="O470" i="9"/>
  <c r="N470" i="9"/>
  <c r="M470" i="9"/>
  <c r="L470" i="9"/>
  <c r="K470" i="9"/>
  <c r="J470" i="9"/>
  <c r="I470" i="9"/>
  <c r="T469" i="9"/>
  <c r="S469" i="9"/>
  <c r="R469" i="9"/>
  <c r="Q469" i="9"/>
  <c r="P469" i="9"/>
  <c r="O469" i="9"/>
  <c r="N469" i="9"/>
  <c r="M469" i="9"/>
  <c r="L469" i="9"/>
  <c r="K469" i="9"/>
  <c r="J469" i="9"/>
  <c r="I469" i="9"/>
  <c r="T468" i="9"/>
  <c r="S468" i="9"/>
  <c r="R468" i="9"/>
  <c r="Q468" i="9"/>
  <c r="P468" i="9"/>
  <c r="O468" i="9"/>
  <c r="N468" i="9"/>
  <c r="M468" i="9"/>
  <c r="L468" i="9"/>
  <c r="K468" i="9"/>
  <c r="J468" i="9"/>
  <c r="I468" i="9"/>
  <c r="T467" i="9"/>
  <c r="S467" i="9"/>
  <c r="R467" i="9"/>
  <c r="Q467" i="9"/>
  <c r="P467" i="9"/>
  <c r="O467" i="9"/>
  <c r="N467" i="9"/>
  <c r="M467" i="9"/>
  <c r="L467" i="9"/>
  <c r="K467" i="9"/>
  <c r="J467" i="9"/>
  <c r="I467" i="9"/>
  <c r="T466" i="9"/>
  <c r="S466" i="9"/>
  <c r="R466" i="9"/>
  <c r="Q466" i="9"/>
  <c r="P466" i="9"/>
  <c r="O466" i="9"/>
  <c r="N466" i="9"/>
  <c r="M466" i="9"/>
  <c r="L466" i="9"/>
  <c r="K466" i="9"/>
  <c r="J466" i="9"/>
  <c r="I466" i="9"/>
  <c r="T465" i="9"/>
  <c r="S465" i="9"/>
  <c r="R465" i="9"/>
  <c r="Q465" i="9"/>
  <c r="P465" i="9"/>
  <c r="O465" i="9"/>
  <c r="N465" i="9"/>
  <c r="M465" i="9"/>
  <c r="L465" i="9"/>
  <c r="K465" i="9"/>
  <c r="J465" i="9"/>
  <c r="I465" i="9"/>
  <c r="T464" i="9"/>
  <c r="S464" i="9"/>
  <c r="R464" i="9"/>
  <c r="Q464" i="9"/>
  <c r="P464" i="9"/>
  <c r="O464" i="9"/>
  <c r="N464" i="9"/>
  <c r="M464" i="9"/>
  <c r="L464" i="9"/>
  <c r="K464" i="9"/>
  <c r="J464" i="9"/>
  <c r="I464" i="9"/>
  <c r="T463" i="9"/>
  <c r="S463" i="9"/>
  <c r="R463" i="9"/>
  <c r="Q463" i="9"/>
  <c r="P463" i="9"/>
  <c r="O463" i="9"/>
  <c r="N463" i="9"/>
  <c r="M463" i="9"/>
  <c r="L463" i="9"/>
  <c r="K463" i="9"/>
  <c r="J463" i="9"/>
  <c r="I463" i="9"/>
  <c r="T462" i="9"/>
  <c r="S462" i="9"/>
  <c r="R462" i="9"/>
  <c r="Q462" i="9"/>
  <c r="P462" i="9"/>
  <c r="O462" i="9"/>
  <c r="N462" i="9"/>
  <c r="M462" i="9"/>
  <c r="L462" i="9"/>
  <c r="K462" i="9"/>
  <c r="J462" i="9"/>
  <c r="I462" i="9"/>
  <c r="T461" i="9"/>
  <c r="S461" i="9"/>
  <c r="R461" i="9"/>
  <c r="Q461" i="9"/>
  <c r="P461" i="9"/>
  <c r="O461" i="9"/>
  <c r="N461" i="9"/>
  <c r="M461" i="9"/>
  <c r="L461" i="9"/>
  <c r="K461" i="9"/>
  <c r="J461" i="9"/>
  <c r="I461" i="9"/>
  <c r="T460" i="9"/>
  <c r="S460" i="9"/>
  <c r="R460" i="9"/>
  <c r="Q460" i="9"/>
  <c r="P460" i="9"/>
  <c r="O460" i="9"/>
  <c r="N460" i="9"/>
  <c r="M460" i="9"/>
  <c r="L460" i="9"/>
  <c r="K460" i="9"/>
  <c r="J460" i="9"/>
  <c r="I460" i="9"/>
  <c r="T459" i="9"/>
  <c r="S459" i="9"/>
  <c r="R459" i="9"/>
  <c r="Q459" i="9"/>
  <c r="P459" i="9"/>
  <c r="O459" i="9"/>
  <c r="N459" i="9"/>
  <c r="M459" i="9"/>
  <c r="L459" i="9"/>
  <c r="K459" i="9"/>
  <c r="J459" i="9"/>
  <c r="I459" i="9"/>
  <c r="T458" i="9"/>
  <c r="S458" i="9"/>
  <c r="R458" i="9"/>
  <c r="Q458" i="9"/>
  <c r="P458" i="9"/>
  <c r="O458" i="9"/>
  <c r="N458" i="9"/>
  <c r="M458" i="9"/>
  <c r="L458" i="9"/>
  <c r="K458" i="9"/>
  <c r="J458" i="9"/>
  <c r="I458" i="9"/>
  <c r="T457" i="9"/>
  <c r="S457" i="9"/>
  <c r="R457" i="9"/>
  <c r="Q457" i="9"/>
  <c r="P457" i="9"/>
  <c r="O457" i="9"/>
  <c r="N457" i="9"/>
  <c r="M457" i="9"/>
  <c r="L457" i="9"/>
  <c r="K457" i="9"/>
  <c r="J457" i="9"/>
  <c r="I457" i="9"/>
  <c r="T456" i="9"/>
  <c r="S456" i="9"/>
  <c r="R456" i="9"/>
  <c r="Q456" i="9"/>
  <c r="P456" i="9"/>
  <c r="O456" i="9"/>
  <c r="N456" i="9"/>
  <c r="M456" i="9"/>
  <c r="L456" i="9"/>
  <c r="K456" i="9"/>
  <c r="J456" i="9"/>
  <c r="I456" i="9"/>
  <c r="T455" i="9"/>
  <c r="S455" i="9"/>
  <c r="R455" i="9"/>
  <c r="Q455" i="9"/>
  <c r="P455" i="9"/>
  <c r="O455" i="9"/>
  <c r="N455" i="9"/>
  <c r="M455" i="9"/>
  <c r="L455" i="9"/>
  <c r="K455" i="9"/>
  <c r="J455" i="9"/>
  <c r="I455" i="9"/>
  <c r="T454" i="9"/>
  <c r="S454" i="9"/>
  <c r="R454" i="9"/>
  <c r="Q454" i="9"/>
  <c r="P454" i="9"/>
  <c r="O454" i="9"/>
  <c r="N454" i="9"/>
  <c r="M454" i="9"/>
  <c r="L454" i="9"/>
  <c r="K454" i="9"/>
  <c r="J454" i="9"/>
  <c r="I454" i="9"/>
  <c r="T453" i="9"/>
  <c r="S453" i="9"/>
  <c r="R453" i="9"/>
  <c r="Q453" i="9"/>
  <c r="P453" i="9"/>
  <c r="O453" i="9"/>
  <c r="N453" i="9"/>
  <c r="M453" i="9"/>
  <c r="L453" i="9"/>
  <c r="K453" i="9"/>
  <c r="J453" i="9"/>
  <c r="I453" i="9"/>
  <c r="T452" i="9"/>
  <c r="S452" i="9"/>
  <c r="R452" i="9"/>
  <c r="Q452" i="9"/>
  <c r="P452" i="9"/>
  <c r="O452" i="9"/>
  <c r="N452" i="9"/>
  <c r="M452" i="9"/>
  <c r="L452" i="9"/>
  <c r="K452" i="9"/>
  <c r="J452" i="9"/>
  <c r="I452" i="9"/>
  <c r="T451" i="9"/>
  <c r="S451" i="9"/>
  <c r="R451" i="9"/>
  <c r="Q451" i="9"/>
  <c r="P451" i="9"/>
  <c r="O451" i="9"/>
  <c r="N451" i="9"/>
  <c r="M451" i="9"/>
  <c r="L451" i="9"/>
  <c r="K451" i="9"/>
  <c r="J451" i="9"/>
  <c r="I451" i="9"/>
  <c r="T450" i="9"/>
  <c r="S450" i="9"/>
  <c r="R450" i="9"/>
  <c r="Q450" i="9"/>
  <c r="P450" i="9"/>
  <c r="O450" i="9"/>
  <c r="N450" i="9"/>
  <c r="M450" i="9"/>
  <c r="L450" i="9"/>
  <c r="K450" i="9"/>
  <c r="J450" i="9"/>
  <c r="I450" i="9"/>
  <c r="T449" i="9"/>
  <c r="S449" i="9"/>
  <c r="R449" i="9"/>
  <c r="Q449" i="9"/>
  <c r="P449" i="9"/>
  <c r="O449" i="9"/>
  <c r="N449" i="9"/>
  <c r="M449" i="9"/>
  <c r="L449" i="9"/>
  <c r="K449" i="9"/>
  <c r="J449" i="9"/>
  <c r="I449" i="9"/>
  <c r="T448" i="9"/>
  <c r="S448" i="9"/>
  <c r="R448" i="9"/>
  <c r="Q448" i="9"/>
  <c r="P448" i="9"/>
  <c r="O448" i="9"/>
  <c r="N448" i="9"/>
  <c r="M448" i="9"/>
  <c r="L448" i="9"/>
  <c r="K448" i="9"/>
  <c r="J448" i="9"/>
  <c r="I448" i="9"/>
  <c r="T447" i="9"/>
  <c r="S447" i="9"/>
  <c r="R447" i="9"/>
  <c r="Q447" i="9"/>
  <c r="P447" i="9"/>
  <c r="O447" i="9"/>
  <c r="N447" i="9"/>
  <c r="M447" i="9"/>
  <c r="L447" i="9"/>
  <c r="K447" i="9"/>
  <c r="J447" i="9"/>
  <c r="I447" i="9"/>
  <c r="T446" i="9"/>
  <c r="S446" i="9"/>
  <c r="R446" i="9"/>
  <c r="Q446" i="9"/>
  <c r="P446" i="9"/>
  <c r="O446" i="9"/>
  <c r="N446" i="9"/>
  <c r="M446" i="9"/>
  <c r="L446" i="9"/>
  <c r="K446" i="9"/>
  <c r="J446" i="9"/>
  <c r="I446" i="9"/>
  <c r="T445" i="9"/>
  <c r="S445" i="9"/>
  <c r="R445" i="9"/>
  <c r="Q445" i="9"/>
  <c r="P445" i="9"/>
  <c r="O445" i="9"/>
  <c r="N445" i="9"/>
  <c r="M445" i="9"/>
  <c r="L445" i="9"/>
  <c r="K445" i="9"/>
  <c r="J445" i="9"/>
  <c r="I445" i="9"/>
  <c r="T444" i="9"/>
  <c r="S444" i="9"/>
  <c r="R444" i="9"/>
  <c r="Q444" i="9"/>
  <c r="P444" i="9"/>
  <c r="O444" i="9"/>
  <c r="N444" i="9"/>
  <c r="M444" i="9"/>
  <c r="L444" i="9"/>
  <c r="K444" i="9"/>
  <c r="J444" i="9"/>
  <c r="I444" i="9"/>
  <c r="T443" i="9"/>
  <c r="S443" i="9"/>
  <c r="R443" i="9"/>
  <c r="Q443" i="9"/>
  <c r="P443" i="9"/>
  <c r="O443" i="9"/>
  <c r="N443" i="9"/>
  <c r="M443" i="9"/>
  <c r="L443" i="9"/>
  <c r="K443" i="9"/>
  <c r="J443" i="9"/>
  <c r="I443" i="9"/>
  <c r="T442" i="9"/>
  <c r="S442" i="9"/>
  <c r="R442" i="9"/>
  <c r="Q442" i="9"/>
  <c r="P442" i="9"/>
  <c r="O442" i="9"/>
  <c r="N442" i="9"/>
  <c r="M442" i="9"/>
  <c r="L442" i="9"/>
  <c r="K442" i="9"/>
  <c r="J442" i="9"/>
  <c r="I442" i="9"/>
  <c r="T441" i="9"/>
  <c r="S441" i="9"/>
  <c r="R441" i="9"/>
  <c r="Q441" i="9"/>
  <c r="P441" i="9"/>
  <c r="O441" i="9"/>
  <c r="N441" i="9"/>
  <c r="M441" i="9"/>
  <c r="L441" i="9"/>
  <c r="K441" i="9"/>
  <c r="J441" i="9"/>
  <c r="I441" i="9"/>
  <c r="T440" i="9"/>
  <c r="S440" i="9"/>
  <c r="R440" i="9"/>
  <c r="Q440" i="9"/>
  <c r="P440" i="9"/>
  <c r="O440" i="9"/>
  <c r="N440" i="9"/>
  <c r="M440" i="9"/>
  <c r="L440" i="9"/>
  <c r="K440" i="9"/>
  <c r="J440" i="9"/>
  <c r="I440" i="9"/>
  <c r="T439" i="9"/>
  <c r="S439" i="9"/>
  <c r="R439" i="9"/>
  <c r="Q439" i="9"/>
  <c r="P439" i="9"/>
  <c r="O439" i="9"/>
  <c r="N439" i="9"/>
  <c r="M439" i="9"/>
  <c r="L439" i="9"/>
  <c r="K439" i="9"/>
  <c r="J439" i="9"/>
  <c r="I439" i="9"/>
  <c r="T438" i="9"/>
  <c r="S438" i="9"/>
  <c r="R438" i="9"/>
  <c r="Q438" i="9"/>
  <c r="P438" i="9"/>
  <c r="O438" i="9"/>
  <c r="N438" i="9"/>
  <c r="M438" i="9"/>
  <c r="L438" i="9"/>
  <c r="K438" i="9"/>
  <c r="J438" i="9"/>
  <c r="I438" i="9"/>
  <c r="T437" i="9"/>
  <c r="S437" i="9"/>
  <c r="R437" i="9"/>
  <c r="Q437" i="9"/>
  <c r="P437" i="9"/>
  <c r="O437" i="9"/>
  <c r="N437" i="9"/>
  <c r="M437" i="9"/>
  <c r="L437" i="9"/>
  <c r="K437" i="9"/>
  <c r="J437" i="9"/>
  <c r="I437" i="9"/>
  <c r="T436" i="9"/>
  <c r="S436" i="9"/>
  <c r="R436" i="9"/>
  <c r="Q436" i="9"/>
  <c r="P436" i="9"/>
  <c r="O436" i="9"/>
  <c r="N436" i="9"/>
  <c r="M436" i="9"/>
  <c r="L436" i="9"/>
  <c r="K436" i="9"/>
  <c r="J436" i="9"/>
  <c r="I436" i="9"/>
  <c r="T435" i="9"/>
  <c r="S435" i="9"/>
  <c r="R435" i="9"/>
  <c r="Q435" i="9"/>
  <c r="P435" i="9"/>
  <c r="O435" i="9"/>
  <c r="N435" i="9"/>
  <c r="M435" i="9"/>
  <c r="L435" i="9"/>
  <c r="K435" i="9"/>
  <c r="J435" i="9"/>
  <c r="I435" i="9"/>
  <c r="T434" i="9"/>
  <c r="S434" i="9"/>
  <c r="R434" i="9"/>
  <c r="Q434" i="9"/>
  <c r="P434" i="9"/>
  <c r="O434" i="9"/>
  <c r="N434" i="9"/>
  <c r="M434" i="9"/>
  <c r="L434" i="9"/>
  <c r="K434" i="9"/>
  <c r="J434" i="9"/>
  <c r="I434" i="9"/>
  <c r="T433" i="9"/>
  <c r="S433" i="9"/>
  <c r="R433" i="9"/>
  <c r="Q433" i="9"/>
  <c r="P433" i="9"/>
  <c r="O433" i="9"/>
  <c r="N433" i="9"/>
  <c r="M433" i="9"/>
  <c r="L433" i="9"/>
  <c r="K433" i="9"/>
  <c r="J433" i="9"/>
  <c r="I433" i="9"/>
  <c r="T432" i="9"/>
  <c r="S432" i="9"/>
  <c r="R432" i="9"/>
  <c r="Q432" i="9"/>
  <c r="P432" i="9"/>
  <c r="O432" i="9"/>
  <c r="N432" i="9"/>
  <c r="M432" i="9"/>
  <c r="L432" i="9"/>
  <c r="K432" i="9"/>
  <c r="J432" i="9"/>
  <c r="I432" i="9"/>
  <c r="T431" i="9"/>
  <c r="S431" i="9"/>
  <c r="R431" i="9"/>
  <c r="Q431" i="9"/>
  <c r="P431" i="9"/>
  <c r="O431" i="9"/>
  <c r="N431" i="9"/>
  <c r="M431" i="9"/>
  <c r="L431" i="9"/>
  <c r="K431" i="9"/>
  <c r="J431" i="9"/>
  <c r="I431" i="9"/>
  <c r="T430" i="9"/>
  <c r="S430" i="9"/>
  <c r="R430" i="9"/>
  <c r="Q430" i="9"/>
  <c r="P430" i="9"/>
  <c r="O430" i="9"/>
  <c r="N430" i="9"/>
  <c r="M430" i="9"/>
  <c r="L430" i="9"/>
  <c r="K430" i="9"/>
  <c r="J430" i="9"/>
  <c r="I430" i="9"/>
  <c r="T429" i="9"/>
  <c r="S429" i="9"/>
  <c r="R429" i="9"/>
  <c r="Q429" i="9"/>
  <c r="P429" i="9"/>
  <c r="O429" i="9"/>
  <c r="N429" i="9"/>
  <c r="M429" i="9"/>
  <c r="L429" i="9"/>
  <c r="K429" i="9"/>
  <c r="J429" i="9"/>
  <c r="I429" i="9"/>
  <c r="T428" i="9"/>
  <c r="S428" i="9"/>
  <c r="R428" i="9"/>
  <c r="Q428" i="9"/>
  <c r="P428" i="9"/>
  <c r="O428" i="9"/>
  <c r="N428" i="9"/>
  <c r="M428" i="9"/>
  <c r="L428" i="9"/>
  <c r="K428" i="9"/>
  <c r="J428" i="9"/>
  <c r="I428" i="9"/>
  <c r="T427" i="9"/>
  <c r="S427" i="9"/>
  <c r="R427" i="9"/>
  <c r="Q427" i="9"/>
  <c r="P427" i="9"/>
  <c r="O427" i="9"/>
  <c r="N427" i="9"/>
  <c r="M427" i="9"/>
  <c r="L427" i="9"/>
  <c r="K427" i="9"/>
  <c r="J427" i="9"/>
  <c r="I427" i="9"/>
  <c r="T426" i="9"/>
  <c r="S426" i="9"/>
  <c r="R426" i="9"/>
  <c r="Q426" i="9"/>
  <c r="P426" i="9"/>
  <c r="O426" i="9"/>
  <c r="N426" i="9"/>
  <c r="M426" i="9"/>
  <c r="L426" i="9"/>
  <c r="K426" i="9"/>
  <c r="J426" i="9"/>
  <c r="I426" i="9"/>
  <c r="T425" i="9"/>
  <c r="S425" i="9"/>
  <c r="R425" i="9"/>
  <c r="Q425" i="9"/>
  <c r="P425" i="9"/>
  <c r="O425" i="9"/>
  <c r="N425" i="9"/>
  <c r="M425" i="9"/>
  <c r="L425" i="9"/>
  <c r="K425" i="9"/>
  <c r="J425" i="9"/>
  <c r="I425" i="9"/>
  <c r="T424" i="9"/>
  <c r="S424" i="9"/>
  <c r="R424" i="9"/>
  <c r="Q424" i="9"/>
  <c r="P424" i="9"/>
  <c r="O424" i="9"/>
  <c r="N424" i="9"/>
  <c r="M424" i="9"/>
  <c r="L424" i="9"/>
  <c r="K424" i="9"/>
  <c r="J424" i="9"/>
  <c r="I424" i="9"/>
  <c r="T423" i="9"/>
  <c r="S423" i="9"/>
  <c r="R423" i="9"/>
  <c r="Q423" i="9"/>
  <c r="P423" i="9"/>
  <c r="O423" i="9"/>
  <c r="N423" i="9"/>
  <c r="M423" i="9"/>
  <c r="L423" i="9"/>
  <c r="K423" i="9"/>
  <c r="J423" i="9"/>
  <c r="I423" i="9"/>
  <c r="T422" i="9"/>
  <c r="S422" i="9"/>
  <c r="R422" i="9"/>
  <c r="Q422" i="9"/>
  <c r="P422" i="9"/>
  <c r="O422" i="9"/>
  <c r="N422" i="9"/>
  <c r="M422" i="9"/>
  <c r="L422" i="9"/>
  <c r="K422" i="9"/>
  <c r="J422" i="9"/>
  <c r="I422" i="9"/>
  <c r="T421" i="9"/>
  <c r="S421" i="9"/>
  <c r="R421" i="9"/>
  <c r="Q421" i="9"/>
  <c r="P421" i="9"/>
  <c r="O421" i="9"/>
  <c r="N421" i="9"/>
  <c r="M421" i="9"/>
  <c r="L421" i="9"/>
  <c r="K421" i="9"/>
  <c r="J421" i="9"/>
  <c r="I421" i="9"/>
  <c r="T420" i="9"/>
  <c r="S420" i="9"/>
  <c r="R420" i="9"/>
  <c r="Q420" i="9"/>
  <c r="P420" i="9"/>
  <c r="O420" i="9"/>
  <c r="N420" i="9"/>
  <c r="M420" i="9"/>
  <c r="L420" i="9"/>
  <c r="K420" i="9"/>
  <c r="J420" i="9"/>
  <c r="I420" i="9"/>
  <c r="T419" i="9"/>
  <c r="S419" i="9"/>
  <c r="R419" i="9"/>
  <c r="Q419" i="9"/>
  <c r="P419" i="9"/>
  <c r="O419" i="9"/>
  <c r="N419" i="9"/>
  <c r="M419" i="9"/>
  <c r="L419" i="9"/>
  <c r="K419" i="9"/>
  <c r="J419" i="9"/>
  <c r="I419" i="9"/>
  <c r="T418" i="9"/>
  <c r="S418" i="9"/>
  <c r="R418" i="9"/>
  <c r="Q418" i="9"/>
  <c r="P418" i="9"/>
  <c r="O418" i="9"/>
  <c r="N418" i="9"/>
  <c r="M418" i="9"/>
  <c r="L418" i="9"/>
  <c r="K418" i="9"/>
  <c r="J418" i="9"/>
  <c r="I418" i="9"/>
  <c r="T417" i="9"/>
  <c r="S417" i="9"/>
  <c r="R417" i="9"/>
  <c r="Q417" i="9"/>
  <c r="P417" i="9"/>
  <c r="O417" i="9"/>
  <c r="N417" i="9"/>
  <c r="M417" i="9"/>
  <c r="L417" i="9"/>
  <c r="K417" i="9"/>
  <c r="J417" i="9"/>
  <c r="I417" i="9"/>
  <c r="T416" i="9"/>
  <c r="S416" i="9"/>
  <c r="R416" i="9"/>
  <c r="Q416" i="9"/>
  <c r="P416" i="9"/>
  <c r="O416" i="9"/>
  <c r="N416" i="9"/>
  <c r="M416" i="9"/>
  <c r="L416" i="9"/>
  <c r="K416" i="9"/>
  <c r="J416" i="9"/>
  <c r="I416" i="9"/>
  <c r="T415" i="9"/>
  <c r="S415" i="9"/>
  <c r="R415" i="9"/>
  <c r="Q415" i="9"/>
  <c r="P415" i="9"/>
  <c r="O415" i="9"/>
  <c r="N415" i="9"/>
  <c r="M415" i="9"/>
  <c r="L415" i="9"/>
  <c r="K415" i="9"/>
  <c r="J415" i="9"/>
  <c r="I415" i="9"/>
  <c r="T414" i="9"/>
  <c r="S414" i="9"/>
  <c r="R414" i="9"/>
  <c r="Q414" i="9"/>
  <c r="P414" i="9"/>
  <c r="O414" i="9"/>
  <c r="N414" i="9"/>
  <c r="M414" i="9"/>
  <c r="L414" i="9"/>
  <c r="K414" i="9"/>
  <c r="J414" i="9"/>
  <c r="I414" i="9"/>
  <c r="T413" i="9"/>
  <c r="S413" i="9"/>
  <c r="R413" i="9"/>
  <c r="Q413" i="9"/>
  <c r="P413" i="9"/>
  <c r="O413" i="9"/>
  <c r="N413" i="9"/>
  <c r="M413" i="9"/>
  <c r="L413" i="9"/>
  <c r="K413" i="9"/>
  <c r="J413" i="9"/>
  <c r="I413" i="9"/>
  <c r="T412" i="9"/>
  <c r="S412" i="9"/>
  <c r="R412" i="9"/>
  <c r="Q412" i="9"/>
  <c r="P412" i="9"/>
  <c r="O412" i="9"/>
  <c r="N412" i="9"/>
  <c r="M412" i="9"/>
  <c r="L412" i="9"/>
  <c r="K412" i="9"/>
  <c r="J412" i="9"/>
  <c r="I412" i="9"/>
  <c r="T411" i="9"/>
  <c r="S411" i="9"/>
  <c r="R411" i="9"/>
  <c r="Q411" i="9"/>
  <c r="P411" i="9"/>
  <c r="O411" i="9"/>
  <c r="N411" i="9"/>
  <c r="M411" i="9"/>
  <c r="L411" i="9"/>
  <c r="K411" i="9"/>
  <c r="J411" i="9"/>
  <c r="I411" i="9"/>
  <c r="T410" i="9"/>
  <c r="S410" i="9"/>
  <c r="R410" i="9"/>
  <c r="Q410" i="9"/>
  <c r="P410" i="9"/>
  <c r="O410" i="9"/>
  <c r="N410" i="9"/>
  <c r="M410" i="9"/>
  <c r="L410" i="9"/>
  <c r="K410" i="9"/>
  <c r="J410" i="9"/>
  <c r="I410" i="9"/>
  <c r="T409" i="9"/>
  <c r="S409" i="9"/>
  <c r="R409" i="9"/>
  <c r="Q409" i="9"/>
  <c r="P409" i="9"/>
  <c r="O409" i="9"/>
  <c r="N409" i="9"/>
  <c r="M409" i="9"/>
  <c r="L409" i="9"/>
  <c r="K409" i="9"/>
  <c r="J409" i="9"/>
  <c r="I409" i="9"/>
  <c r="T408" i="9"/>
  <c r="S408" i="9"/>
  <c r="R408" i="9"/>
  <c r="Q408" i="9"/>
  <c r="P408" i="9"/>
  <c r="O408" i="9"/>
  <c r="N408" i="9"/>
  <c r="M408" i="9"/>
  <c r="L408" i="9"/>
  <c r="K408" i="9"/>
  <c r="J408" i="9"/>
  <c r="I408" i="9"/>
  <c r="T407" i="9"/>
  <c r="S407" i="9"/>
  <c r="R407" i="9"/>
  <c r="Q407" i="9"/>
  <c r="P407" i="9"/>
  <c r="O407" i="9"/>
  <c r="N407" i="9"/>
  <c r="M407" i="9"/>
  <c r="L407" i="9"/>
  <c r="K407" i="9"/>
  <c r="J407" i="9"/>
  <c r="I407" i="9"/>
  <c r="T406" i="9"/>
  <c r="S406" i="9"/>
  <c r="R406" i="9"/>
  <c r="Q406" i="9"/>
  <c r="P406" i="9"/>
  <c r="O406" i="9"/>
  <c r="N406" i="9"/>
  <c r="M406" i="9"/>
  <c r="L406" i="9"/>
  <c r="K406" i="9"/>
  <c r="J406" i="9"/>
  <c r="I406" i="9"/>
  <c r="T405" i="9"/>
  <c r="S405" i="9"/>
  <c r="R405" i="9"/>
  <c r="Q405" i="9"/>
  <c r="P405" i="9"/>
  <c r="O405" i="9"/>
  <c r="N405" i="9"/>
  <c r="M405" i="9"/>
  <c r="L405" i="9"/>
  <c r="K405" i="9"/>
  <c r="J405" i="9"/>
  <c r="I405" i="9"/>
  <c r="T404" i="9"/>
  <c r="S404" i="9"/>
  <c r="R404" i="9"/>
  <c r="Q404" i="9"/>
  <c r="P404" i="9"/>
  <c r="O404" i="9"/>
  <c r="N404" i="9"/>
  <c r="M404" i="9"/>
  <c r="L404" i="9"/>
  <c r="K404" i="9"/>
  <c r="J404" i="9"/>
  <c r="I404" i="9"/>
  <c r="T403" i="9"/>
  <c r="S403" i="9"/>
  <c r="R403" i="9"/>
  <c r="Q403" i="9"/>
  <c r="P403" i="9"/>
  <c r="O403" i="9"/>
  <c r="N403" i="9"/>
  <c r="M403" i="9"/>
  <c r="L403" i="9"/>
  <c r="K403" i="9"/>
  <c r="J403" i="9"/>
  <c r="I403" i="9"/>
  <c r="T402" i="9"/>
  <c r="S402" i="9"/>
  <c r="R402" i="9"/>
  <c r="Q402" i="9"/>
  <c r="P402" i="9"/>
  <c r="O402" i="9"/>
  <c r="N402" i="9"/>
  <c r="M402" i="9"/>
  <c r="L402" i="9"/>
  <c r="K402" i="9"/>
  <c r="J402" i="9"/>
  <c r="I402" i="9"/>
  <c r="T401" i="9"/>
  <c r="S401" i="9"/>
  <c r="R401" i="9"/>
  <c r="Q401" i="9"/>
  <c r="P401" i="9"/>
  <c r="O401" i="9"/>
  <c r="N401" i="9"/>
  <c r="M401" i="9"/>
  <c r="L401" i="9"/>
  <c r="K401" i="9"/>
  <c r="J401" i="9"/>
  <c r="I401" i="9"/>
  <c r="T400" i="9"/>
  <c r="S400" i="9"/>
  <c r="R400" i="9"/>
  <c r="Q400" i="9"/>
  <c r="P400" i="9"/>
  <c r="O400" i="9"/>
  <c r="N400" i="9"/>
  <c r="M400" i="9"/>
  <c r="L400" i="9"/>
  <c r="K400" i="9"/>
  <c r="J400" i="9"/>
  <c r="I400" i="9"/>
  <c r="T399" i="9"/>
  <c r="S399" i="9"/>
  <c r="R399" i="9"/>
  <c r="Q399" i="9"/>
  <c r="P399" i="9"/>
  <c r="O399" i="9"/>
  <c r="N399" i="9"/>
  <c r="M399" i="9"/>
  <c r="L399" i="9"/>
  <c r="K399" i="9"/>
  <c r="J399" i="9"/>
  <c r="I399" i="9"/>
  <c r="T398" i="9"/>
  <c r="S398" i="9"/>
  <c r="R398" i="9"/>
  <c r="Q398" i="9"/>
  <c r="P398" i="9"/>
  <c r="O398" i="9"/>
  <c r="N398" i="9"/>
  <c r="M398" i="9"/>
  <c r="L398" i="9"/>
  <c r="K398" i="9"/>
  <c r="J398" i="9"/>
  <c r="I398" i="9"/>
  <c r="T397" i="9"/>
  <c r="S397" i="9"/>
  <c r="R397" i="9"/>
  <c r="Q397" i="9"/>
  <c r="P397" i="9"/>
  <c r="O397" i="9"/>
  <c r="N397" i="9"/>
  <c r="M397" i="9"/>
  <c r="L397" i="9"/>
  <c r="K397" i="9"/>
  <c r="J397" i="9"/>
  <c r="I397" i="9"/>
  <c r="T396" i="9"/>
  <c r="S396" i="9"/>
  <c r="R396" i="9"/>
  <c r="Q396" i="9"/>
  <c r="P396" i="9"/>
  <c r="O396" i="9"/>
  <c r="N396" i="9"/>
  <c r="M396" i="9"/>
  <c r="L396" i="9"/>
  <c r="K396" i="9"/>
  <c r="J396" i="9"/>
  <c r="I396" i="9"/>
  <c r="T395" i="9"/>
  <c r="S395" i="9"/>
  <c r="R395" i="9"/>
  <c r="Q395" i="9"/>
  <c r="P395" i="9"/>
  <c r="O395" i="9"/>
  <c r="N395" i="9"/>
  <c r="M395" i="9"/>
  <c r="L395" i="9"/>
  <c r="K395" i="9"/>
  <c r="J395" i="9"/>
  <c r="I395" i="9"/>
  <c r="T394" i="9"/>
  <c r="S394" i="9"/>
  <c r="R394" i="9"/>
  <c r="Q394" i="9"/>
  <c r="P394" i="9"/>
  <c r="O394" i="9"/>
  <c r="N394" i="9"/>
  <c r="M394" i="9"/>
  <c r="L394" i="9"/>
  <c r="K394" i="9"/>
  <c r="J394" i="9"/>
  <c r="I394" i="9"/>
  <c r="T393" i="9"/>
  <c r="S393" i="9"/>
  <c r="R393" i="9"/>
  <c r="Q393" i="9"/>
  <c r="P393" i="9"/>
  <c r="O393" i="9"/>
  <c r="N393" i="9"/>
  <c r="M393" i="9"/>
  <c r="L393" i="9"/>
  <c r="K393" i="9"/>
  <c r="J393" i="9"/>
  <c r="I393" i="9"/>
  <c r="T392" i="9"/>
  <c r="S392" i="9"/>
  <c r="R392" i="9"/>
  <c r="Q392" i="9"/>
  <c r="P392" i="9"/>
  <c r="O392" i="9"/>
  <c r="N392" i="9"/>
  <c r="M392" i="9"/>
  <c r="L392" i="9"/>
  <c r="K392" i="9"/>
  <c r="J392" i="9"/>
  <c r="I392" i="9"/>
  <c r="T391" i="9"/>
  <c r="S391" i="9"/>
  <c r="R391" i="9"/>
  <c r="Q391" i="9"/>
  <c r="P391" i="9"/>
  <c r="O391" i="9"/>
  <c r="N391" i="9"/>
  <c r="M391" i="9"/>
  <c r="L391" i="9"/>
  <c r="K391" i="9"/>
  <c r="J391" i="9"/>
  <c r="I391" i="9"/>
  <c r="T390" i="9"/>
  <c r="S390" i="9"/>
  <c r="R390" i="9"/>
  <c r="Q390" i="9"/>
  <c r="P390" i="9"/>
  <c r="O390" i="9"/>
  <c r="N390" i="9"/>
  <c r="M390" i="9"/>
  <c r="L390" i="9"/>
  <c r="K390" i="9"/>
  <c r="J390" i="9"/>
  <c r="I390" i="9"/>
  <c r="T389" i="9"/>
  <c r="S389" i="9"/>
  <c r="R389" i="9"/>
  <c r="Q389" i="9"/>
  <c r="P389" i="9"/>
  <c r="O389" i="9"/>
  <c r="N389" i="9"/>
  <c r="M389" i="9"/>
  <c r="L389" i="9"/>
  <c r="K389" i="9"/>
  <c r="J389" i="9"/>
  <c r="I389" i="9"/>
  <c r="T388" i="9"/>
  <c r="S388" i="9"/>
  <c r="R388" i="9"/>
  <c r="Q388" i="9"/>
  <c r="P388" i="9"/>
  <c r="O388" i="9"/>
  <c r="N388" i="9"/>
  <c r="M388" i="9"/>
  <c r="L388" i="9"/>
  <c r="K388" i="9"/>
  <c r="J388" i="9"/>
  <c r="I388" i="9"/>
  <c r="T387" i="9"/>
  <c r="S387" i="9"/>
  <c r="R387" i="9"/>
  <c r="Q387" i="9"/>
  <c r="P387" i="9"/>
  <c r="O387" i="9"/>
  <c r="N387" i="9"/>
  <c r="M387" i="9"/>
  <c r="L387" i="9"/>
  <c r="K387" i="9"/>
  <c r="J387" i="9"/>
  <c r="I387" i="9"/>
  <c r="T386" i="9"/>
  <c r="S386" i="9"/>
  <c r="R386" i="9"/>
  <c r="Q386" i="9"/>
  <c r="P386" i="9"/>
  <c r="O386" i="9"/>
  <c r="N386" i="9"/>
  <c r="M386" i="9"/>
  <c r="L386" i="9"/>
  <c r="K386" i="9"/>
  <c r="J386" i="9"/>
  <c r="I386" i="9"/>
  <c r="T385" i="9"/>
  <c r="S385" i="9"/>
  <c r="R385" i="9"/>
  <c r="Q385" i="9"/>
  <c r="P385" i="9"/>
  <c r="O385" i="9"/>
  <c r="N385" i="9"/>
  <c r="M385" i="9"/>
  <c r="L385" i="9"/>
  <c r="K385" i="9"/>
  <c r="J385" i="9"/>
  <c r="I385" i="9"/>
  <c r="T384" i="9"/>
  <c r="S384" i="9"/>
  <c r="R384" i="9"/>
  <c r="Q384" i="9"/>
  <c r="P384" i="9"/>
  <c r="O384" i="9"/>
  <c r="N384" i="9"/>
  <c r="M384" i="9"/>
  <c r="L384" i="9"/>
  <c r="K384" i="9"/>
  <c r="J384" i="9"/>
  <c r="I384" i="9"/>
  <c r="T383" i="9"/>
  <c r="S383" i="9"/>
  <c r="R383" i="9"/>
  <c r="Q383" i="9"/>
  <c r="P383" i="9"/>
  <c r="O383" i="9"/>
  <c r="N383" i="9"/>
  <c r="M383" i="9"/>
  <c r="L383" i="9"/>
  <c r="K383" i="9"/>
  <c r="J383" i="9"/>
  <c r="I383" i="9"/>
  <c r="T382" i="9"/>
  <c r="S382" i="9"/>
  <c r="R382" i="9"/>
  <c r="Q382" i="9"/>
  <c r="P382" i="9"/>
  <c r="O382" i="9"/>
  <c r="N382" i="9"/>
  <c r="M382" i="9"/>
  <c r="L382" i="9"/>
  <c r="K382" i="9"/>
  <c r="J382" i="9"/>
  <c r="I382" i="9"/>
  <c r="T381" i="9"/>
  <c r="S381" i="9"/>
  <c r="R381" i="9"/>
  <c r="Q381" i="9"/>
  <c r="P381" i="9"/>
  <c r="O381" i="9"/>
  <c r="N381" i="9"/>
  <c r="M381" i="9"/>
  <c r="L381" i="9"/>
  <c r="K381" i="9"/>
  <c r="J381" i="9"/>
  <c r="I381" i="9"/>
  <c r="T380" i="9"/>
  <c r="S380" i="9"/>
  <c r="R380" i="9"/>
  <c r="Q380" i="9"/>
  <c r="P380" i="9"/>
  <c r="O380" i="9"/>
  <c r="N380" i="9"/>
  <c r="M380" i="9"/>
  <c r="L380" i="9"/>
  <c r="K380" i="9"/>
  <c r="J380" i="9"/>
  <c r="I380" i="9"/>
  <c r="T379" i="9"/>
  <c r="S379" i="9"/>
  <c r="R379" i="9"/>
  <c r="Q379" i="9"/>
  <c r="P379" i="9"/>
  <c r="O379" i="9"/>
  <c r="N379" i="9"/>
  <c r="M379" i="9"/>
  <c r="L379" i="9"/>
  <c r="K379" i="9"/>
  <c r="J379" i="9"/>
  <c r="I379" i="9"/>
  <c r="T378" i="9"/>
  <c r="S378" i="9"/>
  <c r="R378" i="9"/>
  <c r="Q378" i="9"/>
  <c r="P378" i="9"/>
  <c r="O378" i="9"/>
  <c r="N378" i="9"/>
  <c r="M378" i="9"/>
  <c r="L378" i="9"/>
  <c r="K378" i="9"/>
  <c r="J378" i="9"/>
  <c r="I378" i="9"/>
  <c r="T377" i="9"/>
  <c r="S377" i="9"/>
  <c r="R377" i="9"/>
  <c r="Q377" i="9"/>
  <c r="P377" i="9"/>
  <c r="O377" i="9"/>
  <c r="N377" i="9"/>
  <c r="M377" i="9"/>
  <c r="L377" i="9"/>
  <c r="K377" i="9"/>
  <c r="J377" i="9"/>
  <c r="I377" i="9"/>
  <c r="T376" i="9"/>
  <c r="S376" i="9"/>
  <c r="R376" i="9"/>
  <c r="Q376" i="9"/>
  <c r="P376" i="9"/>
  <c r="O376" i="9"/>
  <c r="N376" i="9"/>
  <c r="M376" i="9"/>
  <c r="L376" i="9"/>
  <c r="K376" i="9"/>
  <c r="J376" i="9"/>
  <c r="I376" i="9"/>
  <c r="T375" i="9"/>
  <c r="S375" i="9"/>
  <c r="R375" i="9"/>
  <c r="Q375" i="9"/>
  <c r="P375" i="9"/>
  <c r="O375" i="9"/>
  <c r="N375" i="9"/>
  <c r="M375" i="9"/>
  <c r="L375" i="9"/>
  <c r="K375" i="9"/>
  <c r="J375" i="9"/>
  <c r="I375" i="9"/>
  <c r="T374" i="9"/>
  <c r="S374" i="9"/>
  <c r="R374" i="9"/>
  <c r="Q374" i="9"/>
  <c r="P374" i="9"/>
  <c r="O374" i="9"/>
  <c r="N374" i="9"/>
  <c r="M374" i="9"/>
  <c r="L374" i="9"/>
  <c r="K374" i="9"/>
  <c r="J374" i="9"/>
  <c r="I374" i="9"/>
  <c r="T373" i="9"/>
  <c r="S373" i="9"/>
  <c r="R373" i="9"/>
  <c r="Q373" i="9"/>
  <c r="P373" i="9"/>
  <c r="O373" i="9"/>
  <c r="N373" i="9"/>
  <c r="M373" i="9"/>
  <c r="L373" i="9"/>
  <c r="K373" i="9"/>
  <c r="J373" i="9"/>
  <c r="I373" i="9"/>
  <c r="T372" i="9"/>
  <c r="S372" i="9"/>
  <c r="R372" i="9"/>
  <c r="Q372" i="9"/>
  <c r="P372" i="9"/>
  <c r="O372" i="9"/>
  <c r="N372" i="9"/>
  <c r="M372" i="9"/>
  <c r="L372" i="9"/>
  <c r="K372" i="9"/>
  <c r="J372" i="9"/>
  <c r="I372" i="9"/>
  <c r="T371" i="9"/>
  <c r="S371" i="9"/>
  <c r="R371" i="9"/>
  <c r="Q371" i="9"/>
  <c r="P371" i="9"/>
  <c r="O371" i="9"/>
  <c r="N371" i="9"/>
  <c r="M371" i="9"/>
  <c r="L371" i="9"/>
  <c r="K371" i="9"/>
  <c r="J371" i="9"/>
  <c r="I371" i="9"/>
  <c r="T370" i="9"/>
  <c r="S370" i="9"/>
  <c r="R370" i="9"/>
  <c r="Q370" i="9"/>
  <c r="P370" i="9"/>
  <c r="O370" i="9"/>
  <c r="N370" i="9"/>
  <c r="M370" i="9"/>
  <c r="L370" i="9"/>
  <c r="K370" i="9"/>
  <c r="J370" i="9"/>
  <c r="I370" i="9"/>
  <c r="T369" i="9"/>
  <c r="S369" i="9"/>
  <c r="R369" i="9"/>
  <c r="Q369" i="9"/>
  <c r="P369" i="9"/>
  <c r="O369" i="9"/>
  <c r="N369" i="9"/>
  <c r="M369" i="9"/>
  <c r="L369" i="9"/>
  <c r="K369" i="9"/>
  <c r="J369" i="9"/>
  <c r="I369" i="9"/>
  <c r="T368" i="9"/>
  <c r="S368" i="9"/>
  <c r="R368" i="9"/>
  <c r="Q368" i="9"/>
  <c r="P368" i="9"/>
  <c r="O368" i="9"/>
  <c r="N368" i="9"/>
  <c r="M368" i="9"/>
  <c r="L368" i="9"/>
  <c r="K368" i="9"/>
  <c r="J368" i="9"/>
  <c r="I368" i="9"/>
  <c r="T367" i="9"/>
  <c r="S367" i="9"/>
  <c r="R367" i="9"/>
  <c r="Q367" i="9"/>
  <c r="P367" i="9"/>
  <c r="O367" i="9"/>
  <c r="N367" i="9"/>
  <c r="M367" i="9"/>
  <c r="L367" i="9"/>
  <c r="K367" i="9"/>
  <c r="J367" i="9"/>
  <c r="I367" i="9"/>
  <c r="T366" i="9"/>
  <c r="S366" i="9"/>
  <c r="R366" i="9"/>
  <c r="Q366" i="9"/>
  <c r="P366" i="9"/>
  <c r="O366" i="9"/>
  <c r="N366" i="9"/>
  <c r="M366" i="9"/>
  <c r="L366" i="9"/>
  <c r="K366" i="9"/>
  <c r="J366" i="9"/>
  <c r="I366" i="9"/>
  <c r="T365" i="9"/>
  <c r="S365" i="9"/>
  <c r="R365" i="9"/>
  <c r="Q365" i="9"/>
  <c r="P365" i="9"/>
  <c r="O365" i="9"/>
  <c r="N365" i="9"/>
  <c r="M365" i="9"/>
  <c r="L365" i="9"/>
  <c r="K365" i="9"/>
  <c r="J365" i="9"/>
  <c r="I365" i="9"/>
  <c r="T364" i="9"/>
  <c r="S364" i="9"/>
  <c r="R364" i="9"/>
  <c r="Q364" i="9"/>
  <c r="P364" i="9"/>
  <c r="O364" i="9"/>
  <c r="N364" i="9"/>
  <c r="M364" i="9"/>
  <c r="L364" i="9"/>
  <c r="K364" i="9"/>
  <c r="J364" i="9"/>
  <c r="I364" i="9"/>
  <c r="T363" i="9"/>
  <c r="S363" i="9"/>
  <c r="R363" i="9"/>
  <c r="Q363" i="9"/>
  <c r="P363" i="9"/>
  <c r="O363" i="9"/>
  <c r="N363" i="9"/>
  <c r="M363" i="9"/>
  <c r="L363" i="9"/>
  <c r="K363" i="9"/>
  <c r="J363" i="9"/>
  <c r="I363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T361" i="9"/>
  <c r="S361" i="9"/>
  <c r="R361" i="9"/>
  <c r="Q361" i="9"/>
  <c r="P361" i="9"/>
  <c r="O361" i="9"/>
  <c r="N361" i="9"/>
  <c r="M361" i="9"/>
  <c r="L361" i="9"/>
  <c r="K361" i="9"/>
  <c r="J361" i="9"/>
  <c r="I361" i="9"/>
  <c r="T360" i="9"/>
  <c r="S360" i="9"/>
  <c r="R360" i="9"/>
  <c r="Q360" i="9"/>
  <c r="P360" i="9"/>
  <c r="O360" i="9"/>
  <c r="N360" i="9"/>
  <c r="M360" i="9"/>
  <c r="L360" i="9"/>
  <c r="K360" i="9"/>
  <c r="J360" i="9"/>
  <c r="I360" i="9"/>
  <c r="T359" i="9"/>
  <c r="S359" i="9"/>
  <c r="R359" i="9"/>
  <c r="Q359" i="9"/>
  <c r="P359" i="9"/>
  <c r="O359" i="9"/>
  <c r="N359" i="9"/>
  <c r="M359" i="9"/>
  <c r="L359" i="9"/>
  <c r="K359" i="9"/>
  <c r="J359" i="9"/>
  <c r="I359" i="9"/>
  <c r="T358" i="9"/>
  <c r="S358" i="9"/>
  <c r="R358" i="9"/>
  <c r="Q358" i="9"/>
  <c r="P358" i="9"/>
  <c r="O358" i="9"/>
  <c r="N358" i="9"/>
  <c r="M358" i="9"/>
  <c r="L358" i="9"/>
  <c r="K358" i="9"/>
  <c r="J358" i="9"/>
  <c r="I358" i="9"/>
  <c r="T357" i="9"/>
  <c r="S357" i="9"/>
  <c r="R357" i="9"/>
  <c r="Q357" i="9"/>
  <c r="P357" i="9"/>
  <c r="O357" i="9"/>
  <c r="N357" i="9"/>
  <c r="M357" i="9"/>
  <c r="L357" i="9"/>
  <c r="K357" i="9"/>
  <c r="J357" i="9"/>
  <c r="I357" i="9"/>
  <c r="T356" i="9"/>
  <c r="S356" i="9"/>
  <c r="R356" i="9"/>
  <c r="Q356" i="9"/>
  <c r="P356" i="9"/>
  <c r="O356" i="9"/>
  <c r="N356" i="9"/>
  <c r="M356" i="9"/>
  <c r="L356" i="9"/>
  <c r="K356" i="9"/>
  <c r="J356" i="9"/>
  <c r="I356" i="9"/>
  <c r="T355" i="9"/>
  <c r="S355" i="9"/>
  <c r="R355" i="9"/>
  <c r="Q355" i="9"/>
  <c r="P355" i="9"/>
  <c r="O355" i="9"/>
  <c r="N355" i="9"/>
  <c r="M355" i="9"/>
  <c r="L355" i="9"/>
  <c r="K355" i="9"/>
  <c r="J355" i="9"/>
  <c r="I355" i="9"/>
  <c r="T354" i="9"/>
  <c r="S354" i="9"/>
  <c r="R354" i="9"/>
  <c r="Q354" i="9"/>
  <c r="P354" i="9"/>
  <c r="O354" i="9"/>
  <c r="N354" i="9"/>
  <c r="M354" i="9"/>
  <c r="L354" i="9"/>
  <c r="K354" i="9"/>
  <c r="J354" i="9"/>
  <c r="I354" i="9"/>
  <c r="T353" i="9"/>
  <c r="S353" i="9"/>
  <c r="R353" i="9"/>
  <c r="Q353" i="9"/>
  <c r="P353" i="9"/>
  <c r="O353" i="9"/>
  <c r="N353" i="9"/>
  <c r="M353" i="9"/>
  <c r="L353" i="9"/>
  <c r="K353" i="9"/>
  <c r="J353" i="9"/>
  <c r="I353" i="9"/>
  <c r="T352" i="9"/>
  <c r="S352" i="9"/>
  <c r="R352" i="9"/>
  <c r="Q352" i="9"/>
  <c r="P352" i="9"/>
  <c r="O352" i="9"/>
  <c r="N352" i="9"/>
  <c r="M352" i="9"/>
  <c r="L352" i="9"/>
  <c r="K352" i="9"/>
  <c r="J352" i="9"/>
  <c r="I352" i="9"/>
  <c r="T351" i="9"/>
  <c r="S351" i="9"/>
  <c r="R351" i="9"/>
  <c r="Q351" i="9"/>
  <c r="P351" i="9"/>
  <c r="O351" i="9"/>
  <c r="N351" i="9"/>
  <c r="M351" i="9"/>
  <c r="L351" i="9"/>
  <c r="K351" i="9"/>
  <c r="J351" i="9"/>
  <c r="I351" i="9"/>
  <c r="T350" i="9"/>
  <c r="S350" i="9"/>
  <c r="R350" i="9"/>
  <c r="Q350" i="9"/>
  <c r="P350" i="9"/>
  <c r="O350" i="9"/>
  <c r="N350" i="9"/>
  <c r="M350" i="9"/>
  <c r="L350" i="9"/>
  <c r="K350" i="9"/>
  <c r="J350" i="9"/>
  <c r="I350" i="9"/>
  <c r="T349" i="9"/>
  <c r="S349" i="9"/>
  <c r="R349" i="9"/>
  <c r="Q349" i="9"/>
  <c r="P349" i="9"/>
  <c r="O349" i="9"/>
  <c r="N349" i="9"/>
  <c r="M349" i="9"/>
  <c r="L349" i="9"/>
  <c r="K349" i="9"/>
  <c r="J349" i="9"/>
  <c r="I349" i="9"/>
  <c r="T348" i="9"/>
  <c r="S348" i="9"/>
  <c r="R348" i="9"/>
  <c r="Q348" i="9"/>
  <c r="P348" i="9"/>
  <c r="O348" i="9"/>
  <c r="N348" i="9"/>
  <c r="M348" i="9"/>
  <c r="L348" i="9"/>
  <c r="K348" i="9"/>
  <c r="J348" i="9"/>
  <c r="I348" i="9"/>
  <c r="T347" i="9"/>
  <c r="S347" i="9"/>
  <c r="R347" i="9"/>
  <c r="Q347" i="9"/>
  <c r="P347" i="9"/>
  <c r="O347" i="9"/>
  <c r="N347" i="9"/>
  <c r="M347" i="9"/>
  <c r="L347" i="9"/>
  <c r="K347" i="9"/>
  <c r="J347" i="9"/>
  <c r="I347" i="9"/>
  <c r="T346" i="9"/>
  <c r="S346" i="9"/>
  <c r="R346" i="9"/>
  <c r="Q346" i="9"/>
  <c r="P346" i="9"/>
  <c r="O346" i="9"/>
  <c r="N346" i="9"/>
  <c r="M346" i="9"/>
  <c r="L346" i="9"/>
  <c r="K346" i="9"/>
  <c r="J346" i="9"/>
  <c r="I346" i="9"/>
  <c r="T345" i="9"/>
  <c r="S345" i="9"/>
  <c r="R345" i="9"/>
  <c r="Q345" i="9"/>
  <c r="P345" i="9"/>
  <c r="O345" i="9"/>
  <c r="N345" i="9"/>
  <c r="M345" i="9"/>
  <c r="L345" i="9"/>
  <c r="K345" i="9"/>
  <c r="J345" i="9"/>
  <c r="I345" i="9"/>
  <c r="T344" i="9"/>
  <c r="S344" i="9"/>
  <c r="R344" i="9"/>
  <c r="Q344" i="9"/>
  <c r="P344" i="9"/>
  <c r="O344" i="9"/>
  <c r="N344" i="9"/>
  <c r="M344" i="9"/>
  <c r="L344" i="9"/>
  <c r="K344" i="9"/>
  <c r="J344" i="9"/>
  <c r="I344" i="9"/>
  <c r="T343" i="9"/>
  <c r="S343" i="9"/>
  <c r="R343" i="9"/>
  <c r="Q343" i="9"/>
  <c r="P343" i="9"/>
  <c r="O343" i="9"/>
  <c r="N343" i="9"/>
  <c r="M343" i="9"/>
  <c r="L343" i="9"/>
  <c r="K343" i="9"/>
  <c r="J343" i="9"/>
  <c r="I343" i="9"/>
  <c r="T342" i="9"/>
  <c r="S342" i="9"/>
  <c r="R342" i="9"/>
  <c r="Q342" i="9"/>
  <c r="P342" i="9"/>
  <c r="O342" i="9"/>
  <c r="N342" i="9"/>
  <c r="M342" i="9"/>
  <c r="L342" i="9"/>
  <c r="K342" i="9"/>
  <c r="J342" i="9"/>
  <c r="I342" i="9"/>
  <c r="T341" i="9"/>
  <c r="S341" i="9"/>
  <c r="R341" i="9"/>
  <c r="Q341" i="9"/>
  <c r="P341" i="9"/>
  <c r="O341" i="9"/>
  <c r="N341" i="9"/>
  <c r="M341" i="9"/>
  <c r="L341" i="9"/>
  <c r="K341" i="9"/>
  <c r="J341" i="9"/>
  <c r="I341" i="9"/>
  <c r="T340" i="9"/>
  <c r="S340" i="9"/>
  <c r="R340" i="9"/>
  <c r="Q340" i="9"/>
  <c r="P340" i="9"/>
  <c r="O340" i="9"/>
  <c r="N340" i="9"/>
  <c r="M340" i="9"/>
  <c r="L340" i="9"/>
  <c r="K340" i="9"/>
  <c r="J340" i="9"/>
  <c r="I340" i="9"/>
  <c r="T339" i="9"/>
  <c r="S339" i="9"/>
  <c r="R339" i="9"/>
  <c r="Q339" i="9"/>
  <c r="P339" i="9"/>
  <c r="O339" i="9"/>
  <c r="N339" i="9"/>
  <c r="M339" i="9"/>
  <c r="L339" i="9"/>
  <c r="K339" i="9"/>
  <c r="J339" i="9"/>
  <c r="I339" i="9"/>
  <c r="T338" i="9"/>
  <c r="S338" i="9"/>
  <c r="R338" i="9"/>
  <c r="Q338" i="9"/>
  <c r="P338" i="9"/>
  <c r="O338" i="9"/>
  <c r="N338" i="9"/>
  <c r="M338" i="9"/>
  <c r="L338" i="9"/>
  <c r="K338" i="9"/>
  <c r="J338" i="9"/>
  <c r="I338" i="9"/>
  <c r="T337" i="9"/>
  <c r="S337" i="9"/>
  <c r="R337" i="9"/>
  <c r="Q337" i="9"/>
  <c r="P337" i="9"/>
  <c r="O337" i="9"/>
  <c r="N337" i="9"/>
  <c r="M337" i="9"/>
  <c r="L337" i="9"/>
  <c r="K337" i="9"/>
  <c r="J337" i="9"/>
  <c r="I337" i="9"/>
  <c r="T336" i="9"/>
  <c r="S336" i="9"/>
  <c r="R336" i="9"/>
  <c r="Q336" i="9"/>
  <c r="P336" i="9"/>
  <c r="O336" i="9"/>
  <c r="N336" i="9"/>
  <c r="M336" i="9"/>
  <c r="L336" i="9"/>
  <c r="K336" i="9"/>
  <c r="J336" i="9"/>
  <c r="I336" i="9"/>
  <c r="T335" i="9"/>
  <c r="S335" i="9"/>
  <c r="R335" i="9"/>
  <c r="Q335" i="9"/>
  <c r="P335" i="9"/>
  <c r="O335" i="9"/>
  <c r="N335" i="9"/>
  <c r="M335" i="9"/>
  <c r="L335" i="9"/>
  <c r="K335" i="9"/>
  <c r="J335" i="9"/>
  <c r="I335" i="9"/>
  <c r="T334" i="9"/>
  <c r="S334" i="9"/>
  <c r="R334" i="9"/>
  <c r="Q334" i="9"/>
  <c r="P334" i="9"/>
  <c r="O334" i="9"/>
  <c r="N334" i="9"/>
  <c r="M334" i="9"/>
  <c r="L334" i="9"/>
  <c r="K334" i="9"/>
  <c r="J334" i="9"/>
  <c r="I334" i="9"/>
  <c r="T333" i="9"/>
  <c r="S333" i="9"/>
  <c r="R333" i="9"/>
  <c r="Q333" i="9"/>
  <c r="P333" i="9"/>
  <c r="O333" i="9"/>
  <c r="N333" i="9"/>
  <c r="M333" i="9"/>
  <c r="L333" i="9"/>
  <c r="K333" i="9"/>
  <c r="J333" i="9"/>
  <c r="I333" i="9"/>
  <c r="T332" i="9"/>
  <c r="S332" i="9"/>
  <c r="R332" i="9"/>
  <c r="Q332" i="9"/>
  <c r="P332" i="9"/>
  <c r="O332" i="9"/>
  <c r="N332" i="9"/>
  <c r="M332" i="9"/>
  <c r="L332" i="9"/>
  <c r="K332" i="9"/>
  <c r="J332" i="9"/>
  <c r="I332" i="9"/>
  <c r="T331" i="9"/>
  <c r="S331" i="9"/>
  <c r="R331" i="9"/>
  <c r="Q331" i="9"/>
  <c r="P331" i="9"/>
  <c r="O331" i="9"/>
  <c r="N331" i="9"/>
  <c r="M331" i="9"/>
  <c r="L331" i="9"/>
  <c r="K331" i="9"/>
  <c r="J331" i="9"/>
  <c r="I331" i="9"/>
  <c r="T330" i="9"/>
  <c r="S330" i="9"/>
  <c r="R330" i="9"/>
  <c r="Q330" i="9"/>
  <c r="P330" i="9"/>
  <c r="O330" i="9"/>
  <c r="N330" i="9"/>
  <c r="M330" i="9"/>
  <c r="L330" i="9"/>
  <c r="K330" i="9"/>
  <c r="J330" i="9"/>
  <c r="I330" i="9"/>
  <c r="T329" i="9"/>
  <c r="S329" i="9"/>
  <c r="R329" i="9"/>
  <c r="Q329" i="9"/>
  <c r="P329" i="9"/>
  <c r="O329" i="9"/>
  <c r="N329" i="9"/>
  <c r="M329" i="9"/>
  <c r="L329" i="9"/>
  <c r="K329" i="9"/>
  <c r="J329" i="9"/>
  <c r="I329" i="9"/>
  <c r="T328" i="9"/>
  <c r="S328" i="9"/>
  <c r="R328" i="9"/>
  <c r="Q328" i="9"/>
  <c r="P328" i="9"/>
  <c r="O328" i="9"/>
  <c r="N328" i="9"/>
  <c r="M328" i="9"/>
  <c r="L328" i="9"/>
  <c r="K328" i="9"/>
  <c r="J328" i="9"/>
  <c r="I328" i="9"/>
  <c r="T327" i="9"/>
  <c r="S327" i="9"/>
  <c r="R327" i="9"/>
  <c r="Q327" i="9"/>
  <c r="P327" i="9"/>
  <c r="O327" i="9"/>
  <c r="N327" i="9"/>
  <c r="M327" i="9"/>
  <c r="L327" i="9"/>
  <c r="K327" i="9"/>
  <c r="J327" i="9"/>
  <c r="I327" i="9"/>
  <c r="T326" i="9"/>
  <c r="S326" i="9"/>
  <c r="R326" i="9"/>
  <c r="Q326" i="9"/>
  <c r="P326" i="9"/>
  <c r="O326" i="9"/>
  <c r="N326" i="9"/>
  <c r="M326" i="9"/>
  <c r="L326" i="9"/>
  <c r="K326" i="9"/>
  <c r="J326" i="9"/>
  <c r="I326" i="9"/>
  <c r="T325" i="9"/>
  <c r="S325" i="9"/>
  <c r="R325" i="9"/>
  <c r="Q325" i="9"/>
  <c r="P325" i="9"/>
  <c r="O325" i="9"/>
  <c r="N325" i="9"/>
  <c r="M325" i="9"/>
  <c r="L325" i="9"/>
  <c r="K325" i="9"/>
  <c r="J325" i="9"/>
  <c r="I325" i="9"/>
  <c r="T324" i="9"/>
  <c r="S324" i="9"/>
  <c r="R324" i="9"/>
  <c r="Q324" i="9"/>
  <c r="P324" i="9"/>
  <c r="O324" i="9"/>
  <c r="N324" i="9"/>
  <c r="M324" i="9"/>
  <c r="L324" i="9"/>
  <c r="K324" i="9"/>
  <c r="J324" i="9"/>
  <c r="I324" i="9"/>
  <c r="T323" i="9"/>
  <c r="S323" i="9"/>
  <c r="R323" i="9"/>
  <c r="Q323" i="9"/>
  <c r="P323" i="9"/>
  <c r="O323" i="9"/>
  <c r="N323" i="9"/>
  <c r="M323" i="9"/>
  <c r="L323" i="9"/>
  <c r="K323" i="9"/>
  <c r="J323" i="9"/>
  <c r="I323" i="9"/>
  <c r="T322" i="9"/>
  <c r="S322" i="9"/>
  <c r="R322" i="9"/>
  <c r="Q322" i="9"/>
  <c r="P322" i="9"/>
  <c r="O322" i="9"/>
  <c r="N322" i="9"/>
  <c r="M322" i="9"/>
  <c r="L322" i="9"/>
  <c r="K322" i="9"/>
  <c r="J322" i="9"/>
  <c r="I322" i="9"/>
  <c r="T321" i="9"/>
  <c r="S321" i="9"/>
  <c r="R321" i="9"/>
  <c r="Q321" i="9"/>
  <c r="P321" i="9"/>
  <c r="O321" i="9"/>
  <c r="N321" i="9"/>
  <c r="M321" i="9"/>
  <c r="L321" i="9"/>
  <c r="K321" i="9"/>
  <c r="J321" i="9"/>
  <c r="I321" i="9"/>
  <c r="T320" i="9"/>
  <c r="S320" i="9"/>
  <c r="R320" i="9"/>
  <c r="Q320" i="9"/>
  <c r="P320" i="9"/>
  <c r="O320" i="9"/>
  <c r="N320" i="9"/>
  <c r="M320" i="9"/>
  <c r="L320" i="9"/>
  <c r="K320" i="9"/>
  <c r="J320" i="9"/>
  <c r="I320" i="9"/>
  <c r="T319" i="9"/>
  <c r="S319" i="9"/>
  <c r="R319" i="9"/>
  <c r="Q319" i="9"/>
  <c r="P319" i="9"/>
  <c r="O319" i="9"/>
  <c r="N319" i="9"/>
  <c r="M319" i="9"/>
  <c r="L319" i="9"/>
  <c r="K319" i="9"/>
  <c r="J319" i="9"/>
  <c r="I319" i="9"/>
  <c r="T318" i="9"/>
  <c r="S318" i="9"/>
  <c r="R318" i="9"/>
  <c r="Q318" i="9"/>
  <c r="P318" i="9"/>
  <c r="O318" i="9"/>
  <c r="N318" i="9"/>
  <c r="M318" i="9"/>
  <c r="L318" i="9"/>
  <c r="K318" i="9"/>
  <c r="J318" i="9"/>
  <c r="I318" i="9"/>
  <c r="T317" i="9"/>
  <c r="S317" i="9"/>
  <c r="R317" i="9"/>
  <c r="Q317" i="9"/>
  <c r="P317" i="9"/>
  <c r="O317" i="9"/>
  <c r="N317" i="9"/>
  <c r="M317" i="9"/>
  <c r="L317" i="9"/>
  <c r="K317" i="9"/>
  <c r="J317" i="9"/>
  <c r="I317" i="9"/>
  <c r="T316" i="9"/>
  <c r="S316" i="9"/>
  <c r="R316" i="9"/>
  <c r="Q316" i="9"/>
  <c r="P316" i="9"/>
  <c r="O316" i="9"/>
  <c r="N316" i="9"/>
  <c r="M316" i="9"/>
  <c r="L316" i="9"/>
  <c r="K316" i="9"/>
  <c r="J316" i="9"/>
  <c r="I316" i="9"/>
  <c r="T315" i="9"/>
  <c r="S315" i="9"/>
  <c r="R315" i="9"/>
  <c r="Q315" i="9"/>
  <c r="P315" i="9"/>
  <c r="O315" i="9"/>
  <c r="N315" i="9"/>
  <c r="M315" i="9"/>
  <c r="L315" i="9"/>
  <c r="K315" i="9"/>
  <c r="J315" i="9"/>
  <c r="I315" i="9"/>
  <c r="T314" i="9"/>
  <c r="S314" i="9"/>
  <c r="R314" i="9"/>
  <c r="Q314" i="9"/>
  <c r="P314" i="9"/>
  <c r="O314" i="9"/>
  <c r="N314" i="9"/>
  <c r="M314" i="9"/>
  <c r="L314" i="9"/>
  <c r="K314" i="9"/>
  <c r="J314" i="9"/>
  <c r="I314" i="9"/>
  <c r="T313" i="9"/>
  <c r="S313" i="9"/>
  <c r="R313" i="9"/>
  <c r="Q313" i="9"/>
  <c r="P313" i="9"/>
  <c r="O313" i="9"/>
  <c r="N313" i="9"/>
  <c r="M313" i="9"/>
  <c r="L313" i="9"/>
  <c r="K313" i="9"/>
  <c r="J313" i="9"/>
  <c r="I313" i="9"/>
  <c r="T312" i="9"/>
  <c r="S312" i="9"/>
  <c r="R312" i="9"/>
  <c r="Q312" i="9"/>
  <c r="P312" i="9"/>
  <c r="O312" i="9"/>
  <c r="N312" i="9"/>
  <c r="M312" i="9"/>
  <c r="L312" i="9"/>
  <c r="K312" i="9"/>
  <c r="J312" i="9"/>
  <c r="I312" i="9"/>
  <c r="T311" i="9"/>
  <c r="S311" i="9"/>
  <c r="R311" i="9"/>
  <c r="Q311" i="9"/>
  <c r="P311" i="9"/>
  <c r="O311" i="9"/>
  <c r="N311" i="9"/>
  <c r="M311" i="9"/>
  <c r="L311" i="9"/>
  <c r="K311" i="9"/>
  <c r="J311" i="9"/>
  <c r="I311" i="9"/>
  <c r="T310" i="9"/>
  <c r="S310" i="9"/>
  <c r="R310" i="9"/>
  <c r="Q310" i="9"/>
  <c r="P310" i="9"/>
  <c r="O310" i="9"/>
  <c r="N310" i="9"/>
  <c r="M310" i="9"/>
  <c r="L310" i="9"/>
  <c r="K310" i="9"/>
  <c r="J310" i="9"/>
  <c r="I310" i="9"/>
  <c r="T309" i="9"/>
  <c r="S309" i="9"/>
  <c r="R309" i="9"/>
  <c r="Q309" i="9"/>
  <c r="P309" i="9"/>
  <c r="O309" i="9"/>
  <c r="N309" i="9"/>
  <c r="M309" i="9"/>
  <c r="L309" i="9"/>
  <c r="K309" i="9"/>
  <c r="J309" i="9"/>
  <c r="I309" i="9"/>
  <c r="T308" i="9"/>
  <c r="S308" i="9"/>
  <c r="R308" i="9"/>
  <c r="Q308" i="9"/>
  <c r="P308" i="9"/>
  <c r="O308" i="9"/>
  <c r="N308" i="9"/>
  <c r="M308" i="9"/>
  <c r="L308" i="9"/>
  <c r="K308" i="9"/>
  <c r="J308" i="9"/>
  <c r="I308" i="9"/>
  <c r="T307" i="9"/>
  <c r="S307" i="9"/>
  <c r="R307" i="9"/>
  <c r="Q307" i="9"/>
  <c r="P307" i="9"/>
  <c r="O307" i="9"/>
  <c r="N307" i="9"/>
  <c r="M307" i="9"/>
  <c r="L307" i="9"/>
  <c r="K307" i="9"/>
  <c r="J307" i="9"/>
  <c r="I307" i="9"/>
  <c r="T306" i="9"/>
  <c r="S306" i="9"/>
  <c r="R306" i="9"/>
  <c r="Q306" i="9"/>
  <c r="P306" i="9"/>
  <c r="O306" i="9"/>
  <c r="N306" i="9"/>
  <c r="M306" i="9"/>
  <c r="L306" i="9"/>
  <c r="K306" i="9"/>
  <c r="J306" i="9"/>
  <c r="I306" i="9"/>
  <c r="T305" i="9"/>
  <c r="S305" i="9"/>
  <c r="R305" i="9"/>
  <c r="Q305" i="9"/>
  <c r="P305" i="9"/>
  <c r="O305" i="9"/>
  <c r="N305" i="9"/>
  <c r="M305" i="9"/>
  <c r="L305" i="9"/>
  <c r="K305" i="9"/>
  <c r="J305" i="9"/>
  <c r="I305" i="9"/>
  <c r="T304" i="9"/>
  <c r="S304" i="9"/>
  <c r="R304" i="9"/>
  <c r="Q304" i="9"/>
  <c r="P304" i="9"/>
  <c r="O304" i="9"/>
  <c r="N304" i="9"/>
  <c r="M304" i="9"/>
  <c r="L304" i="9"/>
  <c r="K304" i="9"/>
  <c r="J304" i="9"/>
  <c r="I304" i="9"/>
  <c r="T303" i="9"/>
  <c r="S303" i="9"/>
  <c r="R303" i="9"/>
  <c r="Q303" i="9"/>
  <c r="P303" i="9"/>
  <c r="O303" i="9"/>
  <c r="N303" i="9"/>
  <c r="M303" i="9"/>
  <c r="L303" i="9"/>
  <c r="K303" i="9"/>
  <c r="J303" i="9"/>
  <c r="I303" i="9"/>
  <c r="T302" i="9"/>
  <c r="S302" i="9"/>
  <c r="R302" i="9"/>
  <c r="Q302" i="9"/>
  <c r="P302" i="9"/>
  <c r="O302" i="9"/>
  <c r="N302" i="9"/>
  <c r="M302" i="9"/>
  <c r="L302" i="9"/>
  <c r="K302" i="9"/>
  <c r="J302" i="9"/>
  <c r="I302" i="9"/>
  <c r="T301" i="9"/>
  <c r="S301" i="9"/>
  <c r="R301" i="9"/>
  <c r="Q301" i="9"/>
  <c r="P301" i="9"/>
  <c r="O301" i="9"/>
  <c r="N301" i="9"/>
  <c r="M301" i="9"/>
  <c r="L301" i="9"/>
  <c r="K301" i="9"/>
  <c r="J301" i="9"/>
  <c r="I301" i="9"/>
  <c r="T300" i="9"/>
  <c r="S300" i="9"/>
  <c r="R300" i="9"/>
  <c r="Q300" i="9"/>
  <c r="P300" i="9"/>
  <c r="O300" i="9"/>
  <c r="N300" i="9"/>
  <c r="M300" i="9"/>
  <c r="L300" i="9"/>
  <c r="K300" i="9"/>
  <c r="J300" i="9"/>
  <c r="I300" i="9"/>
  <c r="T299" i="9"/>
  <c r="S299" i="9"/>
  <c r="R299" i="9"/>
  <c r="Q299" i="9"/>
  <c r="P299" i="9"/>
  <c r="O299" i="9"/>
  <c r="N299" i="9"/>
  <c r="M299" i="9"/>
  <c r="L299" i="9"/>
  <c r="K299" i="9"/>
  <c r="J299" i="9"/>
  <c r="I299" i="9"/>
  <c r="T298" i="9"/>
  <c r="S298" i="9"/>
  <c r="R298" i="9"/>
  <c r="Q298" i="9"/>
  <c r="P298" i="9"/>
  <c r="O298" i="9"/>
  <c r="N298" i="9"/>
  <c r="M298" i="9"/>
  <c r="L298" i="9"/>
  <c r="K298" i="9"/>
  <c r="J298" i="9"/>
  <c r="I298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T296" i="9"/>
  <c r="S296" i="9"/>
  <c r="R296" i="9"/>
  <c r="Q296" i="9"/>
  <c r="P296" i="9"/>
  <c r="O296" i="9"/>
  <c r="N296" i="9"/>
  <c r="M296" i="9"/>
  <c r="L296" i="9"/>
  <c r="K296" i="9"/>
  <c r="J296" i="9"/>
  <c r="I296" i="9"/>
  <c r="T295" i="9"/>
  <c r="S295" i="9"/>
  <c r="R295" i="9"/>
  <c r="Q295" i="9"/>
  <c r="P295" i="9"/>
  <c r="O295" i="9"/>
  <c r="N295" i="9"/>
  <c r="M295" i="9"/>
  <c r="L295" i="9"/>
  <c r="K295" i="9"/>
  <c r="J295" i="9"/>
  <c r="I295" i="9"/>
  <c r="T294" i="9"/>
  <c r="S294" i="9"/>
  <c r="R294" i="9"/>
  <c r="Q294" i="9"/>
  <c r="P294" i="9"/>
  <c r="O294" i="9"/>
  <c r="N294" i="9"/>
  <c r="M294" i="9"/>
  <c r="L294" i="9"/>
  <c r="K294" i="9"/>
  <c r="J294" i="9"/>
  <c r="I294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T291" i="9"/>
  <c r="S291" i="9"/>
  <c r="R291" i="9"/>
  <c r="Q291" i="9"/>
  <c r="P291" i="9"/>
  <c r="O291" i="9"/>
  <c r="N291" i="9"/>
  <c r="M291" i="9"/>
  <c r="L291" i="9"/>
  <c r="K291" i="9"/>
  <c r="J291" i="9"/>
  <c r="I291" i="9"/>
  <c r="T290" i="9"/>
  <c r="S290" i="9"/>
  <c r="R290" i="9"/>
  <c r="Q290" i="9"/>
  <c r="P290" i="9"/>
  <c r="O290" i="9"/>
  <c r="N290" i="9"/>
  <c r="M290" i="9"/>
  <c r="L290" i="9"/>
  <c r="K290" i="9"/>
  <c r="J290" i="9"/>
  <c r="I290" i="9"/>
  <c r="T289" i="9"/>
  <c r="S289" i="9"/>
  <c r="R289" i="9"/>
  <c r="Q289" i="9"/>
  <c r="P289" i="9"/>
  <c r="O289" i="9"/>
  <c r="N289" i="9"/>
  <c r="M289" i="9"/>
  <c r="L289" i="9"/>
  <c r="K289" i="9"/>
  <c r="J289" i="9"/>
  <c r="I289" i="9"/>
  <c r="T288" i="9"/>
  <c r="S288" i="9"/>
  <c r="R288" i="9"/>
  <c r="Q288" i="9"/>
  <c r="P288" i="9"/>
  <c r="O288" i="9"/>
  <c r="N288" i="9"/>
  <c r="M288" i="9"/>
  <c r="L288" i="9"/>
  <c r="K288" i="9"/>
  <c r="J288" i="9"/>
  <c r="I288" i="9"/>
  <c r="T287" i="9"/>
  <c r="S287" i="9"/>
  <c r="R287" i="9"/>
  <c r="Q287" i="9"/>
  <c r="P287" i="9"/>
  <c r="O287" i="9"/>
  <c r="N287" i="9"/>
  <c r="M287" i="9"/>
  <c r="L287" i="9"/>
  <c r="K287" i="9"/>
  <c r="J287" i="9"/>
  <c r="I287" i="9"/>
  <c r="T286" i="9"/>
  <c r="S286" i="9"/>
  <c r="R286" i="9"/>
  <c r="Q286" i="9"/>
  <c r="P286" i="9"/>
  <c r="O286" i="9"/>
  <c r="N286" i="9"/>
  <c r="M286" i="9"/>
  <c r="L286" i="9"/>
  <c r="K286" i="9"/>
  <c r="J286" i="9"/>
  <c r="I286" i="9"/>
  <c r="T285" i="9"/>
  <c r="S285" i="9"/>
  <c r="R285" i="9"/>
  <c r="Q285" i="9"/>
  <c r="P285" i="9"/>
  <c r="O285" i="9"/>
  <c r="N285" i="9"/>
  <c r="M285" i="9"/>
  <c r="L285" i="9"/>
  <c r="K285" i="9"/>
  <c r="J285" i="9"/>
  <c r="I285" i="9"/>
  <c r="T284" i="9"/>
  <c r="S284" i="9"/>
  <c r="R284" i="9"/>
  <c r="Q284" i="9"/>
  <c r="P284" i="9"/>
  <c r="O284" i="9"/>
  <c r="N284" i="9"/>
  <c r="M284" i="9"/>
  <c r="L284" i="9"/>
  <c r="K284" i="9"/>
  <c r="J284" i="9"/>
  <c r="I284" i="9"/>
  <c r="T283" i="9"/>
  <c r="S283" i="9"/>
  <c r="R283" i="9"/>
  <c r="Q283" i="9"/>
  <c r="P283" i="9"/>
  <c r="O283" i="9"/>
  <c r="N283" i="9"/>
  <c r="M283" i="9"/>
  <c r="L283" i="9"/>
  <c r="K283" i="9"/>
  <c r="J283" i="9"/>
  <c r="I283" i="9"/>
  <c r="T282" i="9"/>
  <c r="S282" i="9"/>
  <c r="R282" i="9"/>
  <c r="Q282" i="9"/>
  <c r="P282" i="9"/>
  <c r="O282" i="9"/>
  <c r="N282" i="9"/>
  <c r="M282" i="9"/>
  <c r="L282" i="9"/>
  <c r="K282" i="9"/>
  <c r="J282" i="9"/>
  <c r="I282" i="9"/>
  <c r="T281" i="9"/>
  <c r="S281" i="9"/>
  <c r="R281" i="9"/>
  <c r="Q281" i="9"/>
  <c r="P281" i="9"/>
  <c r="O281" i="9"/>
  <c r="N281" i="9"/>
  <c r="M281" i="9"/>
  <c r="L281" i="9"/>
  <c r="K281" i="9"/>
  <c r="J281" i="9"/>
  <c r="I281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T278" i="9"/>
  <c r="S278" i="9"/>
  <c r="R278" i="9"/>
  <c r="Q278" i="9"/>
  <c r="P278" i="9"/>
  <c r="O278" i="9"/>
  <c r="N278" i="9"/>
  <c r="M278" i="9"/>
  <c r="L278" i="9"/>
  <c r="K278" i="9"/>
  <c r="J278" i="9"/>
  <c r="I278" i="9"/>
  <c r="T277" i="9"/>
  <c r="S277" i="9"/>
  <c r="R277" i="9"/>
  <c r="Q277" i="9"/>
  <c r="P277" i="9"/>
  <c r="O277" i="9"/>
  <c r="N277" i="9"/>
  <c r="M277" i="9"/>
  <c r="L277" i="9"/>
  <c r="K277" i="9"/>
  <c r="J277" i="9"/>
  <c r="I277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T257" i="9"/>
  <c r="S257" i="9"/>
  <c r="R257" i="9"/>
  <c r="Q257" i="9"/>
  <c r="P257" i="9"/>
  <c r="O257" i="9"/>
  <c r="N257" i="9"/>
  <c r="M257" i="9"/>
  <c r="L257" i="9"/>
  <c r="K257" i="9"/>
  <c r="J257" i="9"/>
  <c r="I257" i="9"/>
  <c r="T256" i="9"/>
  <c r="S256" i="9"/>
  <c r="R256" i="9"/>
  <c r="Q256" i="9"/>
  <c r="P256" i="9"/>
  <c r="O256" i="9"/>
  <c r="N256" i="9"/>
  <c r="M256" i="9"/>
  <c r="L256" i="9"/>
  <c r="K256" i="9"/>
  <c r="J256" i="9"/>
  <c r="I256" i="9"/>
  <c r="T255" i="9"/>
  <c r="S255" i="9"/>
  <c r="R255" i="9"/>
  <c r="Q255" i="9"/>
  <c r="P255" i="9"/>
  <c r="O255" i="9"/>
  <c r="N255" i="9"/>
  <c r="M255" i="9"/>
  <c r="L255" i="9"/>
  <c r="K255" i="9"/>
  <c r="J255" i="9"/>
  <c r="I255" i="9"/>
  <c r="T254" i="9"/>
  <c r="S254" i="9"/>
  <c r="R254" i="9"/>
  <c r="Q254" i="9"/>
  <c r="P254" i="9"/>
  <c r="O254" i="9"/>
  <c r="N254" i="9"/>
  <c r="M254" i="9"/>
  <c r="L254" i="9"/>
  <c r="K254" i="9"/>
  <c r="J254" i="9"/>
  <c r="I254" i="9"/>
  <c r="T253" i="9"/>
  <c r="S253" i="9"/>
  <c r="R253" i="9"/>
  <c r="Q253" i="9"/>
  <c r="P253" i="9"/>
  <c r="O253" i="9"/>
  <c r="N253" i="9"/>
  <c r="M253" i="9"/>
  <c r="L253" i="9"/>
  <c r="K253" i="9"/>
  <c r="J253" i="9"/>
  <c r="I253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T251" i="9"/>
  <c r="S251" i="9"/>
  <c r="R251" i="9"/>
  <c r="Q251" i="9"/>
  <c r="P251" i="9"/>
  <c r="O251" i="9"/>
  <c r="N251" i="9"/>
  <c r="M251" i="9"/>
  <c r="L251" i="9"/>
  <c r="K251" i="9"/>
  <c r="J251" i="9"/>
  <c r="I251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T249" i="9"/>
  <c r="S249" i="9"/>
  <c r="R249" i="9"/>
  <c r="Q249" i="9"/>
  <c r="P249" i="9"/>
  <c r="O249" i="9"/>
  <c r="N249" i="9"/>
  <c r="M249" i="9"/>
  <c r="L249" i="9"/>
  <c r="K249" i="9"/>
  <c r="J249" i="9"/>
  <c r="I249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T246" i="9"/>
  <c r="S246" i="9"/>
  <c r="R246" i="9"/>
  <c r="Q246" i="9"/>
  <c r="P246" i="9"/>
  <c r="O246" i="9"/>
  <c r="N246" i="9"/>
  <c r="M246" i="9"/>
  <c r="L246" i="9"/>
  <c r="K246" i="9"/>
  <c r="J246" i="9"/>
  <c r="I246" i="9"/>
  <c r="T245" i="9"/>
  <c r="S245" i="9"/>
  <c r="R245" i="9"/>
  <c r="Q245" i="9"/>
  <c r="P245" i="9"/>
  <c r="O245" i="9"/>
  <c r="N245" i="9"/>
  <c r="M245" i="9"/>
  <c r="L245" i="9"/>
  <c r="K245" i="9"/>
  <c r="J245" i="9"/>
  <c r="I245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T243" i="9"/>
  <c r="S243" i="9"/>
  <c r="R243" i="9"/>
  <c r="Q243" i="9"/>
  <c r="P243" i="9"/>
  <c r="O243" i="9"/>
  <c r="N243" i="9"/>
  <c r="M243" i="9"/>
  <c r="L243" i="9"/>
  <c r="K243" i="9"/>
  <c r="J243" i="9"/>
  <c r="I243" i="9"/>
  <c r="T242" i="9"/>
  <c r="S242" i="9"/>
  <c r="R242" i="9"/>
  <c r="Q242" i="9"/>
  <c r="P242" i="9"/>
  <c r="O242" i="9"/>
  <c r="N242" i="9"/>
  <c r="M242" i="9"/>
  <c r="L242" i="9"/>
  <c r="K242" i="9"/>
  <c r="J242" i="9"/>
  <c r="I242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T230" i="9"/>
  <c r="S230" i="9"/>
  <c r="R230" i="9"/>
  <c r="Q230" i="9"/>
  <c r="P230" i="9"/>
  <c r="O230" i="9"/>
  <c r="N230" i="9"/>
  <c r="M230" i="9"/>
  <c r="L230" i="9"/>
  <c r="K230" i="9"/>
  <c r="J230" i="9"/>
  <c r="I230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T99" i="9"/>
  <c r="S99" i="9"/>
  <c r="R99" i="9"/>
  <c r="Q99" i="9"/>
  <c r="P99" i="9"/>
  <c r="O99" i="9"/>
  <c r="N99" i="9"/>
  <c r="M99" i="9"/>
  <c r="L99" i="9"/>
  <c r="K99" i="9"/>
  <c r="J99" i="9"/>
  <c r="I99" i="9"/>
  <c r="T98" i="9"/>
  <c r="S98" i="9"/>
  <c r="R98" i="9"/>
  <c r="Q98" i="9"/>
  <c r="P98" i="9"/>
  <c r="O98" i="9"/>
  <c r="N98" i="9"/>
  <c r="M98" i="9"/>
  <c r="L98" i="9"/>
  <c r="K98" i="9"/>
  <c r="J98" i="9"/>
  <c r="I98" i="9"/>
  <c r="T97" i="9"/>
  <c r="S97" i="9"/>
  <c r="R97" i="9"/>
  <c r="Q97" i="9"/>
  <c r="P97" i="9"/>
  <c r="O97" i="9"/>
  <c r="N97" i="9"/>
  <c r="M97" i="9"/>
  <c r="L97" i="9"/>
  <c r="K97" i="9"/>
  <c r="J97" i="9"/>
  <c r="I97" i="9"/>
  <c r="T96" i="9"/>
  <c r="S96" i="9"/>
  <c r="R96" i="9"/>
  <c r="Q96" i="9"/>
  <c r="P96" i="9"/>
  <c r="O96" i="9"/>
  <c r="N96" i="9"/>
  <c r="M96" i="9"/>
  <c r="L96" i="9"/>
  <c r="K96" i="9"/>
  <c r="J96" i="9"/>
  <c r="I96" i="9"/>
  <c r="T95" i="9"/>
  <c r="S95" i="9"/>
  <c r="R95" i="9"/>
  <c r="Q95" i="9"/>
  <c r="P95" i="9"/>
  <c r="O95" i="9"/>
  <c r="N95" i="9"/>
  <c r="M95" i="9"/>
  <c r="L95" i="9"/>
  <c r="K95" i="9"/>
  <c r="J95" i="9"/>
  <c r="I95" i="9"/>
  <c r="T94" i="9"/>
  <c r="S94" i="9"/>
  <c r="R94" i="9"/>
  <c r="Q94" i="9"/>
  <c r="P94" i="9"/>
  <c r="O94" i="9"/>
  <c r="N94" i="9"/>
  <c r="M94" i="9"/>
  <c r="L94" i="9"/>
  <c r="K94" i="9"/>
  <c r="J94" i="9"/>
  <c r="I94" i="9"/>
  <c r="T93" i="9"/>
  <c r="S93" i="9"/>
  <c r="R93" i="9"/>
  <c r="Q93" i="9"/>
  <c r="P93" i="9"/>
  <c r="O93" i="9"/>
  <c r="N93" i="9"/>
  <c r="M93" i="9"/>
  <c r="L93" i="9"/>
  <c r="K93" i="9"/>
  <c r="J93" i="9"/>
  <c r="I93" i="9"/>
  <c r="T92" i="9"/>
  <c r="S92" i="9"/>
  <c r="R92" i="9"/>
  <c r="Q92" i="9"/>
  <c r="P92" i="9"/>
  <c r="O92" i="9"/>
  <c r="N92" i="9"/>
  <c r="M92" i="9"/>
  <c r="L92" i="9"/>
  <c r="K92" i="9"/>
  <c r="J92" i="9"/>
  <c r="I92" i="9"/>
  <c r="T91" i="9"/>
  <c r="S91" i="9"/>
  <c r="R91" i="9"/>
  <c r="Q91" i="9"/>
  <c r="P91" i="9"/>
  <c r="O91" i="9"/>
  <c r="N91" i="9"/>
  <c r="M91" i="9"/>
  <c r="L91" i="9"/>
  <c r="K91" i="9"/>
  <c r="J91" i="9"/>
  <c r="I91" i="9"/>
  <c r="T90" i="9"/>
  <c r="S90" i="9"/>
  <c r="R90" i="9"/>
  <c r="Q90" i="9"/>
  <c r="P90" i="9"/>
  <c r="O90" i="9"/>
  <c r="N90" i="9"/>
  <c r="M90" i="9"/>
  <c r="L90" i="9"/>
  <c r="K90" i="9"/>
  <c r="J90" i="9"/>
  <c r="I90" i="9"/>
  <c r="T89" i="9"/>
  <c r="S89" i="9"/>
  <c r="R89" i="9"/>
  <c r="Q89" i="9"/>
  <c r="P89" i="9"/>
  <c r="O89" i="9"/>
  <c r="N89" i="9"/>
  <c r="M89" i="9"/>
  <c r="L89" i="9"/>
  <c r="K89" i="9"/>
  <c r="J89" i="9"/>
  <c r="I89" i="9"/>
  <c r="T88" i="9"/>
  <c r="S88" i="9"/>
  <c r="R88" i="9"/>
  <c r="Q88" i="9"/>
  <c r="P88" i="9"/>
  <c r="O88" i="9"/>
  <c r="N88" i="9"/>
  <c r="M88" i="9"/>
  <c r="L88" i="9"/>
  <c r="K88" i="9"/>
  <c r="J88" i="9"/>
  <c r="I88" i="9"/>
  <c r="T87" i="9"/>
  <c r="S87" i="9"/>
  <c r="R87" i="9"/>
  <c r="Q87" i="9"/>
  <c r="P87" i="9"/>
  <c r="O87" i="9"/>
  <c r="N87" i="9"/>
  <c r="M87" i="9"/>
  <c r="L87" i="9"/>
  <c r="K87" i="9"/>
  <c r="J87" i="9"/>
  <c r="I87" i="9"/>
  <c r="T86" i="9"/>
  <c r="S86" i="9"/>
  <c r="R86" i="9"/>
  <c r="Q86" i="9"/>
  <c r="P86" i="9"/>
  <c r="O86" i="9"/>
  <c r="N86" i="9"/>
  <c r="M86" i="9"/>
  <c r="L86" i="9"/>
  <c r="K86" i="9"/>
  <c r="J86" i="9"/>
  <c r="I86" i="9"/>
  <c r="T85" i="9"/>
  <c r="S85" i="9"/>
  <c r="R85" i="9"/>
  <c r="Q85" i="9"/>
  <c r="P85" i="9"/>
  <c r="O85" i="9"/>
  <c r="N85" i="9"/>
  <c r="M85" i="9"/>
  <c r="L85" i="9"/>
  <c r="K85" i="9"/>
  <c r="J85" i="9"/>
  <c r="I85" i="9"/>
  <c r="T84" i="9"/>
  <c r="S84" i="9"/>
  <c r="R84" i="9"/>
  <c r="Q84" i="9"/>
  <c r="P84" i="9"/>
  <c r="O84" i="9"/>
  <c r="N84" i="9"/>
  <c r="M84" i="9"/>
  <c r="L84" i="9"/>
  <c r="K84" i="9"/>
  <c r="J84" i="9"/>
  <c r="I84" i="9"/>
  <c r="T83" i="9"/>
  <c r="S83" i="9"/>
  <c r="R83" i="9"/>
  <c r="Q83" i="9"/>
  <c r="P83" i="9"/>
  <c r="O83" i="9"/>
  <c r="N83" i="9"/>
  <c r="M83" i="9"/>
  <c r="L83" i="9"/>
  <c r="K83" i="9"/>
  <c r="J83" i="9"/>
  <c r="I83" i="9"/>
  <c r="T82" i="9"/>
  <c r="S82" i="9"/>
  <c r="R82" i="9"/>
  <c r="Q82" i="9"/>
  <c r="P82" i="9"/>
  <c r="O82" i="9"/>
  <c r="N82" i="9"/>
  <c r="M82" i="9"/>
  <c r="L82" i="9"/>
  <c r="K82" i="9"/>
  <c r="J82" i="9"/>
  <c r="I82" i="9"/>
  <c r="T81" i="9"/>
  <c r="S81" i="9"/>
  <c r="R81" i="9"/>
  <c r="Q81" i="9"/>
  <c r="P81" i="9"/>
  <c r="O81" i="9"/>
  <c r="N81" i="9"/>
  <c r="M81" i="9"/>
  <c r="L81" i="9"/>
  <c r="K81" i="9"/>
  <c r="J81" i="9"/>
  <c r="I81" i="9"/>
  <c r="T80" i="9"/>
  <c r="S80" i="9"/>
  <c r="R80" i="9"/>
  <c r="Q80" i="9"/>
  <c r="P80" i="9"/>
  <c r="O80" i="9"/>
  <c r="N80" i="9"/>
  <c r="M80" i="9"/>
  <c r="L80" i="9"/>
  <c r="K80" i="9"/>
  <c r="J80" i="9"/>
  <c r="I80" i="9"/>
  <c r="T79" i="9"/>
  <c r="S79" i="9"/>
  <c r="R79" i="9"/>
  <c r="Q79" i="9"/>
  <c r="P79" i="9"/>
  <c r="O79" i="9"/>
  <c r="N79" i="9"/>
  <c r="M79" i="9"/>
  <c r="L79" i="9"/>
  <c r="K79" i="9"/>
  <c r="J79" i="9"/>
  <c r="I79" i="9"/>
  <c r="T78" i="9"/>
  <c r="S78" i="9"/>
  <c r="R78" i="9"/>
  <c r="Q78" i="9"/>
  <c r="P78" i="9"/>
  <c r="O78" i="9"/>
  <c r="N78" i="9"/>
  <c r="M78" i="9"/>
  <c r="L78" i="9"/>
  <c r="K78" i="9"/>
  <c r="J78" i="9"/>
  <c r="I78" i="9"/>
  <c r="T77" i="9"/>
  <c r="S77" i="9"/>
  <c r="R77" i="9"/>
  <c r="Q77" i="9"/>
  <c r="P77" i="9"/>
  <c r="O77" i="9"/>
  <c r="N77" i="9"/>
  <c r="M77" i="9"/>
  <c r="L77" i="9"/>
  <c r="K77" i="9"/>
  <c r="J77" i="9"/>
  <c r="I77" i="9"/>
  <c r="T76" i="9"/>
  <c r="S76" i="9"/>
  <c r="R76" i="9"/>
  <c r="Q76" i="9"/>
  <c r="P76" i="9"/>
  <c r="O76" i="9"/>
  <c r="N76" i="9"/>
  <c r="M76" i="9"/>
  <c r="L76" i="9"/>
  <c r="K76" i="9"/>
  <c r="J76" i="9"/>
  <c r="I76" i="9"/>
  <c r="T75" i="9"/>
  <c r="S75" i="9"/>
  <c r="R75" i="9"/>
  <c r="Q75" i="9"/>
  <c r="P75" i="9"/>
  <c r="O75" i="9"/>
  <c r="N75" i="9"/>
  <c r="M75" i="9"/>
  <c r="L75" i="9"/>
  <c r="K75" i="9"/>
  <c r="J75" i="9"/>
  <c r="I75" i="9"/>
  <c r="T74" i="9"/>
  <c r="S74" i="9"/>
  <c r="R74" i="9"/>
  <c r="Q74" i="9"/>
  <c r="P74" i="9"/>
  <c r="O74" i="9"/>
  <c r="N74" i="9"/>
  <c r="M74" i="9"/>
  <c r="L74" i="9"/>
  <c r="K74" i="9"/>
  <c r="J74" i="9"/>
  <c r="I74" i="9"/>
  <c r="T73" i="9"/>
  <c r="S73" i="9"/>
  <c r="R73" i="9"/>
  <c r="Q73" i="9"/>
  <c r="P73" i="9"/>
  <c r="O73" i="9"/>
  <c r="N73" i="9"/>
  <c r="M73" i="9"/>
  <c r="L73" i="9"/>
  <c r="K73" i="9"/>
  <c r="J73" i="9"/>
  <c r="I73" i="9"/>
  <c r="T72" i="9"/>
  <c r="S72" i="9"/>
  <c r="R72" i="9"/>
  <c r="Q72" i="9"/>
  <c r="P72" i="9"/>
  <c r="O72" i="9"/>
  <c r="N72" i="9"/>
  <c r="M72" i="9"/>
  <c r="L72" i="9"/>
  <c r="K72" i="9"/>
  <c r="J72" i="9"/>
  <c r="I72" i="9"/>
  <c r="T71" i="9"/>
  <c r="S71" i="9"/>
  <c r="R71" i="9"/>
  <c r="Q71" i="9"/>
  <c r="P71" i="9"/>
  <c r="O71" i="9"/>
  <c r="N71" i="9"/>
  <c r="M71" i="9"/>
  <c r="L71" i="9"/>
  <c r="K71" i="9"/>
  <c r="J71" i="9"/>
  <c r="I71" i="9"/>
  <c r="T70" i="9"/>
  <c r="S70" i="9"/>
  <c r="R70" i="9"/>
  <c r="Q70" i="9"/>
  <c r="P70" i="9"/>
  <c r="O70" i="9"/>
  <c r="N70" i="9"/>
  <c r="M70" i="9"/>
  <c r="L70" i="9"/>
  <c r="K70" i="9"/>
  <c r="J70" i="9"/>
  <c r="I70" i="9"/>
  <c r="T69" i="9"/>
  <c r="S69" i="9"/>
  <c r="R69" i="9"/>
  <c r="Q69" i="9"/>
  <c r="P69" i="9"/>
  <c r="O69" i="9"/>
  <c r="N69" i="9"/>
  <c r="M69" i="9"/>
  <c r="L69" i="9"/>
  <c r="K69" i="9"/>
  <c r="J69" i="9"/>
  <c r="I69" i="9"/>
  <c r="T68" i="9"/>
  <c r="S68" i="9"/>
  <c r="R68" i="9"/>
  <c r="Q68" i="9"/>
  <c r="P68" i="9"/>
  <c r="O68" i="9"/>
  <c r="N68" i="9"/>
  <c r="M68" i="9"/>
  <c r="L68" i="9"/>
  <c r="K68" i="9"/>
  <c r="J68" i="9"/>
  <c r="I68" i="9"/>
  <c r="T67" i="9"/>
  <c r="S67" i="9"/>
  <c r="R67" i="9"/>
  <c r="Q67" i="9"/>
  <c r="P67" i="9"/>
  <c r="O67" i="9"/>
  <c r="N67" i="9"/>
  <c r="M67" i="9"/>
  <c r="L67" i="9"/>
  <c r="K67" i="9"/>
  <c r="J67" i="9"/>
  <c r="I67" i="9"/>
  <c r="T66" i="9"/>
  <c r="S66" i="9"/>
  <c r="R66" i="9"/>
  <c r="Q66" i="9"/>
  <c r="P66" i="9"/>
  <c r="O66" i="9"/>
  <c r="N66" i="9"/>
  <c r="M66" i="9"/>
  <c r="L66" i="9"/>
  <c r="K66" i="9"/>
  <c r="J66" i="9"/>
  <c r="I66" i="9"/>
  <c r="T65" i="9"/>
  <c r="S65" i="9"/>
  <c r="R65" i="9"/>
  <c r="Q65" i="9"/>
  <c r="P65" i="9"/>
  <c r="O65" i="9"/>
  <c r="N65" i="9"/>
  <c r="M65" i="9"/>
  <c r="L65" i="9"/>
  <c r="K65" i="9"/>
  <c r="J65" i="9"/>
  <c r="I65" i="9"/>
  <c r="T64" i="9"/>
  <c r="S64" i="9"/>
  <c r="R64" i="9"/>
  <c r="Q64" i="9"/>
  <c r="P64" i="9"/>
  <c r="O64" i="9"/>
  <c r="N64" i="9"/>
  <c r="M64" i="9"/>
  <c r="L64" i="9"/>
  <c r="K64" i="9"/>
  <c r="J64" i="9"/>
  <c r="I64" i="9"/>
  <c r="T63" i="9"/>
  <c r="S63" i="9"/>
  <c r="R63" i="9"/>
  <c r="Q63" i="9"/>
  <c r="P63" i="9"/>
  <c r="O63" i="9"/>
  <c r="N63" i="9"/>
  <c r="M63" i="9"/>
  <c r="L63" i="9"/>
  <c r="K63" i="9"/>
  <c r="J63" i="9"/>
  <c r="I63" i="9"/>
  <c r="T62" i="9"/>
  <c r="S62" i="9"/>
  <c r="R62" i="9"/>
  <c r="Q62" i="9"/>
  <c r="P62" i="9"/>
  <c r="O62" i="9"/>
  <c r="N62" i="9"/>
  <c r="M62" i="9"/>
  <c r="L62" i="9"/>
  <c r="K62" i="9"/>
  <c r="J62" i="9"/>
  <c r="I62" i="9"/>
  <c r="T61" i="9"/>
  <c r="S61" i="9"/>
  <c r="R61" i="9"/>
  <c r="Q61" i="9"/>
  <c r="P61" i="9"/>
  <c r="O61" i="9"/>
  <c r="N61" i="9"/>
  <c r="M61" i="9"/>
  <c r="L61" i="9"/>
  <c r="K61" i="9"/>
  <c r="J61" i="9"/>
  <c r="I61" i="9"/>
  <c r="T60" i="9"/>
  <c r="S60" i="9"/>
  <c r="R60" i="9"/>
  <c r="Q60" i="9"/>
  <c r="P60" i="9"/>
  <c r="O60" i="9"/>
  <c r="N60" i="9"/>
  <c r="M60" i="9"/>
  <c r="L60" i="9"/>
  <c r="K60" i="9"/>
  <c r="J60" i="9"/>
  <c r="I60" i="9"/>
  <c r="T59" i="9"/>
  <c r="S59" i="9"/>
  <c r="R59" i="9"/>
  <c r="Q59" i="9"/>
  <c r="P59" i="9"/>
  <c r="O59" i="9"/>
  <c r="N59" i="9"/>
  <c r="M59" i="9"/>
  <c r="L59" i="9"/>
  <c r="K59" i="9"/>
  <c r="J59" i="9"/>
  <c r="I59" i="9"/>
  <c r="T58" i="9"/>
  <c r="S58" i="9"/>
  <c r="R58" i="9"/>
  <c r="Q58" i="9"/>
  <c r="P58" i="9"/>
  <c r="O58" i="9"/>
  <c r="N58" i="9"/>
  <c r="M58" i="9"/>
  <c r="L58" i="9"/>
  <c r="K58" i="9"/>
  <c r="J58" i="9"/>
  <c r="I58" i="9"/>
  <c r="T57" i="9"/>
  <c r="S57" i="9"/>
  <c r="R57" i="9"/>
  <c r="Q57" i="9"/>
  <c r="P57" i="9"/>
  <c r="O57" i="9"/>
  <c r="N57" i="9"/>
  <c r="M57" i="9"/>
  <c r="L57" i="9"/>
  <c r="K57" i="9"/>
  <c r="J57" i="9"/>
  <c r="I57" i="9"/>
  <c r="T56" i="9"/>
  <c r="S56" i="9"/>
  <c r="R56" i="9"/>
  <c r="Q56" i="9"/>
  <c r="P56" i="9"/>
  <c r="O56" i="9"/>
  <c r="N56" i="9"/>
  <c r="M56" i="9"/>
  <c r="L56" i="9"/>
  <c r="K56" i="9"/>
  <c r="J56" i="9"/>
  <c r="I56" i="9"/>
  <c r="T55" i="9"/>
  <c r="S55" i="9"/>
  <c r="R55" i="9"/>
  <c r="Q55" i="9"/>
  <c r="P55" i="9"/>
  <c r="O55" i="9"/>
  <c r="N55" i="9"/>
  <c r="M55" i="9"/>
  <c r="L55" i="9"/>
  <c r="K55" i="9"/>
  <c r="J55" i="9"/>
  <c r="I55" i="9"/>
  <c r="T54" i="9"/>
  <c r="S54" i="9"/>
  <c r="R54" i="9"/>
  <c r="Q54" i="9"/>
  <c r="P54" i="9"/>
  <c r="O54" i="9"/>
  <c r="N54" i="9"/>
  <c r="M54" i="9"/>
  <c r="L54" i="9"/>
  <c r="K54" i="9"/>
  <c r="J54" i="9"/>
  <c r="I54" i="9"/>
  <c r="T53" i="9"/>
  <c r="S53" i="9"/>
  <c r="R53" i="9"/>
  <c r="Q53" i="9"/>
  <c r="P53" i="9"/>
  <c r="O53" i="9"/>
  <c r="N53" i="9"/>
  <c r="M53" i="9"/>
  <c r="L53" i="9"/>
  <c r="K53" i="9"/>
  <c r="J53" i="9"/>
  <c r="I53" i="9"/>
  <c r="T52" i="9"/>
  <c r="S52" i="9"/>
  <c r="R52" i="9"/>
  <c r="Q52" i="9"/>
  <c r="P52" i="9"/>
  <c r="O52" i="9"/>
  <c r="N52" i="9"/>
  <c r="M52" i="9"/>
  <c r="L52" i="9"/>
  <c r="K52" i="9"/>
  <c r="J52" i="9"/>
  <c r="I52" i="9"/>
  <c r="T51" i="9"/>
  <c r="S51" i="9"/>
  <c r="R51" i="9"/>
  <c r="Q51" i="9"/>
  <c r="P51" i="9"/>
  <c r="O51" i="9"/>
  <c r="N51" i="9"/>
  <c r="M51" i="9"/>
  <c r="L51" i="9"/>
  <c r="K51" i="9"/>
  <c r="J51" i="9"/>
  <c r="I51" i="9"/>
  <c r="T50" i="9"/>
  <c r="S50" i="9"/>
  <c r="R50" i="9"/>
  <c r="Q50" i="9"/>
  <c r="P50" i="9"/>
  <c r="O50" i="9"/>
  <c r="N50" i="9"/>
  <c r="M50" i="9"/>
  <c r="L50" i="9"/>
  <c r="K50" i="9"/>
  <c r="J50" i="9"/>
  <c r="I50" i="9"/>
  <c r="T49" i="9"/>
  <c r="S49" i="9"/>
  <c r="R49" i="9"/>
  <c r="Q49" i="9"/>
  <c r="P49" i="9"/>
  <c r="O49" i="9"/>
  <c r="N49" i="9"/>
  <c r="M49" i="9"/>
  <c r="L49" i="9"/>
  <c r="K49" i="9"/>
  <c r="J49" i="9"/>
  <c r="I49" i="9"/>
  <c r="T48" i="9"/>
  <c r="S48" i="9"/>
  <c r="R48" i="9"/>
  <c r="Q48" i="9"/>
  <c r="P48" i="9"/>
  <c r="O48" i="9"/>
  <c r="N48" i="9"/>
  <c r="M48" i="9"/>
  <c r="L48" i="9"/>
  <c r="K48" i="9"/>
  <c r="J48" i="9"/>
  <c r="I48" i="9"/>
  <c r="T47" i="9"/>
  <c r="S47" i="9"/>
  <c r="R47" i="9"/>
  <c r="Q47" i="9"/>
  <c r="P47" i="9"/>
  <c r="O47" i="9"/>
  <c r="N47" i="9"/>
  <c r="M47" i="9"/>
  <c r="L47" i="9"/>
  <c r="K47" i="9"/>
  <c r="J47" i="9"/>
  <c r="I47" i="9"/>
  <c r="T46" i="9"/>
  <c r="S46" i="9"/>
  <c r="R46" i="9"/>
  <c r="Q46" i="9"/>
  <c r="P46" i="9"/>
  <c r="O46" i="9"/>
  <c r="N46" i="9"/>
  <c r="M46" i="9"/>
  <c r="L46" i="9"/>
  <c r="K46" i="9"/>
  <c r="J46" i="9"/>
  <c r="I46" i="9"/>
  <c r="T45" i="9"/>
  <c r="S45" i="9"/>
  <c r="R45" i="9"/>
  <c r="Q45" i="9"/>
  <c r="P45" i="9"/>
  <c r="O45" i="9"/>
  <c r="N45" i="9"/>
  <c r="M45" i="9"/>
  <c r="L45" i="9"/>
  <c r="K45" i="9"/>
  <c r="J45" i="9"/>
  <c r="I45" i="9"/>
  <c r="T44" i="9"/>
  <c r="S44" i="9"/>
  <c r="R44" i="9"/>
  <c r="Q44" i="9"/>
  <c r="P44" i="9"/>
  <c r="O44" i="9"/>
  <c r="N44" i="9"/>
  <c r="M44" i="9"/>
  <c r="L44" i="9"/>
  <c r="K44" i="9"/>
  <c r="J44" i="9"/>
  <c r="I44" i="9"/>
  <c r="T43" i="9"/>
  <c r="S43" i="9"/>
  <c r="R43" i="9"/>
  <c r="Q43" i="9"/>
  <c r="P43" i="9"/>
  <c r="O43" i="9"/>
  <c r="N43" i="9"/>
  <c r="M43" i="9"/>
  <c r="L43" i="9"/>
  <c r="K43" i="9"/>
  <c r="J43" i="9"/>
  <c r="I43" i="9"/>
  <c r="T42" i="9"/>
  <c r="S42" i="9"/>
  <c r="R42" i="9"/>
  <c r="Q42" i="9"/>
  <c r="P42" i="9"/>
  <c r="O42" i="9"/>
  <c r="N42" i="9"/>
  <c r="M42" i="9"/>
  <c r="L42" i="9"/>
  <c r="K42" i="9"/>
  <c r="J42" i="9"/>
  <c r="I42" i="9"/>
  <c r="T41" i="9"/>
  <c r="S41" i="9"/>
  <c r="R41" i="9"/>
  <c r="Q41" i="9"/>
  <c r="P41" i="9"/>
  <c r="O41" i="9"/>
  <c r="N41" i="9"/>
  <c r="M41" i="9"/>
  <c r="L41" i="9"/>
  <c r="K41" i="9"/>
  <c r="J41" i="9"/>
  <c r="I41" i="9"/>
  <c r="T40" i="9"/>
  <c r="S40" i="9"/>
  <c r="R40" i="9"/>
  <c r="Q40" i="9"/>
  <c r="P40" i="9"/>
  <c r="O40" i="9"/>
  <c r="N40" i="9"/>
  <c r="M40" i="9"/>
  <c r="L40" i="9"/>
  <c r="K40" i="9"/>
  <c r="J40" i="9"/>
  <c r="I40" i="9"/>
  <c r="T39" i="9"/>
  <c r="S39" i="9"/>
  <c r="R39" i="9"/>
  <c r="Q39" i="9"/>
  <c r="P39" i="9"/>
  <c r="O39" i="9"/>
  <c r="N39" i="9"/>
  <c r="M39" i="9"/>
  <c r="L39" i="9"/>
  <c r="K39" i="9"/>
  <c r="J39" i="9"/>
  <c r="I39" i="9"/>
  <c r="T38" i="9"/>
  <c r="S38" i="9"/>
  <c r="R38" i="9"/>
  <c r="Q38" i="9"/>
  <c r="P38" i="9"/>
  <c r="O38" i="9"/>
  <c r="N38" i="9"/>
  <c r="M38" i="9"/>
  <c r="L38" i="9"/>
  <c r="K38" i="9"/>
  <c r="J38" i="9"/>
  <c r="I38" i="9"/>
  <c r="T37" i="9"/>
  <c r="S37" i="9"/>
  <c r="R37" i="9"/>
  <c r="Q37" i="9"/>
  <c r="P37" i="9"/>
  <c r="O37" i="9"/>
  <c r="N37" i="9"/>
  <c r="M37" i="9"/>
  <c r="L37" i="9"/>
  <c r="K37" i="9"/>
  <c r="J37" i="9"/>
  <c r="I37" i="9"/>
  <c r="T36" i="9"/>
  <c r="S36" i="9"/>
  <c r="R36" i="9"/>
  <c r="Q36" i="9"/>
  <c r="P36" i="9"/>
  <c r="O36" i="9"/>
  <c r="N36" i="9"/>
  <c r="M36" i="9"/>
  <c r="L36" i="9"/>
  <c r="K36" i="9"/>
  <c r="J36" i="9"/>
  <c r="I36" i="9"/>
  <c r="T35" i="9"/>
  <c r="S35" i="9"/>
  <c r="R35" i="9"/>
  <c r="Q35" i="9"/>
  <c r="P35" i="9"/>
  <c r="O35" i="9"/>
  <c r="N35" i="9"/>
  <c r="M35" i="9"/>
  <c r="L35" i="9"/>
  <c r="K35" i="9"/>
  <c r="J35" i="9"/>
  <c r="I35" i="9"/>
  <c r="T34" i="9"/>
  <c r="S34" i="9"/>
  <c r="R34" i="9"/>
  <c r="Q34" i="9"/>
  <c r="P34" i="9"/>
  <c r="O34" i="9"/>
  <c r="N34" i="9"/>
  <c r="M34" i="9"/>
  <c r="L34" i="9"/>
  <c r="K34" i="9"/>
  <c r="J34" i="9"/>
  <c r="I34" i="9"/>
  <c r="T33" i="9"/>
  <c r="S33" i="9"/>
  <c r="R33" i="9"/>
  <c r="Q33" i="9"/>
  <c r="P33" i="9"/>
  <c r="O33" i="9"/>
  <c r="N33" i="9"/>
  <c r="M33" i="9"/>
  <c r="L33" i="9"/>
  <c r="K33" i="9"/>
  <c r="J33" i="9"/>
  <c r="I33" i="9"/>
  <c r="T32" i="9"/>
  <c r="S32" i="9"/>
  <c r="R32" i="9"/>
  <c r="Q32" i="9"/>
  <c r="P32" i="9"/>
  <c r="O32" i="9"/>
  <c r="N32" i="9"/>
  <c r="M32" i="9"/>
  <c r="L32" i="9"/>
  <c r="K32" i="9"/>
  <c r="J32" i="9"/>
  <c r="I32" i="9"/>
  <c r="T31" i="9"/>
  <c r="S31" i="9"/>
  <c r="R31" i="9"/>
  <c r="Q31" i="9"/>
  <c r="P31" i="9"/>
  <c r="O31" i="9"/>
  <c r="N31" i="9"/>
  <c r="M31" i="9"/>
  <c r="L31" i="9"/>
  <c r="K31" i="9"/>
  <c r="J31" i="9"/>
  <c r="I31" i="9"/>
  <c r="T30" i="9"/>
  <c r="S30" i="9"/>
  <c r="R30" i="9"/>
  <c r="Q30" i="9"/>
  <c r="P30" i="9"/>
  <c r="O30" i="9"/>
  <c r="N30" i="9"/>
  <c r="M30" i="9"/>
  <c r="L30" i="9"/>
  <c r="K30" i="9"/>
  <c r="J30" i="9"/>
  <c r="I30" i="9"/>
  <c r="T29" i="9"/>
  <c r="S29" i="9"/>
  <c r="R29" i="9"/>
  <c r="Q29" i="9"/>
  <c r="P29" i="9"/>
  <c r="O29" i="9"/>
  <c r="N29" i="9"/>
  <c r="M29" i="9"/>
  <c r="L29" i="9"/>
  <c r="K29" i="9"/>
  <c r="J29" i="9"/>
  <c r="I29" i="9"/>
  <c r="T28" i="9"/>
  <c r="S28" i="9"/>
  <c r="R28" i="9"/>
  <c r="Q28" i="9"/>
  <c r="P28" i="9"/>
  <c r="O28" i="9"/>
  <c r="N28" i="9"/>
  <c r="M28" i="9"/>
  <c r="L28" i="9"/>
  <c r="K28" i="9"/>
  <c r="J28" i="9"/>
  <c r="I28" i="9"/>
  <c r="T27" i="9"/>
  <c r="S27" i="9"/>
  <c r="R27" i="9"/>
  <c r="Q27" i="9"/>
  <c r="P27" i="9"/>
  <c r="O27" i="9"/>
  <c r="N27" i="9"/>
  <c r="M27" i="9"/>
  <c r="L27" i="9"/>
  <c r="K27" i="9"/>
  <c r="J27" i="9"/>
  <c r="I27" i="9"/>
  <c r="T26" i="9"/>
  <c r="S26" i="9"/>
  <c r="R26" i="9"/>
  <c r="Q26" i="9"/>
  <c r="P26" i="9"/>
  <c r="O26" i="9"/>
  <c r="N26" i="9"/>
  <c r="M26" i="9"/>
  <c r="L26" i="9"/>
  <c r="K26" i="9"/>
  <c r="J26" i="9"/>
  <c r="I26" i="9"/>
  <c r="T25" i="9"/>
  <c r="S25" i="9"/>
  <c r="R25" i="9"/>
  <c r="Q25" i="9"/>
  <c r="P25" i="9"/>
  <c r="O25" i="9"/>
  <c r="N25" i="9"/>
  <c r="M25" i="9"/>
  <c r="L25" i="9"/>
  <c r="K25" i="9"/>
  <c r="J25" i="9"/>
  <c r="I25" i="9"/>
  <c r="T24" i="9"/>
  <c r="S24" i="9"/>
  <c r="R24" i="9"/>
  <c r="Q24" i="9"/>
  <c r="P24" i="9"/>
  <c r="O24" i="9"/>
  <c r="N24" i="9"/>
  <c r="M24" i="9"/>
  <c r="L24" i="9"/>
  <c r="K24" i="9"/>
  <c r="J24" i="9"/>
  <c r="I24" i="9"/>
  <c r="T23" i="9"/>
  <c r="S23" i="9"/>
  <c r="R23" i="9"/>
  <c r="Q23" i="9"/>
  <c r="P23" i="9"/>
  <c r="O23" i="9"/>
  <c r="N23" i="9"/>
  <c r="M23" i="9"/>
  <c r="L23" i="9"/>
  <c r="K23" i="9"/>
  <c r="J23" i="9"/>
  <c r="I23" i="9"/>
  <c r="T22" i="9"/>
  <c r="S22" i="9"/>
  <c r="R22" i="9"/>
  <c r="Q22" i="9"/>
  <c r="P22" i="9"/>
  <c r="O22" i="9"/>
  <c r="N22" i="9"/>
  <c r="M22" i="9"/>
  <c r="L22" i="9"/>
  <c r="K22" i="9"/>
  <c r="J22" i="9"/>
  <c r="I22" i="9"/>
  <c r="T21" i="9"/>
  <c r="S21" i="9"/>
  <c r="R21" i="9"/>
  <c r="Q21" i="9"/>
  <c r="P21" i="9"/>
  <c r="O21" i="9"/>
  <c r="N21" i="9"/>
  <c r="M21" i="9"/>
  <c r="L21" i="9"/>
  <c r="K21" i="9"/>
  <c r="J21" i="9"/>
  <c r="I21" i="9"/>
  <c r="T20" i="9"/>
  <c r="S20" i="9"/>
  <c r="R20" i="9"/>
  <c r="Q20" i="9"/>
  <c r="P20" i="9"/>
  <c r="O20" i="9"/>
  <c r="N20" i="9"/>
  <c r="M20" i="9"/>
  <c r="L20" i="9"/>
  <c r="K20" i="9"/>
  <c r="J20" i="9"/>
  <c r="I20" i="9"/>
  <c r="T19" i="9"/>
  <c r="S19" i="9"/>
  <c r="R19" i="9"/>
  <c r="Q19" i="9"/>
  <c r="P19" i="9"/>
  <c r="O19" i="9"/>
  <c r="N19" i="9"/>
  <c r="M19" i="9"/>
  <c r="L19" i="9"/>
  <c r="K19" i="9"/>
  <c r="J19" i="9"/>
  <c r="I19" i="9"/>
  <c r="T18" i="9"/>
  <c r="S18" i="9"/>
  <c r="R18" i="9"/>
  <c r="Q18" i="9"/>
  <c r="P18" i="9"/>
  <c r="O18" i="9"/>
  <c r="N18" i="9"/>
  <c r="M18" i="9"/>
  <c r="L18" i="9"/>
  <c r="K18" i="9"/>
  <c r="J18" i="9"/>
  <c r="I18" i="9"/>
  <c r="T17" i="9"/>
  <c r="S17" i="9"/>
  <c r="R17" i="9"/>
  <c r="Q17" i="9"/>
  <c r="P17" i="9"/>
  <c r="O17" i="9"/>
  <c r="N17" i="9"/>
  <c r="M17" i="9"/>
  <c r="L17" i="9"/>
  <c r="K17" i="9"/>
  <c r="J17" i="9"/>
  <c r="I17" i="9"/>
  <c r="T16" i="9"/>
  <c r="S16" i="9"/>
  <c r="R16" i="9"/>
  <c r="Q16" i="9"/>
  <c r="P16" i="9"/>
  <c r="O16" i="9"/>
  <c r="N16" i="9"/>
  <c r="M16" i="9"/>
  <c r="L16" i="9"/>
  <c r="K16" i="9"/>
  <c r="J16" i="9"/>
  <c r="I16" i="9"/>
  <c r="T15" i="9"/>
  <c r="S15" i="9"/>
  <c r="R15" i="9"/>
  <c r="Q15" i="9"/>
  <c r="P15" i="9"/>
  <c r="O15" i="9"/>
  <c r="N15" i="9"/>
  <c r="M15" i="9"/>
  <c r="L15" i="9"/>
  <c r="K15" i="9"/>
  <c r="J15" i="9"/>
  <c r="I15" i="9"/>
  <c r="T14" i="9"/>
  <c r="S14" i="9"/>
  <c r="R14" i="9"/>
  <c r="Q14" i="9"/>
  <c r="P14" i="9"/>
  <c r="O14" i="9"/>
  <c r="N14" i="9"/>
  <c r="M14" i="9"/>
  <c r="L14" i="9"/>
  <c r="K14" i="9"/>
  <c r="J14" i="9"/>
  <c r="I14" i="9"/>
  <c r="T13" i="9"/>
  <c r="S13" i="9"/>
  <c r="R13" i="9"/>
  <c r="Q13" i="9"/>
  <c r="P13" i="9"/>
  <c r="O13" i="9"/>
  <c r="N13" i="9"/>
  <c r="M13" i="9"/>
  <c r="L13" i="9"/>
  <c r="K13" i="9"/>
  <c r="J13" i="9"/>
  <c r="I13" i="9"/>
  <c r="T12" i="9"/>
  <c r="S12" i="9"/>
  <c r="R12" i="9"/>
  <c r="Q12" i="9"/>
  <c r="P12" i="9"/>
  <c r="O12" i="9"/>
  <c r="N12" i="9"/>
  <c r="M12" i="9"/>
  <c r="L12" i="9"/>
  <c r="K12" i="9"/>
  <c r="J12" i="9"/>
  <c r="I12" i="9"/>
  <c r="T11" i="9"/>
  <c r="S11" i="9"/>
  <c r="R11" i="9"/>
  <c r="Q11" i="9"/>
  <c r="P11" i="9"/>
  <c r="O11" i="9"/>
  <c r="N11" i="9"/>
  <c r="M11" i="9"/>
  <c r="L11" i="9"/>
  <c r="K11" i="9"/>
  <c r="J11" i="9"/>
  <c r="I11" i="9"/>
  <c r="T10" i="9"/>
  <c r="S10" i="9"/>
  <c r="R10" i="9"/>
  <c r="Q10" i="9"/>
  <c r="P10" i="9"/>
  <c r="O10" i="9"/>
  <c r="N10" i="9"/>
  <c r="M10" i="9"/>
  <c r="L10" i="9"/>
  <c r="K10" i="9"/>
  <c r="J10" i="9"/>
  <c r="I10" i="9"/>
  <c r="T9" i="9"/>
  <c r="S9" i="9"/>
  <c r="R9" i="9"/>
  <c r="Q9" i="9"/>
  <c r="P9" i="9"/>
  <c r="O9" i="9"/>
  <c r="N9" i="9"/>
  <c r="M9" i="9"/>
  <c r="L9" i="9"/>
  <c r="K9" i="9"/>
  <c r="J9" i="9"/>
  <c r="I9" i="9"/>
  <c r="T8" i="9"/>
  <c r="S8" i="9"/>
  <c r="R8" i="9"/>
  <c r="Q8" i="9"/>
  <c r="P8" i="9"/>
  <c r="O8" i="9"/>
  <c r="N8" i="9"/>
  <c r="M8" i="9"/>
  <c r="L8" i="9"/>
  <c r="K8" i="9"/>
  <c r="J8" i="9"/>
  <c r="I8" i="9"/>
  <c r="T7" i="9"/>
  <c r="S7" i="9"/>
  <c r="R7" i="9"/>
  <c r="Q7" i="9"/>
  <c r="P7" i="9"/>
  <c r="O7" i="9"/>
  <c r="N7" i="9"/>
  <c r="M7" i="9"/>
  <c r="L7" i="9"/>
  <c r="K7" i="9"/>
  <c r="J7" i="9"/>
  <c r="I7" i="9"/>
  <c r="T6" i="9"/>
  <c r="S6" i="9"/>
  <c r="R6" i="9"/>
  <c r="Q6" i="9"/>
  <c r="P6" i="9"/>
  <c r="O6" i="9"/>
  <c r="N6" i="9"/>
  <c r="M6" i="9"/>
  <c r="L6" i="9"/>
  <c r="K6" i="9"/>
  <c r="J6" i="9"/>
  <c r="I6" i="9"/>
  <c r="T5" i="9"/>
  <c r="S5" i="9"/>
  <c r="R5" i="9"/>
  <c r="Q5" i="9"/>
  <c r="P5" i="9"/>
  <c r="O5" i="9"/>
  <c r="N5" i="9"/>
  <c r="M5" i="9"/>
  <c r="L5" i="9"/>
  <c r="K5" i="9"/>
  <c r="J5" i="9"/>
  <c r="I5" i="9"/>
  <c r="T4" i="9"/>
  <c r="S4" i="9"/>
  <c r="R4" i="9"/>
  <c r="Q4" i="9"/>
  <c r="P4" i="9"/>
  <c r="O4" i="9"/>
  <c r="N4" i="9"/>
  <c r="M4" i="9"/>
  <c r="L4" i="9"/>
  <c r="K4" i="9"/>
  <c r="J4" i="9"/>
  <c r="I4" i="9"/>
  <c r="T3" i="9"/>
  <c r="S3" i="9"/>
  <c r="R3" i="9"/>
  <c r="Q3" i="9"/>
  <c r="P3" i="9"/>
  <c r="O3" i="9"/>
  <c r="N3" i="9"/>
  <c r="M3" i="9"/>
  <c r="L3" i="9"/>
  <c r="K3" i="9"/>
  <c r="J3" i="9"/>
  <c r="I3" i="9"/>
  <c r="T2" i="9"/>
  <c r="S2" i="9"/>
  <c r="R2" i="9"/>
  <c r="Q2" i="9"/>
  <c r="P2" i="9"/>
  <c r="O2" i="9"/>
  <c r="N2" i="9"/>
  <c r="M2" i="9"/>
  <c r="L2" i="9"/>
  <c r="K2" i="9"/>
  <c r="J2" i="9"/>
  <c r="I2" i="9"/>
  <c r="V611" i="8"/>
  <c r="V610" i="8"/>
  <c r="V609" i="8"/>
  <c r="V608" i="8"/>
  <c r="V607" i="8"/>
  <c r="V606" i="8"/>
  <c r="V605" i="8"/>
  <c r="V604" i="8"/>
  <c r="V603" i="8"/>
  <c r="V602" i="8"/>
  <c r="V601" i="8"/>
  <c r="V600" i="8"/>
  <c r="V599" i="8"/>
  <c r="V598" i="8"/>
  <c r="V597" i="8"/>
  <c r="V596" i="8"/>
  <c r="V595" i="8"/>
  <c r="V594" i="8"/>
  <c r="V593" i="8"/>
  <c r="V592" i="8"/>
  <c r="V591" i="8"/>
  <c r="V590" i="8"/>
  <c r="V589" i="8"/>
  <c r="V588" i="8"/>
  <c r="V587" i="8"/>
  <c r="V586" i="8"/>
  <c r="V585" i="8"/>
  <c r="V584" i="8"/>
  <c r="V583" i="8"/>
  <c r="V582" i="8"/>
  <c r="V581" i="8"/>
  <c r="V580" i="8"/>
  <c r="V579" i="8"/>
  <c r="V578" i="8"/>
  <c r="V577" i="8"/>
  <c r="V576" i="8"/>
  <c r="V575" i="8"/>
  <c r="V574" i="8"/>
  <c r="V573" i="8"/>
  <c r="V572" i="8"/>
  <c r="V571" i="8"/>
  <c r="V570" i="8"/>
  <c r="V569" i="8"/>
  <c r="V568" i="8"/>
  <c r="V567" i="8"/>
  <c r="V566" i="8"/>
  <c r="V565" i="8"/>
  <c r="V564" i="8"/>
  <c r="V563" i="8"/>
  <c r="V562" i="8"/>
  <c r="V561" i="8"/>
  <c r="V560" i="8"/>
  <c r="V559" i="8"/>
  <c r="V558" i="8"/>
  <c r="V557" i="8"/>
  <c r="V556" i="8"/>
  <c r="V555" i="8"/>
  <c r="V554" i="8"/>
  <c r="V553" i="8"/>
  <c r="V552" i="8"/>
  <c r="V551" i="8"/>
  <c r="V550" i="8"/>
  <c r="V549" i="8"/>
  <c r="V548" i="8"/>
  <c r="V547" i="8"/>
  <c r="V546" i="8"/>
  <c r="V545" i="8"/>
  <c r="V544" i="8"/>
  <c r="V543" i="8"/>
  <c r="V542" i="8"/>
  <c r="V541" i="8"/>
  <c r="V540" i="8"/>
  <c r="V539" i="8"/>
  <c r="V538" i="8"/>
  <c r="V537" i="8"/>
  <c r="V536" i="8"/>
  <c r="V535" i="8"/>
  <c r="V534" i="8"/>
  <c r="V533" i="8"/>
  <c r="V532" i="8"/>
  <c r="V531" i="8"/>
  <c r="V530" i="8"/>
  <c r="V529" i="8"/>
  <c r="V528" i="8"/>
  <c r="V527" i="8"/>
  <c r="V526" i="8"/>
  <c r="V525" i="8"/>
  <c r="V524" i="8"/>
  <c r="V523" i="8"/>
  <c r="V522" i="8"/>
  <c r="V521" i="8"/>
  <c r="V520" i="8"/>
  <c r="V519" i="8"/>
  <c r="V518" i="8"/>
  <c r="V517" i="8"/>
  <c r="V516" i="8"/>
  <c r="V515" i="8"/>
  <c r="V514" i="8"/>
  <c r="V513" i="8"/>
  <c r="V512" i="8"/>
  <c r="V511" i="8"/>
  <c r="V510" i="8"/>
  <c r="V509" i="8"/>
  <c r="V508" i="8"/>
  <c r="V507" i="8"/>
  <c r="V506" i="8"/>
  <c r="V505" i="8"/>
  <c r="V504" i="8"/>
  <c r="V503" i="8"/>
  <c r="V502" i="8"/>
  <c r="V501" i="8"/>
  <c r="V500" i="8"/>
  <c r="V499" i="8"/>
  <c r="V498" i="8"/>
  <c r="V497" i="8"/>
  <c r="V496" i="8"/>
  <c r="V495" i="8"/>
  <c r="V494" i="8"/>
  <c r="V493" i="8"/>
  <c r="V492" i="8"/>
  <c r="V491" i="8"/>
  <c r="V490" i="8"/>
  <c r="V489" i="8"/>
  <c r="V488" i="8"/>
  <c r="V487" i="8"/>
  <c r="V486" i="8"/>
  <c r="V485" i="8"/>
  <c r="V484" i="8"/>
  <c r="V483" i="8"/>
  <c r="V482" i="8"/>
  <c r="V481" i="8"/>
  <c r="V480" i="8"/>
  <c r="V479" i="8"/>
  <c r="V478" i="8"/>
  <c r="V477" i="8"/>
  <c r="V476" i="8"/>
  <c r="V475" i="8"/>
  <c r="V474" i="8"/>
  <c r="V473" i="8"/>
  <c r="V472" i="8"/>
  <c r="V471" i="8"/>
  <c r="V470" i="8"/>
  <c r="V469" i="8"/>
  <c r="V468" i="8"/>
  <c r="V467" i="8"/>
  <c r="V466" i="8"/>
  <c r="V465" i="8"/>
  <c r="V464" i="8"/>
  <c r="V463" i="8"/>
  <c r="V462" i="8"/>
  <c r="V461" i="8"/>
  <c r="V460" i="8"/>
  <c r="V459" i="8"/>
  <c r="V458" i="8"/>
  <c r="V457" i="8"/>
  <c r="V456" i="8"/>
  <c r="V455" i="8"/>
  <c r="V454" i="8"/>
  <c r="V453" i="8"/>
  <c r="V452" i="8"/>
  <c r="V451" i="8"/>
  <c r="V450" i="8"/>
  <c r="V449" i="8"/>
  <c r="V448" i="8"/>
  <c r="V447" i="8"/>
  <c r="V446" i="8"/>
  <c r="V445" i="8"/>
  <c r="V444" i="8"/>
  <c r="V443" i="8"/>
  <c r="V442" i="8"/>
  <c r="V441" i="8"/>
  <c r="V440" i="8"/>
  <c r="V439" i="8"/>
  <c r="V438" i="8"/>
  <c r="V437" i="8"/>
  <c r="V436" i="8"/>
  <c r="V435" i="8"/>
  <c r="V434" i="8"/>
  <c r="V433" i="8"/>
  <c r="V432" i="8"/>
  <c r="V431" i="8"/>
  <c r="V430" i="8"/>
  <c r="V429" i="8"/>
  <c r="V428" i="8"/>
  <c r="V427" i="8"/>
  <c r="V426" i="8"/>
  <c r="V425" i="8"/>
  <c r="V424" i="8"/>
  <c r="V423" i="8"/>
  <c r="V422" i="8"/>
  <c r="V421" i="8"/>
  <c r="V420" i="8"/>
  <c r="V419" i="8"/>
  <c r="V418" i="8"/>
  <c r="V417" i="8"/>
  <c r="V416" i="8"/>
  <c r="V415" i="8"/>
  <c r="V414" i="8"/>
  <c r="V413" i="8"/>
  <c r="V412" i="8"/>
  <c r="V411" i="8"/>
  <c r="V410" i="8"/>
  <c r="V409" i="8"/>
  <c r="V408" i="8"/>
  <c r="V407" i="8"/>
  <c r="V406" i="8"/>
  <c r="V405" i="8"/>
  <c r="V404" i="8"/>
  <c r="V403" i="8"/>
  <c r="V402" i="8"/>
  <c r="V401" i="8"/>
  <c r="V400" i="8"/>
  <c r="V399" i="8"/>
  <c r="V398" i="8"/>
  <c r="V397" i="8"/>
  <c r="V396" i="8"/>
  <c r="V395" i="8"/>
  <c r="V394" i="8"/>
  <c r="V393" i="8"/>
  <c r="V392" i="8"/>
  <c r="V391" i="8"/>
  <c r="V390" i="8"/>
  <c r="V389" i="8"/>
  <c r="V388" i="8"/>
  <c r="V387" i="8"/>
  <c r="V386" i="8"/>
  <c r="V385" i="8"/>
  <c r="V384" i="8"/>
  <c r="V383" i="8"/>
  <c r="V382" i="8"/>
  <c r="V381" i="8"/>
  <c r="V380" i="8"/>
  <c r="V379" i="8"/>
  <c r="V378" i="8"/>
  <c r="V377" i="8"/>
  <c r="V376" i="8"/>
  <c r="V375" i="8"/>
  <c r="V374" i="8"/>
  <c r="V373" i="8"/>
  <c r="V372" i="8"/>
  <c r="V371" i="8"/>
  <c r="V370" i="8"/>
  <c r="V369" i="8"/>
  <c r="V368" i="8"/>
  <c r="V367" i="8"/>
  <c r="V366" i="8"/>
  <c r="V365" i="8"/>
  <c r="V364" i="8"/>
  <c r="V363" i="8"/>
  <c r="V362" i="8"/>
  <c r="V361" i="8"/>
  <c r="V360" i="8"/>
  <c r="V359" i="8"/>
  <c r="V358" i="8"/>
  <c r="V357" i="8"/>
  <c r="V356" i="8"/>
  <c r="V355" i="8"/>
  <c r="V354" i="8"/>
  <c r="V353" i="8"/>
  <c r="V352" i="8"/>
  <c r="V351" i="8"/>
  <c r="V350" i="8"/>
  <c r="V349" i="8"/>
  <c r="V348" i="8"/>
  <c r="V347" i="8"/>
  <c r="V346" i="8"/>
  <c r="V345" i="8"/>
  <c r="V344" i="8"/>
  <c r="V343" i="8"/>
  <c r="V342" i="8"/>
  <c r="V341" i="8"/>
  <c r="V340" i="8"/>
  <c r="V339" i="8"/>
  <c r="V338" i="8"/>
  <c r="V337" i="8"/>
  <c r="V336" i="8"/>
  <c r="V335" i="8"/>
  <c r="V334" i="8"/>
  <c r="V333" i="8"/>
  <c r="V332" i="8"/>
  <c r="V331" i="8"/>
  <c r="V330" i="8"/>
  <c r="V329" i="8"/>
  <c r="V328" i="8"/>
  <c r="V327" i="8"/>
  <c r="V326" i="8"/>
  <c r="V325" i="8"/>
  <c r="V324" i="8"/>
  <c r="V323" i="8"/>
  <c r="V322" i="8"/>
  <c r="V321" i="8"/>
  <c r="V320" i="8"/>
  <c r="V319" i="8"/>
  <c r="V318" i="8"/>
  <c r="V317" i="8"/>
  <c r="V316" i="8"/>
  <c r="V315" i="8"/>
  <c r="V314" i="8"/>
  <c r="V313" i="8"/>
  <c r="V312" i="8"/>
  <c r="V311" i="8"/>
  <c r="V310" i="8"/>
  <c r="V309" i="8"/>
  <c r="V308" i="8"/>
  <c r="V307" i="8"/>
  <c r="V306" i="8"/>
  <c r="V305" i="8"/>
  <c r="V304" i="8"/>
  <c r="V303" i="8"/>
  <c r="V302" i="8"/>
  <c r="V301" i="8"/>
  <c r="V300" i="8"/>
  <c r="V299" i="8"/>
  <c r="V298" i="8"/>
  <c r="V297" i="8"/>
  <c r="V296" i="8"/>
  <c r="V295" i="8"/>
  <c r="V294" i="8"/>
  <c r="V293" i="8"/>
  <c r="V292" i="8"/>
  <c r="V291" i="8"/>
  <c r="V290" i="8"/>
  <c r="V289" i="8"/>
  <c r="V288" i="8"/>
  <c r="V287" i="8"/>
  <c r="V286" i="8"/>
  <c r="V285" i="8"/>
  <c r="V284" i="8"/>
  <c r="V283" i="8"/>
  <c r="V282" i="8"/>
  <c r="V281" i="8"/>
  <c r="V280" i="8"/>
  <c r="V279" i="8"/>
  <c r="V278" i="8"/>
  <c r="V277" i="8"/>
  <c r="V276" i="8"/>
  <c r="V275" i="8"/>
  <c r="V274" i="8"/>
  <c r="V273" i="8"/>
  <c r="V272" i="8"/>
  <c r="V271" i="8"/>
  <c r="V270" i="8"/>
  <c r="V269" i="8"/>
  <c r="V268" i="8"/>
  <c r="V267" i="8"/>
  <c r="V266" i="8"/>
  <c r="V265" i="8"/>
  <c r="V264" i="8"/>
  <c r="V263" i="8"/>
  <c r="V262" i="8"/>
  <c r="V261" i="8"/>
  <c r="V260" i="8"/>
  <c r="V259" i="8"/>
  <c r="V258" i="8"/>
  <c r="V257" i="8"/>
  <c r="V256" i="8"/>
  <c r="V255" i="8"/>
  <c r="V254" i="8"/>
  <c r="V253" i="8"/>
  <c r="V252" i="8"/>
  <c r="V251" i="8"/>
  <c r="V250" i="8"/>
  <c r="V249" i="8"/>
  <c r="V248" i="8"/>
  <c r="V247" i="8"/>
  <c r="V246" i="8"/>
  <c r="V245" i="8"/>
  <c r="V244" i="8"/>
  <c r="V243" i="8"/>
  <c r="V242" i="8"/>
  <c r="V241" i="8"/>
  <c r="V240" i="8"/>
  <c r="V239" i="8"/>
  <c r="V238" i="8"/>
  <c r="V237" i="8"/>
  <c r="V236" i="8"/>
  <c r="V235" i="8"/>
  <c r="V234" i="8"/>
  <c r="V233" i="8"/>
  <c r="V232" i="8"/>
  <c r="V231" i="8"/>
  <c r="V230" i="8"/>
  <c r="V229" i="8"/>
  <c r="V228" i="8"/>
  <c r="V227" i="8"/>
  <c r="V226" i="8"/>
  <c r="V225" i="8"/>
  <c r="V224" i="8"/>
  <c r="V223" i="8"/>
  <c r="V222" i="8"/>
  <c r="V221" i="8"/>
  <c r="V220" i="8"/>
  <c r="V219" i="8"/>
  <c r="V218" i="8"/>
  <c r="V217" i="8"/>
  <c r="V216" i="8"/>
  <c r="V215" i="8"/>
  <c r="V214" i="8"/>
  <c r="V213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V167" i="8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T611" i="8"/>
  <c r="P611" i="8"/>
  <c r="O611" i="8"/>
  <c r="N611" i="8"/>
  <c r="M611" i="8"/>
  <c r="L611" i="8"/>
  <c r="K611" i="8"/>
  <c r="T610" i="8"/>
  <c r="P610" i="8"/>
  <c r="O610" i="8"/>
  <c r="N610" i="8"/>
  <c r="M610" i="8"/>
  <c r="L610" i="8"/>
  <c r="K610" i="8"/>
  <c r="T609" i="8"/>
  <c r="P609" i="8"/>
  <c r="O609" i="8"/>
  <c r="N609" i="8"/>
  <c r="M609" i="8"/>
  <c r="L609" i="8"/>
  <c r="K609" i="8"/>
  <c r="T608" i="8"/>
  <c r="P608" i="8"/>
  <c r="O608" i="8"/>
  <c r="N608" i="8"/>
  <c r="M608" i="8"/>
  <c r="L608" i="8"/>
  <c r="K608" i="8"/>
  <c r="T607" i="8"/>
  <c r="P607" i="8"/>
  <c r="O607" i="8"/>
  <c r="N607" i="8"/>
  <c r="M607" i="8"/>
  <c r="L607" i="8"/>
  <c r="K607" i="8"/>
  <c r="T606" i="8"/>
  <c r="P606" i="8"/>
  <c r="O606" i="8"/>
  <c r="N606" i="8"/>
  <c r="M606" i="8"/>
  <c r="L606" i="8"/>
  <c r="K606" i="8"/>
  <c r="T605" i="8"/>
  <c r="P605" i="8"/>
  <c r="O605" i="8"/>
  <c r="N605" i="8"/>
  <c r="M605" i="8"/>
  <c r="L605" i="8"/>
  <c r="K605" i="8"/>
  <c r="T604" i="8"/>
  <c r="P604" i="8"/>
  <c r="O604" i="8"/>
  <c r="N604" i="8"/>
  <c r="M604" i="8"/>
  <c r="L604" i="8"/>
  <c r="K604" i="8"/>
  <c r="T603" i="8"/>
  <c r="P603" i="8"/>
  <c r="O603" i="8"/>
  <c r="N603" i="8"/>
  <c r="M603" i="8"/>
  <c r="L603" i="8"/>
  <c r="K603" i="8"/>
  <c r="T602" i="8"/>
  <c r="P602" i="8"/>
  <c r="O602" i="8"/>
  <c r="N602" i="8"/>
  <c r="M602" i="8"/>
  <c r="L602" i="8"/>
  <c r="K602" i="8"/>
  <c r="T601" i="8"/>
  <c r="P601" i="8"/>
  <c r="O601" i="8"/>
  <c r="N601" i="8"/>
  <c r="M601" i="8"/>
  <c r="L601" i="8"/>
  <c r="K601" i="8"/>
  <c r="T600" i="8"/>
  <c r="P600" i="8"/>
  <c r="O600" i="8"/>
  <c r="N600" i="8"/>
  <c r="M600" i="8"/>
  <c r="L600" i="8"/>
  <c r="K600" i="8"/>
  <c r="T599" i="8"/>
  <c r="P599" i="8"/>
  <c r="O599" i="8"/>
  <c r="N599" i="8"/>
  <c r="M599" i="8"/>
  <c r="L599" i="8"/>
  <c r="K599" i="8"/>
  <c r="T598" i="8"/>
  <c r="P598" i="8"/>
  <c r="O598" i="8"/>
  <c r="N598" i="8"/>
  <c r="M598" i="8"/>
  <c r="L598" i="8"/>
  <c r="K598" i="8"/>
  <c r="T597" i="8"/>
  <c r="P597" i="8"/>
  <c r="O597" i="8"/>
  <c r="N597" i="8"/>
  <c r="M597" i="8"/>
  <c r="L597" i="8"/>
  <c r="K597" i="8"/>
  <c r="T596" i="8"/>
  <c r="P596" i="8"/>
  <c r="O596" i="8"/>
  <c r="N596" i="8"/>
  <c r="M596" i="8"/>
  <c r="L596" i="8"/>
  <c r="K596" i="8"/>
  <c r="T595" i="8"/>
  <c r="P595" i="8"/>
  <c r="O595" i="8"/>
  <c r="N595" i="8"/>
  <c r="M595" i="8"/>
  <c r="L595" i="8"/>
  <c r="K595" i="8"/>
  <c r="T594" i="8"/>
  <c r="P594" i="8"/>
  <c r="O594" i="8"/>
  <c r="N594" i="8"/>
  <c r="M594" i="8"/>
  <c r="L594" i="8"/>
  <c r="K594" i="8"/>
  <c r="T593" i="8"/>
  <c r="P593" i="8"/>
  <c r="O593" i="8"/>
  <c r="N593" i="8"/>
  <c r="M593" i="8"/>
  <c r="L593" i="8"/>
  <c r="K593" i="8"/>
  <c r="T592" i="8"/>
  <c r="P592" i="8"/>
  <c r="O592" i="8"/>
  <c r="N592" i="8"/>
  <c r="M592" i="8"/>
  <c r="L592" i="8"/>
  <c r="K592" i="8"/>
  <c r="T591" i="8"/>
  <c r="P591" i="8"/>
  <c r="O591" i="8"/>
  <c r="N591" i="8"/>
  <c r="M591" i="8"/>
  <c r="L591" i="8"/>
  <c r="K591" i="8"/>
  <c r="T590" i="8"/>
  <c r="P590" i="8"/>
  <c r="O590" i="8"/>
  <c r="N590" i="8"/>
  <c r="M590" i="8"/>
  <c r="L590" i="8"/>
  <c r="K590" i="8"/>
  <c r="T589" i="8"/>
  <c r="P589" i="8"/>
  <c r="O589" i="8"/>
  <c r="N589" i="8"/>
  <c r="M589" i="8"/>
  <c r="L589" i="8"/>
  <c r="K589" i="8"/>
  <c r="T588" i="8"/>
  <c r="P588" i="8"/>
  <c r="O588" i="8"/>
  <c r="N588" i="8"/>
  <c r="M588" i="8"/>
  <c r="L588" i="8"/>
  <c r="K588" i="8"/>
  <c r="T587" i="8"/>
  <c r="P587" i="8"/>
  <c r="O587" i="8"/>
  <c r="N587" i="8"/>
  <c r="M587" i="8"/>
  <c r="L587" i="8"/>
  <c r="K587" i="8"/>
  <c r="T586" i="8"/>
  <c r="P586" i="8"/>
  <c r="O586" i="8"/>
  <c r="N586" i="8"/>
  <c r="M586" i="8"/>
  <c r="L586" i="8"/>
  <c r="K586" i="8"/>
  <c r="T585" i="8"/>
  <c r="P585" i="8"/>
  <c r="O585" i="8"/>
  <c r="N585" i="8"/>
  <c r="M585" i="8"/>
  <c r="L585" i="8"/>
  <c r="K585" i="8"/>
  <c r="T584" i="8"/>
  <c r="P584" i="8"/>
  <c r="O584" i="8"/>
  <c r="N584" i="8"/>
  <c r="M584" i="8"/>
  <c r="L584" i="8"/>
  <c r="K584" i="8"/>
  <c r="T583" i="8"/>
  <c r="P583" i="8"/>
  <c r="O583" i="8"/>
  <c r="N583" i="8"/>
  <c r="M583" i="8"/>
  <c r="L583" i="8"/>
  <c r="K583" i="8"/>
  <c r="T582" i="8"/>
  <c r="P582" i="8"/>
  <c r="O582" i="8"/>
  <c r="N582" i="8"/>
  <c r="M582" i="8"/>
  <c r="L582" i="8"/>
  <c r="K582" i="8"/>
  <c r="T581" i="8"/>
  <c r="P581" i="8"/>
  <c r="O581" i="8"/>
  <c r="N581" i="8"/>
  <c r="M581" i="8"/>
  <c r="L581" i="8"/>
  <c r="K581" i="8"/>
  <c r="T580" i="8"/>
  <c r="P580" i="8"/>
  <c r="O580" i="8"/>
  <c r="N580" i="8"/>
  <c r="M580" i="8"/>
  <c r="L580" i="8"/>
  <c r="K580" i="8"/>
  <c r="T579" i="8"/>
  <c r="P579" i="8"/>
  <c r="O579" i="8"/>
  <c r="N579" i="8"/>
  <c r="M579" i="8"/>
  <c r="L579" i="8"/>
  <c r="K579" i="8"/>
  <c r="T578" i="8"/>
  <c r="P578" i="8"/>
  <c r="O578" i="8"/>
  <c r="N578" i="8"/>
  <c r="M578" i="8"/>
  <c r="L578" i="8"/>
  <c r="K578" i="8"/>
  <c r="T577" i="8"/>
  <c r="P577" i="8"/>
  <c r="O577" i="8"/>
  <c r="N577" i="8"/>
  <c r="M577" i="8"/>
  <c r="L577" i="8"/>
  <c r="K577" i="8"/>
  <c r="T576" i="8"/>
  <c r="P576" i="8"/>
  <c r="O576" i="8"/>
  <c r="N576" i="8"/>
  <c r="M576" i="8"/>
  <c r="L576" i="8"/>
  <c r="K576" i="8"/>
  <c r="T575" i="8"/>
  <c r="P575" i="8"/>
  <c r="O575" i="8"/>
  <c r="N575" i="8"/>
  <c r="M575" i="8"/>
  <c r="L575" i="8"/>
  <c r="K575" i="8"/>
  <c r="T574" i="8"/>
  <c r="P574" i="8"/>
  <c r="O574" i="8"/>
  <c r="N574" i="8"/>
  <c r="M574" i="8"/>
  <c r="L574" i="8"/>
  <c r="K574" i="8"/>
  <c r="T573" i="8"/>
  <c r="P573" i="8"/>
  <c r="O573" i="8"/>
  <c r="N573" i="8"/>
  <c r="M573" i="8"/>
  <c r="L573" i="8"/>
  <c r="K573" i="8"/>
  <c r="T572" i="8"/>
  <c r="P572" i="8"/>
  <c r="O572" i="8"/>
  <c r="N572" i="8"/>
  <c r="M572" i="8"/>
  <c r="L572" i="8"/>
  <c r="K572" i="8"/>
  <c r="T571" i="8"/>
  <c r="P571" i="8"/>
  <c r="O571" i="8"/>
  <c r="N571" i="8"/>
  <c r="M571" i="8"/>
  <c r="L571" i="8"/>
  <c r="K571" i="8"/>
  <c r="T570" i="8"/>
  <c r="P570" i="8"/>
  <c r="O570" i="8"/>
  <c r="N570" i="8"/>
  <c r="M570" i="8"/>
  <c r="L570" i="8"/>
  <c r="K570" i="8"/>
  <c r="T569" i="8"/>
  <c r="P569" i="8"/>
  <c r="O569" i="8"/>
  <c r="N569" i="8"/>
  <c r="M569" i="8"/>
  <c r="L569" i="8"/>
  <c r="K569" i="8"/>
  <c r="T568" i="8"/>
  <c r="P568" i="8"/>
  <c r="O568" i="8"/>
  <c r="N568" i="8"/>
  <c r="M568" i="8"/>
  <c r="L568" i="8"/>
  <c r="K568" i="8"/>
  <c r="T567" i="8"/>
  <c r="P567" i="8"/>
  <c r="O567" i="8"/>
  <c r="N567" i="8"/>
  <c r="M567" i="8"/>
  <c r="L567" i="8"/>
  <c r="K567" i="8"/>
  <c r="T566" i="8"/>
  <c r="P566" i="8"/>
  <c r="O566" i="8"/>
  <c r="N566" i="8"/>
  <c r="M566" i="8"/>
  <c r="L566" i="8"/>
  <c r="K566" i="8"/>
  <c r="T565" i="8"/>
  <c r="P565" i="8"/>
  <c r="O565" i="8"/>
  <c r="N565" i="8"/>
  <c r="M565" i="8"/>
  <c r="L565" i="8"/>
  <c r="K565" i="8"/>
  <c r="T564" i="8"/>
  <c r="P564" i="8"/>
  <c r="O564" i="8"/>
  <c r="N564" i="8"/>
  <c r="M564" i="8"/>
  <c r="L564" i="8"/>
  <c r="K564" i="8"/>
  <c r="T563" i="8"/>
  <c r="P563" i="8"/>
  <c r="O563" i="8"/>
  <c r="N563" i="8"/>
  <c r="M563" i="8"/>
  <c r="L563" i="8"/>
  <c r="K563" i="8"/>
  <c r="T562" i="8"/>
  <c r="P562" i="8"/>
  <c r="O562" i="8"/>
  <c r="N562" i="8"/>
  <c r="M562" i="8"/>
  <c r="L562" i="8"/>
  <c r="K562" i="8"/>
  <c r="T561" i="8"/>
  <c r="P561" i="8"/>
  <c r="O561" i="8"/>
  <c r="N561" i="8"/>
  <c r="M561" i="8"/>
  <c r="L561" i="8"/>
  <c r="K561" i="8"/>
  <c r="T560" i="8"/>
  <c r="P560" i="8"/>
  <c r="O560" i="8"/>
  <c r="N560" i="8"/>
  <c r="M560" i="8"/>
  <c r="L560" i="8"/>
  <c r="K560" i="8"/>
  <c r="T559" i="8"/>
  <c r="P559" i="8"/>
  <c r="O559" i="8"/>
  <c r="N559" i="8"/>
  <c r="M559" i="8"/>
  <c r="L559" i="8"/>
  <c r="K559" i="8"/>
  <c r="T558" i="8"/>
  <c r="P558" i="8"/>
  <c r="O558" i="8"/>
  <c r="N558" i="8"/>
  <c r="M558" i="8"/>
  <c r="L558" i="8"/>
  <c r="K558" i="8"/>
  <c r="T557" i="8"/>
  <c r="P557" i="8"/>
  <c r="O557" i="8"/>
  <c r="N557" i="8"/>
  <c r="M557" i="8"/>
  <c r="L557" i="8"/>
  <c r="K557" i="8"/>
  <c r="T556" i="8"/>
  <c r="P556" i="8"/>
  <c r="O556" i="8"/>
  <c r="N556" i="8"/>
  <c r="M556" i="8"/>
  <c r="L556" i="8"/>
  <c r="K556" i="8"/>
  <c r="T555" i="8"/>
  <c r="P555" i="8"/>
  <c r="O555" i="8"/>
  <c r="N555" i="8"/>
  <c r="M555" i="8"/>
  <c r="L555" i="8"/>
  <c r="K555" i="8"/>
  <c r="T554" i="8"/>
  <c r="P554" i="8"/>
  <c r="O554" i="8"/>
  <c r="N554" i="8"/>
  <c r="M554" i="8"/>
  <c r="L554" i="8"/>
  <c r="K554" i="8"/>
  <c r="T553" i="8"/>
  <c r="P553" i="8"/>
  <c r="O553" i="8"/>
  <c r="N553" i="8"/>
  <c r="M553" i="8"/>
  <c r="L553" i="8"/>
  <c r="K553" i="8"/>
  <c r="T552" i="8"/>
  <c r="P552" i="8"/>
  <c r="O552" i="8"/>
  <c r="N552" i="8"/>
  <c r="M552" i="8"/>
  <c r="L552" i="8"/>
  <c r="K552" i="8"/>
  <c r="T551" i="8"/>
  <c r="P551" i="8"/>
  <c r="O551" i="8"/>
  <c r="N551" i="8"/>
  <c r="M551" i="8"/>
  <c r="L551" i="8"/>
  <c r="K551" i="8"/>
  <c r="T550" i="8"/>
  <c r="P550" i="8"/>
  <c r="O550" i="8"/>
  <c r="N550" i="8"/>
  <c r="M550" i="8"/>
  <c r="L550" i="8"/>
  <c r="K550" i="8"/>
  <c r="T549" i="8"/>
  <c r="P549" i="8"/>
  <c r="O549" i="8"/>
  <c r="N549" i="8"/>
  <c r="M549" i="8"/>
  <c r="L549" i="8"/>
  <c r="K549" i="8"/>
  <c r="T548" i="8"/>
  <c r="P548" i="8"/>
  <c r="O548" i="8"/>
  <c r="N548" i="8"/>
  <c r="M548" i="8"/>
  <c r="L548" i="8"/>
  <c r="K548" i="8"/>
  <c r="T547" i="8"/>
  <c r="P547" i="8"/>
  <c r="O547" i="8"/>
  <c r="N547" i="8"/>
  <c r="M547" i="8"/>
  <c r="L547" i="8"/>
  <c r="K547" i="8"/>
  <c r="T546" i="8"/>
  <c r="P546" i="8"/>
  <c r="O546" i="8"/>
  <c r="N546" i="8"/>
  <c r="M546" i="8"/>
  <c r="L546" i="8"/>
  <c r="K546" i="8"/>
  <c r="T545" i="8"/>
  <c r="P545" i="8"/>
  <c r="O545" i="8"/>
  <c r="N545" i="8"/>
  <c r="M545" i="8"/>
  <c r="L545" i="8"/>
  <c r="K545" i="8"/>
  <c r="T544" i="8"/>
  <c r="P544" i="8"/>
  <c r="O544" i="8"/>
  <c r="N544" i="8"/>
  <c r="M544" i="8"/>
  <c r="L544" i="8"/>
  <c r="K544" i="8"/>
  <c r="T543" i="8"/>
  <c r="P543" i="8"/>
  <c r="O543" i="8"/>
  <c r="N543" i="8"/>
  <c r="M543" i="8"/>
  <c r="L543" i="8"/>
  <c r="K543" i="8"/>
  <c r="T542" i="8"/>
  <c r="P542" i="8"/>
  <c r="O542" i="8"/>
  <c r="N542" i="8"/>
  <c r="M542" i="8"/>
  <c r="L542" i="8"/>
  <c r="K542" i="8"/>
  <c r="T541" i="8"/>
  <c r="P541" i="8"/>
  <c r="O541" i="8"/>
  <c r="N541" i="8"/>
  <c r="M541" i="8"/>
  <c r="L541" i="8"/>
  <c r="K541" i="8"/>
  <c r="T540" i="8"/>
  <c r="P540" i="8"/>
  <c r="O540" i="8"/>
  <c r="N540" i="8"/>
  <c r="M540" i="8"/>
  <c r="L540" i="8"/>
  <c r="K540" i="8"/>
  <c r="T539" i="8"/>
  <c r="P539" i="8"/>
  <c r="O539" i="8"/>
  <c r="N539" i="8"/>
  <c r="M539" i="8"/>
  <c r="L539" i="8"/>
  <c r="K539" i="8"/>
  <c r="T538" i="8"/>
  <c r="P538" i="8"/>
  <c r="O538" i="8"/>
  <c r="N538" i="8"/>
  <c r="M538" i="8"/>
  <c r="L538" i="8"/>
  <c r="K538" i="8"/>
  <c r="T537" i="8"/>
  <c r="P537" i="8"/>
  <c r="O537" i="8"/>
  <c r="N537" i="8"/>
  <c r="M537" i="8"/>
  <c r="L537" i="8"/>
  <c r="K537" i="8"/>
  <c r="T536" i="8"/>
  <c r="P536" i="8"/>
  <c r="O536" i="8"/>
  <c r="N536" i="8"/>
  <c r="M536" i="8"/>
  <c r="L536" i="8"/>
  <c r="K536" i="8"/>
  <c r="T535" i="8"/>
  <c r="P535" i="8"/>
  <c r="O535" i="8"/>
  <c r="N535" i="8"/>
  <c r="M535" i="8"/>
  <c r="L535" i="8"/>
  <c r="K535" i="8"/>
  <c r="T534" i="8"/>
  <c r="P534" i="8"/>
  <c r="O534" i="8"/>
  <c r="N534" i="8"/>
  <c r="M534" i="8"/>
  <c r="L534" i="8"/>
  <c r="K534" i="8"/>
  <c r="T533" i="8"/>
  <c r="P533" i="8"/>
  <c r="O533" i="8"/>
  <c r="N533" i="8"/>
  <c r="M533" i="8"/>
  <c r="L533" i="8"/>
  <c r="K533" i="8"/>
  <c r="T532" i="8"/>
  <c r="P532" i="8"/>
  <c r="O532" i="8"/>
  <c r="N532" i="8"/>
  <c r="M532" i="8"/>
  <c r="L532" i="8"/>
  <c r="K532" i="8"/>
  <c r="T531" i="8"/>
  <c r="P531" i="8"/>
  <c r="O531" i="8"/>
  <c r="N531" i="8"/>
  <c r="M531" i="8"/>
  <c r="L531" i="8"/>
  <c r="K531" i="8"/>
  <c r="T530" i="8"/>
  <c r="P530" i="8"/>
  <c r="O530" i="8"/>
  <c r="N530" i="8"/>
  <c r="M530" i="8"/>
  <c r="L530" i="8"/>
  <c r="K530" i="8"/>
  <c r="T529" i="8"/>
  <c r="P529" i="8"/>
  <c r="O529" i="8"/>
  <c r="N529" i="8"/>
  <c r="M529" i="8"/>
  <c r="L529" i="8"/>
  <c r="K529" i="8"/>
  <c r="T528" i="8"/>
  <c r="P528" i="8"/>
  <c r="O528" i="8"/>
  <c r="N528" i="8"/>
  <c r="M528" i="8"/>
  <c r="L528" i="8"/>
  <c r="K528" i="8"/>
  <c r="T527" i="8"/>
  <c r="P527" i="8"/>
  <c r="O527" i="8"/>
  <c r="N527" i="8"/>
  <c r="M527" i="8"/>
  <c r="L527" i="8"/>
  <c r="K527" i="8"/>
  <c r="T526" i="8"/>
  <c r="P526" i="8"/>
  <c r="O526" i="8"/>
  <c r="N526" i="8"/>
  <c r="M526" i="8"/>
  <c r="L526" i="8"/>
  <c r="K526" i="8"/>
  <c r="T525" i="8"/>
  <c r="P525" i="8"/>
  <c r="O525" i="8"/>
  <c r="N525" i="8"/>
  <c r="M525" i="8"/>
  <c r="L525" i="8"/>
  <c r="K525" i="8"/>
  <c r="T524" i="8"/>
  <c r="P524" i="8"/>
  <c r="O524" i="8"/>
  <c r="N524" i="8"/>
  <c r="M524" i="8"/>
  <c r="L524" i="8"/>
  <c r="K524" i="8"/>
  <c r="T523" i="8"/>
  <c r="P523" i="8"/>
  <c r="O523" i="8"/>
  <c r="N523" i="8"/>
  <c r="M523" i="8"/>
  <c r="L523" i="8"/>
  <c r="K523" i="8"/>
  <c r="T522" i="8"/>
  <c r="P522" i="8"/>
  <c r="O522" i="8"/>
  <c r="N522" i="8"/>
  <c r="M522" i="8"/>
  <c r="L522" i="8"/>
  <c r="K522" i="8"/>
  <c r="T521" i="8"/>
  <c r="P521" i="8"/>
  <c r="O521" i="8"/>
  <c r="N521" i="8"/>
  <c r="M521" i="8"/>
  <c r="L521" i="8"/>
  <c r="K521" i="8"/>
  <c r="T520" i="8"/>
  <c r="P520" i="8"/>
  <c r="O520" i="8"/>
  <c r="N520" i="8"/>
  <c r="M520" i="8"/>
  <c r="L520" i="8"/>
  <c r="K520" i="8"/>
  <c r="T519" i="8"/>
  <c r="P519" i="8"/>
  <c r="O519" i="8"/>
  <c r="N519" i="8"/>
  <c r="M519" i="8"/>
  <c r="L519" i="8"/>
  <c r="K519" i="8"/>
  <c r="T518" i="8"/>
  <c r="P518" i="8"/>
  <c r="O518" i="8"/>
  <c r="N518" i="8"/>
  <c r="M518" i="8"/>
  <c r="L518" i="8"/>
  <c r="K518" i="8"/>
  <c r="T517" i="8"/>
  <c r="P517" i="8"/>
  <c r="O517" i="8"/>
  <c r="N517" i="8"/>
  <c r="M517" i="8"/>
  <c r="L517" i="8"/>
  <c r="K517" i="8"/>
  <c r="T516" i="8"/>
  <c r="P516" i="8"/>
  <c r="O516" i="8"/>
  <c r="N516" i="8"/>
  <c r="M516" i="8"/>
  <c r="L516" i="8"/>
  <c r="K516" i="8"/>
  <c r="T515" i="8"/>
  <c r="P515" i="8"/>
  <c r="O515" i="8"/>
  <c r="N515" i="8"/>
  <c r="M515" i="8"/>
  <c r="L515" i="8"/>
  <c r="K515" i="8"/>
  <c r="T514" i="8"/>
  <c r="P514" i="8"/>
  <c r="O514" i="8"/>
  <c r="N514" i="8"/>
  <c r="M514" i="8"/>
  <c r="L514" i="8"/>
  <c r="K514" i="8"/>
  <c r="T513" i="8"/>
  <c r="P513" i="8"/>
  <c r="O513" i="8"/>
  <c r="N513" i="8"/>
  <c r="M513" i="8"/>
  <c r="L513" i="8"/>
  <c r="K513" i="8"/>
  <c r="T512" i="8"/>
  <c r="P512" i="8"/>
  <c r="O512" i="8"/>
  <c r="N512" i="8"/>
  <c r="M512" i="8"/>
  <c r="L512" i="8"/>
  <c r="K512" i="8"/>
  <c r="T511" i="8"/>
  <c r="P511" i="8"/>
  <c r="O511" i="8"/>
  <c r="N511" i="8"/>
  <c r="M511" i="8"/>
  <c r="L511" i="8"/>
  <c r="K511" i="8"/>
  <c r="T510" i="8"/>
  <c r="P510" i="8"/>
  <c r="O510" i="8"/>
  <c r="N510" i="8"/>
  <c r="M510" i="8"/>
  <c r="L510" i="8"/>
  <c r="K510" i="8"/>
  <c r="T509" i="8"/>
  <c r="P509" i="8"/>
  <c r="O509" i="8"/>
  <c r="N509" i="8"/>
  <c r="M509" i="8"/>
  <c r="L509" i="8"/>
  <c r="K509" i="8"/>
  <c r="T508" i="8"/>
  <c r="P508" i="8"/>
  <c r="O508" i="8"/>
  <c r="N508" i="8"/>
  <c r="M508" i="8"/>
  <c r="L508" i="8"/>
  <c r="K508" i="8"/>
  <c r="T507" i="8"/>
  <c r="P507" i="8"/>
  <c r="O507" i="8"/>
  <c r="N507" i="8"/>
  <c r="M507" i="8"/>
  <c r="L507" i="8"/>
  <c r="K507" i="8"/>
  <c r="T506" i="8"/>
  <c r="P506" i="8"/>
  <c r="O506" i="8"/>
  <c r="N506" i="8"/>
  <c r="M506" i="8"/>
  <c r="L506" i="8"/>
  <c r="K506" i="8"/>
  <c r="T505" i="8"/>
  <c r="P505" i="8"/>
  <c r="O505" i="8"/>
  <c r="N505" i="8"/>
  <c r="M505" i="8"/>
  <c r="L505" i="8"/>
  <c r="K505" i="8"/>
  <c r="T504" i="8"/>
  <c r="P504" i="8"/>
  <c r="O504" i="8"/>
  <c r="N504" i="8"/>
  <c r="M504" i="8"/>
  <c r="L504" i="8"/>
  <c r="K504" i="8"/>
  <c r="T503" i="8"/>
  <c r="P503" i="8"/>
  <c r="O503" i="8"/>
  <c r="N503" i="8"/>
  <c r="M503" i="8"/>
  <c r="L503" i="8"/>
  <c r="K503" i="8"/>
  <c r="T502" i="8"/>
  <c r="P502" i="8"/>
  <c r="O502" i="8"/>
  <c r="N502" i="8"/>
  <c r="M502" i="8"/>
  <c r="L502" i="8"/>
  <c r="K502" i="8"/>
  <c r="T501" i="8"/>
  <c r="P501" i="8"/>
  <c r="O501" i="8"/>
  <c r="N501" i="8"/>
  <c r="M501" i="8"/>
  <c r="L501" i="8"/>
  <c r="K501" i="8"/>
  <c r="T500" i="8"/>
  <c r="P500" i="8"/>
  <c r="O500" i="8"/>
  <c r="N500" i="8"/>
  <c r="M500" i="8"/>
  <c r="L500" i="8"/>
  <c r="K500" i="8"/>
  <c r="T499" i="8"/>
  <c r="P499" i="8"/>
  <c r="O499" i="8"/>
  <c r="N499" i="8"/>
  <c r="M499" i="8"/>
  <c r="L499" i="8"/>
  <c r="K499" i="8"/>
  <c r="T498" i="8"/>
  <c r="P498" i="8"/>
  <c r="O498" i="8"/>
  <c r="N498" i="8"/>
  <c r="M498" i="8"/>
  <c r="L498" i="8"/>
  <c r="K498" i="8"/>
  <c r="T497" i="8"/>
  <c r="P497" i="8"/>
  <c r="O497" i="8"/>
  <c r="N497" i="8"/>
  <c r="M497" i="8"/>
  <c r="L497" i="8"/>
  <c r="K497" i="8"/>
  <c r="T496" i="8"/>
  <c r="P496" i="8"/>
  <c r="O496" i="8"/>
  <c r="N496" i="8"/>
  <c r="M496" i="8"/>
  <c r="L496" i="8"/>
  <c r="K496" i="8"/>
  <c r="T495" i="8"/>
  <c r="P495" i="8"/>
  <c r="O495" i="8"/>
  <c r="N495" i="8"/>
  <c r="M495" i="8"/>
  <c r="L495" i="8"/>
  <c r="K495" i="8"/>
  <c r="T494" i="8"/>
  <c r="P494" i="8"/>
  <c r="O494" i="8"/>
  <c r="N494" i="8"/>
  <c r="M494" i="8"/>
  <c r="L494" i="8"/>
  <c r="K494" i="8"/>
  <c r="T493" i="8"/>
  <c r="P493" i="8"/>
  <c r="O493" i="8"/>
  <c r="N493" i="8"/>
  <c r="M493" i="8"/>
  <c r="L493" i="8"/>
  <c r="K493" i="8"/>
  <c r="T492" i="8"/>
  <c r="P492" i="8"/>
  <c r="O492" i="8"/>
  <c r="N492" i="8"/>
  <c r="M492" i="8"/>
  <c r="L492" i="8"/>
  <c r="K492" i="8"/>
  <c r="T491" i="8"/>
  <c r="P491" i="8"/>
  <c r="O491" i="8"/>
  <c r="N491" i="8"/>
  <c r="M491" i="8"/>
  <c r="L491" i="8"/>
  <c r="K491" i="8"/>
  <c r="T490" i="8"/>
  <c r="P490" i="8"/>
  <c r="O490" i="8"/>
  <c r="N490" i="8"/>
  <c r="M490" i="8"/>
  <c r="L490" i="8"/>
  <c r="K490" i="8"/>
  <c r="T489" i="8"/>
  <c r="P489" i="8"/>
  <c r="O489" i="8"/>
  <c r="N489" i="8"/>
  <c r="M489" i="8"/>
  <c r="L489" i="8"/>
  <c r="K489" i="8"/>
  <c r="T488" i="8"/>
  <c r="P488" i="8"/>
  <c r="O488" i="8"/>
  <c r="N488" i="8"/>
  <c r="M488" i="8"/>
  <c r="L488" i="8"/>
  <c r="K488" i="8"/>
  <c r="T487" i="8"/>
  <c r="P487" i="8"/>
  <c r="O487" i="8"/>
  <c r="N487" i="8"/>
  <c r="M487" i="8"/>
  <c r="L487" i="8"/>
  <c r="K487" i="8"/>
  <c r="T486" i="8"/>
  <c r="P486" i="8"/>
  <c r="O486" i="8"/>
  <c r="N486" i="8"/>
  <c r="M486" i="8"/>
  <c r="L486" i="8"/>
  <c r="K486" i="8"/>
  <c r="T485" i="8"/>
  <c r="P485" i="8"/>
  <c r="O485" i="8"/>
  <c r="N485" i="8"/>
  <c r="M485" i="8"/>
  <c r="L485" i="8"/>
  <c r="K485" i="8"/>
  <c r="T484" i="8"/>
  <c r="P484" i="8"/>
  <c r="O484" i="8"/>
  <c r="N484" i="8"/>
  <c r="M484" i="8"/>
  <c r="L484" i="8"/>
  <c r="K484" i="8"/>
  <c r="T483" i="8"/>
  <c r="P483" i="8"/>
  <c r="O483" i="8"/>
  <c r="N483" i="8"/>
  <c r="M483" i="8"/>
  <c r="L483" i="8"/>
  <c r="K483" i="8"/>
  <c r="T482" i="8"/>
  <c r="P482" i="8"/>
  <c r="O482" i="8"/>
  <c r="N482" i="8"/>
  <c r="M482" i="8"/>
  <c r="L482" i="8"/>
  <c r="K482" i="8"/>
  <c r="T481" i="8"/>
  <c r="P481" i="8"/>
  <c r="O481" i="8"/>
  <c r="N481" i="8"/>
  <c r="M481" i="8"/>
  <c r="L481" i="8"/>
  <c r="K481" i="8"/>
  <c r="T480" i="8"/>
  <c r="P480" i="8"/>
  <c r="O480" i="8"/>
  <c r="N480" i="8"/>
  <c r="M480" i="8"/>
  <c r="L480" i="8"/>
  <c r="K480" i="8"/>
  <c r="T479" i="8"/>
  <c r="P479" i="8"/>
  <c r="O479" i="8"/>
  <c r="N479" i="8"/>
  <c r="M479" i="8"/>
  <c r="L479" i="8"/>
  <c r="K479" i="8"/>
  <c r="T478" i="8"/>
  <c r="P478" i="8"/>
  <c r="O478" i="8"/>
  <c r="N478" i="8"/>
  <c r="M478" i="8"/>
  <c r="L478" i="8"/>
  <c r="K478" i="8"/>
  <c r="T477" i="8"/>
  <c r="P477" i="8"/>
  <c r="O477" i="8"/>
  <c r="N477" i="8"/>
  <c r="M477" i="8"/>
  <c r="L477" i="8"/>
  <c r="K477" i="8"/>
  <c r="T476" i="8"/>
  <c r="P476" i="8"/>
  <c r="O476" i="8"/>
  <c r="N476" i="8"/>
  <c r="M476" i="8"/>
  <c r="L476" i="8"/>
  <c r="K476" i="8"/>
  <c r="T475" i="8"/>
  <c r="P475" i="8"/>
  <c r="O475" i="8"/>
  <c r="N475" i="8"/>
  <c r="M475" i="8"/>
  <c r="L475" i="8"/>
  <c r="K475" i="8"/>
  <c r="T474" i="8"/>
  <c r="P474" i="8"/>
  <c r="O474" i="8"/>
  <c r="N474" i="8"/>
  <c r="M474" i="8"/>
  <c r="L474" i="8"/>
  <c r="K474" i="8"/>
  <c r="T473" i="8"/>
  <c r="P473" i="8"/>
  <c r="O473" i="8"/>
  <c r="N473" i="8"/>
  <c r="M473" i="8"/>
  <c r="L473" i="8"/>
  <c r="K473" i="8"/>
  <c r="T472" i="8"/>
  <c r="P472" i="8"/>
  <c r="O472" i="8"/>
  <c r="N472" i="8"/>
  <c r="M472" i="8"/>
  <c r="L472" i="8"/>
  <c r="K472" i="8"/>
  <c r="T471" i="8"/>
  <c r="P471" i="8"/>
  <c r="O471" i="8"/>
  <c r="N471" i="8"/>
  <c r="M471" i="8"/>
  <c r="L471" i="8"/>
  <c r="K471" i="8"/>
  <c r="T470" i="8"/>
  <c r="P470" i="8"/>
  <c r="O470" i="8"/>
  <c r="N470" i="8"/>
  <c r="M470" i="8"/>
  <c r="L470" i="8"/>
  <c r="K470" i="8"/>
  <c r="T469" i="8"/>
  <c r="P469" i="8"/>
  <c r="O469" i="8"/>
  <c r="N469" i="8"/>
  <c r="M469" i="8"/>
  <c r="L469" i="8"/>
  <c r="K469" i="8"/>
  <c r="T468" i="8"/>
  <c r="P468" i="8"/>
  <c r="O468" i="8"/>
  <c r="N468" i="8"/>
  <c r="M468" i="8"/>
  <c r="L468" i="8"/>
  <c r="K468" i="8"/>
  <c r="T467" i="8"/>
  <c r="P467" i="8"/>
  <c r="O467" i="8"/>
  <c r="N467" i="8"/>
  <c r="M467" i="8"/>
  <c r="L467" i="8"/>
  <c r="K467" i="8"/>
  <c r="T466" i="8"/>
  <c r="P466" i="8"/>
  <c r="O466" i="8"/>
  <c r="N466" i="8"/>
  <c r="M466" i="8"/>
  <c r="L466" i="8"/>
  <c r="K466" i="8"/>
  <c r="T465" i="8"/>
  <c r="P465" i="8"/>
  <c r="O465" i="8"/>
  <c r="N465" i="8"/>
  <c r="M465" i="8"/>
  <c r="L465" i="8"/>
  <c r="K465" i="8"/>
  <c r="T464" i="8"/>
  <c r="P464" i="8"/>
  <c r="O464" i="8"/>
  <c r="N464" i="8"/>
  <c r="M464" i="8"/>
  <c r="L464" i="8"/>
  <c r="K464" i="8"/>
  <c r="T463" i="8"/>
  <c r="P463" i="8"/>
  <c r="O463" i="8"/>
  <c r="N463" i="8"/>
  <c r="M463" i="8"/>
  <c r="L463" i="8"/>
  <c r="K463" i="8"/>
  <c r="T462" i="8"/>
  <c r="P462" i="8"/>
  <c r="O462" i="8"/>
  <c r="N462" i="8"/>
  <c r="M462" i="8"/>
  <c r="L462" i="8"/>
  <c r="K462" i="8"/>
  <c r="T461" i="8"/>
  <c r="P461" i="8"/>
  <c r="O461" i="8"/>
  <c r="N461" i="8"/>
  <c r="M461" i="8"/>
  <c r="L461" i="8"/>
  <c r="K461" i="8"/>
  <c r="T460" i="8"/>
  <c r="P460" i="8"/>
  <c r="O460" i="8"/>
  <c r="N460" i="8"/>
  <c r="M460" i="8"/>
  <c r="L460" i="8"/>
  <c r="K460" i="8"/>
  <c r="T459" i="8"/>
  <c r="P459" i="8"/>
  <c r="O459" i="8"/>
  <c r="N459" i="8"/>
  <c r="M459" i="8"/>
  <c r="L459" i="8"/>
  <c r="K459" i="8"/>
  <c r="T458" i="8"/>
  <c r="P458" i="8"/>
  <c r="O458" i="8"/>
  <c r="N458" i="8"/>
  <c r="M458" i="8"/>
  <c r="L458" i="8"/>
  <c r="K458" i="8"/>
  <c r="T457" i="8"/>
  <c r="P457" i="8"/>
  <c r="O457" i="8"/>
  <c r="N457" i="8"/>
  <c r="M457" i="8"/>
  <c r="L457" i="8"/>
  <c r="K457" i="8"/>
  <c r="T456" i="8"/>
  <c r="P456" i="8"/>
  <c r="O456" i="8"/>
  <c r="N456" i="8"/>
  <c r="M456" i="8"/>
  <c r="L456" i="8"/>
  <c r="K456" i="8"/>
  <c r="T455" i="8"/>
  <c r="P455" i="8"/>
  <c r="O455" i="8"/>
  <c r="N455" i="8"/>
  <c r="M455" i="8"/>
  <c r="L455" i="8"/>
  <c r="K455" i="8"/>
  <c r="T454" i="8"/>
  <c r="P454" i="8"/>
  <c r="O454" i="8"/>
  <c r="N454" i="8"/>
  <c r="M454" i="8"/>
  <c r="L454" i="8"/>
  <c r="K454" i="8"/>
  <c r="T453" i="8"/>
  <c r="P453" i="8"/>
  <c r="O453" i="8"/>
  <c r="N453" i="8"/>
  <c r="M453" i="8"/>
  <c r="L453" i="8"/>
  <c r="K453" i="8"/>
  <c r="T452" i="8"/>
  <c r="P452" i="8"/>
  <c r="O452" i="8"/>
  <c r="N452" i="8"/>
  <c r="M452" i="8"/>
  <c r="L452" i="8"/>
  <c r="K452" i="8"/>
  <c r="T451" i="8"/>
  <c r="P451" i="8"/>
  <c r="O451" i="8"/>
  <c r="N451" i="8"/>
  <c r="M451" i="8"/>
  <c r="L451" i="8"/>
  <c r="K451" i="8"/>
  <c r="T450" i="8"/>
  <c r="P450" i="8"/>
  <c r="O450" i="8"/>
  <c r="N450" i="8"/>
  <c r="M450" i="8"/>
  <c r="L450" i="8"/>
  <c r="K450" i="8"/>
  <c r="T449" i="8"/>
  <c r="P449" i="8"/>
  <c r="O449" i="8"/>
  <c r="N449" i="8"/>
  <c r="M449" i="8"/>
  <c r="L449" i="8"/>
  <c r="K449" i="8"/>
  <c r="T448" i="8"/>
  <c r="P448" i="8"/>
  <c r="O448" i="8"/>
  <c r="N448" i="8"/>
  <c r="M448" i="8"/>
  <c r="L448" i="8"/>
  <c r="K448" i="8"/>
  <c r="T447" i="8"/>
  <c r="P447" i="8"/>
  <c r="O447" i="8"/>
  <c r="N447" i="8"/>
  <c r="M447" i="8"/>
  <c r="L447" i="8"/>
  <c r="K447" i="8"/>
  <c r="T446" i="8"/>
  <c r="P446" i="8"/>
  <c r="O446" i="8"/>
  <c r="N446" i="8"/>
  <c r="M446" i="8"/>
  <c r="L446" i="8"/>
  <c r="K446" i="8"/>
  <c r="T445" i="8"/>
  <c r="P445" i="8"/>
  <c r="O445" i="8"/>
  <c r="N445" i="8"/>
  <c r="M445" i="8"/>
  <c r="L445" i="8"/>
  <c r="K445" i="8"/>
  <c r="T444" i="8"/>
  <c r="P444" i="8"/>
  <c r="O444" i="8"/>
  <c r="N444" i="8"/>
  <c r="M444" i="8"/>
  <c r="L444" i="8"/>
  <c r="K444" i="8"/>
  <c r="T443" i="8"/>
  <c r="P443" i="8"/>
  <c r="O443" i="8"/>
  <c r="N443" i="8"/>
  <c r="M443" i="8"/>
  <c r="L443" i="8"/>
  <c r="K443" i="8"/>
  <c r="T442" i="8"/>
  <c r="P442" i="8"/>
  <c r="O442" i="8"/>
  <c r="N442" i="8"/>
  <c r="M442" i="8"/>
  <c r="L442" i="8"/>
  <c r="K442" i="8"/>
  <c r="T441" i="8"/>
  <c r="P441" i="8"/>
  <c r="O441" i="8"/>
  <c r="N441" i="8"/>
  <c r="M441" i="8"/>
  <c r="L441" i="8"/>
  <c r="K441" i="8"/>
  <c r="T440" i="8"/>
  <c r="P440" i="8"/>
  <c r="O440" i="8"/>
  <c r="N440" i="8"/>
  <c r="M440" i="8"/>
  <c r="L440" i="8"/>
  <c r="K440" i="8"/>
  <c r="T439" i="8"/>
  <c r="P439" i="8"/>
  <c r="O439" i="8"/>
  <c r="N439" i="8"/>
  <c r="M439" i="8"/>
  <c r="L439" i="8"/>
  <c r="K439" i="8"/>
  <c r="T438" i="8"/>
  <c r="P438" i="8"/>
  <c r="O438" i="8"/>
  <c r="N438" i="8"/>
  <c r="M438" i="8"/>
  <c r="L438" i="8"/>
  <c r="K438" i="8"/>
  <c r="T437" i="8"/>
  <c r="P437" i="8"/>
  <c r="O437" i="8"/>
  <c r="N437" i="8"/>
  <c r="M437" i="8"/>
  <c r="L437" i="8"/>
  <c r="K437" i="8"/>
  <c r="T436" i="8"/>
  <c r="P436" i="8"/>
  <c r="O436" i="8"/>
  <c r="N436" i="8"/>
  <c r="M436" i="8"/>
  <c r="L436" i="8"/>
  <c r="K436" i="8"/>
  <c r="T435" i="8"/>
  <c r="P435" i="8"/>
  <c r="O435" i="8"/>
  <c r="N435" i="8"/>
  <c r="M435" i="8"/>
  <c r="L435" i="8"/>
  <c r="K435" i="8"/>
  <c r="T434" i="8"/>
  <c r="P434" i="8"/>
  <c r="O434" i="8"/>
  <c r="N434" i="8"/>
  <c r="M434" i="8"/>
  <c r="L434" i="8"/>
  <c r="K434" i="8"/>
  <c r="T433" i="8"/>
  <c r="P433" i="8"/>
  <c r="O433" i="8"/>
  <c r="N433" i="8"/>
  <c r="M433" i="8"/>
  <c r="L433" i="8"/>
  <c r="K433" i="8"/>
  <c r="T432" i="8"/>
  <c r="P432" i="8"/>
  <c r="O432" i="8"/>
  <c r="N432" i="8"/>
  <c r="M432" i="8"/>
  <c r="L432" i="8"/>
  <c r="K432" i="8"/>
  <c r="T431" i="8"/>
  <c r="P431" i="8"/>
  <c r="O431" i="8"/>
  <c r="N431" i="8"/>
  <c r="M431" i="8"/>
  <c r="L431" i="8"/>
  <c r="K431" i="8"/>
  <c r="T430" i="8"/>
  <c r="P430" i="8"/>
  <c r="O430" i="8"/>
  <c r="N430" i="8"/>
  <c r="M430" i="8"/>
  <c r="L430" i="8"/>
  <c r="K430" i="8"/>
  <c r="T429" i="8"/>
  <c r="P429" i="8"/>
  <c r="O429" i="8"/>
  <c r="N429" i="8"/>
  <c r="M429" i="8"/>
  <c r="L429" i="8"/>
  <c r="K429" i="8"/>
  <c r="T428" i="8"/>
  <c r="P428" i="8"/>
  <c r="O428" i="8"/>
  <c r="N428" i="8"/>
  <c r="M428" i="8"/>
  <c r="L428" i="8"/>
  <c r="K428" i="8"/>
  <c r="T427" i="8"/>
  <c r="P427" i="8"/>
  <c r="O427" i="8"/>
  <c r="N427" i="8"/>
  <c r="M427" i="8"/>
  <c r="L427" i="8"/>
  <c r="K427" i="8"/>
  <c r="T426" i="8"/>
  <c r="P426" i="8"/>
  <c r="O426" i="8"/>
  <c r="N426" i="8"/>
  <c r="M426" i="8"/>
  <c r="L426" i="8"/>
  <c r="K426" i="8"/>
  <c r="T425" i="8"/>
  <c r="P425" i="8"/>
  <c r="O425" i="8"/>
  <c r="N425" i="8"/>
  <c r="M425" i="8"/>
  <c r="L425" i="8"/>
  <c r="K425" i="8"/>
  <c r="T424" i="8"/>
  <c r="P424" i="8"/>
  <c r="O424" i="8"/>
  <c r="N424" i="8"/>
  <c r="M424" i="8"/>
  <c r="L424" i="8"/>
  <c r="K424" i="8"/>
  <c r="T423" i="8"/>
  <c r="P423" i="8"/>
  <c r="O423" i="8"/>
  <c r="N423" i="8"/>
  <c r="M423" i="8"/>
  <c r="L423" i="8"/>
  <c r="K423" i="8"/>
  <c r="T422" i="8"/>
  <c r="P422" i="8"/>
  <c r="O422" i="8"/>
  <c r="N422" i="8"/>
  <c r="M422" i="8"/>
  <c r="L422" i="8"/>
  <c r="K422" i="8"/>
  <c r="T421" i="8"/>
  <c r="P421" i="8"/>
  <c r="O421" i="8"/>
  <c r="N421" i="8"/>
  <c r="M421" i="8"/>
  <c r="L421" i="8"/>
  <c r="K421" i="8"/>
  <c r="T420" i="8"/>
  <c r="P420" i="8"/>
  <c r="O420" i="8"/>
  <c r="N420" i="8"/>
  <c r="M420" i="8"/>
  <c r="L420" i="8"/>
  <c r="K420" i="8"/>
  <c r="T419" i="8"/>
  <c r="P419" i="8"/>
  <c r="O419" i="8"/>
  <c r="N419" i="8"/>
  <c r="M419" i="8"/>
  <c r="L419" i="8"/>
  <c r="K419" i="8"/>
  <c r="T418" i="8"/>
  <c r="P418" i="8"/>
  <c r="O418" i="8"/>
  <c r="N418" i="8"/>
  <c r="M418" i="8"/>
  <c r="L418" i="8"/>
  <c r="K418" i="8"/>
  <c r="T417" i="8"/>
  <c r="P417" i="8"/>
  <c r="O417" i="8"/>
  <c r="N417" i="8"/>
  <c r="M417" i="8"/>
  <c r="L417" i="8"/>
  <c r="K417" i="8"/>
  <c r="T416" i="8"/>
  <c r="P416" i="8"/>
  <c r="O416" i="8"/>
  <c r="N416" i="8"/>
  <c r="M416" i="8"/>
  <c r="L416" i="8"/>
  <c r="K416" i="8"/>
  <c r="T415" i="8"/>
  <c r="P415" i="8"/>
  <c r="O415" i="8"/>
  <c r="N415" i="8"/>
  <c r="M415" i="8"/>
  <c r="L415" i="8"/>
  <c r="K415" i="8"/>
  <c r="T414" i="8"/>
  <c r="P414" i="8"/>
  <c r="O414" i="8"/>
  <c r="N414" i="8"/>
  <c r="M414" i="8"/>
  <c r="L414" i="8"/>
  <c r="K414" i="8"/>
  <c r="T413" i="8"/>
  <c r="P413" i="8"/>
  <c r="O413" i="8"/>
  <c r="N413" i="8"/>
  <c r="M413" i="8"/>
  <c r="L413" i="8"/>
  <c r="K413" i="8"/>
  <c r="T412" i="8"/>
  <c r="P412" i="8"/>
  <c r="O412" i="8"/>
  <c r="N412" i="8"/>
  <c r="M412" i="8"/>
  <c r="L412" i="8"/>
  <c r="K412" i="8"/>
  <c r="T411" i="8"/>
  <c r="P411" i="8"/>
  <c r="O411" i="8"/>
  <c r="N411" i="8"/>
  <c r="M411" i="8"/>
  <c r="L411" i="8"/>
  <c r="K411" i="8"/>
  <c r="T410" i="8"/>
  <c r="P410" i="8"/>
  <c r="O410" i="8"/>
  <c r="N410" i="8"/>
  <c r="M410" i="8"/>
  <c r="L410" i="8"/>
  <c r="K410" i="8"/>
  <c r="T409" i="8"/>
  <c r="P409" i="8"/>
  <c r="O409" i="8"/>
  <c r="N409" i="8"/>
  <c r="M409" i="8"/>
  <c r="L409" i="8"/>
  <c r="K409" i="8"/>
  <c r="T408" i="8"/>
  <c r="P408" i="8"/>
  <c r="O408" i="8"/>
  <c r="N408" i="8"/>
  <c r="M408" i="8"/>
  <c r="L408" i="8"/>
  <c r="K408" i="8"/>
  <c r="T407" i="8"/>
  <c r="P407" i="8"/>
  <c r="O407" i="8"/>
  <c r="N407" i="8"/>
  <c r="M407" i="8"/>
  <c r="L407" i="8"/>
  <c r="K407" i="8"/>
  <c r="T406" i="8"/>
  <c r="P406" i="8"/>
  <c r="O406" i="8"/>
  <c r="N406" i="8"/>
  <c r="M406" i="8"/>
  <c r="L406" i="8"/>
  <c r="K406" i="8"/>
  <c r="T405" i="8"/>
  <c r="P405" i="8"/>
  <c r="O405" i="8"/>
  <c r="N405" i="8"/>
  <c r="M405" i="8"/>
  <c r="L405" i="8"/>
  <c r="K405" i="8"/>
  <c r="T404" i="8"/>
  <c r="P404" i="8"/>
  <c r="O404" i="8"/>
  <c r="N404" i="8"/>
  <c r="M404" i="8"/>
  <c r="L404" i="8"/>
  <c r="K404" i="8"/>
  <c r="T403" i="8"/>
  <c r="P403" i="8"/>
  <c r="O403" i="8"/>
  <c r="N403" i="8"/>
  <c r="M403" i="8"/>
  <c r="L403" i="8"/>
  <c r="K403" i="8"/>
  <c r="T402" i="8"/>
  <c r="P402" i="8"/>
  <c r="O402" i="8"/>
  <c r="N402" i="8"/>
  <c r="M402" i="8"/>
  <c r="L402" i="8"/>
  <c r="K402" i="8"/>
  <c r="T401" i="8"/>
  <c r="P401" i="8"/>
  <c r="O401" i="8"/>
  <c r="N401" i="8"/>
  <c r="M401" i="8"/>
  <c r="L401" i="8"/>
  <c r="K401" i="8"/>
  <c r="T400" i="8"/>
  <c r="P400" i="8"/>
  <c r="O400" i="8"/>
  <c r="N400" i="8"/>
  <c r="M400" i="8"/>
  <c r="L400" i="8"/>
  <c r="K400" i="8"/>
  <c r="T399" i="8"/>
  <c r="P399" i="8"/>
  <c r="O399" i="8"/>
  <c r="N399" i="8"/>
  <c r="M399" i="8"/>
  <c r="L399" i="8"/>
  <c r="K399" i="8"/>
  <c r="T398" i="8"/>
  <c r="P398" i="8"/>
  <c r="O398" i="8"/>
  <c r="N398" i="8"/>
  <c r="M398" i="8"/>
  <c r="L398" i="8"/>
  <c r="K398" i="8"/>
  <c r="T397" i="8"/>
  <c r="P397" i="8"/>
  <c r="O397" i="8"/>
  <c r="N397" i="8"/>
  <c r="M397" i="8"/>
  <c r="L397" i="8"/>
  <c r="K397" i="8"/>
  <c r="T396" i="8"/>
  <c r="P396" i="8"/>
  <c r="O396" i="8"/>
  <c r="N396" i="8"/>
  <c r="M396" i="8"/>
  <c r="L396" i="8"/>
  <c r="K396" i="8"/>
  <c r="T395" i="8"/>
  <c r="P395" i="8"/>
  <c r="O395" i="8"/>
  <c r="N395" i="8"/>
  <c r="M395" i="8"/>
  <c r="L395" i="8"/>
  <c r="K395" i="8"/>
  <c r="T394" i="8"/>
  <c r="P394" i="8"/>
  <c r="O394" i="8"/>
  <c r="N394" i="8"/>
  <c r="M394" i="8"/>
  <c r="L394" i="8"/>
  <c r="K394" i="8"/>
  <c r="T393" i="8"/>
  <c r="P393" i="8"/>
  <c r="O393" i="8"/>
  <c r="N393" i="8"/>
  <c r="M393" i="8"/>
  <c r="L393" i="8"/>
  <c r="K393" i="8"/>
  <c r="T392" i="8"/>
  <c r="P392" i="8"/>
  <c r="O392" i="8"/>
  <c r="N392" i="8"/>
  <c r="M392" i="8"/>
  <c r="L392" i="8"/>
  <c r="K392" i="8"/>
  <c r="T391" i="8"/>
  <c r="P391" i="8"/>
  <c r="O391" i="8"/>
  <c r="N391" i="8"/>
  <c r="M391" i="8"/>
  <c r="L391" i="8"/>
  <c r="K391" i="8"/>
  <c r="T390" i="8"/>
  <c r="P390" i="8"/>
  <c r="O390" i="8"/>
  <c r="N390" i="8"/>
  <c r="M390" i="8"/>
  <c r="L390" i="8"/>
  <c r="K390" i="8"/>
  <c r="T389" i="8"/>
  <c r="P389" i="8"/>
  <c r="O389" i="8"/>
  <c r="N389" i="8"/>
  <c r="M389" i="8"/>
  <c r="L389" i="8"/>
  <c r="K389" i="8"/>
  <c r="T388" i="8"/>
  <c r="P388" i="8"/>
  <c r="O388" i="8"/>
  <c r="N388" i="8"/>
  <c r="M388" i="8"/>
  <c r="L388" i="8"/>
  <c r="K388" i="8"/>
  <c r="T387" i="8"/>
  <c r="P387" i="8"/>
  <c r="O387" i="8"/>
  <c r="N387" i="8"/>
  <c r="M387" i="8"/>
  <c r="L387" i="8"/>
  <c r="K387" i="8"/>
  <c r="T386" i="8"/>
  <c r="P386" i="8"/>
  <c r="O386" i="8"/>
  <c r="N386" i="8"/>
  <c r="M386" i="8"/>
  <c r="L386" i="8"/>
  <c r="K386" i="8"/>
  <c r="T385" i="8"/>
  <c r="P385" i="8"/>
  <c r="O385" i="8"/>
  <c r="N385" i="8"/>
  <c r="M385" i="8"/>
  <c r="L385" i="8"/>
  <c r="K385" i="8"/>
  <c r="T384" i="8"/>
  <c r="P384" i="8"/>
  <c r="O384" i="8"/>
  <c r="N384" i="8"/>
  <c r="M384" i="8"/>
  <c r="L384" i="8"/>
  <c r="K384" i="8"/>
  <c r="T383" i="8"/>
  <c r="P383" i="8"/>
  <c r="O383" i="8"/>
  <c r="N383" i="8"/>
  <c r="M383" i="8"/>
  <c r="L383" i="8"/>
  <c r="K383" i="8"/>
  <c r="T382" i="8"/>
  <c r="P382" i="8"/>
  <c r="O382" i="8"/>
  <c r="N382" i="8"/>
  <c r="M382" i="8"/>
  <c r="L382" i="8"/>
  <c r="K382" i="8"/>
  <c r="T381" i="8"/>
  <c r="P381" i="8"/>
  <c r="O381" i="8"/>
  <c r="N381" i="8"/>
  <c r="M381" i="8"/>
  <c r="L381" i="8"/>
  <c r="K381" i="8"/>
  <c r="T380" i="8"/>
  <c r="P380" i="8"/>
  <c r="O380" i="8"/>
  <c r="N380" i="8"/>
  <c r="M380" i="8"/>
  <c r="L380" i="8"/>
  <c r="K380" i="8"/>
  <c r="T379" i="8"/>
  <c r="P379" i="8"/>
  <c r="O379" i="8"/>
  <c r="N379" i="8"/>
  <c r="M379" i="8"/>
  <c r="L379" i="8"/>
  <c r="K379" i="8"/>
  <c r="T378" i="8"/>
  <c r="P378" i="8"/>
  <c r="O378" i="8"/>
  <c r="N378" i="8"/>
  <c r="M378" i="8"/>
  <c r="L378" i="8"/>
  <c r="K378" i="8"/>
  <c r="T377" i="8"/>
  <c r="P377" i="8"/>
  <c r="O377" i="8"/>
  <c r="N377" i="8"/>
  <c r="M377" i="8"/>
  <c r="L377" i="8"/>
  <c r="K377" i="8"/>
  <c r="T376" i="8"/>
  <c r="P376" i="8"/>
  <c r="O376" i="8"/>
  <c r="N376" i="8"/>
  <c r="M376" i="8"/>
  <c r="L376" i="8"/>
  <c r="K376" i="8"/>
  <c r="T375" i="8"/>
  <c r="P375" i="8"/>
  <c r="O375" i="8"/>
  <c r="N375" i="8"/>
  <c r="M375" i="8"/>
  <c r="L375" i="8"/>
  <c r="K375" i="8"/>
  <c r="T374" i="8"/>
  <c r="P374" i="8"/>
  <c r="O374" i="8"/>
  <c r="N374" i="8"/>
  <c r="M374" i="8"/>
  <c r="L374" i="8"/>
  <c r="K374" i="8"/>
  <c r="T373" i="8"/>
  <c r="P373" i="8"/>
  <c r="O373" i="8"/>
  <c r="N373" i="8"/>
  <c r="M373" i="8"/>
  <c r="L373" i="8"/>
  <c r="K373" i="8"/>
  <c r="T372" i="8"/>
  <c r="P372" i="8"/>
  <c r="O372" i="8"/>
  <c r="N372" i="8"/>
  <c r="M372" i="8"/>
  <c r="L372" i="8"/>
  <c r="K372" i="8"/>
  <c r="T371" i="8"/>
  <c r="P371" i="8"/>
  <c r="O371" i="8"/>
  <c r="N371" i="8"/>
  <c r="M371" i="8"/>
  <c r="L371" i="8"/>
  <c r="K371" i="8"/>
  <c r="T370" i="8"/>
  <c r="P370" i="8"/>
  <c r="O370" i="8"/>
  <c r="N370" i="8"/>
  <c r="M370" i="8"/>
  <c r="L370" i="8"/>
  <c r="K370" i="8"/>
  <c r="T369" i="8"/>
  <c r="P369" i="8"/>
  <c r="O369" i="8"/>
  <c r="N369" i="8"/>
  <c r="M369" i="8"/>
  <c r="L369" i="8"/>
  <c r="K369" i="8"/>
  <c r="T368" i="8"/>
  <c r="P368" i="8"/>
  <c r="O368" i="8"/>
  <c r="N368" i="8"/>
  <c r="M368" i="8"/>
  <c r="L368" i="8"/>
  <c r="K368" i="8"/>
  <c r="T367" i="8"/>
  <c r="P367" i="8"/>
  <c r="O367" i="8"/>
  <c r="N367" i="8"/>
  <c r="M367" i="8"/>
  <c r="L367" i="8"/>
  <c r="K367" i="8"/>
  <c r="T366" i="8"/>
  <c r="P366" i="8"/>
  <c r="O366" i="8"/>
  <c r="N366" i="8"/>
  <c r="M366" i="8"/>
  <c r="L366" i="8"/>
  <c r="K366" i="8"/>
  <c r="T365" i="8"/>
  <c r="P365" i="8"/>
  <c r="O365" i="8"/>
  <c r="N365" i="8"/>
  <c r="M365" i="8"/>
  <c r="L365" i="8"/>
  <c r="K365" i="8"/>
  <c r="T364" i="8"/>
  <c r="P364" i="8"/>
  <c r="O364" i="8"/>
  <c r="N364" i="8"/>
  <c r="M364" i="8"/>
  <c r="L364" i="8"/>
  <c r="K364" i="8"/>
  <c r="T363" i="8"/>
  <c r="P363" i="8"/>
  <c r="O363" i="8"/>
  <c r="N363" i="8"/>
  <c r="M363" i="8"/>
  <c r="L363" i="8"/>
  <c r="K363" i="8"/>
  <c r="T362" i="8"/>
  <c r="P362" i="8"/>
  <c r="O362" i="8"/>
  <c r="N362" i="8"/>
  <c r="M362" i="8"/>
  <c r="L362" i="8"/>
  <c r="K362" i="8"/>
  <c r="T361" i="8"/>
  <c r="P361" i="8"/>
  <c r="O361" i="8"/>
  <c r="N361" i="8"/>
  <c r="M361" i="8"/>
  <c r="L361" i="8"/>
  <c r="K361" i="8"/>
  <c r="T360" i="8"/>
  <c r="P360" i="8"/>
  <c r="O360" i="8"/>
  <c r="N360" i="8"/>
  <c r="M360" i="8"/>
  <c r="L360" i="8"/>
  <c r="K360" i="8"/>
  <c r="T359" i="8"/>
  <c r="P359" i="8"/>
  <c r="O359" i="8"/>
  <c r="N359" i="8"/>
  <c r="M359" i="8"/>
  <c r="L359" i="8"/>
  <c r="K359" i="8"/>
  <c r="T358" i="8"/>
  <c r="P358" i="8"/>
  <c r="O358" i="8"/>
  <c r="N358" i="8"/>
  <c r="M358" i="8"/>
  <c r="L358" i="8"/>
  <c r="K358" i="8"/>
  <c r="T357" i="8"/>
  <c r="P357" i="8"/>
  <c r="O357" i="8"/>
  <c r="N357" i="8"/>
  <c r="M357" i="8"/>
  <c r="L357" i="8"/>
  <c r="K357" i="8"/>
  <c r="T356" i="8"/>
  <c r="P356" i="8"/>
  <c r="O356" i="8"/>
  <c r="N356" i="8"/>
  <c r="M356" i="8"/>
  <c r="L356" i="8"/>
  <c r="K356" i="8"/>
  <c r="T355" i="8"/>
  <c r="P355" i="8"/>
  <c r="O355" i="8"/>
  <c r="N355" i="8"/>
  <c r="M355" i="8"/>
  <c r="L355" i="8"/>
  <c r="K355" i="8"/>
  <c r="T354" i="8"/>
  <c r="P354" i="8"/>
  <c r="O354" i="8"/>
  <c r="N354" i="8"/>
  <c r="M354" i="8"/>
  <c r="L354" i="8"/>
  <c r="K354" i="8"/>
  <c r="T353" i="8"/>
  <c r="P353" i="8"/>
  <c r="O353" i="8"/>
  <c r="N353" i="8"/>
  <c r="M353" i="8"/>
  <c r="L353" i="8"/>
  <c r="K353" i="8"/>
  <c r="T352" i="8"/>
  <c r="P352" i="8"/>
  <c r="O352" i="8"/>
  <c r="N352" i="8"/>
  <c r="M352" i="8"/>
  <c r="L352" i="8"/>
  <c r="K352" i="8"/>
  <c r="T351" i="8"/>
  <c r="P351" i="8"/>
  <c r="O351" i="8"/>
  <c r="N351" i="8"/>
  <c r="M351" i="8"/>
  <c r="L351" i="8"/>
  <c r="K351" i="8"/>
  <c r="T350" i="8"/>
  <c r="P350" i="8"/>
  <c r="O350" i="8"/>
  <c r="N350" i="8"/>
  <c r="M350" i="8"/>
  <c r="L350" i="8"/>
  <c r="K350" i="8"/>
  <c r="T349" i="8"/>
  <c r="P349" i="8"/>
  <c r="O349" i="8"/>
  <c r="N349" i="8"/>
  <c r="M349" i="8"/>
  <c r="L349" i="8"/>
  <c r="K349" i="8"/>
  <c r="T348" i="8"/>
  <c r="P348" i="8"/>
  <c r="O348" i="8"/>
  <c r="N348" i="8"/>
  <c r="M348" i="8"/>
  <c r="L348" i="8"/>
  <c r="K348" i="8"/>
  <c r="T347" i="8"/>
  <c r="P347" i="8"/>
  <c r="O347" i="8"/>
  <c r="N347" i="8"/>
  <c r="M347" i="8"/>
  <c r="L347" i="8"/>
  <c r="K347" i="8"/>
  <c r="T346" i="8"/>
  <c r="P346" i="8"/>
  <c r="O346" i="8"/>
  <c r="N346" i="8"/>
  <c r="M346" i="8"/>
  <c r="L346" i="8"/>
  <c r="K346" i="8"/>
  <c r="T345" i="8"/>
  <c r="P345" i="8"/>
  <c r="O345" i="8"/>
  <c r="N345" i="8"/>
  <c r="M345" i="8"/>
  <c r="L345" i="8"/>
  <c r="K345" i="8"/>
  <c r="T344" i="8"/>
  <c r="P344" i="8"/>
  <c r="O344" i="8"/>
  <c r="N344" i="8"/>
  <c r="M344" i="8"/>
  <c r="L344" i="8"/>
  <c r="K344" i="8"/>
  <c r="T343" i="8"/>
  <c r="P343" i="8"/>
  <c r="O343" i="8"/>
  <c r="N343" i="8"/>
  <c r="M343" i="8"/>
  <c r="L343" i="8"/>
  <c r="K343" i="8"/>
  <c r="T342" i="8"/>
  <c r="P342" i="8"/>
  <c r="O342" i="8"/>
  <c r="N342" i="8"/>
  <c r="M342" i="8"/>
  <c r="L342" i="8"/>
  <c r="K342" i="8"/>
  <c r="T341" i="8"/>
  <c r="P341" i="8"/>
  <c r="O341" i="8"/>
  <c r="N341" i="8"/>
  <c r="M341" i="8"/>
  <c r="L341" i="8"/>
  <c r="K341" i="8"/>
  <c r="T340" i="8"/>
  <c r="P340" i="8"/>
  <c r="O340" i="8"/>
  <c r="N340" i="8"/>
  <c r="M340" i="8"/>
  <c r="L340" i="8"/>
  <c r="K340" i="8"/>
  <c r="T339" i="8"/>
  <c r="P339" i="8"/>
  <c r="O339" i="8"/>
  <c r="N339" i="8"/>
  <c r="M339" i="8"/>
  <c r="L339" i="8"/>
  <c r="K339" i="8"/>
  <c r="T338" i="8"/>
  <c r="P338" i="8"/>
  <c r="O338" i="8"/>
  <c r="N338" i="8"/>
  <c r="M338" i="8"/>
  <c r="L338" i="8"/>
  <c r="K338" i="8"/>
  <c r="T337" i="8"/>
  <c r="P337" i="8"/>
  <c r="O337" i="8"/>
  <c r="N337" i="8"/>
  <c r="M337" i="8"/>
  <c r="L337" i="8"/>
  <c r="K337" i="8"/>
  <c r="T336" i="8"/>
  <c r="P336" i="8"/>
  <c r="O336" i="8"/>
  <c r="N336" i="8"/>
  <c r="M336" i="8"/>
  <c r="L336" i="8"/>
  <c r="K336" i="8"/>
  <c r="T335" i="8"/>
  <c r="P335" i="8"/>
  <c r="O335" i="8"/>
  <c r="N335" i="8"/>
  <c r="M335" i="8"/>
  <c r="L335" i="8"/>
  <c r="K335" i="8"/>
  <c r="T334" i="8"/>
  <c r="P334" i="8"/>
  <c r="O334" i="8"/>
  <c r="N334" i="8"/>
  <c r="M334" i="8"/>
  <c r="L334" i="8"/>
  <c r="K334" i="8"/>
  <c r="T333" i="8"/>
  <c r="P333" i="8"/>
  <c r="O333" i="8"/>
  <c r="N333" i="8"/>
  <c r="M333" i="8"/>
  <c r="L333" i="8"/>
  <c r="K333" i="8"/>
  <c r="T332" i="8"/>
  <c r="P332" i="8"/>
  <c r="O332" i="8"/>
  <c r="N332" i="8"/>
  <c r="M332" i="8"/>
  <c r="L332" i="8"/>
  <c r="K332" i="8"/>
  <c r="T331" i="8"/>
  <c r="P331" i="8"/>
  <c r="O331" i="8"/>
  <c r="N331" i="8"/>
  <c r="M331" i="8"/>
  <c r="L331" i="8"/>
  <c r="K331" i="8"/>
  <c r="T330" i="8"/>
  <c r="P330" i="8"/>
  <c r="O330" i="8"/>
  <c r="N330" i="8"/>
  <c r="M330" i="8"/>
  <c r="L330" i="8"/>
  <c r="K330" i="8"/>
  <c r="T329" i="8"/>
  <c r="P329" i="8"/>
  <c r="O329" i="8"/>
  <c r="N329" i="8"/>
  <c r="M329" i="8"/>
  <c r="L329" i="8"/>
  <c r="K329" i="8"/>
  <c r="T328" i="8"/>
  <c r="P328" i="8"/>
  <c r="O328" i="8"/>
  <c r="N328" i="8"/>
  <c r="M328" i="8"/>
  <c r="L328" i="8"/>
  <c r="K328" i="8"/>
  <c r="T327" i="8"/>
  <c r="P327" i="8"/>
  <c r="O327" i="8"/>
  <c r="N327" i="8"/>
  <c r="M327" i="8"/>
  <c r="L327" i="8"/>
  <c r="K327" i="8"/>
  <c r="T326" i="8"/>
  <c r="P326" i="8"/>
  <c r="O326" i="8"/>
  <c r="N326" i="8"/>
  <c r="M326" i="8"/>
  <c r="L326" i="8"/>
  <c r="K326" i="8"/>
  <c r="T325" i="8"/>
  <c r="P325" i="8"/>
  <c r="O325" i="8"/>
  <c r="N325" i="8"/>
  <c r="M325" i="8"/>
  <c r="L325" i="8"/>
  <c r="K325" i="8"/>
  <c r="T324" i="8"/>
  <c r="P324" i="8"/>
  <c r="O324" i="8"/>
  <c r="N324" i="8"/>
  <c r="M324" i="8"/>
  <c r="L324" i="8"/>
  <c r="K324" i="8"/>
  <c r="T323" i="8"/>
  <c r="P323" i="8"/>
  <c r="O323" i="8"/>
  <c r="N323" i="8"/>
  <c r="M323" i="8"/>
  <c r="L323" i="8"/>
  <c r="K323" i="8"/>
  <c r="T322" i="8"/>
  <c r="P322" i="8"/>
  <c r="O322" i="8"/>
  <c r="N322" i="8"/>
  <c r="M322" i="8"/>
  <c r="L322" i="8"/>
  <c r="K322" i="8"/>
  <c r="T321" i="8"/>
  <c r="P321" i="8"/>
  <c r="O321" i="8"/>
  <c r="N321" i="8"/>
  <c r="M321" i="8"/>
  <c r="L321" i="8"/>
  <c r="K321" i="8"/>
  <c r="T320" i="8"/>
  <c r="P320" i="8"/>
  <c r="O320" i="8"/>
  <c r="N320" i="8"/>
  <c r="M320" i="8"/>
  <c r="L320" i="8"/>
  <c r="K320" i="8"/>
  <c r="T319" i="8"/>
  <c r="P319" i="8"/>
  <c r="O319" i="8"/>
  <c r="N319" i="8"/>
  <c r="M319" i="8"/>
  <c r="L319" i="8"/>
  <c r="K319" i="8"/>
  <c r="T318" i="8"/>
  <c r="P318" i="8"/>
  <c r="O318" i="8"/>
  <c r="N318" i="8"/>
  <c r="M318" i="8"/>
  <c r="L318" i="8"/>
  <c r="K318" i="8"/>
  <c r="T317" i="8"/>
  <c r="P317" i="8"/>
  <c r="O317" i="8"/>
  <c r="N317" i="8"/>
  <c r="M317" i="8"/>
  <c r="L317" i="8"/>
  <c r="K317" i="8"/>
  <c r="T316" i="8"/>
  <c r="P316" i="8"/>
  <c r="O316" i="8"/>
  <c r="N316" i="8"/>
  <c r="M316" i="8"/>
  <c r="L316" i="8"/>
  <c r="K316" i="8"/>
  <c r="T315" i="8"/>
  <c r="P315" i="8"/>
  <c r="O315" i="8"/>
  <c r="N315" i="8"/>
  <c r="M315" i="8"/>
  <c r="L315" i="8"/>
  <c r="K315" i="8"/>
  <c r="T314" i="8"/>
  <c r="P314" i="8"/>
  <c r="O314" i="8"/>
  <c r="N314" i="8"/>
  <c r="M314" i="8"/>
  <c r="L314" i="8"/>
  <c r="K314" i="8"/>
  <c r="T313" i="8"/>
  <c r="P313" i="8"/>
  <c r="O313" i="8"/>
  <c r="N313" i="8"/>
  <c r="M313" i="8"/>
  <c r="L313" i="8"/>
  <c r="K313" i="8"/>
  <c r="T312" i="8"/>
  <c r="P312" i="8"/>
  <c r="O312" i="8"/>
  <c r="N312" i="8"/>
  <c r="M312" i="8"/>
  <c r="L312" i="8"/>
  <c r="K312" i="8"/>
  <c r="T311" i="8"/>
  <c r="P311" i="8"/>
  <c r="O311" i="8"/>
  <c r="N311" i="8"/>
  <c r="M311" i="8"/>
  <c r="L311" i="8"/>
  <c r="K311" i="8"/>
  <c r="T310" i="8"/>
  <c r="P310" i="8"/>
  <c r="O310" i="8"/>
  <c r="N310" i="8"/>
  <c r="M310" i="8"/>
  <c r="L310" i="8"/>
  <c r="K310" i="8"/>
  <c r="T309" i="8"/>
  <c r="P309" i="8"/>
  <c r="O309" i="8"/>
  <c r="N309" i="8"/>
  <c r="M309" i="8"/>
  <c r="L309" i="8"/>
  <c r="K309" i="8"/>
  <c r="T308" i="8"/>
  <c r="P308" i="8"/>
  <c r="O308" i="8"/>
  <c r="N308" i="8"/>
  <c r="M308" i="8"/>
  <c r="L308" i="8"/>
  <c r="K308" i="8"/>
  <c r="T307" i="8"/>
  <c r="P307" i="8"/>
  <c r="O307" i="8"/>
  <c r="N307" i="8"/>
  <c r="M307" i="8"/>
  <c r="L307" i="8"/>
  <c r="K307" i="8"/>
  <c r="T306" i="8"/>
  <c r="P306" i="8"/>
  <c r="O306" i="8"/>
  <c r="N306" i="8"/>
  <c r="M306" i="8"/>
  <c r="L306" i="8"/>
  <c r="K306" i="8"/>
  <c r="T305" i="8"/>
  <c r="P305" i="8"/>
  <c r="O305" i="8"/>
  <c r="N305" i="8"/>
  <c r="M305" i="8"/>
  <c r="L305" i="8"/>
  <c r="K305" i="8"/>
  <c r="T304" i="8"/>
  <c r="P304" i="8"/>
  <c r="O304" i="8"/>
  <c r="N304" i="8"/>
  <c r="M304" i="8"/>
  <c r="L304" i="8"/>
  <c r="K304" i="8"/>
  <c r="T303" i="8"/>
  <c r="P303" i="8"/>
  <c r="O303" i="8"/>
  <c r="N303" i="8"/>
  <c r="M303" i="8"/>
  <c r="L303" i="8"/>
  <c r="K303" i="8"/>
  <c r="T302" i="8"/>
  <c r="P302" i="8"/>
  <c r="O302" i="8"/>
  <c r="N302" i="8"/>
  <c r="M302" i="8"/>
  <c r="L302" i="8"/>
  <c r="K302" i="8"/>
  <c r="T301" i="8"/>
  <c r="P301" i="8"/>
  <c r="O301" i="8"/>
  <c r="N301" i="8"/>
  <c r="M301" i="8"/>
  <c r="L301" i="8"/>
  <c r="K301" i="8"/>
  <c r="T300" i="8"/>
  <c r="P300" i="8"/>
  <c r="O300" i="8"/>
  <c r="N300" i="8"/>
  <c r="M300" i="8"/>
  <c r="L300" i="8"/>
  <c r="K300" i="8"/>
  <c r="T299" i="8"/>
  <c r="P299" i="8"/>
  <c r="O299" i="8"/>
  <c r="N299" i="8"/>
  <c r="M299" i="8"/>
  <c r="L299" i="8"/>
  <c r="K299" i="8"/>
  <c r="T298" i="8"/>
  <c r="P298" i="8"/>
  <c r="O298" i="8"/>
  <c r="N298" i="8"/>
  <c r="M298" i="8"/>
  <c r="L298" i="8"/>
  <c r="K298" i="8"/>
  <c r="T297" i="8"/>
  <c r="P297" i="8"/>
  <c r="O297" i="8"/>
  <c r="N297" i="8"/>
  <c r="M297" i="8"/>
  <c r="L297" i="8"/>
  <c r="K297" i="8"/>
  <c r="T296" i="8"/>
  <c r="P296" i="8"/>
  <c r="O296" i="8"/>
  <c r="N296" i="8"/>
  <c r="M296" i="8"/>
  <c r="L296" i="8"/>
  <c r="K296" i="8"/>
  <c r="T295" i="8"/>
  <c r="P295" i="8"/>
  <c r="O295" i="8"/>
  <c r="N295" i="8"/>
  <c r="M295" i="8"/>
  <c r="L295" i="8"/>
  <c r="K295" i="8"/>
  <c r="T294" i="8"/>
  <c r="P294" i="8"/>
  <c r="O294" i="8"/>
  <c r="N294" i="8"/>
  <c r="M294" i="8"/>
  <c r="L294" i="8"/>
  <c r="K294" i="8"/>
  <c r="T293" i="8"/>
  <c r="P293" i="8"/>
  <c r="O293" i="8"/>
  <c r="N293" i="8"/>
  <c r="M293" i="8"/>
  <c r="L293" i="8"/>
  <c r="K293" i="8"/>
  <c r="T292" i="8"/>
  <c r="P292" i="8"/>
  <c r="O292" i="8"/>
  <c r="N292" i="8"/>
  <c r="M292" i="8"/>
  <c r="L292" i="8"/>
  <c r="K292" i="8"/>
  <c r="T291" i="8"/>
  <c r="P291" i="8"/>
  <c r="O291" i="8"/>
  <c r="N291" i="8"/>
  <c r="M291" i="8"/>
  <c r="L291" i="8"/>
  <c r="K291" i="8"/>
  <c r="T290" i="8"/>
  <c r="P290" i="8"/>
  <c r="O290" i="8"/>
  <c r="N290" i="8"/>
  <c r="M290" i="8"/>
  <c r="L290" i="8"/>
  <c r="K290" i="8"/>
  <c r="T289" i="8"/>
  <c r="P289" i="8"/>
  <c r="O289" i="8"/>
  <c r="N289" i="8"/>
  <c r="M289" i="8"/>
  <c r="L289" i="8"/>
  <c r="K289" i="8"/>
  <c r="T288" i="8"/>
  <c r="P288" i="8"/>
  <c r="O288" i="8"/>
  <c r="N288" i="8"/>
  <c r="M288" i="8"/>
  <c r="L288" i="8"/>
  <c r="K288" i="8"/>
  <c r="T287" i="8"/>
  <c r="P287" i="8"/>
  <c r="O287" i="8"/>
  <c r="N287" i="8"/>
  <c r="M287" i="8"/>
  <c r="L287" i="8"/>
  <c r="K287" i="8"/>
  <c r="T286" i="8"/>
  <c r="P286" i="8"/>
  <c r="O286" i="8"/>
  <c r="N286" i="8"/>
  <c r="M286" i="8"/>
  <c r="L286" i="8"/>
  <c r="K286" i="8"/>
  <c r="T285" i="8"/>
  <c r="P285" i="8"/>
  <c r="O285" i="8"/>
  <c r="N285" i="8"/>
  <c r="M285" i="8"/>
  <c r="L285" i="8"/>
  <c r="K285" i="8"/>
  <c r="T284" i="8"/>
  <c r="P284" i="8"/>
  <c r="O284" i="8"/>
  <c r="N284" i="8"/>
  <c r="M284" i="8"/>
  <c r="L284" i="8"/>
  <c r="K284" i="8"/>
  <c r="T283" i="8"/>
  <c r="P283" i="8"/>
  <c r="O283" i="8"/>
  <c r="N283" i="8"/>
  <c r="M283" i="8"/>
  <c r="L283" i="8"/>
  <c r="K283" i="8"/>
  <c r="T282" i="8"/>
  <c r="P282" i="8"/>
  <c r="O282" i="8"/>
  <c r="N282" i="8"/>
  <c r="M282" i="8"/>
  <c r="L282" i="8"/>
  <c r="K282" i="8"/>
  <c r="T281" i="8"/>
  <c r="P281" i="8"/>
  <c r="O281" i="8"/>
  <c r="N281" i="8"/>
  <c r="M281" i="8"/>
  <c r="L281" i="8"/>
  <c r="K281" i="8"/>
  <c r="T280" i="8"/>
  <c r="P280" i="8"/>
  <c r="O280" i="8"/>
  <c r="N280" i="8"/>
  <c r="M280" i="8"/>
  <c r="L280" i="8"/>
  <c r="K280" i="8"/>
  <c r="T279" i="8"/>
  <c r="P279" i="8"/>
  <c r="O279" i="8"/>
  <c r="N279" i="8"/>
  <c r="M279" i="8"/>
  <c r="L279" i="8"/>
  <c r="K279" i="8"/>
  <c r="T278" i="8"/>
  <c r="P278" i="8"/>
  <c r="O278" i="8"/>
  <c r="N278" i="8"/>
  <c r="M278" i="8"/>
  <c r="L278" i="8"/>
  <c r="K278" i="8"/>
  <c r="T277" i="8"/>
  <c r="P277" i="8"/>
  <c r="O277" i="8"/>
  <c r="N277" i="8"/>
  <c r="M277" i="8"/>
  <c r="L277" i="8"/>
  <c r="K277" i="8"/>
  <c r="T276" i="8"/>
  <c r="P276" i="8"/>
  <c r="O276" i="8"/>
  <c r="N276" i="8"/>
  <c r="M276" i="8"/>
  <c r="L276" i="8"/>
  <c r="K276" i="8"/>
  <c r="T275" i="8"/>
  <c r="P275" i="8"/>
  <c r="O275" i="8"/>
  <c r="N275" i="8"/>
  <c r="M275" i="8"/>
  <c r="L275" i="8"/>
  <c r="K275" i="8"/>
  <c r="T274" i="8"/>
  <c r="P274" i="8"/>
  <c r="O274" i="8"/>
  <c r="N274" i="8"/>
  <c r="M274" i="8"/>
  <c r="L274" i="8"/>
  <c r="K274" i="8"/>
  <c r="T273" i="8"/>
  <c r="P273" i="8"/>
  <c r="O273" i="8"/>
  <c r="N273" i="8"/>
  <c r="M273" i="8"/>
  <c r="L273" i="8"/>
  <c r="K273" i="8"/>
  <c r="T272" i="8"/>
  <c r="P272" i="8"/>
  <c r="O272" i="8"/>
  <c r="N272" i="8"/>
  <c r="M272" i="8"/>
  <c r="L272" i="8"/>
  <c r="K272" i="8"/>
  <c r="T271" i="8"/>
  <c r="P271" i="8"/>
  <c r="O271" i="8"/>
  <c r="N271" i="8"/>
  <c r="M271" i="8"/>
  <c r="L271" i="8"/>
  <c r="K271" i="8"/>
  <c r="T270" i="8"/>
  <c r="P270" i="8"/>
  <c r="O270" i="8"/>
  <c r="N270" i="8"/>
  <c r="M270" i="8"/>
  <c r="L270" i="8"/>
  <c r="K270" i="8"/>
  <c r="T269" i="8"/>
  <c r="P269" i="8"/>
  <c r="O269" i="8"/>
  <c r="N269" i="8"/>
  <c r="M269" i="8"/>
  <c r="L269" i="8"/>
  <c r="K269" i="8"/>
  <c r="T268" i="8"/>
  <c r="P268" i="8"/>
  <c r="O268" i="8"/>
  <c r="N268" i="8"/>
  <c r="M268" i="8"/>
  <c r="L268" i="8"/>
  <c r="K268" i="8"/>
  <c r="T267" i="8"/>
  <c r="P267" i="8"/>
  <c r="O267" i="8"/>
  <c r="N267" i="8"/>
  <c r="M267" i="8"/>
  <c r="L267" i="8"/>
  <c r="K267" i="8"/>
  <c r="T266" i="8"/>
  <c r="P266" i="8"/>
  <c r="O266" i="8"/>
  <c r="N266" i="8"/>
  <c r="M266" i="8"/>
  <c r="L266" i="8"/>
  <c r="K266" i="8"/>
  <c r="T265" i="8"/>
  <c r="P265" i="8"/>
  <c r="O265" i="8"/>
  <c r="N265" i="8"/>
  <c r="M265" i="8"/>
  <c r="L265" i="8"/>
  <c r="K265" i="8"/>
  <c r="T264" i="8"/>
  <c r="P264" i="8"/>
  <c r="O264" i="8"/>
  <c r="N264" i="8"/>
  <c r="M264" i="8"/>
  <c r="L264" i="8"/>
  <c r="K264" i="8"/>
  <c r="T263" i="8"/>
  <c r="P263" i="8"/>
  <c r="O263" i="8"/>
  <c r="N263" i="8"/>
  <c r="M263" i="8"/>
  <c r="L263" i="8"/>
  <c r="K263" i="8"/>
  <c r="T262" i="8"/>
  <c r="P262" i="8"/>
  <c r="O262" i="8"/>
  <c r="N262" i="8"/>
  <c r="M262" i="8"/>
  <c r="L262" i="8"/>
  <c r="K262" i="8"/>
  <c r="T261" i="8"/>
  <c r="P261" i="8"/>
  <c r="O261" i="8"/>
  <c r="N261" i="8"/>
  <c r="M261" i="8"/>
  <c r="L261" i="8"/>
  <c r="K261" i="8"/>
  <c r="T260" i="8"/>
  <c r="P260" i="8"/>
  <c r="O260" i="8"/>
  <c r="N260" i="8"/>
  <c r="M260" i="8"/>
  <c r="L260" i="8"/>
  <c r="K260" i="8"/>
  <c r="T259" i="8"/>
  <c r="P259" i="8"/>
  <c r="O259" i="8"/>
  <c r="N259" i="8"/>
  <c r="M259" i="8"/>
  <c r="L259" i="8"/>
  <c r="K259" i="8"/>
  <c r="T258" i="8"/>
  <c r="P258" i="8"/>
  <c r="O258" i="8"/>
  <c r="N258" i="8"/>
  <c r="M258" i="8"/>
  <c r="L258" i="8"/>
  <c r="K258" i="8"/>
  <c r="T257" i="8"/>
  <c r="P257" i="8"/>
  <c r="O257" i="8"/>
  <c r="N257" i="8"/>
  <c r="M257" i="8"/>
  <c r="L257" i="8"/>
  <c r="K257" i="8"/>
  <c r="T256" i="8"/>
  <c r="P256" i="8"/>
  <c r="O256" i="8"/>
  <c r="N256" i="8"/>
  <c r="M256" i="8"/>
  <c r="L256" i="8"/>
  <c r="K256" i="8"/>
  <c r="T255" i="8"/>
  <c r="P255" i="8"/>
  <c r="O255" i="8"/>
  <c r="N255" i="8"/>
  <c r="M255" i="8"/>
  <c r="L255" i="8"/>
  <c r="K255" i="8"/>
  <c r="T254" i="8"/>
  <c r="P254" i="8"/>
  <c r="O254" i="8"/>
  <c r="N254" i="8"/>
  <c r="M254" i="8"/>
  <c r="L254" i="8"/>
  <c r="K254" i="8"/>
  <c r="T253" i="8"/>
  <c r="P253" i="8"/>
  <c r="O253" i="8"/>
  <c r="N253" i="8"/>
  <c r="M253" i="8"/>
  <c r="L253" i="8"/>
  <c r="K253" i="8"/>
  <c r="T252" i="8"/>
  <c r="P252" i="8"/>
  <c r="O252" i="8"/>
  <c r="N252" i="8"/>
  <c r="M252" i="8"/>
  <c r="L252" i="8"/>
  <c r="K252" i="8"/>
  <c r="T251" i="8"/>
  <c r="P251" i="8"/>
  <c r="O251" i="8"/>
  <c r="N251" i="8"/>
  <c r="M251" i="8"/>
  <c r="L251" i="8"/>
  <c r="K251" i="8"/>
  <c r="T250" i="8"/>
  <c r="P250" i="8"/>
  <c r="O250" i="8"/>
  <c r="N250" i="8"/>
  <c r="M250" i="8"/>
  <c r="L250" i="8"/>
  <c r="K250" i="8"/>
  <c r="T249" i="8"/>
  <c r="P249" i="8"/>
  <c r="O249" i="8"/>
  <c r="N249" i="8"/>
  <c r="M249" i="8"/>
  <c r="L249" i="8"/>
  <c r="K249" i="8"/>
  <c r="T248" i="8"/>
  <c r="P248" i="8"/>
  <c r="O248" i="8"/>
  <c r="N248" i="8"/>
  <c r="M248" i="8"/>
  <c r="L248" i="8"/>
  <c r="K248" i="8"/>
  <c r="T247" i="8"/>
  <c r="P247" i="8"/>
  <c r="O247" i="8"/>
  <c r="N247" i="8"/>
  <c r="M247" i="8"/>
  <c r="L247" i="8"/>
  <c r="K247" i="8"/>
  <c r="T246" i="8"/>
  <c r="P246" i="8"/>
  <c r="O246" i="8"/>
  <c r="N246" i="8"/>
  <c r="M246" i="8"/>
  <c r="L246" i="8"/>
  <c r="K246" i="8"/>
  <c r="T245" i="8"/>
  <c r="P245" i="8"/>
  <c r="O245" i="8"/>
  <c r="N245" i="8"/>
  <c r="M245" i="8"/>
  <c r="L245" i="8"/>
  <c r="K245" i="8"/>
  <c r="T244" i="8"/>
  <c r="P244" i="8"/>
  <c r="O244" i="8"/>
  <c r="N244" i="8"/>
  <c r="M244" i="8"/>
  <c r="L244" i="8"/>
  <c r="K244" i="8"/>
  <c r="T243" i="8"/>
  <c r="P243" i="8"/>
  <c r="O243" i="8"/>
  <c r="N243" i="8"/>
  <c r="M243" i="8"/>
  <c r="L243" i="8"/>
  <c r="K243" i="8"/>
  <c r="T242" i="8"/>
  <c r="P242" i="8"/>
  <c r="O242" i="8"/>
  <c r="N242" i="8"/>
  <c r="M242" i="8"/>
  <c r="L242" i="8"/>
  <c r="K242" i="8"/>
  <c r="T241" i="8"/>
  <c r="P241" i="8"/>
  <c r="O241" i="8"/>
  <c r="N241" i="8"/>
  <c r="M241" i="8"/>
  <c r="L241" i="8"/>
  <c r="K241" i="8"/>
  <c r="T240" i="8"/>
  <c r="P240" i="8"/>
  <c r="O240" i="8"/>
  <c r="N240" i="8"/>
  <c r="M240" i="8"/>
  <c r="L240" i="8"/>
  <c r="K240" i="8"/>
  <c r="T239" i="8"/>
  <c r="P239" i="8"/>
  <c r="O239" i="8"/>
  <c r="N239" i="8"/>
  <c r="M239" i="8"/>
  <c r="L239" i="8"/>
  <c r="K239" i="8"/>
  <c r="T238" i="8"/>
  <c r="P238" i="8"/>
  <c r="O238" i="8"/>
  <c r="N238" i="8"/>
  <c r="M238" i="8"/>
  <c r="L238" i="8"/>
  <c r="K238" i="8"/>
  <c r="T237" i="8"/>
  <c r="P237" i="8"/>
  <c r="O237" i="8"/>
  <c r="N237" i="8"/>
  <c r="M237" i="8"/>
  <c r="L237" i="8"/>
  <c r="K237" i="8"/>
  <c r="T236" i="8"/>
  <c r="P236" i="8"/>
  <c r="O236" i="8"/>
  <c r="N236" i="8"/>
  <c r="M236" i="8"/>
  <c r="L236" i="8"/>
  <c r="K236" i="8"/>
  <c r="T235" i="8"/>
  <c r="P235" i="8"/>
  <c r="O235" i="8"/>
  <c r="N235" i="8"/>
  <c r="M235" i="8"/>
  <c r="L235" i="8"/>
  <c r="K235" i="8"/>
  <c r="T234" i="8"/>
  <c r="P234" i="8"/>
  <c r="O234" i="8"/>
  <c r="N234" i="8"/>
  <c r="M234" i="8"/>
  <c r="L234" i="8"/>
  <c r="K234" i="8"/>
  <c r="T233" i="8"/>
  <c r="P233" i="8"/>
  <c r="O233" i="8"/>
  <c r="N233" i="8"/>
  <c r="M233" i="8"/>
  <c r="L233" i="8"/>
  <c r="K233" i="8"/>
  <c r="T232" i="8"/>
  <c r="P232" i="8"/>
  <c r="O232" i="8"/>
  <c r="N232" i="8"/>
  <c r="M232" i="8"/>
  <c r="L232" i="8"/>
  <c r="K232" i="8"/>
  <c r="T231" i="8"/>
  <c r="P231" i="8"/>
  <c r="O231" i="8"/>
  <c r="N231" i="8"/>
  <c r="M231" i="8"/>
  <c r="L231" i="8"/>
  <c r="K231" i="8"/>
  <c r="T230" i="8"/>
  <c r="P230" i="8"/>
  <c r="O230" i="8"/>
  <c r="N230" i="8"/>
  <c r="M230" i="8"/>
  <c r="L230" i="8"/>
  <c r="K230" i="8"/>
  <c r="T229" i="8"/>
  <c r="P229" i="8"/>
  <c r="O229" i="8"/>
  <c r="N229" i="8"/>
  <c r="M229" i="8"/>
  <c r="L229" i="8"/>
  <c r="K229" i="8"/>
  <c r="T228" i="8"/>
  <c r="P228" i="8"/>
  <c r="O228" i="8"/>
  <c r="N228" i="8"/>
  <c r="M228" i="8"/>
  <c r="L228" i="8"/>
  <c r="K228" i="8"/>
  <c r="T227" i="8"/>
  <c r="P227" i="8"/>
  <c r="O227" i="8"/>
  <c r="N227" i="8"/>
  <c r="M227" i="8"/>
  <c r="L227" i="8"/>
  <c r="K227" i="8"/>
  <c r="T226" i="8"/>
  <c r="P226" i="8"/>
  <c r="O226" i="8"/>
  <c r="N226" i="8"/>
  <c r="M226" i="8"/>
  <c r="L226" i="8"/>
  <c r="K226" i="8"/>
  <c r="T225" i="8"/>
  <c r="P225" i="8"/>
  <c r="O225" i="8"/>
  <c r="N225" i="8"/>
  <c r="M225" i="8"/>
  <c r="L225" i="8"/>
  <c r="K225" i="8"/>
  <c r="T224" i="8"/>
  <c r="P224" i="8"/>
  <c r="O224" i="8"/>
  <c r="N224" i="8"/>
  <c r="M224" i="8"/>
  <c r="L224" i="8"/>
  <c r="K224" i="8"/>
  <c r="T223" i="8"/>
  <c r="P223" i="8"/>
  <c r="O223" i="8"/>
  <c r="N223" i="8"/>
  <c r="M223" i="8"/>
  <c r="L223" i="8"/>
  <c r="K223" i="8"/>
  <c r="T222" i="8"/>
  <c r="P222" i="8"/>
  <c r="O222" i="8"/>
  <c r="N222" i="8"/>
  <c r="M222" i="8"/>
  <c r="L222" i="8"/>
  <c r="K222" i="8"/>
  <c r="T221" i="8"/>
  <c r="P221" i="8"/>
  <c r="O221" i="8"/>
  <c r="N221" i="8"/>
  <c r="M221" i="8"/>
  <c r="L221" i="8"/>
  <c r="K221" i="8"/>
  <c r="T220" i="8"/>
  <c r="P220" i="8"/>
  <c r="O220" i="8"/>
  <c r="N220" i="8"/>
  <c r="M220" i="8"/>
  <c r="L220" i="8"/>
  <c r="K220" i="8"/>
  <c r="T219" i="8"/>
  <c r="P219" i="8"/>
  <c r="O219" i="8"/>
  <c r="N219" i="8"/>
  <c r="M219" i="8"/>
  <c r="L219" i="8"/>
  <c r="K219" i="8"/>
  <c r="T218" i="8"/>
  <c r="P218" i="8"/>
  <c r="O218" i="8"/>
  <c r="N218" i="8"/>
  <c r="M218" i="8"/>
  <c r="L218" i="8"/>
  <c r="K218" i="8"/>
  <c r="T217" i="8"/>
  <c r="P217" i="8"/>
  <c r="O217" i="8"/>
  <c r="N217" i="8"/>
  <c r="M217" i="8"/>
  <c r="L217" i="8"/>
  <c r="K217" i="8"/>
  <c r="T216" i="8"/>
  <c r="P216" i="8"/>
  <c r="O216" i="8"/>
  <c r="N216" i="8"/>
  <c r="M216" i="8"/>
  <c r="L216" i="8"/>
  <c r="K216" i="8"/>
  <c r="T215" i="8"/>
  <c r="P215" i="8"/>
  <c r="O215" i="8"/>
  <c r="N215" i="8"/>
  <c r="M215" i="8"/>
  <c r="L215" i="8"/>
  <c r="K215" i="8"/>
  <c r="T214" i="8"/>
  <c r="P214" i="8"/>
  <c r="O214" i="8"/>
  <c r="N214" i="8"/>
  <c r="M214" i="8"/>
  <c r="L214" i="8"/>
  <c r="K214" i="8"/>
  <c r="T213" i="8"/>
  <c r="P213" i="8"/>
  <c r="O213" i="8"/>
  <c r="N213" i="8"/>
  <c r="M213" i="8"/>
  <c r="L213" i="8"/>
  <c r="K213" i="8"/>
  <c r="T212" i="8"/>
  <c r="P212" i="8"/>
  <c r="O212" i="8"/>
  <c r="N212" i="8"/>
  <c r="M212" i="8"/>
  <c r="L212" i="8"/>
  <c r="K212" i="8"/>
  <c r="T211" i="8"/>
  <c r="P211" i="8"/>
  <c r="O211" i="8"/>
  <c r="N211" i="8"/>
  <c r="M211" i="8"/>
  <c r="L211" i="8"/>
  <c r="K211" i="8"/>
  <c r="T210" i="8"/>
  <c r="P210" i="8"/>
  <c r="O210" i="8"/>
  <c r="N210" i="8"/>
  <c r="M210" i="8"/>
  <c r="L210" i="8"/>
  <c r="K210" i="8"/>
  <c r="T209" i="8"/>
  <c r="P209" i="8"/>
  <c r="O209" i="8"/>
  <c r="N209" i="8"/>
  <c r="M209" i="8"/>
  <c r="L209" i="8"/>
  <c r="K209" i="8"/>
  <c r="T208" i="8"/>
  <c r="P208" i="8"/>
  <c r="O208" i="8"/>
  <c r="N208" i="8"/>
  <c r="M208" i="8"/>
  <c r="L208" i="8"/>
  <c r="K208" i="8"/>
  <c r="T207" i="8"/>
  <c r="P207" i="8"/>
  <c r="O207" i="8"/>
  <c r="N207" i="8"/>
  <c r="M207" i="8"/>
  <c r="L207" i="8"/>
  <c r="K207" i="8"/>
  <c r="T206" i="8"/>
  <c r="P206" i="8"/>
  <c r="O206" i="8"/>
  <c r="N206" i="8"/>
  <c r="M206" i="8"/>
  <c r="L206" i="8"/>
  <c r="K206" i="8"/>
  <c r="T205" i="8"/>
  <c r="P205" i="8"/>
  <c r="O205" i="8"/>
  <c r="N205" i="8"/>
  <c r="M205" i="8"/>
  <c r="L205" i="8"/>
  <c r="K205" i="8"/>
  <c r="T204" i="8"/>
  <c r="P204" i="8"/>
  <c r="O204" i="8"/>
  <c r="N204" i="8"/>
  <c r="M204" i="8"/>
  <c r="L204" i="8"/>
  <c r="K204" i="8"/>
  <c r="T203" i="8"/>
  <c r="P203" i="8"/>
  <c r="O203" i="8"/>
  <c r="N203" i="8"/>
  <c r="M203" i="8"/>
  <c r="L203" i="8"/>
  <c r="K203" i="8"/>
  <c r="T202" i="8"/>
  <c r="P202" i="8"/>
  <c r="O202" i="8"/>
  <c r="N202" i="8"/>
  <c r="M202" i="8"/>
  <c r="L202" i="8"/>
  <c r="K202" i="8"/>
  <c r="T201" i="8"/>
  <c r="P201" i="8"/>
  <c r="O201" i="8"/>
  <c r="N201" i="8"/>
  <c r="M201" i="8"/>
  <c r="L201" i="8"/>
  <c r="K201" i="8"/>
  <c r="T200" i="8"/>
  <c r="P200" i="8"/>
  <c r="O200" i="8"/>
  <c r="N200" i="8"/>
  <c r="M200" i="8"/>
  <c r="L200" i="8"/>
  <c r="K200" i="8"/>
  <c r="T199" i="8"/>
  <c r="P199" i="8"/>
  <c r="O199" i="8"/>
  <c r="N199" i="8"/>
  <c r="M199" i="8"/>
  <c r="L199" i="8"/>
  <c r="K199" i="8"/>
  <c r="T198" i="8"/>
  <c r="P198" i="8"/>
  <c r="O198" i="8"/>
  <c r="N198" i="8"/>
  <c r="M198" i="8"/>
  <c r="L198" i="8"/>
  <c r="K198" i="8"/>
  <c r="T197" i="8"/>
  <c r="P197" i="8"/>
  <c r="O197" i="8"/>
  <c r="N197" i="8"/>
  <c r="M197" i="8"/>
  <c r="L197" i="8"/>
  <c r="K197" i="8"/>
  <c r="T196" i="8"/>
  <c r="P196" i="8"/>
  <c r="O196" i="8"/>
  <c r="N196" i="8"/>
  <c r="M196" i="8"/>
  <c r="L196" i="8"/>
  <c r="K196" i="8"/>
  <c r="T195" i="8"/>
  <c r="P195" i="8"/>
  <c r="O195" i="8"/>
  <c r="N195" i="8"/>
  <c r="M195" i="8"/>
  <c r="L195" i="8"/>
  <c r="K195" i="8"/>
  <c r="T194" i="8"/>
  <c r="P194" i="8"/>
  <c r="O194" i="8"/>
  <c r="N194" i="8"/>
  <c r="M194" i="8"/>
  <c r="L194" i="8"/>
  <c r="K194" i="8"/>
  <c r="T193" i="8"/>
  <c r="P193" i="8"/>
  <c r="O193" i="8"/>
  <c r="N193" i="8"/>
  <c r="M193" i="8"/>
  <c r="L193" i="8"/>
  <c r="K193" i="8"/>
  <c r="T192" i="8"/>
  <c r="P192" i="8"/>
  <c r="O192" i="8"/>
  <c r="N192" i="8"/>
  <c r="M192" i="8"/>
  <c r="L192" i="8"/>
  <c r="K192" i="8"/>
  <c r="T191" i="8"/>
  <c r="P191" i="8"/>
  <c r="O191" i="8"/>
  <c r="N191" i="8"/>
  <c r="M191" i="8"/>
  <c r="L191" i="8"/>
  <c r="K191" i="8"/>
  <c r="T190" i="8"/>
  <c r="P190" i="8"/>
  <c r="O190" i="8"/>
  <c r="N190" i="8"/>
  <c r="M190" i="8"/>
  <c r="L190" i="8"/>
  <c r="K190" i="8"/>
  <c r="T189" i="8"/>
  <c r="P189" i="8"/>
  <c r="O189" i="8"/>
  <c r="N189" i="8"/>
  <c r="M189" i="8"/>
  <c r="L189" i="8"/>
  <c r="K189" i="8"/>
  <c r="T188" i="8"/>
  <c r="P188" i="8"/>
  <c r="O188" i="8"/>
  <c r="N188" i="8"/>
  <c r="M188" i="8"/>
  <c r="L188" i="8"/>
  <c r="K188" i="8"/>
  <c r="T187" i="8"/>
  <c r="P187" i="8"/>
  <c r="O187" i="8"/>
  <c r="N187" i="8"/>
  <c r="M187" i="8"/>
  <c r="L187" i="8"/>
  <c r="K187" i="8"/>
  <c r="T186" i="8"/>
  <c r="P186" i="8"/>
  <c r="O186" i="8"/>
  <c r="N186" i="8"/>
  <c r="M186" i="8"/>
  <c r="L186" i="8"/>
  <c r="K186" i="8"/>
  <c r="T185" i="8"/>
  <c r="P185" i="8"/>
  <c r="O185" i="8"/>
  <c r="N185" i="8"/>
  <c r="M185" i="8"/>
  <c r="L185" i="8"/>
  <c r="K185" i="8"/>
  <c r="T184" i="8"/>
  <c r="P184" i="8"/>
  <c r="O184" i="8"/>
  <c r="N184" i="8"/>
  <c r="M184" i="8"/>
  <c r="L184" i="8"/>
  <c r="K184" i="8"/>
  <c r="T183" i="8"/>
  <c r="P183" i="8"/>
  <c r="O183" i="8"/>
  <c r="N183" i="8"/>
  <c r="M183" i="8"/>
  <c r="L183" i="8"/>
  <c r="K183" i="8"/>
  <c r="T182" i="8"/>
  <c r="P182" i="8"/>
  <c r="O182" i="8"/>
  <c r="N182" i="8"/>
  <c r="M182" i="8"/>
  <c r="L182" i="8"/>
  <c r="K182" i="8"/>
  <c r="T181" i="8"/>
  <c r="P181" i="8"/>
  <c r="O181" i="8"/>
  <c r="N181" i="8"/>
  <c r="M181" i="8"/>
  <c r="L181" i="8"/>
  <c r="K181" i="8"/>
  <c r="T180" i="8"/>
  <c r="P180" i="8"/>
  <c r="O180" i="8"/>
  <c r="N180" i="8"/>
  <c r="M180" i="8"/>
  <c r="L180" i="8"/>
  <c r="K180" i="8"/>
  <c r="T179" i="8"/>
  <c r="P179" i="8"/>
  <c r="O179" i="8"/>
  <c r="N179" i="8"/>
  <c r="M179" i="8"/>
  <c r="L179" i="8"/>
  <c r="K179" i="8"/>
  <c r="T178" i="8"/>
  <c r="P178" i="8"/>
  <c r="O178" i="8"/>
  <c r="N178" i="8"/>
  <c r="M178" i="8"/>
  <c r="L178" i="8"/>
  <c r="K178" i="8"/>
  <c r="T177" i="8"/>
  <c r="P177" i="8"/>
  <c r="O177" i="8"/>
  <c r="N177" i="8"/>
  <c r="M177" i="8"/>
  <c r="L177" i="8"/>
  <c r="K177" i="8"/>
  <c r="T176" i="8"/>
  <c r="P176" i="8"/>
  <c r="O176" i="8"/>
  <c r="N176" i="8"/>
  <c r="M176" i="8"/>
  <c r="L176" i="8"/>
  <c r="K176" i="8"/>
  <c r="T175" i="8"/>
  <c r="P175" i="8"/>
  <c r="O175" i="8"/>
  <c r="N175" i="8"/>
  <c r="M175" i="8"/>
  <c r="L175" i="8"/>
  <c r="K175" i="8"/>
  <c r="T174" i="8"/>
  <c r="P174" i="8"/>
  <c r="O174" i="8"/>
  <c r="N174" i="8"/>
  <c r="M174" i="8"/>
  <c r="L174" i="8"/>
  <c r="K174" i="8"/>
  <c r="T173" i="8"/>
  <c r="P173" i="8"/>
  <c r="O173" i="8"/>
  <c r="N173" i="8"/>
  <c r="M173" i="8"/>
  <c r="L173" i="8"/>
  <c r="K173" i="8"/>
  <c r="T172" i="8"/>
  <c r="P172" i="8"/>
  <c r="O172" i="8"/>
  <c r="N172" i="8"/>
  <c r="M172" i="8"/>
  <c r="L172" i="8"/>
  <c r="K172" i="8"/>
  <c r="T171" i="8"/>
  <c r="P171" i="8"/>
  <c r="O171" i="8"/>
  <c r="N171" i="8"/>
  <c r="M171" i="8"/>
  <c r="L171" i="8"/>
  <c r="K171" i="8"/>
  <c r="T170" i="8"/>
  <c r="P170" i="8"/>
  <c r="O170" i="8"/>
  <c r="N170" i="8"/>
  <c r="M170" i="8"/>
  <c r="L170" i="8"/>
  <c r="K170" i="8"/>
  <c r="T169" i="8"/>
  <c r="P169" i="8"/>
  <c r="O169" i="8"/>
  <c r="N169" i="8"/>
  <c r="M169" i="8"/>
  <c r="L169" i="8"/>
  <c r="K169" i="8"/>
  <c r="T168" i="8"/>
  <c r="P168" i="8"/>
  <c r="O168" i="8"/>
  <c r="N168" i="8"/>
  <c r="M168" i="8"/>
  <c r="L168" i="8"/>
  <c r="K168" i="8"/>
  <c r="T167" i="8"/>
  <c r="P167" i="8"/>
  <c r="O167" i="8"/>
  <c r="N167" i="8"/>
  <c r="M167" i="8"/>
  <c r="L167" i="8"/>
  <c r="K167" i="8"/>
  <c r="T166" i="8"/>
  <c r="P166" i="8"/>
  <c r="O166" i="8"/>
  <c r="N166" i="8"/>
  <c r="M166" i="8"/>
  <c r="L166" i="8"/>
  <c r="K166" i="8"/>
  <c r="T165" i="8"/>
  <c r="P165" i="8"/>
  <c r="O165" i="8"/>
  <c r="N165" i="8"/>
  <c r="M165" i="8"/>
  <c r="L165" i="8"/>
  <c r="K165" i="8"/>
  <c r="T164" i="8"/>
  <c r="P164" i="8"/>
  <c r="O164" i="8"/>
  <c r="N164" i="8"/>
  <c r="M164" i="8"/>
  <c r="L164" i="8"/>
  <c r="K164" i="8"/>
  <c r="T163" i="8"/>
  <c r="P163" i="8"/>
  <c r="O163" i="8"/>
  <c r="N163" i="8"/>
  <c r="M163" i="8"/>
  <c r="L163" i="8"/>
  <c r="K163" i="8"/>
  <c r="T162" i="8"/>
  <c r="P162" i="8"/>
  <c r="O162" i="8"/>
  <c r="N162" i="8"/>
  <c r="M162" i="8"/>
  <c r="L162" i="8"/>
  <c r="K162" i="8"/>
  <c r="T161" i="8"/>
  <c r="P161" i="8"/>
  <c r="O161" i="8"/>
  <c r="N161" i="8"/>
  <c r="M161" i="8"/>
  <c r="L161" i="8"/>
  <c r="K161" i="8"/>
  <c r="T160" i="8"/>
  <c r="P160" i="8"/>
  <c r="O160" i="8"/>
  <c r="N160" i="8"/>
  <c r="M160" i="8"/>
  <c r="L160" i="8"/>
  <c r="K160" i="8"/>
  <c r="T159" i="8"/>
  <c r="P159" i="8"/>
  <c r="O159" i="8"/>
  <c r="N159" i="8"/>
  <c r="M159" i="8"/>
  <c r="L159" i="8"/>
  <c r="K159" i="8"/>
  <c r="T158" i="8"/>
  <c r="P158" i="8"/>
  <c r="O158" i="8"/>
  <c r="N158" i="8"/>
  <c r="M158" i="8"/>
  <c r="L158" i="8"/>
  <c r="K158" i="8"/>
  <c r="T157" i="8"/>
  <c r="P157" i="8"/>
  <c r="O157" i="8"/>
  <c r="N157" i="8"/>
  <c r="M157" i="8"/>
  <c r="L157" i="8"/>
  <c r="K157" i="8"/>
  <c r="T156" i="8"/>
  <c r="P156" i="8"/>
  <c r="O156" i="8"/>
  <c r="N156" i="8"/>
  <c r="M156" i="8"/>
  <c r="L156" i="8"/>
  <c r="K156" i="8"/>
  <c r="T155" i="8"/>
  <c r="P155" i="8"/>
  <c r="O155" i="8"/>
  <c r="N155" i="8"/>
  <c r="M155" i="8"/>
  <c r="L155" i="8"/>
  <c r="K155" i="8"/>
  <c r="T154" i="8"/>
  <c r="P154" i="8"/>
  <c r="O154" i="8"/>
  <c r="N154" i="8"/>
  <c r="M154" i="8"/>
  <c r="L154" i="8"/>
  <c r="K154" i="8"/>
  <c r="T153" i="8"/>
  <c r="P153" i="8"/>
  <c r="O153" i="8"/>
  <c r="N153" i="8"/>
  <c r="M153" i="8"/>
  <c r="L153" i="8"/>
  <c r="K153" i="8"/>
  <c r="T152" i="8"/>
  <c r="P152" i="8"/>
  <c r="O152" i="8"/>
  <c r="N152" i="8"/>
  <c r="M152" i="8"/>
  <c r="L152" i="8"/>
  <c r="K152" i="8"/>
  <c r="T151" i="8"/>
  <c r="P151" i="8"/>
  <c r="O151" i="8"/>
  <c r="N151" i="8"/>
  <c r="M151" i="8"/>
  <c r="L151" i="8"/>
  <c r="K151" i="8"/>
  <c r="T150" i="8"/>
  <c r="P150" i="8"/>
  <c r="O150" i="8"/>
  <c r="N150" i="8"/>
  <c r="M150" i="8"/>
  <c r="L150" i="8"/>
  <c r="K150" i="8"/>
  <c r="T149" i="8"/>
  <c r="P149" i="8"/>
  <c r="O149" i="8"/>
  <c r="N149" i="8"/>
  <c r="M149" i="8"/>
  <c r="L149" i="8"/>
  <c r="K149" i="8"/>
  <c r="T148" i="8"/>
  <c r="P148" i="8"/>
  <c r="O148" i="8"/>
  <c r="N148" i="8"/>
  <c r="M148" i="8"/>
  <c r="L148" i="8"/>
  <c r="K148" i="8"/>
  <c r="T147" i="8"/>
  <c r="P147" i="8"/>
  <c r="O147" i="8"/>
  <c r="N147" i="8"/>
  <c r="M147" i="8"/>
  <c r="L147" i="8"/>
  <c r="K147" i="8"/>
  <c r="T146" i="8"/>
  <c r="P146" i="8"/>
  <c r="O146" i="8"/>
  <c r="N146" i="8"/>
  <c r="M146" i="8"/>
  <c r="L146" i="8"/>
  <c r="K146" i="8"/>
  <c r="T145" i="8"/>
  <c r="P145" i="8"/>
  <c r="O145" i="8"/>
  <c r="N145" i="8"/>
  <c r="M145" i="8"/>
  <c r="L145" i="8"/>
  <c r="K145" i="8"/>
  <c r="T144" i="8"/>
  <c r="P144" i="8"/>
  <c r="O144" i="8"/>
  <c r="N144" i="8"/>
  <c r="M144" i="8"/>
  <c r="L144" i="8"/>
  <c r="K144" i="8"/>
  <c r="T143" i="8"/>
  <c r="P143" i="8"/>
  <c r="O143" i="8"/>
  <c r="N143" i="8"/>
  <c r="M143" i="8"/>
  <c r="L143" i="8"/>
  <c r="K143" i="8"/>
  <c r="T142" i="8"/>
  <c r="P142" i="8"/>
  <c r="O142" i="8"/>
  <c r="N142" i="8"/>
  <c r="M142" i="8"/>
  <c r="L142" i="8"/>
  <c r="K142" i="8"/>
  <c r="T141" i="8"/>
  <c r="P141" i="8"/>
  <c r="O141" i="8"/>
  <c r="N141" i="8"/>
  <c r="M141" i="8"/>
  <c r="L141" i="8"/>
  <c r="K141" i="8"/>
  <c r="T140" i="8"/>
  <c r="P140" i="8"/>
  <c r="O140" i="8"/>
  <c r="N140" i="8"/>
  <c r="M140" i="8"/>
  <c r="L140" i="8"/>
  <c r="K140" i="8"/>
  <c r="T139" i="8"/>
  <c r="P139" i="8"/>
  <c r="O139" i="8"/>
  <c r="N139" i="8"/>
  <c r="M139" i="8"/>
  <c r="L139" i="8"/>
  <c r="K139" i="8"/>
  <c r="T138" i="8"/>
  <c r="P138" i="8"/>
  <c r="O138" i="8"/>
  <c r="N138" i="8"/>
  <c r="M138" i="8"/>
  <c r="L138" i="8"/>
  <c r="K138" i="8"/>
  <c r="T137" i="8"/>
  <c r="P137" i="8"/>
  <c r="O137" i="8"/>
  <c r="N137" i="8"/>
  <c r="M137" i="8"/>
  <c r="L137" i="8"/>
  <c r="K137" i="8"/>
  <c r="T136" i="8"/>
  <c r="P136" i="8"/>
  <c r="O136" i="8"/>
  <c r="N136" i="8"/>
  <c r="M136" i="8"/>
  <c r="L136" i="8"/>
  <c r="K136" i="8"/>
  <c r="T135" i="8"/>
  <c r="P135" i="8"/>
  <c r="O135" i="8"/>
  <c r="N135" i="8"/>
  <c r="M135" i="8"/>
  <c r="L135" i="8"/>
  <c r="K135" i="8"/>
  <c r="T134" i="8"/>
  <c r="P134" i="8"/>
  <c r="O134" i="8"/>
  <c r="N134" i="8"/>
  <c r="M134" i="8"/>
  <c r="L134" i="8"/>
  <c r="K134" i="8"/>
  <c r="T133" i="8"/>
  <c r="P133" i="8"/>
  <c r="O133" i="8"/>
  <c r="N133" i="8"/>
  <c r="M133" i="8"/>
  <c r="L133" i="8"/>
  <c r="K133" i="8"/>
  <c r="T132" i="8"/>
  <c r="P132" i="8"/>
  <c r="O132" i="8"/>
  <c r="N132" i="8"/>
  <c r="M132" i="8"/>
  <c r="L132" i="8"/>
  <c r="K132" i="8"/>
  <c r="T131" i="8"/>
  <c r="P131" i="8"/>
  <c r="O131" i="8"/>
  <c r="N131" i="8"/>
  <c r="M131" i="8"/>
  <c r="L131" i="8"/>
  <c r="K131" i="8"/>
  <c r="T130" i="8"/>
  <c r="P130" i="8"/>
  <c r="O130" i="8"/>
  <c r="N130" i="8"/>
  <c r="M130" i="8"/>
  <c r="L130" i="8"/>
  <c r="K130" i="8"/>
  <c r="T129" i="8"/>
  <c r="P129" i="8"/>
  <c r="O129" i="8"/>
  <c r="N129" i="8"/>
  <c r="M129" i="8"/>
  <c r="L129" i="8"/>
  <c r="K129" i="8"/>
  <c r="T128" i="8"/>
  <c r="P128" i="8"/>
  <c r="O128" i="8"/>
  <c r="N128" i="8"/>
  <c r="M128" i="8"/>
  <c r="L128" i="8"/>
  <c r="K128" i="8"/>
  <c r="T127" i="8"/>
  <c r="P127" i="8"/>
  <c r="O127" i="8"/>
  <c r="N127" i="8"/>
  <c r="M127" i="8"/>
  <c r="L127" i="8"/>
  <c r="K127" i="8"/>
  <c r="T126" i="8"/>
  <c r="P126" i="8"/>
  <c r="O126" i="8"/>
  <c r="N126" i="8"/>
  <c r="M126" i="8"/>
  <c r="L126" i="8"/>
  <c r="K126" i="8"/>
  <c r="T125" i="8"/>
  <c r="P125" i="8"/>
  <c r="O125" i="8"/>
  <c r="N125" i="8"/>
  <c r="M125" i="8"/>
  <c r="L125" i="8"/>
  <c r="K125" i="8"/>
  <c r="T124" i="8"/>
  <c r="P124" i="8"/>
  <c r="O124" i="8"/>
  <c r="N124" i="8"/>
  <c r="M124" i="8"/>
  <c r="L124" i="8"/>
  <c r="K124" i="8"/>
  <c r="T123" i="8"/>
  <c r="P123" i="8"/>
  <c r="O123" i="8"/>
  <c r="N123" i="8"/>
  <c r="M123" i="8"/>
  <c r="L123" i="8"/>
  <c r="K123" i="8"/>
  <c r="T122" i="8"/>
  <c r="P122" i="8"/>
  <c r="O122" i="8"/>
  <c r="N122" i="8"/>
  <c r="M122" i="8"/>
  <c r="L122" i="8"/>
  <c r="K122" i="8"/>
  <c r="T121" i="8"/>
  <c r="P121" i="8"/>
  <c r="O121" i="8"/>
  <c r="N121" i="8"/>
  <c r="M121" i="8"/>
  <c r="L121" i="8"/>
  <c r="K121" i="8"/>
  <c r="T120" i="8"/>
  <c r="P120" i="8"/>
  <c r="O120" i="8"/>
  <c r="N120" i="8"/>
  <c r="M120" i="8"/>
  <c r="L120" i="8"/>
  <c r="K120" i="8"/>
  <c r="T119" i="8"/>
  <c r="P119" i="8"/>
  <c r="O119" i="8"/>
  <c r="N119" i="8"/>
  <c r="M119" i="8"/>
  <c r="L119" i="8"/>
  <c r="K119" i="8"/>
  <c r="T118" i="8"/>
  <c r="P118" i="8"/>
  <c r="O118" i="8"/>
  <c r="N118" i="8"/>
  <c r="M118" i="8"/>
  <c r="L118" i="8"/>
  <c r="K118" i="8"/>
  <c r="T117" i="8"/>
  <c r="P117" i="8"/>
  <c r="O117" i="8"/>
  <c r="N117" i="8"/>
  <c r="M117" i="8"/>
  <c r="L117" i="8"/>
  <c r="K117" i="8"/>
  <c r="T116" i="8"/>
  <c r="P116" i="8"/>
  <c r="O116" i="8"/>
  <c r="N116" i="8"/>
  <c r="M116" i="8"/>
  <c r="L116" i="8"/>
  <c r="K116" i="8"/>
  <c r="T115" i="8"/>
  <c r="P115" i="8"/>
  <c r="O115" i="8"/>
  <c r="N115" i="8"/>
  <c r="M115" i="8"/>
  <c r="L115" i="8"/>
  <c r="K115" i="8"/>
  <c r="T114" i="8"/>
  <c r="P114" i="8"/>
  <c r="O114" i="8"/>
  <c r="N114" i="8"/>
  <c r="M114" i="8"/>
  <c r="L114" i="8"/>
  <c r="K114" i="8"/>
  <c r="T113" i="8"/>
  <c r="P113" i="8"/>
  <c r="O113" i="8"/>
  <c r="N113" i="8"/>
  <c r="M113" i="8"/>
  <c r="L113" i="8"/>
  <c r="K113" i="8"/>
  <c r="T112" i="8"/>
  <c r="P112" i="8"/>
  <c r="O112" i="8"/>
  <c r="N112" i="8"/>
  <c r="M112" i="8"/>
  <c r="L112" i="8"/>
  <c r="K112" i="8"/>
  <c r="T111" i="8"/>
  <c r="P111" i="8"/>
  <c r="O111" i="8"/>
  <c r="N111" i="8"/>
  <c r="M111" i="8"/>
  <c r="L111" i="8"/>
  <c r="K111" i="8"/>
  <c r="T110" i="8"/>
  <c r="P110" i="8"/>
  <c r="O110" i="8"/>
  <c r="N110" i="8"/>
  <c r="M110" i="8"/>
  <c r="L110" i="8"/>
  <c r="K110" i="8"/>
  <c r="T109" i="8"/>
  <c r="P109" i="8"/>
  <c r="O109" i="8"/>
  <c r="N109" i="8"/>
  <c r="M109" i="8"/>
  <c r="L109" i="8"/>
  <c r="K109" i="8"/>
  <c r="T108" i="8"/>
  <c r="P108" i="8"/>
  <c r="O108" i="8"/>
  <c r="N108" i="8"/>
  <c r="M108" i="8"/>
  <c r="L108" i="8"/>
  <c r="K108" i="8"/>
  <c r="T107" i="8"/>
  <c r="P107" i="8"/>
  <c r="O107" i="8"/>
  <c r="N107" i="8"/>
  <c r="M107" i="8"/>
  <c r="L107" i="8"/>
  <c r="K107" i="8"/>
  <c r="T106" i="8"/>
  <c r="P106" i="8"/>
  <c r="O106" i="8"/>
  <c r="N106" i="8"/>
  <c r="M106" i="8"/>
  <c r="L106" i="8"/>
  <c r="K106" i="8"/>
  <c r="T105" i="8"/>
  <c r="P105" i="8"/>
  <c r="O105" i="8"/>
  <c r="N105" i="8"/>
  <c r="M105" i="8"/>
  <c r="L105" i="8"/>
  <c r="K105" i="8"/>
  <c r="T104" i="8"/>
  <c r="P104" i="8"/>
  <c r="O104" i="8"/>
  <c r="N104" i="8"/>
  <c r="M104" i="8"/>
  <c r="L104" i="8"/>
  <c r="K104" i="8"/>
  <c r="T103" i="8"/>
  <c r="P103" i="8"/>
  <c r="O103" i="8"/>
  <c r="N103" i="8"/>
  <c r="M103" i="8"/>
  <c r="L103" i="8"/>
  <c r="K103" i="8"/>
  <c r="T102" i="8"/>
  <c r="P102" i="8"/>
  <c r="O102" i="8"/>
  <c r="N102" i="8"/>
  <c r="M102" i="8"/>
  <c r="L102" i="8"/>
  <c r="K102" i="8"/>
  <c r="T101" i="8"/>
  <c r="P101" i="8"/>
  <c r="O101" i="8"/>
  <c r="N101" i="8"/>
  <c r="M101" i="8"/>
  <c r="L101" i="8"/>
  <c r="K101" i="8"/>
  <c r="T100" i="8"/>
  <c r="P100" i="8"/>
  <c r="O100" i="8"/>
  <c r="N100" i="8"/>
  <c r="M100" i="8"/>
  <c r="L100" i="8"/>
  <c r="K100" i="8"/>
  <c r="T99" i="8"/>
  <c r="P99" i="8"/>
  <c r="O99" i="8"/>
  <c r="N99" i="8"/>
  <c r="M99" i="8"/>
  <c r="L99" i="8"/>
  <c r="K99" i="8"/>
  <c r="T98" i="8"/>
  <c r="P98" i="8"/>
  <c r="O98" i="8"/>
  <c r="N98" i="8"/>
  <c r="M98" i="8"/>
  <c r="L98" i="8"/>
  <c r="K98" i="8"/>
  <c r="T97" i="8"/>
  <c r="P97" i="8"/>
  <c r="O97" i="8"/>
  <c r="N97" i="8"/>
  <c r="M97" i="8"/>
  <c r="L97" i="8"/>
  <c r="K97" i="8"/>
  <c r="T96" i="8"/>
  <c r="P96" i="8"/>
  <c r="O96" i="8"/>
  <c r="N96" i="8"/>
  <c r="M96" i="8"/>
  <c r="L96" i="8"/>
  <c r="K96" i="8"/>
  <c r="T95" i="8"/>
  <c r="P95" i="8"/>
  <c r="O95" i="8"/>
  <c r="N95" i="8"/>
  <c r="M95" i="8"/>
  <c r="L95" i="8"/>
  <c r="K95" i="8"/>
  <c r="T94" i="8"/>
  <c r="P94" i="8"/>
  <c r="O94" i="8"/>
  <c r="N94" i="8"/>
  <c r="M94" i="8"/>
  <c r="L94" i="8"/>
  <c r="K94" i="8"/>
  <c r="T93" i="8"/>
  <c r="P93" i="8"/>
  <c r="O93" i="8"/>
  <c r="N93" i="8"/>
  <c r="M93" i="8"/>
  <c r="L93" i="8"/>
  <c r="K93" i="8"/>
  <c r="T92" i="8"/>
  <c r="P92" i="8"/>
  <c r="O92" i="8"/>
  <c r="N92" i="8"/>
  <c r="M92" i="8"/>
  <c r="L92" i="8"/>
  <c r="K92" i="8"/>
  <c r="T91" i="8"/>
  <c r="P91" i="8"/>
  <c r="O91" i="8"/>
  <c r="N91" i="8"/>
  <c r="M91" i="8"/>
  <c r="L91" i="8"/>
  <c r="K91" i="8"/>
  <c r="T90" i="8"/>
  <c r="P90" i="8"/>
  <c r="O90" i="8"/>
  <c r="N90" i="8"/>
  <c r="M90" i="8"/>
  <c r="L90" i="8"/>
  <c r="K90" i="8"/>
  <c r="T89" i="8"/>
  <c r="P89" i="8"/>
  <c r="O89" i="8"/>
  <c r="N89" i="8"/>
  <c r="M89" i="8"/>
  <c r="L89" i="8"/>
  <c r="K89" i="8"/>
  <c r="T88" i="8"/>
  <c r="P88" i="8"/>
  <c r="O88" i="8"/>
  <c r="N88" i="8"/>
  <c r="M88" i="8"/>
  <c r="L88" i="8"/>
  <c r="K88" i="8"/>
  <c r="T87" i="8"/>
  <c r="P87" i="8"/>
  <c r="O87" i="8"/>
  <c r="N87" i="8"/>
  <c r="M87" i="8"/>
  <c r="L87" i="8"/>
  <c r="K87" i="8"/>
  <c r="T86" i="8"/>
  <c r="P86" i="8"/>
  <c r="O86" i="8"/>
  <c r="N86" i="8"/>
  <c r="M86" i="8"/>
  <c r="L86" i="8"/>
  <c r="K86" i="8"/>
  <c r="T85" i="8"/>
  <c r="P85" i="8"/>
  <c r="O85" i="8"/>
  <c r="N85" i="8"/>
  <c r="M85" i="8"/>
  <c r="L85" i="8"/>
  <c r="K85" i="8"/>
  <c r="T84" i="8"/>
  <c r="P84" i="8"/>
  <c r="O84" i="8"/>
  <c r="N84" i="8"/>
  <c r="M84" i="8"/>
  <c r="L84" i="8"/>
  <c r="K84" i="8"/>
  <c r="T83" i="8"/>
  <c r="P83" i="8"/>
  <c r="O83" i="8"/>
  <c r="N83" i="8"/>
  <c r="M83" i="8"/>
  <c r="L83" i="8"/>
  <c r="K83" i="8"/>
  <c r="T82" i="8"/>
  <c r="P82" i="8"/>
  <c r="O82" i="8"/>
  <c r="N82" i="8"/>
  <c r="M82" i="8"/>
  <c r="L82" i="8"/>
  <c r="K82" i="8"/>
  <c r="T81" i="8"/>
  <c r="P81" i="8"/>
  <c r="O81" i="8"/>
  <c r="N81" i="8"/>
  <c r="M81" i="8"/>
  <c r="L81" i="8"/>
  <c r="K81" i="8"/>
  <c r="T80" i="8"/>
  <c r="P80" i="8"/>
  <c r="O80" i="8"/>
  <c r="N80" i="8"/>
  <c r="M80" i="8"/>
  <c r="L80" i="8"/>
  <c r="K80" i="8"/>
  <c r="T79" i="8"/>
  <c r="P79" i="8"/>
  <c r="O79" i="8"/>
  <c r="N79" i="8"/>
  <c r="M79" i="8"/>
  <c r="L79" i="8"/>
  <c r="K79" i="8"/>
  <c r="T78" i="8"/>
  <c r="P78" i="8"/>
  <c r="O78" i="8"/>
  <c r="N78" i="8"/>
  <c r="M78" i="8"/>
  <c r="L78" i="8"/>
  <c r="K78" i="8"/>
  <c r="T77" i="8"/>
  <c r="P77" i="8"/>
  <c r="O77" i="8"/>
  <c r="N77" i="8"/>
  <c r="M77" i="8"/>
  <c r="L77" i="8"/>
  <c r="K77" i="8"/>
  <c r="T76" i="8"/>
  <c r="P76" i="8"/>
  <c r="O76" i="8"/>
  <c r="N76" i="8"/>
  <c r="M76" i="8"/>
  <c r="L76" i="8"/>
  <c r="K76" i="8"/>
  <c r="T75" i="8"/>
  <c r="P75" i="8"/>
  <c r="O75" i="8"/>
  <c r="N75" i="8"/>
  <c r="M75" i="8"/>
  <c r="L75" i="8"/>
  <c r="K75" i="8"/>
  <c r="T74" i="8"/>
  <c r="P74" i="8"/>
  <c r="O74" i="8"/>
  <c r="N74" i="8"/>
  <c r="M74" i="8"/>
  <c r="L74" i="8"/>
  <c r="K74" i="8"/>
  <c r="T73" i="8"/>
  <c r="P73" i="8"/>
  <c r="O73" i="8"/>
  <c r="N73" i="8"/>
  <c r="M73" i="8"/>
  <c r="L73" i="8"/>
  <c r="K73" i="8"/>
  <c r="T72" i="8"/>
  <c r="P72" i="8"/>
  <c r="O72" i="8"/>
  <c r="N72" i="8"/>
  <c r="M72" i="8"/>
  <c r="L72" i="8"/>
  <c r="K72" i="8"/>
  <c r="T71" i="8"/>
  <c r="P71" i="8"/>
  <c r="O71" i="8"/>
  <c r="N71" i="8"/>
  <c r="M71" i="8"/>
  <c r="L71" i="8"/>
  <c r="K71" i="8"/>
  <c r="T70" i="8"/>
  <c r="P70" i="8"/>
  <c r="O70" i="8"/>
  <c r="N70" i="8"/>
  <c r="M70" i="8"/>
  <c r="L70" i="8"/>
  <c r="K70" i="8"/>
  <c r="T69" i="8"/>
  <c r="P69" i="8"/>
  <c r="O69" i="8"/>
  <c r="N69" i="8"/>
  <c r="M69" i="8"/>
  <c r="L69" i="8"/>
  <c r="K69" i="8"/>
  <c r="T68" i="8"/>
  <c r="P68" i="8"/>
  <c r="O68" i="8"/>
  <c r="N68" i="8"/>
  <c r="M68" i="8"/>
  <c r="L68" i="8"/>
  <c r="K68" i="8"/>
  <c r="T67" i="8"/>
  <c r="P67" i="8"/>
  <c r="O67" i="8"/>
  <c r="N67" i="8"/>
  <c r="M67" i="8"/>
  <c r="L67" i="8"/>
  <c r="K67" i="8"/>
  <c r="T66" i="8"/>
  <c r="P66" i="8"/>
  <c r="O66" i="8"/>
  <c r="N66" i="8"/>
  <c r="M66" i="8"/>
  <c r="L66" i="8"/>
  <c r="K66" i="8"/>
  <c r="T65" i="8"/>
  <c r="P65" i="8"/>
  <c r="O65" i="8"/>
  <c r="N65" i="8"/>
  <c r="M65" i="8"/>
  <c r="L65" i="8"/>
  <c r="K65" i="8"/>
  <c r="T64" i="8"/>
  <c r="P64" i="8"/>
  <c r="O64" i="8"/>
  <c r="N64" i="8"/>
  <c r="M64" i="8"/>
  <c r="L64" i="8"/>
  <c r="K64" i="8"/>
  <c r="T63" i="8"/>
  <c r="P63" i="8"/>
  <c r="O63" i="8"/>
  <c r="N63" i="8"/>
  <c r="M63" i="8"/>
  <c r="L63" i="8"/>
  <c r="K63" i="8"/>
  <c r="T62" i="8"/>
  <c r="P62" i="8"/>
  <c r="O62" i="8"/>
  <c r="N62" i="8"/>
  <c r="M62" i="8"/>
  <c r="L62" i="8"/>
  <c r="K62" i="8"/>
  <c r="T61" i="8"/>
  <c r="P61" i="8"/>
  <c r="O61" i="8"/>
  <c r="N61" i="8"/>
  <c r="M61" i="8"/>
  <c r="L61" i="8"/>
  <c r="K61" i="8"/>
  <c r="T60" i="8"/>
  <c r="P60" i="8"/>
  <c r="O60" i="8"/>
  <c r="N60" i="8"/>
  <c r="M60" i="8"/>
  <c r="L60" i="8"/>
  <c r="K60" i="8"/>
  <c r="T59" i="8"/>
  <c r="P59" i="8"/>
  <c r="O59" i="8"/>
  <c r="N59" i="8"/>
  <c r="M59" i="8"/>
  <c r="L59" i="8"/>
  <c r="K59" i="8"/>
  <c r="T58" i="8"/>
  <c r="P58" i="8"/>
  <c r="O58" i="8"/>
  <c r="N58" i="8"/>
  <c r="M58" i="8"/>
  <c r="L58" i="8"/>
  <c r="K58" i="8"/>
  <c r="T57" i="8"/>
  <c r="P57" i="8"/>
  <c r="O57" i="8"/>
  <c r="N57" i="8"/>
  <c r="M57" i="8"/>
  <c r="L57" i="8"/>
  <c r="K57" i="8"/>
  <c r="T56" i="8"/>
  <c r="P56" i="8"/>
  <c r="O56" i="8"/>
  <c r="N56" i="8"/>
  <c r="M56" i="8"/>
  <c r="L56" i="8"/>
  <c r="K56" i="8"/>
  <c r="T55" i="8"/>
  <c r="P55" i="8"/>
  <c r="O55" i="8"/>
  <c r="N55" i="8"/>
  <c r="M55" i="8"/>
  <c r="L55" i="8"/>
  <c r="K55" i="8"/>
  <c r="T54" i="8"/>
  <c r="P54" i="8"/>
  <c r="O54" i="8"/>
  <c r="N54" i="8"/>
  <c r="M54" i="8"/>
  <c r="L54" i="8"/>
  <c r="K54" i="8"/>
  <c r="T53" i="8"/>
  <c r="P53" i="8"/>
  <c r="O53" i="8"/>
  <c r="N53" i="8"/>
  <c r="M53" i="8"/>
  <c r="L53" i="8"/>
  <c r="K53" i="8"/>
  <c r="T52" i="8"/>
  <c r="P52" i="8"/>
  <c r="O52" i="8"/>
  <c r="N52" i="8"/>
  <c r="M52" i="8"/>
  <c r="L52" i="8"/>
  <c r="K52" i="8"/>
  <c r="T51" i="8"/>
  <c r="P51" i="8"/>
  <c r="O51" i="8"/>
  <c r="N51" i="8"/>
  <c r="M51" i="8"/>
  <c r="L51" i="8"/>
  <c r="K51" i="8"/>
  <c r="T50" i="8"/>
  <c r="P50" i="8"/>
  <c r="O50" i="8"/>
  <c r="N50" i="8"/>
  <c r="M50" i="8"/>
  <c r="L50" i="8"/>
  <c r="K50" i="8"/>
  <c r="T49" i="8"/>
  <c r="P49" i="8"/>
  <c r="O49" i="8"/>
  <c r="N49" i="8"/>
  <c r="M49" i="8"/>
  <c r="L49" i="8"/>
  <c r="K49" i="8"/>
  <c r="T48" i="8"/>
  <c r="P48" i="8"/>
  <c r="O48" i="8"/>
  <c r="N48" i="8"/>
  <c r="M48" i="8"/>
  <c r="L48" i="8"/>
  <c r="K48" i="8"/>
  <c r="T47" i="8"/>
  <c r="P47" i="8"/>
  <c r="O47" i="8"/>
  <c r="N47" i="8"/>
  <c r="M47" i="8"/>
  <c r="L47" i="8"/>
  <c r="K47" i="8"/>
  <c r="T46" i="8"/>
  <c r="P46" i="8"/>
  <c r="O46" i="8"/>
  <c r="N46" i="8"/>
  <c r="M46" i="8"/>
  <c r="L46" i="8"/>
  <c r="K46" i="8"/>
  <c r="T45" i="8"/>
  <c r="P45" i="8"/>
  <c r="O45" i="8"/>
  <c r="N45" i="8"/>
  <c r="M45" i="8"/>
  <c r="L45" i="8"/>
  <c r="K45" i="8"/>
  <c r="T44" i="8"/>
  <c r="P44" i="8"/>
  <c r="O44" i="8"/>
  <c r="N44" i="8"/>
  <c r="M44" i="8"/>
  <c r="L44" i="8"/>
  <c r="K44" i="8"/>
  <c r="T43" i="8"/>
  <c r="P43" i="8"/>
  <c r="O43" i="8"/>
  <c r="N43" i="8"/>
  <c r="M43" i="8"/>
  <c r="L43" i="8"/>
  <c r="K43" i="8"/>
  <c r="T42" i="8"/>
  <c r="P42" i="8"/>
  <c r="O42" i="8"/>
  <c r="N42" i="8"/>
  <c r="M42" i="8"/>
  <c r="L42" i="8"/>
  <c r="K42" i="8"/>
  <c r="T41" i="8"/>
  <c r="P41" i="8"/>
  <c r="O41" i="8"/>
  <c r="N41" i="8"/>
  <c r="M41" i="8"/>
  <c r="L41" i="8"/>
  <c r="K41" i="8"/>
  <c r="T40" i="8"/>
  <c r="P40" i="8"/>
  <c r="O40" i="8"/>
  <c r="N40" i="8"/>
  <c r="M40" i="8"/>
  <c r="L40" i="8"/>
  <c r="K40" i="8"/>
  <c r="T39" i="8"/>
  <c r="P39" i="8"/>
  <c r="O39" i="8"/>
  <c r="N39" i="8"/>
  <c r="M39" i="8"/>
  <c r="L39" i="8"/>
  <c r="K39" i="8"/>
  <c r="T38" i="8"/>
  <c r="P38" i="8"/>
  <c r="O38" i="8"/>
  <c r="N38" i="8"/>
  <c r="M38" i="8"/>
  <c r="L38" i="8"/>
  <c r="K38" i="8"/>
  <c r="T37" i="8"/>
  <c r="P37" i="8"/>
  <c r="O37" i="8"/>
  <c r="N37" i="8"/>
  <c r="M37" i="8"/>
  <c r="L37" i="8"/>
  <c r="K37" i="8"/>
  <c r="T36" i="8"/>
  <c r="P36" i="8"/>
  <c r="O36" i="8"/>
  <c r="N36" i="8"/>
  <c r="M36" i="8"/>
  <c r="L36" i="8"/>
  <c r="K36" i="8"/>
  <c r="T35" i="8"/>
  <c r="P35" i="8"/>
  <c r="O35" i="8"/>
  <c r="N35" i="8"/>
  <c r="M35" i="8"/>
  <c r="L35" i="8"/>
  <c r="K35" i="8"/>
  <c r="T34" i="8"/>
  <c r="P34" i="8"/>
  <c r="O34" i="8"/>
  <c r="N34" i="8"/>
  <c r="M34" i="8"/>
  <c r="L34" i="8"/>
  <c r="K34" i="8"/>
  <c r="T33" i="8"/>
  <c r="P33" i="8"/>
  <c r="O33" i="8"/>
  <c r="N33" i="8"/>
  <c r="M33" i="8"/>
  <c r="L33" i="8"/>
  <c r="K33" i="8"/>
  <c r="T32" i="8"/>
  <c r="P32" i="8"/>
  <c r="O32" i="8"/>
  <c r="N32" i="8"/>
  <c r="M32" i="8"/>
  <c r="L32" i="8"/>
  <c r="K32" i="8"/>
  <c r="T31" i="8"/>
  <c r="P31" i="8"/>
  <c r="O31" i="8"/>
  <c r="N31" i="8"/>
  <c r="M31" i="8"/>
  <c r="L31" i="8"/>
  <c r="K31" i="8"/>
  <c r="T30" i="8"/>
  <c r="P30" i="8"/>
  <c r="O30" i="8"/>
  <c r="N30" i="8"/>
  <c r="M30" i="8"/>
  <c r="L30" i="8"/>
  <c r="K30" i="8"/>
  <c r="T29" i="8"/>
  <c r="P29" i="8"/>
  <c r="O29" i="8"/>
  <c r="N29" i="8"/>
  <c r="M29" i="8"/>
  <c r="L29" i="8"/>
  <c r="K29" i="8"/>
  <c r="T28" i="8"/>
  <c r="P28" i="8"/>
  <c r="O28" i="8"/>
  <c r="N28" i="8"/>
  <c r="M28" i="8"/>
  <c r="L28" i="8"/>
  <c r="K28" i="8"/>
  <c r="T27" i="8"/>
  <c r="P27" i="8"/>
  <c r="O27" i="8"/>
  <c r="N27" i="8"/>
  <c r="M27" i="8"/>
  <c r="L27" i="8"/>
  <c r="K27" i="8"/>
  <c r="T26" i="8"/>
  <c r="P26" i="8"/>
  <c r="O26" i="8"/>
  <c r="N26" i="8"/>
  <c r="M26" i="8"/>
  <c r="L26" i="8"/>
  <c r="K26" i="8"/>
  <c r="T25" i="8"/>
  <c r="P25" i="8"/>
  <c r="O25" i="8"/>
  <c r="N25" i="8"/>
  <c r="M25" i="8"/>
  <c r="L25" i="8"/>
  <c r="K25" i="8"/>
  <c r="T24" i="8"/>
  <c r="P24" i="8"/>
  <c r="O24" i="8"/>
  <c r="N24" i="8"/>
  <c r="M24" i="8"/>
  <c r="L24" i="8"/>
  <c r="K24" i="8"/>
  <c r="T23" i="8"/>
  <c r="P23" i="8"/>
  <c r="O23" i="8"/>
  <c r="N23" i="8"/>
  <c r="M23" i="8"/>
  <c r="L23" i="8"/>
  <c r="K23" i="8"/>
  <c r="T22" i="8"/>
  <c r="P22" i="8"/>
  <c r="O22" i="8"/>
  <c r="N22" i="8"/>
  <c r="M22" i="8"/>
  <c r="L22" i="8"/>
  <c r="K22" i="8"/>
  <c r="T21" i="8"/>
  <c r="P21" i="8"/>
  <c r="O21" i="8"/>
  <c r="N21" i="8"/>
  <c r="M21" i="8"/>
  <c r="L21" i="8"/>
  <c r="K21" i="8"/>
  <c r="T20" i="8"/>
  <c r="P20" i="8"/>
  <c r="O20" i="8"/>
  <c r="N20" i="8"/>
  <c r="M20" i="8"/>
  <c r="L20" i="8"/>
  <c r="K20" i="8"/>
  <c r="T19" i="8"/>
  <c r="P19" i="8"/>
  <c r="O19" i="8"/>
  <c r="N19" i="8"/>
  <c r="M19" i="8"/>
  <c r="L19" i="8"/>
  <c r="K19" i="8"/>
  <c r="T18" i="8"/>
  <c r="P18" i="8"/>
  <c r="O18" i="8"/>
  <c r="N18" i="8"/>
  <c r="M18" i="8"/>
  <c r="L18" i="8"/>
  <c r="K18" i="8"/>
  <c r="T17" i="8"/>
  <c r="P17" i="8"/>
  <c r="O17" i="8"/>
  <c r="N17" i="8"/>
  <c r="M17" i="8"/>
  <c r="L17" i="8"/>
  <c r="K17" i="8"/>
  <c r="T16" i="8"/>
  <c r="P16" i="8"/>
  <c r="O16" i="8"/>
  <c r="N16" i="8"/>
  <c r="M16" i="8"/>
  <c r="L16" i="8"/>
  <c r="K16" i="8"/>
  <c r="T15" i="8"/>
  <c r="P15" i="8"/>
  <c r="O15" i="8"/>
  <c r="N15" i="8"/>
  <c r="M15" i="8"/>
  <c r="L15" i="8"/>
  <c r="K15" i="8"/>
  <c r="T14" i="8"/>
  <c r="P14" i="8"/>
  <c r="O14" i="8"/>
  <c r="N14" i="8"/>
  <c r="M14" i="8"/>
  <c r="L14" i="8"/>
  <c r="K14" i="8"/>
  <c r="T13" i="8"/>
  <c r="P13" i="8"/>
  <c r="O13" i="8"/>
  <c r="N13" i="8"/>
  <c r="M13" i="8"/>
  <c r="L13" i="8"/>
  <c r="K13" i="8"/>
  <c r="T12" i="8"/>
  <c r="P12" i="8"/>
  <c r="O12" i="8"/>
  <c r="N12" i="8"/>
  <c r="M12" i="8"/>
  <c r="L12" i="8"/>
  <c r="K12" i="8"/>
  <c r="T11" i="8"/>
  <c r="P11" i="8"/>
  <c r="O11" i="8"/>
  <c r="N11" i="8"/>
  <c r="M11" i="8"/>
  <c r="L11" i="8"/>
  <c r="K11" i="8"/>
  <c r="T10" i="8"/>
  <c r="P10" i="8"/>
  <c r="O10" i="8"/>
  <c r="N10" i="8"/>
  <c r="M10" i="8"/>
  <c r="L10" i="8"/>
  <c r="K10" i="8"/>
  <c r="T9" i="8"/>
  <c r="P9" i="8"/>
  <c r="O9" i="8"/>
  <c r="N9" i="8"/>
  <c r="M9" i="8"/>
  <c r="L9" i="8"/>
  <c r="K9" i="8"/>
  <c r="T8" i="8"/>
  <c r="P8" i="8"/>
  <c r="O8" i="8"/>
  <c r="N8" i="8"/>
  <c r="M8" i="8"/>
  <c r="L8" i="8"/>
  <c r="K8" i="8"/>
  <c r="T7" i="8"/>
  <c r="P7" i="8"/>
  <c r="O7" i="8"/>
  <c r="N7" i="8"/>
  <c r="M7" i="8"/>
  <c r="L7" i="8"/>
  <c r="K7" i="8"/>
  <c r="T6" i="8"/>
  <c r="P6" i="8"/>
  <c r="O6" i="8"/>
  <c r="N6" i="8"/>
  <c r="M6" i="8"/>
  <c r="L6" i="8"/>
  <c r="K6" i="8"/>
  <c r="T5" i="8"/>
  <c r="P5" i="8"/>
  <c r="O5" i="8"/>
  <c r="N5" i="8"/>
  <c r="M5" i="8"/>
  <c r="L5" i="8"/>
  <c r="K5" i="8"/>
  <c r="T4" i="8"/>
  <c r="P4" i="8"/>
  <c r="O4" i="8"/>
  <c r="N4" i="8"/>
  <c r="M4" i="8"/>
  <c r="L4" i="8"/>
  <c r="K4" i="8"/>
  <c r="T3" i="8"/>
  <c r="P3" i="8"/>
  <c r="O3" i="8"/>
  <c r="N3" i="8"/>
  <c r="M3" i="8"/>
  <c r="L3" i="8"/>
  <c r="K3" i="8"/>
  <c r="T2" i="8"/>
  <c r="P2" i="8"/>
  <c r="O2" i="8"/>
  <c r="N2" i="8"/>
  <c r="M2" i="8"/>
  <c r="L2" i="8"/>
  <c r="K2" i="8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2" i="3"/>
  <c r="Q2" i="3"/>
  <c r="T3" i="2"/>
  <c r="T4" i="2"/>
  <c r="T5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2" i="2"/>
  <c r="A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S2" i="8"/>
  <c r="R2" i="8"/>
  <c r="Q2" i="8"/>
  <c r="S3" i="8"/>
  <c r="R3" i="8"/>
  <c r="Q3" i="8"/>
  <c r="S4" i="8"/>
  <c r="R4" i="8"/>
  <c r="Q4" i="8"/>
  <c r="S5" i="8"/>
  <c r="R5" i="8"/>
  <c r="Q5" i="8"/>
  <c r="S6" i="8"/>
  <c r="R6" i="8"/>
  <c r="Q6" i="8"/>
  <c r="S7" i="8"/>
  <c r="R7" i="8"/>
  <c r="Q7" i="8"/>
  <c r="S8" i="8"/>
  <c r="R8" i="8"/>
  <c r="Q8" i="8"/>
  <c r="S9" i="8"/>
  <c r="R9" i="8"/>
  <c r="Q9" i="8"/>
  <c r="S10" i="8"/>
  <c r="R10" i="8"/>
  <c r="Q10" i="8"/>
  <c r="S11" i="8"/>
  <c r="R11" i="8"/>
  <c r="Q11" i="8"/>
  <c r="S12" i="8"/>
  <c r="R12" i="8"/>
  <c r="Q12" i="8"/>
  <c r="S13" i="8"/>
  <c r="R13" i="8"/>
  <c r="Q13" i="8"/>
  <c r="S14" i="8"/>
  <c r="R14" i="8"/>
  <c r="Q14" i="8"/>
  <c r="S15" i="8"/>
  <c r="R15" i="8"/>
  <c r="Q15" i="8"/>
  <c r="S16" i="8"/>
  <c r="R16" i="8"/>
  <c r="Q16" i="8"/>
  <c r="S17" i="8"/>
  <c r="R17" i="8"/>
  <c r="Q17" i="8"/>
  <c r="S18" i="8"/>
  <c r="R18" i="8"/>
  <c r="Q18" i="8"/>
  <c r="S19" i="8"/>
  <c r="R19" i="8"/>
  <c r="Q19" i="8"/>
  <c r="S20" i="8"/>
  <c r="R20" i="8"/>
  <c r="Q20" i="8"/>
  <c r="S21" i="8"/>
  <c r="R21" i="8"/>
  <c r="Q21" i="8"/>
  <c r="S22" i="8"/>
  <c r="R22" i="8"/>
  <c r="Q22" i="8"/>
  <c r="S23" i="8"/>
  <c r="R23" i="8"/>
  <c r="Q23" i="8"/>
  <c r="S24" i="8"/>
  <c r="R24" i="8"/>
  <c r="Q24" i="8"/>
  <c r="S25" i="8"/>
  <c r="R25" i="8"/>
  <c r="Q25" i="8"/>
  <c r="S26" i="8"/>
  <c r="R26" i="8"/>
  <c r="Q26" i="8"/>
  <c r="S27" i="8"/>
  <c r="R27" i="8"/>
  <c r="Q27" i="8"/>
  <c r="S28" i="8"/>
  <c r="R28" i="8"/>
  <c r="Q28" i="8"/>
  <c r="S29" i="8"/>
  <c r="R29" i="8"/>
  <c r="Q29" i="8"/>
  <c r="S30" i="8"/>
  <c r="R30" i="8"/>
  <c r="Q30" i="8"/>
  <c r="S31" i="8"/>
  <c r="R31" i="8"/>
  <c r="Q31" i="8"/>
  <c r="S32" i="8"/>
  <c r="R32" i="8"/>
  <c r="Q32" i="8"/>
  <c r="S33" i="8"/>
  <c r="R33" i="8"/>
  <c r="Q33" i="8"/>
  <c r="S34" i="8"/>
  <c r="R34" i="8"/>
  <c r="Q34" i="8"/>
  <c r="S35" i="8"/>
  <c r="R35" i="8"/>
  <c r="Q35" i="8"/>
  <c r="S36" i="8"/>
  <c r="R36" i="8"/>
  <c r="Q36" i="8"/>
  <c r="S37" i="8"/>
  <c r="R37" i="8"/>
  <c r="Q37" i="8"/>
  <c r="S38" i="8"/>
  <c r="R38" i="8"/>
  <c r="Q38" i="8"/>
  <c r="S39" i="8"/>
  <c r="R39" i="8"/>
  <c r="Q39" i="8"/>
  <c r="S40" i="8"/>
  <c r="R40" i="8"/>
  <c r="Q40" i="8"/>
  <c r="S41" i="8"/>
  <c r="R41" i="8"/>
  <c r="Q41" i="8"/>
  <c r="S42" i="8"/>
  <c r="R42" i="8"/>
  <c r="Q42" i="8"/>
  <c r="S43" i="8"/>
  <c r="R43" i="8"/>
  <c r="Q43" i="8"/>
  <c r="S44" i="8"/>
  <c r="R44" i="8"/>
  <c r="Q44" i="8"/>
  <c r="S45" i="8"/>
  <c r="R45" i="8"/>
  <c r="Q45" i="8"/>
  <c r="S46" i="8"/>
  <c r="R46" i="8"/>
  <c r="Q46" i="8"/>
  <c r="S47" i="8"/>
  <c r="R47" i="8"/>
  <c r="Q47" i="8"/>
  <c r="S48" i="8"/>
  <c r="R48" i="8"/>
  <c r="Q48" i="8"/>
  <c r="S49" i="8"/>
  <c r="R49" i="8"/>
  <c r="Q49" i="8"/>
  <c r="S50" i="8"/>
  <c r="R50" i="8"/>
  <c r="Q50" i="8"/>
  <c r="S51" i="8"/>
  <c r="R51" i="8"/>
  <c r="Q51" i="8"/>
  <c r="S52" i="8"/>
  <c r="R52" i="8"/>
  <c r="Q52" i="8"/>
  <c r="S53" i="8"/>
  <c r="R53" i="8"/>
  <c r="Q53" i="8"/>
  <c r="S54" i="8"/>
  <c r="R54" i="8"/>
  <c r="Q54" i="8"/>
  <c r="S55" i="8"/>
  <c r="R55" i="8"/>
  <c r="Q55" i="8"/>
  <c r="S56" i="8"/>
  <c r="R56" i="8"/>
  <c r="Q56" i="8"/>
  <c r="S57" i="8"/>
  <c r="R57" i="8"/>
  <c r="Q57" i="8"/>
  <c r="S58" i="8"/>
  <c r="R58" i="8"/>
  <c r="Q58" i="8"/>
  <c r="S59" i="8"/>
  <c r="R59" i="8"/>
  <c r="Q59" i="8"/>
  <c r="S60" i="8"/>
  <c r="R60" i="8"/>
  <c r="Q60" i="8"/>
  <c r="S61" i="8"/>
  <c r="R61" i="8"/>
  <c r="Q61" i="8"/>
  <c r="S62" i="8"/>
  <c r="R62" i="8"/>
  <c r="Q62" i="8"/>
  <c r="S63" i="8"/>
  <c r="R63" i="8"/>
  <c r="Q63" i="8"/>
  <c r="S64" i="8"/>
  <c r="R64" i="8"/>
  <c r="Q64" i="8"/>
  <c r="S65" i="8"/>
  <c r="R65" i="8"/>
  <c r="Q65" i="8"/>
  <c r="S66" i="8"/>
  <c r="R66" i="8"/>
  <c r="Q66" i="8"/>
  <c r="S67" i="8"/>
  <c r="R67" i="8"/>
  <c r="Q67" i="8"/>
  <c r="S68" i="8"/>
  <c r="R68" i="8"/>
  <c r="Q68" i="8"/>
  <c r="S69" i="8"/>
  <c r="R69" i="8"/>
  <c r="Q69" i="8"/>
  <c r="S70" i="8"/>
  <c r="R70" i="8"/>
  <c r="Q70" i="8"/>
  <c r="S71" i="8"/>
  <c r="R71" i="8"/>
  <c r="Q71" i="8"/>
  <c r="S72" i="8"/>
  <c r="R72" i="8"/>
  <c r="Q72" i="8"/>
  <c r="S73" i="8"/>
  <c r="R73" i="8"/>
  <c r="Q73" i="8"/>
  <c r="S74" i="8"/>
  <c r="R74" i="8"/>
  <c r="Q74" i="8"/>
  <c r="S75" i="8"/>
  <c r="R75" i="8"/>
  <c r="Q75" i="8"/>
  <c r="S76" i="8"/>
  <c r="R76" i="8"/>
  <c r="Q76" i="8"/>
  <c r="S77" i="8"/>
  <c r="R77" i="8"/>
  <c r="Q77" i="8"/>
  <c r="S78" i="8"/>
  <c r="R78" i="8"/>
  <c r="Q78" i="8"/>
  <c r="S79" i="8"/>
  <c r="R79" i="8"/>
  <c r="Q79" i="8"/>
  <c r="S80" i="8"/>
  <c r="R80" i="8"/>
  <c r="Q80" i="8"/>
  <c r="S81" i="8"/>
  <c r="R81" i="8"/>
  <c r="Q81" i="8"/>
  <c r="S82" i="8"/>
  <c r="R82" i="8"/>
  <c r="Q82" i="8"/>
  <c r="S83" i="8"/>
  <c r="R83" i="8"/>
  <c r="Q83" i="8"/>
  <c r="S84" i="8"/>
  <c r="R84" i="8"/>
  <c r="Q84" i="8"/>
  <c r="S85" i="8"/>
  <c r="R85" i="8"/>
  <c r="Q85" i="8"/>
  <c r="S86" i="8"/>
  <c r="R86" i="8"/>
  <c r="Q86" i="8"/>
  <c r="S87" i="8"/>
  <c r="R87" i="8"/>
  <c r="Q87" i="8"/>
  <c r="S88" i="8"/>
  <c r="R88" i="8"/>
  <c r="Q88" i="8"/>
  <c r="S89" i="8"/>
  <c r="R89" i="8"/>
  <c r="Q89" i="8"/>
  <c r="S90" i="8"/>
  <c r="R90" i="8"/>
  <c r="Q90" i="8"/>
  <c r="S91" i="8"/>
  <c r="R91" i="8"/>
  <c r="Q91" i="8"/>
  <c r="S92" i="8"/>
  <c r="R92" i="8"/>
  <c r="Q92" i="8"/>
  <c r="S93" i="8"/>
  <c r="R93" i="8"/>
  <c r="Q93" i="8"/>
  <c r="S94" i="8"/>
  <c r="R94" i="8"/>
  <c r="Q94" i="8"/>
  <c r="S95" i="8"/>
  <c r="R95" i="8"/>
  <c r="Q95" i="8"/>
  <c r="S96" i="8"/>
  <c r="R96" i="8"/>
  <c r="Q96" i="8"/>
  <c r="S97" i="8"/>
  <c r="R97" i="8"/>
  <c r="Q97" i="8"/>
  <c r="S98" i="8"/>
  <c r="R98" i="8"/>
  <c r="Q98" i="8"/>
  <c r="S99" i="8"/>
  <c r="R99" i="8"/>
  <c r="Q99" i="8"/>
  <c r="S100" i="8"/>
  <c r="R100" i="8"/>
  <c r="Q100" i="8"/>
  <c r="S101" i="8"/>
  <c r="R101" i="8"/>
  <c r="Q101" i="8"/>
  <c r="S102" i="8"/>
  <c r="R102" i="8"/>
  <c r="Q102" i="8"/>
  <c r="S103" i="8"/>
  <c r="R103" i="8"/>
  <c r="Q103" i="8"/>
  <c r="S104" i="8"/>
  <c r="R104" i="8"/>
  <c r="Q104" i="8"/>
  <c r="S105" i="8"/>
  <c r="R105" i="8"/>
  <c r="Q105" i="8"/>
  <c r="S106" i="8"/>
  <c r="R106" i="8"/>
  <c r="Q106" i="8"/>
  <c r="S107" i="8"/>
  <c r="R107" i="8"/>
  <c r="Q107" i="8"/>
  <c r="S108" i="8"/>
  <c r="R108" i="8"/>
  <c r="Q108" i="8"/>
  <c r="S109" i="8"/>
  <c r="R109" i="8"/>
  <c r="Q109" i="8"/>
  <c r="S110" i="8"/>
  <c r="R110" i="8"/>
  <c r="Q110" i="8"/>
  <c r="S111" i="8"/>
  <c r="R111" i="8"/>
  <c r="Q111" i="8"/>
  <c r="S112" i="8"/>
  <c r="R112" i="8"/>
  <c r="Q112" i="8"/>
  <c r="S113" i="8"/>
  <c r="R113" i="8"/>
  <c r="Q113" i="8"/>
  <c r="S114" i="8"/>
  <c r="R114" i="8"/>
  <c r="Q114" i="8"/>
  <c r="S115" i="8"/>
  <c r="R115" i="8"/>
  <c r="Q115" i="8"/>
  <c r="S116" i="8"/>
  <c r="R116" i="8"/>
  <c r="Q116" i="8"/>
  <c r="S117" i="8"/>
  <c r="R117" i="8"/>
  <c r="Q117" i="8"/>
  <c r="S118" i="8"/>
  <c r="R118" i="8"/>
  <c r="Q118" i="8"/>
  <c r="S119" i="8"/>
  <c r="R119" i="8"/>
  <c r="Q119" i="8"/>
  <c r="S120" i="8"/>
  <c r="R120" i="8"/>
  <c r="Q120" i="8"/>
  <c r="S121" i="8"/>
  <c r="R121" i="8"/>
  <c r="Q121" i="8"/>
  <c r="S122" i="8"/>
  <c r="R122" i="8"/>
  <c r="Q122" i="8"/>
  <c r="S123" i="8"/>
  <c r="R123" i="8"/>
  <c r="Q123" i="8"/>
  <c r="S124" i="8"/>
  <c r="R124" i="8"/>
  <c r="Q124" i="8"/>
  <c r="S125" i="8"/>
  <c r="R125" i="8"/>
  <c r="Q125" i="8"/>
  <c r="S126" i="8"/>
  <c r="R126" i="8"/>
  <c r="Q126" i="8"/>
  <c r="S127" i="8"/>
  <c r="R127" i="8"/>
  <c r="Q127" i="8"/>
  <c r="S128" i="8"/>
  <c r="R128" i="8"/>
  <c r="Q128" i="8"/>
  <c r="S129" i="8"/>
  <c r="R129" i="8"/>
  <c r="Q129" i="8"/>
  <c r="S130" i="8"/>
  <c r="R130" i="8"/>
  <c r="Q130" i="8"/>
  <c r="S131" i="8"/>
  <c r="R131" i="8"/>
  <c r="Q131" i="8"/>
  <c r="S132" i="8"/>
  <c r="R132" i="8"/>
  <c r="Q132" i="8"/>
  <c r="S133" i="8"/>
  <c r="R133" i="8"/>
  <c r="Q133" i="8"/>
  <c r="S134" i="8"/>
  <c r="R134" i="8"/>
  <c r="Q134" i="8"/>
  <c r="S135" i="8"/>
  <c r="R135" i="8"/>
  <c r="Q135" i="8"/>
  <c r="S136" i="8"/>
  <c r="R136" i="8"/>
  <c r="Q136" i="8"/>
  <c r="S137" i="8"/>
  <c r="R137" i="8"/>
  <c r="Q137" i="8"/>
  <c r="S138" i="8"/>
  <c r="R138" i="8"/>
  <c r="Q138" i="8"/>
  <c r="S139" i="8"/>
  <c r="R139" i="8"/>
  <c r="Q139" i="8"/>
  <c r="S140" i="8"/>
  <c r="R140" i="8"/>
  <c r="Q140" i="8"/>
  <c r="S141" i="8"/>
  <c r="R141" i="8"/>
  <c r="Q141" i="8"/>
  <c r="S142" i="8"/>
  <c r="R142" i="8"/>
  <c r="Q142" i="8"/>
  <c r="S143" i="8"/>
  <c r="R143" i="8"/>
  <c r="Q143" i="8"/>
  <c r="S144" i="8"/>
  <c r="R144" i="8"/>
  <c r="Q144" i="8"/>
  <c r="S145" i="8"/>
  <c r="R145" i="8"/>
  <c r="Q145" i="8"/>
  <c r="S146" i="8"/>
  <c r="R146" i="8"/>
  <c r="Q146" i="8"/>
  <c r="S147" i="8"/>
  <c r="R147" i="8"/>
  <c r="Q147" i="8"/>
  <c r="S148" i="8"/>
  <c r="R148" i="8"/>
  <c r="Q148" i="8"/>
  <c r="S149" i="8"/>
  <c r="R149" i="8"/>
  <c r="Q149" i="8"/>
  <c r="S150" i="8"/>
  <c r="R150" i="8"/>
  <c r="Q150" i="8"/>
  <c r="S151" i="8"/>
  <c r="R151" i="8"/>
  <c r="Q151" i="8"/>
  <c r="S152" i="8"/>
  <c r="R152" i="8"/>
  <c r="Q152" i="8"/>
  <c r="S153" i="8"/>
  <c r="R153" i="8"/>
  <c r="Q153" i="8"/>
  <c r="S154" i="8"/>
  <c r="R154" i="8"/>
  <c r="Q154" i="8"/>
  <c r="S155" i="8"/>
  <c r="R155" i="8"/>
  <c r="Q155" i="8"/>
  <c r="S156" i="8"/>
  <c r="R156" i="8"/>
  <c r="Q156" i="8"/>
  <c r="S157" i="8"/>
  <c r="R157" i="8"/>
  <c r="Q157" i="8"/>
  <c r="S158" i="8"/>
  <c r="R158" i="8"/>
  <c r="Q158" i="8"/>
  <c r="S159" i="8"/>
  <c r="R159" i="8"/>
  <c r="Q159" i="8"/>
  <c r="S160" i="8"/>
  <c r="R160" i="8"/>
  <c r="Q160" i="8"/>
  <c r="S161" i="8"/>
  <c r="R161" i="8"/>
  <c r="Q161" i="8"/>
  <c r="S162" i="8"/>
  <c r="R162" i="8"/>
  <c r="Q162" i="8"/>
  <c r="S163" i="8"/>
  <c r="R163" i="8"/>
  <c r="Q163" i="8"/>
  <c r="S164" i="8"/>
  <c r="R164" i="8"/>
  <c r="Q164" i="8"/>
  <c r="S165" i="8"/>
  <c r="R165" i="8"/>
  <c r="Q165" i="8"/>
  <c r="S166" i="8"/>
  <c r="R166" i="8"/>
  <c r="Q166" i="8"/>
  <c r="S167" i="8"/>
  <c r="R167" i="8"/>
  <c r="Q167" i="8"/>
  <c r="S168" i="8"/>
  <c r="R168" i="8"/>
  <c r="Q168" i="8"/>
  <c r="S169" i="8"/>
  <c r="R169" i="8"/>
  <c r="Q169" i="8"/>
  <c r="S170" i="8"/>
  <c r="R170" i="8"/>
  <c r="Q170" i="8"/>
  <c r="S171" i="8"/>
  <c r="R171" i="8"/>
  <c r="Q171" i="8"/>
  <c r="S172" i="8"/>
  <c r="R172" i="8"/>
  <c r="Q172" i="8"/>
  <c r="S173" i="8"/>
  <c r="R173" i="8"/>
  <c r="Q173" i="8"/>
  <c r="S174" i="8"/>
  <c r="R174" i="8"/>
  <c r="Q174" i="8"/>
  <c r="S175" i="8"/>
  <c r="R175" i="8"/>
  <c r="Q175" i="8"/>
  <c r="S176" i="8"/>
  <c r="R176" i="8"/>
  <c r="Q176" i="8"/>
  <c r="S177" i="8"/>
  <c r="R177" i="8"/>
  <c r="Q177" i="8"/>
  <c r="S178" i="8"/>
  <c r="R178" i="8"/>
  <c r="Q178" i="8"/>
  <c r="S179" i="8"/>
  <c r="R179" i="8"/>
  <c r="Q179" i="8"/>
  <c r="S180" i="8"/>
  <c r="R180" i="8"/>
  <c r="Q180" i="8"/>
  <c r="S181" i="8"/>
  <c r="R181" i="8"/>
  <c r="Q181" i="8"/>
  <c r="S182" i="8"/>
  <c r="R182" i="8"/>
  <c r="Q182" i="8"/>
  <c r="S183" i="8"/>
  <c r="R183" i="8"/>
  <c r="Q183" i="8"/>
  <c r="S184" i="8"/>
  <c r="R184" i="8"/>
  <c r="Q184" i="8"/>
  <c r="S185" i="8"/>
  <c r="R185" i="8"/>
  <c r="Q185" i="8"/>
  <c r="S186" i="8"/>
  <c r="R186" i="8"/>
  <c r="Q186" i="8"/>
  <c r="S187" i="8"/>
  <c r="R187" i="8"/>
  <c r="Q187" i="8"/>
  <c r="S188" i="8"/>
  <c r="R188" i="8"/>
  <c r="Q188" i="8"/>
  <c r="S189" i="8"/>
  <c r="R189" i="8"/>
  <c r="Q189" i="8"/>
  <c r="S190" i="8"/>
  <c r="R190" i="8"/>
  <c r="Q190" i="8"/>
  <c r="S191" i="8"/>
  <c r="R191" i="8"/>
  <c r="Q191" i="8"/>
  <c r="S192" i="8"/>
  <c r="R192" i="8"/>
  <c r="Q192" i="8"/>
  <c r="S193" i="8"/>
  <c r="R193" i="8"/>
  <c r="Q193" i="8"/>
  <c r="S194" i="8"/>
  <c r="R194" i="8"/>
  <c r="Q194" i="8"/>
  <c r="S195" i="8"/>
  <c r="R195" i="8"/>
  <c r="Q195" i="8"/>
  <c r="S196" i="8"/>
  <c r="R196" i="8"/>
  <c r="Q196" i="8"/>
  <c r="S197" i="8"/>
  <c r="R197" i="8"/>
  <c r="Q197" i="8"/>
  <c r="S198" i="8"/>
  <c r="R198" i="8"/>
  <c r="Q198" i="8"/>
  <c r="S199" i="8"/>
  <c r="R199" i="8"/>
  <c r="Q199" i="8"/>
  <c r="S200" i="8"/>
  <c r="R200" i="8"/>
  <c r="Q200" i="8"/>
  <c r="S201" i="8"/>
  <c r="R201" i="8"/>
  <c r="Q201" i="8"/>
  <c r="S202" i="8"/>
  <c r="R202" i="8"/>
  <c r="Q202" i="8"/>
  <c r="S203" i="8"/>
  <c r="R203" i="8"/>
  <c r="Q203" i="8"/>
  <c r="S204" i="8"/>
  <c r="R204" i="8"/>
  <c r="Q204" i="8"/>
  <c r="S205" i="8"/>
  <c r="R205" i="8"/>
  <c r="Q205" i="8"/>
  <c r="S206" i="8"/>
  <c r="R206" i="8"/>
  <c r="Q206" i="8"/>
  <c r="S207" i="8"/>
  <c r="R207" i="8"/>
  <c r="Q207" i="8"/>
  <c r="S208" i="8"/>
  <c r="R208" i="8"/>
  <c r="Q208" i="8"/>
  <c r="S209" i="8"/>
  <c r="R209" i="8"/>
  <c r="Q209" i="8"/>
  <c r="S210" i="8"/>
  <c r="R210" i="8"/>
  <c r="Q210" i="8"/>
  <c r="S211" i="8"/>
  <c r="R211" i="8"/>
  <c r="Q211" i="8"/>
  <c r="S212" i="8"/>
  <c r="R212" i="8"/>
  <c r="Q212" i="8"/>
  <c r="S213" i="8"/>
  <c r="R213" i="8"/>
  <c r="Q213" i="8"/>
  <c r="S214" i="8"/>
  <c r="R214" i="8"/>
  <c r="Q214" i="8"/>
  <c r="S215" i="8"/>
  <c r="R215" i="8"/>
  <c r="Q215" i="8"/>
  <c r="S216" i="8"/>
  <c r="R216" i="8"/>
  <c r="Q216" i="8"/>
  <c r="S217" i="8"/>
  <c r="R217" i="8"/>
  <c r="Q217" i="8"/>
  <c r="S218" i="8"/>
  <c r="R218" i="8"/>
  <c r="Q218" i="8"/>
  <c r="S219" i="8"/>
  <c r="R219" i="8"/>
  <c r="Q219" i="8"/>
  <c r="S220" i="8"/>
  <c r="R220" i="8"/>
  <c r="Q220" i="8"/>
  <c r="S221" i="8"/>
  <c r="R221" i="8"/>
  <c r="Q221" i="8"/>
  <c r="S222" i="8"/>
  <c r="R222" i="8"/>
  <c r="Q222" i="8"/>
  <c r="S223" i="8"/>
  <c r="R223" i="8"/>
  <c r="Q223" i="8"/>
  <c r="S224" i="8"/>
  <c r="R224" i="8"/>
  <c r="Q224" i="8"/>
  <c r="S225" i="8"/>
  <c r="R225" i="8"/>
  <c r="Q225" i="8"/>
  <c r="S226" i="8"/>
  <c r="R226" i="8"/>
  <c r="Q226" i="8"/>
  <c r="S227" i="8"/>
  <c r="R227" i="8"/>
  <c r="Q227" i="8"/>
  <c r="S228" i="8"/>
  <c r="R228" i="8"/>
  <c r="Q228" i="8"/>
  <c r="S229" i="8"/>
  <c r="R229" i="8"/>
  <c r="Q229" i="8"/>
  <c r="S230" i="8"/>
  <c r="R230" i="8"/>
  <c r="Q230" i="8"/>
  <c r="S231" i="8"/>
  <c r="R231" i="8"/>
  <c r="Q231" i="8"/>
  <c r="S232" i="8"/>
  <c r="R232" i="8"/>
  <c r="Q232" i="8"/>
  <c r="S233" i="8"/>
  <c r="R233" i="8"/>
  <c r="Q233" i="8"/>
  <c r="S234" i="8"/>
  <c r="R234" i="8"/>
  <c r="Q234" i="8"/>
  <c r="S235" i="8"/>
  <c r="R235" i="8"/>
  <c r="Q235" i="8"/>
  <c r="S236" i="8"/>
  <c r="R236" i="8"/>
  <c r="Q236" i="8"/>
  <c r="S237" i="8"/>
  <c r="R237" i="8"/>
  <c r="Q237" i="8"/>
  <c r="S238" i="8"/>
  <c r="R238" i="8"/>
  <c r="Q238" i="8"/>
  <c r="S239" i="8"/>
  <c r="R239" i="8"/>
  <c r="Q239" i="8"/>
  <c r="S240" i="8"/>
  <c r="R240" i="8"/>
  <c r="Q240" i="8"/>
  <c r="S241" i="8"/>
  <c r="R241" i="8"/>
  <c r="Q241" i="8"/>
  <c r="S242" i="8"/>
  <c r="R242" i="8"/>
  <c r="Q242" i="8"/>
  <c r="S243" i="8"/>
  <c r="R243" i="8"/>
  <c r="Q243" i="8"/>
  <c r="S244" i="8"/>
  <c r="R244" i="8"/>
  <c r="Q244" i="8"/>
  <c r="S245" i="8"/>
  <c r="R245" i="8"/>
  <c r="Q245" i="8"/>
  <c r="S246" i="8"/>
  <c r="R246" i="8"/>
  <c r="Q246" i="8"/>
  <c r="S247" i="8"/>
  <c r="R247" i="8"/>
  <c r="Q247" i="8"/>
  <c r="S248" i="8"/>
  <c r="R248" i="8"/>
  <c r="Q248" i="8"/>
  <c r="S249" i="8"/>
  <c r="R249" i="8"/>
  <c r="Q249" i="8"/>
  <c r="S250" i="8"/>
  <c r="R250" i="8"/>
  <c r="Q250" i="8"/>
  <c r="S251" i="8"/>
  <c r="R251" i="8"/>
  <c r="Q251" i="8"/>
  <c r="S252" i="8"/>
  <c r="R252" i="8"/>
  <c r="Q252" i="8"/>
  <c r="S253" i="8"/>
  <c r="R253" i="8"/>
  <c r="Q253" i="8"/>
  <c r="S254" i="8"/>
  <c r="R254" i="8"/>
  <c r="Q254" i="8"/>
  <c r="S255" i="8"/>
  <c r="R255" i="8"/>
  <c r="Q255" i="8"/>
  <c r="S256" i="8"/>
  <c r="R256" i="8"/>
  <c r="Q256" i="8"/>
  <c r="S257" i="8"/>
  <c r="R257" i="8"/>
  <c r="Q257" i="8"/>
  <c r="S258" i="8"/>
  <c r="R258" i="8"/>
  <c r="Q258" i="8"/>
  <c r="S259" i="8"/>
  <c r="R259" i="8"/>
  <c r="Q259" i="8"/>
  <c r="S260" i="8"/>
  <c r="R260" i="8"/>
  <c r="Q260" i="8"/>
  <c r="S261" i="8"/>
  <c r="R261" i="8"/>
  <c r="Q261" i="8"/>
  <c r="S262" i="8"/>
  <c r="R262" i="8"/>
  <c r="Q262" i="8"/>
  <c r="S263" i="8"/>
  <c r="R263" i="8"/>
  <c r="Q263" i="8"/>
  <c r="S264" i="8"/>
  <c r="R264" i="8"/>
  <c r="Q264" i="8"/>
  <c r="S265" i="8"/>
  <c r="R265" i="8"/>
  <c r="Q265" i="8"/>
  <c r="S266" i="8"/>
  <c r="R266" i="8"/>
  <c r="Q266" i="8"/>
  <c r="S267" i="8"/>
  <c r="R267" i="8"/>
  <c r="Q267" i="8"/>
  <c r="S268" i="8"/>
  <c r="R268" i="8"/>
  <c r="Q268" i="8"/>
  <c r="S269" i="8"/>
  <c r="R269" i="8"/>
  <c r="Q269" i="8"/>
  <c r="S270" i="8"/>
  <c r="R270" i="8"/>
  <c r="Q270" i="8"/>
  <c r="S271" i="8"/>
  <c r="R271" i="8"/>
  <c r="Q271" i="8"/>
  <c r="S272" i="8"/>
  <c r="R272" i="8"/>
  <c r="Q272" i="8"/>
  <c r="S273" i="8"/>
  <c r="R273" i="8"/>
  <c r="Q273" i="8"/>
  <c r="S274" i="8"/>
  <c r="R274" i="8"/>
  <c r="Q274" i="8"/>
  <c r="S275" i="8"/>
  <c r="R275" i="8"/>
  <c r="Q275" i="8"/>
  <c r="S276" i="8"/>
  <c r="R276" i="8"/>
  <c r="Q276" i="8"/>
  <c r="S277" i="8"/>
  <c r="R277" i="8"/>
  <c r="Q277" i="8"/>
  <c r="S278" i="8"/>
  <c r="R278" i="8"/>
  <c r="Q278" i="8"/>
  <c r="S279" i="8"/>
  <c r="R279" i="8"/>
  <c r="Q279" i="8"/>
  <c r="S280" i="8"/>
  <c r="R280" i="8"/>
  <c r="Q280" i="8"/>
  <c r="S281" i="8"/>
  <c r="R281" i="8"/>
  <c r="Q281" i="8"/>
  <c r="S282" i="8"/>
  <c r="R282" i="8"/>
  <c r="Q282" i="8"/>
  <c r="S283" i="8"/>
  <c r="R283" i="8"/>
  <c r="Q283" i="8"/>
  <c r="S284" i="8"/>
  <c r="R284" i="8"/>
  <c r="Q284" i="8"/>
  <c r="S285" i="8"/>
  <c r="R285" i="8"/>
  <c r="Q285" i="8"/>
  <c r="S286" i="8"/>
  <c r="R286" i="8"/>
  <c r="Q286" i="8"/>
  <c r="S287" i="8"/>
  <c r="R287" i="8"/>
  <c r="Q287" i="8"/>
  <c r="S288" i="8"/>
  <c r="R288" i="8"/>
  <c r="Q288" i="8"/>
  <c r="S289" i="8"/>
  <c r="R289" i="8"/>
  <c r="Q289" i="8"/>
  <c r="S290" i="8"/>
  <c r="R290" i="8"/>
  <c r="Q290" i="8"/>
  <c r="S291" i="8"/>
  <c r="R291" i="8"/>
  <c r="Q291" i="8"/>
  <c r="S292" i="8"/>
  <c r="R292" i="8"/>
  <c r="Q292" i="8"/>
  <c r="S293" i="8"/>
  <c r="R293" i="8"/>
  <c r="Q293" i="8"/>
  <c r="S294" i="8"/>
  <c r="R294" i="8"/>
  <c r="Q294" i="8"/>
  <c r="S295" i="8"/>
  <c r="R295" i="8"/>
  <c r="Q295" i="8"/>
  <c r="S296" i="8"/>
  <c r="R296" i="8"/>
  <c r="Q296" i="8"/>
  <c r="S297" i="8"/>
  <c r="R297" i="8"/>
  <c r="Q297" i="8"/>
  <c r="S298" i="8"/>
  <c r="R298" i="8"/>
  <c r="Q298" i="8"/>
  <c r="S299" i="8"/>
  <c r="R299" i="8"/>
  <c r="Q299" i="8"/>
  <c r="S300" i="8"/>
  <c r="R300" i="8"/>
  <c r="Q300" i="8"/>
  <c r="S301" i="8"/>
  <c r="R301" i="8"/>
  <c r="Q301" i="8"/>
  <c r="S302" i="8"/>
  <c r="R302" i="8"/>
  <c r="Q302" i="8"/>
  <c r="S303" i="8"/>
  <c r="R303" i="8"/>
  <c r="Q303" i="8"/>
  <c r="S304" i="8"/>
  <c r="R304" i="8"/>
  <c r="Q304" i="8"/>
  <c r="S305" i="8"/>
  <c r="R305" i="8"/>
  <c r="Q305" i="8"/>
  <c r="S306" i="8"/>
  <c r="R306" i="8"/>
  <c r="Q306" i="8"/>
  <c r="S307" i="8"/>
  <c r="R307" i="8"/>
  <c r="Q307" i="8"/>
  <c r="S308" i="8"/>
  <c r="R308" i="8"/>
  <c r="Q308" i="8"/>
  <c r="S309" i="8"/>
  <c r="R309" i="8"/>
  <c r="Q309" i="8"/>
  <c r="S310" i="8"/>
  <c r="R310" i="8"/>
  <c r="Q310" i="8"/>
  <c r="S311" i="8"/>
  <c r="R311" i="8"/>
  <c r="Q311" i="8"/>
  <c r="S312" i="8"/>
  <c r="R312" i="8"/>
  <c r="Q312" i="8"/>
  <c r="S313" i="8"/>
  <c r="R313" i="8"/>
  <c r="Q313" i="8"/>
  <c r="S314" i="8"/>
  <c r="R314" i="8"/>
  <c r="Q314" i="8"/>
  <c r="S315" i="8"/>
  <c r="R315" i="8"/>
  <c r="Q315" i="8"/>
  <c r="S316" i="8"/>
  <c r="R316" i="8"/>
  <c r="Q316" i="8"/>
  <c r="S317" i="8"/>
  <c r="R317" i="8"/>
  <c r="Q317" i="8"/>
  <c r="S318" i="8"/>
  <c r="R318" i="8"/>
  <c r="Q318" i="8"/>
  <c r="S319" i="8"/>
  <c r="R319" i="8"/>
  <c r="Q319" i="8"/>
  <c r="S320" i="8"/>
  <c r="R320" i="8"/>
  <c r="Q320" i="8"/>
  <c r="S321" i="8"/>
  <c r="R321" i="8"/>
  <c r="Q321" i="8"/>
  <c r="S322" i="8"/>
  <c r="R322" i="8"/>
  <c r="Q322" i="8"/>
  <c r="S323" i="8"/>
  <c r="R323" i="8"/>
  <c r="Q323" i="8"/>
  <c r="S324" i="8"/>
  <c r="R324" i="8"/>
  <c r="Q324" i="8"/>
  <c r="S325" i="8"/>
  <c r="R325" i="8"/>
  <c r="Q325" i="8"/>
  <c r="S326" i="8"/>
  <c r="R326" i="8"/>
  <c r="Q326" i="8"/>
  <c r="S327" i="8"/>
  <c r="R327" i="8"/>
  <c r="Q327" i="8"/>
  <c r="S328" i="8"/>
  <c r="R328" i="8"/>
  <c r="Q328" i="8"/>
  <c r="S329" i="8"/>
  <c r="R329" i="8"/>
  <c r="Q329" i="8"/>
  <c r="S330" i="8"/>
  <c r="R330" i="8"/>
  <c r="Q330" i="8"/>
  <c r="S331" i="8"/>
  <c r="R331" i="8"/>
  <c r="Q331" i="8"/>
  <c r="S332" i="8"/>
  <c r="R332" i="8"/>
  <c r="Q332" i="8"/>
  <c r="S333" i="8"/>
  <c r="R333" i="8"/>
  <c r="Q333" i="8"/>
  <c r="S334" i="8"/>
  <c r="R334" i="8"/>
  <c r="Q334" i="8"/>
  <c r="S335" i="8"/>
  <c r="R335" i="8"/>
  <c r="Q335" i="8"/>
  <c r="S336" i="8"/>
  <c r="R336" i="8"/>
  <c r="Q336" i="8"/>
  <c r="S337" i="8"/>
  <c r="R337" i="8"/>
  <c r="Q337" i="8"/>
  <c r="S338" i="8"/>
  <c r="R338" i="8"/>
  <c r="Q338" i="8"/>
  <c r="S339" i="8"/>
  <c r="R339" i="8"/>
  <c r="Q339" i="8"/>
  <c r="S340" i="8"/>
  <c r="R340" i="8"/>
  <c r="Q340" i="8"/>
  <c r="S341" i="8"/>
  <c r="R341" i="8"/>
  <c r="Q341" i="8"/>
  <c r="S342" i="8"/>
  <c r="R342" i="8"/>
  <c r="Q342" i="8"/>
  <c r="S343" i="8"/>
  <c r="R343" i="8"/>
  <c r="Q343" i="8"/>
  <c r="S344" i="8"/>
  <c r="R344" i="8"/>
  <c r="Q344" i="8"/>
  <c r="S345" i="8"/>
  <c r="R345" i="8"/>
  <c r="Q345" i="8"/>
  <c r="S346" i="8"/>
  <c r="R346" i="8"/>
  <c r="Q346" i="8"/>
  <c r="S347" i="8"/>
  <c r="R347" i="8"/>
  <c r="Q347" i="8"/>
  <c r="S348" i="8"/>
  <c r="R348" i="8"/>
  <c r="Q348" i="8"/>
  <c r="S349" i="8"/>
  <c r="R349" i="8"/>
  <c r="Q349" i="8"/>
  <c r="S350" i="8"/>
  <c r="R350" i="8"/>
  <c r="Q350" i="8"/>
  <c r="S351" i="8"/>
  <c r="R351" i="8"/>
  <c r="Q351" i="8"/>
  <c r="S352" i="8"/>
  <c r="R352" i="8"/>
  <c r="Q352" i="8"/>
  <c r="S353" i="8"/>
  <c r="R353" i="8"/>
  <c r="Q353" i="8"/>
  <c r="S354" i="8"/>
  <c r="R354" i="8"/>
  <c r="Q354" i="8"/>
  <c r="S355" i="8"/>
  <c r="R355" i="8"/>
  <c r="Q355" i="8"/>
  <c r="S356" i="8"/>
  <c r="R356" i="8"/>
  <c r="Q356" i="8"/>
  <c r="S357" i="8"/>
  <c r="R357" i="8"/>
  <c r="Q357" i="8"/>
  <c r="S358" i="8"/>
  <c r="R358" i="8"/>
  <c r="Q358" i="8"/>
  <c r="S359" i="8"/>
  <c r="R359" i="8"/>
  <c r="Q359" i="8"/>
  <c r="S360" i="8"/>
  <c r="R360" i="8"/>
  <c r="Q360" i="8"/>
  <c r="S361" i="8"/>
  <c r="R361" i="8"/>
  <c r="Q361" i="8"/>
  <c r="S362" i="8"/>
  <c r="R362" i="8"/>
  <c r="Q362" i="8"/>
  <c r="S363" i="8"/>
  <c r="R363" i="8"/>
  <c r="Q363" i="8"/>
  <c r="S364" i="8"/>
  <c r="R364" i="8"/>
  <c r="Q364" i="8"/>
  <c r="S365" i="8"/>
  <c r="R365" i="8"/>
  <c r="Q365" i="8"/>
  <c r="S366" i="8"/>
  <c r="R366" i="8"/>
  <c r="Q366" i="8"/>
  <c r="S367" i="8"/>
  <c r="R367" i="8"/>
  <c r="Q367" i="8"/>
  <c r="S368" i="8"/>
  <c r="R368" i="8"/>
  <c r="Q368" i="8"/>
  <c r="S369" i="8"/>
  <c r="R369" i="8"/>
  <c r="Q369" i="8"/>
  <c r="S370" i="8"/>
  <c r="R370" i="8"/>
  <c r="Q370" i="8"/>
  <c r="S371" i="8"/>
  <c r="R371" i="8"/>
  <c r="Q371" i="8"/>
  <c r="S372" i="8"/>
  <c r="R372" i="8"/>
  <c r="Q372" i="8"/>
  <c r="S373" i="8"/>
  <c r="R373" i="8"/>
  <c r="Q373" i="8"/>
  <c r="S374" i="8"/>
  <c r="R374" i="8"/>
  <c r="Q374" i="8"/>
  <c r="S375" i="8"/>
  <c r="R375" i="8"/>
  <c r="Q375" i="8"/>
  <c r="S376" i="8"/>
  <c r="R376" i="8"/>
  <c r="Q376" i="8"/>
  <c r="S377" i="8"/>
  <c r="R377" i="8"/>
  <c r="Q377" i="8"/>
  <c r="S378" i="8"/>
  <c r="R378" i="8"/>
  <c r="Q378" i="8"/>
  <c r="S379" i="8"/>
  <c r="R379" i="8"/>
  <c r="Q379" i="8"/>
  <c r="S380" i="8"/>
  <c r="R380" i="8"/>
  <c r="Q380" i="8"/>
  <c r="S381" i="8"/>
  <c r="R381" i="8"/>
  <c r="Q381" i="8"/>
  <c r="S382" i="8"/>
  <c r="R382" i="8"/>
  <c r="Q382" i="8"/>
  <c r="S383" i="8"/>
  <c r="R383" i="8"/>
  <c r="Q383" i="8"/>
  <c r="S384" i="8"/>
  <c r="R384" i="8"/>
  <c r="Q384" i="8"/>
  <c r="S385" i="8"/>
  <c r="R385" i="8"/>
  <c r="Q385" i="8"/>
  <c r="S386" i="8"/>
  <c r="R386" i="8"/>
  <c r="Q386" i="8"/>
  <c r="S387" i="8"/>
  <c r="R387" i="8"/>
  <c r="Q387" i="8"/>
  <c r="S388" i="8"/>
  <c r="R388" i="8"/>
  <c r="Q388" i="8"/>
  <c r="S389" i="8"/>
  <c r="R389" i="8"/>
  <c r="Q389" i="8"/>
  <c r="S390" i="8"/>
  <c r="R390" i="8"/>
  <c r="Q390" i="8"/>
  <c r="S391" i="8"/>
  <c r="R391" i="8"/>
  <c r="Q391" i="8"/>
  <c r="S392" i="8"/>
  <c r="R392" i="8"/>
  <c r="Q392" i="8"/>
  <c r="S393" i="8"/>
  <c r="R393" i="8"/>
  <c r="Q393" i="8"/>
  <c r="S394" i="8"/>
  <c r="R394" i="8"/>
  <c r="Q394" i="8"/>
  <c r="S395" i="8"/>
  <c r="R395" i="8"/>
  <c r="Q395" i="8"/>
  <c r="S396" i="8"/>
  <c r="R396" i="8"/>
  <c r="Q396" i="8"/>
  <c r="S397" i="8"/>
  <c r="R397" i="8"/>
  <c r="Q397" i="8"/>
  <c r="S398" i="8"/>
  <c r="R398" i="8"/>
  <c r="Q398" i="8"/>
  <c r="S399" i="8"/>
  <c r="R399" i="8"/>
  <c r="Q399" i="8"/>
  <c r="S400" i="8"/>
  <c r="R400" i="8"/>
  <c r="Q400" i="8"/>
  <c r="S401" i="8"/>
  <c r="R401" i="8"/>
  <c r="Q401" i="8"/>
  <c r="S402" i="8"/>
  <c r="R402" i="8"/>
  <c r="Q402" i="8"/>
  <c r="S403" i="8"/>
  <c r="R403" i="8"/>
  <c r="Q403" i="8"/>
  <c r="S404" i="8"/>
  <c r="R404" i="8"/>
  <c r="Q404" i="8"/>
  <c r="S405" i="8"/>
  <c r="R405" i="8"/>
  <c r="Q405" i="8"/>
  <c r="S406" i="8"/>
  <c r="R406" i="8"/>
  <c r="Q406" i="8"/>
  <c r="S407" i="8"/>
  <c r="R407" i="8"/>
  <c r="Q407" i="8"/>
  <c r="S408" i="8"/>
  <c r="R408" i="8"/>
  <c r="Q408" i="8"/>
  <c r="S409" i="8"/>
  <c r="R409" i="8"/>
  <c r="Q409" i="8"/>
  <c r="S410" i="8"/>
  <c r="R410" i="8"/>
  <c r="Q410" i="8"/>
  <c r="S411" i="8"/>
  <c r="R411" i="8"/>
  <c r="Q411" i="8"/>
  <c r="S412" i="8"/>
  <c r="R412" i="8"/>
  <c r="Q412" i="8"/>
  <c r="S413" i="8"/>
  <c r="R413" i="8"/>
  <c r="Q413" i="8"/>
  <c r="S414" i="8"/>
  <c r="R414" i="8"/>
  <c r="Q414" i="8"/>
  <c r="S415" i="8"/>
  <c r="R415" i="8"/>
  <c r="Q415" i="8"/>
  <c r="S416" i="8"/>
  <c r="R416" i="8"/>
  <c r="Q416" i="8"/>
  <c r="S417" i="8"/>
  <c r="R417" i="8"/>
  <c r="Q417" i="8"/>
  <c r="S418" i="8"/>
  <c r="R418" i="8"/>
  <c r="Q418" i="8"/>
  <c r="S419" i="8"/>
  <c r="R419" i="8"/>
  <c r="Q419" i="8"/>
  <c r="S420" i="8"/>
  <c r="R420" i="8"/>
  <c r="Q420" i="8"/>
  <c r="S421" i="8"/>
  <c r="R421" i="8"/>
  <c r="Q421" i="8"/>
  <c r="S422" i="8"/>
  <c r="R422" i="8"/>
  <c r="Q422" i="8"/>
  <c r="S423" i="8"/>
  <c r="R423" i="8"/>
  <c r="Q423" i="8"/>
  <c r="S424" i="8"/>
  <c r="R424" i="8"/>
  <c r="Q424" i="8"/>
  <c r="S425" i="8"/>
  <c r="R425" i="8"/>
  <c r="Q425" i="8"/>
  <c r="S426" i="8"/>
  <c r="R426" i="8"/>
  <c r="Q426" i="8"/>
  <c r="S427" i="8"/>
  <c r="R427" i="8"/>
  <c r="Q427" i="8"/>
  <c r="S428" i="8"/>
  <c r="R428" i="8"/>
  <c r="Q428" i="8"/>
  <c r="S429" i="8"/>
  <c r="R429" i="8"/>
  <c r="Q429" i="8"/>
  <c r="S430" i="8"/>
  <c r="R430" i="8"/>
  <c r="Q430" i="8"/>
  <c r="S431" i="8"/>
  <c r="R431" i="8"/>
  <c r="Q431" i="8"/>
  <c r="S432" i="8"/>
  <c r="R432" i="8"/>
  <c r="Q432" i="8"/>
  <c r="S433" i="8"/>
  <c r="R433" i="8"/>
  <c r="Q433" i="8"/>
  <c r="S434" i="8"/>
  <c r="R434" i="8"/>
  <c r="Q434" i="8"/>
  <c r="S435" i="8"/>
  <c r="R435" i="8"/>
  <c r="Q435" i="8"/>
  <c r="S436" i="8"/>
  <c r="R436" i="8"/>
  <c r="Q436" i="8"/>
  <c r="S437" i="8"/>
  <c r="R437" i="8"/>
  <c r="Q437" i="8"/>
  <c r="S438" i="8"/>
  <c r="R438" i="8"/>
  <c r="Q438" i="8"/>
  <c r="S439" i="8"/>
  <c r="R439" i="8"/>
  <c r="Q439" i="8"/>
  <c r="S440" i="8"/>
  <c r="R440" i="8"/>
  <c r="Q440" i="8"/>
  <c r="S441" i="8"/>
  <c r="R441" i="8"/>
  <c r="Q441" i="8"/>
  <c r="S442" i="8"/>
  <c r="R442" i="8"/>
  <c r="Q442" i="8"/>
  <c r="S443" i="8"/>
  <c r="R443" i="8"/>
  <c r="Q443" i="8"/>
  <c r="S444" i="8"/>
  <c r="R444" i="8"/>
  <c r="Q444" i="8"/>
  <c r="S445" i="8"/>
  <c r="R445" i="8"/>
  <c r="Q445" i="8"/>
  <c r="S446" i="8"/>
  <c r="R446" i="8"/>
  <c r="Q446" i="8"/>
  <c r="S447" i="8"/>
  <c r="R447" i="8"/>
  <c r="Q447" i="8"/>
  <c r="S448" i="8"/>
  <c r="R448" i="8"/>
  <c r="Q448" i="8"/>
  <c r="S449" i="8"/>
  <c r="R449" i="8"/>
  <c r="Q449" i="8"/>
  <c r="S450" i="8"/>
  <c r="R450" i="8"/>
  <c r="Q450" i="8"/>
  <c r="S451" i="8"/>
  <c r="R451" i="8"/>
  <c r="Q451" i="8"/>
  <c r="S452" i="8"/>
  <c r="R452" i="8"/>
  <c r="Q452" i="8"/>
  <c r="S453" i="8"/>
  <c r="R453" i="8"/>
  <c r="Q453" i="8"/>
  <c r="S454" i="8"/>
  <c r="R454" i="8"/>
  <c r="Q454" i="8"/>
  <c r="S455" i="8"/>
  <c r="R455" i="8"/>
  <c r="Q455" i="8"/>
  <c r="S456" i="8"/>
  <c r="R456" i="8"/>
  <c r="Q456" i="8"/>
  <c r="S457" i="8"/>
  <c r="R457" i="8"/>
  <c r="Q457" i="8"/>
  <c r="S458" i="8"/>
  <c r="R458" i="8"/>
  <c r="Q458" i="8"/>
  <c r="S459" i="8"/>
  <c r="R459" i="8"/>
  <c r="Q459" i="8"/>
  <c r="S460" i="8"/>
  <c r="R460" i="8"/>
  <c r="Q460" i="8"/>
  <c r="S461" i="8"/>
  <c r="R461" i="8"/>
  <c r="Q461" i="8"/>
  <c r="S462" i="8"/>
  <c r="R462" i="8"/>
  <c r="Q462" i="8"/>
  <c r="S463" i="8"/>
  <c r="R463" i="8"/>
  <c r="Q463" i="8"/>
  <c r="S464" i="8"/>
  <c r="R464" i="8"/>
  <c r="Q464" i="8"/>
  <c r="S465" i="8"/>
  <c r="R465" i="8"/>
  <c r="Q465" i="8"/>
  <c r="S466" i="8"/>
  <c r="R466" i="8"/>
  <c r="Q466" i="8"/>
  <c r="S467" i="8"/>
  <c r="R467" i="8"/>
  <c r="Q467" i="8"/>
  <c r="S468" i="8"/>
  <c r="R468" i="8"/>
  <c r="Q468" i="8"/>
  <c r="S469" i="8"/>
  <c r="R469" i="8"/>
  <c r="Q469" i="8"/>
  <c r="S470" i="8"/>
  <c r="R470" i="8"/>
  <c r="Q470" i="8"/>
  <c r="S471" i="8"/>
  <c r="R471" i="8"/>
  <c r="Q471" i="8"/>
  <c r="S472" i="8"/>
  <c r="R472" i="8"/>
  <c r="Q472" i="8"/>
  <c r="S473" i="8"/>
  <c r="R473" i="8"/>
  <c r="Q473" i="8"/>
  <c r="S474" i="8"/>
  <c r="R474" i="8"/>
  <c r="Q474" i="8"/>
  <c r="S475" i="8"/>
  <c r="R475" i="8"/>
  <c r="Q475" i="8"/>
  <c r="S476" i="8"/>
  <c r="R476" i="8"/>
  <c r="Q476" i="8"/>
  <c r="S477" i="8"/>
  <c r="R477" i="8"/>
  <c r="Q477" i="8"/>
  <c r="S478" i="8"/>
  <c r="R478" i="8"/>
  <c r="Q478" i="8"/>
  <c r="S479" i="8"/>
  <c r="R479" i="8"/>
  <c r="Q479" i="8"/>
  <c r="S480" i="8"/>
  <c r="R480" i="8"/>
  <c r="Q480" i="8"/>
  <c r="S481" i="8"/>
  <c r="R481" i="8"/>
  <c r="Q481" i="8"/>
  <c r="S482" i="8"/>
  <c r="R482" i="8"/>
  <c r="Q482" i="8"/>
  <c r="S483" i="8"/>
  <c r="R483" i="8"/>
  <c r="Q483" i="8"/>
  <c r="S484" i="8"/>
  <c r="R484" i="8"/>
  <c r="Q484" i="8"/>
  <c r="S485" i="8"/>
  <c r="R485" i="8"/>
  <c r="Q485" i="8"/>
  <c r="S486" i="8"/>
  <c r="R486" i="8"/>
  <c r="Q486" i="8"/>
  <c r="S487" i="8"/>
  <c r="R487" i="8"/>
  <c r="Q487" i="8"/>
  <c r="S488" i="8"/>
  <c r="R488" i="8"/>
  <c r="Q488" i="8"/>
  <c r="S489" i="8"/>
  <c r="R489" i="8"/>
  <c r="Q489" i="8"/>
  <c r="S490" i="8"/>
  <c r="R490" i="8"/>
  <c r="Q490" i="8"/>
  <c r="S491" i="8"/>
  <c r="R491" i="8"/>
  <c r="Q491" i="8"/>
  <c r="S492" i="8"/>
  <c r="R492" i="8"/>
  <c r="Q492" i="8"/>
  <c r="S493" i="8"/>
  <c r="R493" i="8"/>
  <c r="Q493" i="8"/>
  <c r="S494" i="8"/>
  <c r="R494" i="8"/>
  <c r="Q494" i="8"/>
  <c r="S495" i="8"/>
  <c r="R495" i="8"/>
  <c r="Q495" i="8"/>
  <c r="S496" i="8"/>
  <c r="R496" i="8"/>
  <c r="Q496" i="8"/>
  <c r="S497" i="8"/>
  <c r="R497" i="8"/>
  <c r="Q497" i="8"/>
  <c r="S498" i="8"/>
  <c r="R498" i="8"/>
  <c r="Q498" i="8"/>
  <c r="S499" i="8"/>
  <c r="R499" i="8"/>
  <c r="Q499" i="8"/>
  <c r="S500" i="8"/>
  <c r="R500" i="8"/>
  <c r="Q500" i="8"/>
  <c r="S501" i="8"/>
  <c r="R501" i="8"/>
  <c r="Q501" i="8"/>
  <c r="S502" i="8"/>
  <c r="R502" i="8"/>
  <c r="Q502" i="8"/>
  <c r="S503" i="8"/>
  <c r="R503" i="8"/>
  <c r="Q503" i="8"/>
  <c r="S504" i="8"/>
  <c r="R504" i="8"/>
  <c r="Q504" i="8"/>
  <c r="S505" i="8"/>
  <c r="R505" i="8"/>
  <c r="Q505" i="8"/>
  <c r="S506" i="8"/>
  <c r="R506" i="8"/>
  <c r="Q506" i="8"/>
  <c r="S507" i="8"/>
  <c r="R507" i="8"/>
  <c r="Q507" i="8"/>
  <c r="S508" i="8"/>
  <c r="R508" i="8"/>
  <c r="Q508" i="8"/>
  <c r="S509" i="8"/>
  <c r="R509" i="8"/>
  <c r="Q509" i="8"/>
  <c r="S510" i="8"/>
  <c r="R510" i="8"/>
  <c r="Q510" i="8"/>
  <c r="S511" i="8"/>
  <c r="R511" i="8"/>
  <c r="Q511" i="8"/>
  <c r="S512" i="8"/>
  <c r="R512" i="8"/>
  <c r="Q512" i="8"/>
  <c r="S513" i="8"/>
  <c r="R513" i="8"/>
  <c r="Q513" i="8"/>
  <c r="S514" i="8"/>
  <c r="R514" i="8"/>
  <c r="Q514" i="8"/>
  <c r="S515" i="8"/>
  <c r="R515" i="8"/>
  <c r="Q515" i="8"/>
  <c r="S516" i="8"/>
  <c r="R516" i="8"/>
  <c r="Q516" i="8"/>
  <c r="S517" i="8"/>
  <c r="R517" i="8"/>
  <c r="Q517" i="8"/>
  <c r="S518" i="8"/>
  <c r="R518" i="8"/>
  <c r="Q518" i="8"/>
  <c r="S519" i="8"/>
  <c r="R519" i="8"/>
  <c r="Q519" i="8"/>
  <c r="S520" i="8"/>
  <c r="R520" i="8"/>
  <c r="Q520" i="8"/>
  <c r="S521" i="8"/>
  <c r="R521" i="8"/>
  <c r="Q521" i="8"/>
  <c r="S522" i="8"/>
  <c r="R522" i="8"/>
  <c r="Q522" i="8"/>
  <c r="S523" i="8"/>
  <c r="R523" i="8"/>
  <c r="Q523" i="8"/>
  <c r="S524" i="8"/>
  <c r="R524" i="8"/>
  <c r="Q524" i="8"/>
  <c r="S525" i="8"/>
  <c r="R525" i="8"/>
  <c r="Q525" i="8"/>
  <c r="S526" i="8"/>
  <c r="R526" i="8"/>
  <c r="Q526" i="8"/>
  <c r="S527" i="8"/>
  <c r="R527" i="8"/>
  <c r="Q527" i="8"/>
  <c r="S528" i="8"/>
  <c r="R528" i="8"/>
  <c r="Q528" i="8"/>
  <c r="S529" i="8"/>
  <c r="R529" i="8"/>
  <c r="Q529" i="8"/>
  <c r="S530" i="8"/>
  <c r="R530" i="8"/>
  <c r="Q530" i="8"/>
  <c r="S531" i="8"/>
  <c r="R531" i="8"/>
  <c r="Q531" i="8"/>
  <c r="S532" i="8"/>
  <c r="R532" i="8"/>
  <c r="Q532" i="8"/>
  <c r="S533" i="8"/>
  <c r="R533" i="8"/>
  <c r="Q533" i="8"/>
  <c r="S534" i="8"/>
  <c r="R534" i="8"/>
  <c r="Q534" i="8"/>
  <c r="S535" i="8"/>
  <c r="R535" i="8"/>
  <c r="Q535" i="8"/>
  <c r="S536" i="8"/>
  <c r="R536" i="8"/>
  <c r="Q536" i="8"/>
  <c r="S537" i="8"/>
  <c r="R537" i="8"/>
  <c r="Q537" i="8"/>
  <c r="S538" i="8"/>
  <c r="R538" i="8"/>
  <c r="Q538" i="8"/>
  <c r="S539" i="8"/>
  <c r="R539" i="8"/>
  <c r="Q539" i="8"/>
  <c r="S540" i="8"/>
  <c r="R540" i="8"/>
  <c r="Q540" i="8"/>
  <c r="S541" i="8"/>
  <c r="R541" i="8"/>
  <c r="Q541" i="8"/>
  <c r="S542" i="8"/>
  <c r="R542" i="8"/>
  <c r="Q542" i="8"/>
  <c r="S543" i="8"/>
  <c r="R543" i="8"/>
  <c r="Q543" i="8"/>
  <c r="S544" i="8"/>
  <c r="R544" i="8"/>
  <c r="Q544" i="8"/>
  <c r="S545" i="8"/>
  <c r="R545" i="8"/>
  <c r="Q545" i="8"/>
  <c r="S546" i="8"/>
  <c r="R546" i="8"/>
  <c r="Q546" i="8"/>
  <c r="S547" i="8"/>
  <c r="R547" i="8"/>
  <c r="Q547" i="8"/>
  <c r="S548" i="8"/>
  <c r="R548" i="8"/>
  <c r="Q548" i="8"/>
  <c r="S549" i="8"/>
  <c r="R549" i="8"/>
  <c r="Q549" i="8"/>
  <c r="S550" i="8"/>
  <c r="R550" i="8"/>
  <c r="Q550" i="8"/>
  <c r="S551" i="8"/>
  <c r="R551" i="8"/>
  <c r="Q551" i="8"/>
  <c r="S552" i="8"/>
  <c r="R552" i="8"/>
  <c r="Q552" i="8"/>
  <c r="S553" i="8"/>
  <c r="R553" i="8"/>
  <c r="Q553" i="8"/>
  <c r="S554" i="8"/>
  <c r="R554" i="8"/>
  <c r="Q554" i="8"/>
  <c r="S555" i="8"/>
  <c r="R555" i="8"/>
  <c r="Q555" i="8"/>
  <c r="S556" i="8"/>
  <c r="R556" i="8"/>
  <c r="Q556" i="8"/>
  <c r="S557" i="8"/>
  <c r="R557" i="8"/>
  <c r="Q557" i="8"/>
  <c r="S558" i="8"/>
  <c r="R558" i="8"/>
  <c r="Q558" i="8"/>
  <c r="S559" i="8"/>
  <c r="R559" i="8"/>
  <c r="Q559" i="8"/>
  <c r="S560" i="8"/>
  <c r="R560" i="8"/>
  <c r="Q560" i="8"/>
  <c r="S561" i="8"/>
  <c r="R561" i="8"/>
  <c r="Q561" i="8"/>
  <c r="S562" i="8"/>
  <c r="R562" i="8"/>
  <c r="Q562" i="8"/>
  <c r="S563" i="8"/>
  <c r="R563" i="8"/>
  <c r="Q563" i="8"/>
  <c r="S564" i="8"/>
  <c r="R564" i="8"/>
  <c r="Q564" i="8"/>
  <c r="S565" i="8"/>
  <c r="R565" i="8"/>
  <c r="Q565" i="8"/>
  <c r="S566" i="8"/>
  <c r="R566" i="8"/>
  <c r="Q566" i="8"/>
  <c r="S567" i="8"/>
  <c r="R567" i="8"/>
  <c r="Q567" i="8"/>
  <c r="S568" i="8"/>
  <c r="R568" i="8"/>
  <c r="Q568" i="8"/>
  <c r="S569" i="8"/>
  <c r="R569" i="8"/>
  <c r="Q569" i="8"/>
  <c r="S570" i="8"/>
  <c r="R570" i="8"/>
  <c r="Q570" i="8"/>
  <c r="S571" i="8"/>
  <c r="R571" i="8"/>
  <c r="Q571" i="8"/>
  <c r="S572" i="8"/>
  <c r="R572" i="8"/>
  <c r="Q572" i="8"/>
  <c r="S573" i="8"/>
  <c r="R573" i="8"/>
  <c r="Q573" i="8"/>
  <c r="S574" i="8"/>
  <c r="R574" i="8"/>
  <c r="Q574" i="8"/>
  <c r="S575" i="8"/>
  <c r="R575" i="8"/>
  <c r="Q575" i="8"/>
  <c r="S576" i="8"/>
  <c r="R576" i="8"/>
  <c r="Q576" i="8"/>
  <c r="S577" i="8"/>
  <c r="R577" i="8"/>
  <c r="Q577" i="8"/>
  <c r="S578" i="8"/>
  <c r="R578" i="8"/>
  <c r="Q578" i="8"/>
  <c r="S579" i="8"/>
  <c r="R579" i="8"/>
  <c r="Q579" i="8"/>
  <c r="S580" i="8"/>
  <c r="R580" i="8"/>
  <c r="Q580" i="8"/>
  <c r="S581" i="8"/>
  <c r="R581" i="8"/>
  <c r="Q581" i="8"/>
  <c r="S582" i="8"/>
  <c r="R582" i="8"/>
  <c r="Q582" i="8"/>
  <c r="S583" i="8"/>
  <c r="R583" i="8"/>
  <c r="Q583" i="8"/>
  <c r="S584" i="8"/>
  <c r="R584" i="8"/>
  <c r="Q584" i="8"/>
  <c r="S585" i="8"/>
  <c r="R585" i="8"/>
  <c r="Q585" i="8"/>
  <c r="S586" i="8"/>
  <c r="R586" i="8"/>
  <c r="Q586" i="8"/>
  <c r="S587" i="8"/>
  <c r="R587" i="8"/>
  <c r="Q587" i="8"/>
  <c r="S588" i="8"/>
  <c r="R588" i="8"/>
  <c r="Q588" i="8"/>
  <c r="S589" i="8"/>
  <c r="R589" i="8"/>
  <c r="Q589" i="8"/>
  <c r="S590" i="8"/>
  <c r="R590" i="8"/>
  <c r="Q590" i="8"/>
  <c r="S591" i="8"/>
  <c r="R591" i="8"/>
  <c r="Q591" i="8"/>
  <c r="S592" i="8"/>
  <c r="R592" i="8"/>
  <c r="Q592" i="8"/>
  <c r="S593" i="8"/>
  <c r="R593" i="8"/>
  <c r="Q593" i="8"/>
  <c r="S594" i="8"/>
  <c r="R594" i="8"/>
  <c r="Q594" i="8"/>
  <c r="S595" i="8"/>
  <c r="R595" i="8"/>
  <c r="Q595" i="8"/>
  <c r="S596" i="8"/>
  <c r="R596" i="8"/>
  <c r="Q596" i="8"/>
  <c r="S597" i="8"/>
  <c r="R597" i="8"/>
  <c r="Q597" i="8"/>
  <c r="S598" i="8"/>
  <c r="R598" i="8"/>
  <c r="Q598" i="8"/>
  <c r="S599" i="8"/>
  <c r="R599" i="8"/>
  <c r="Q599" i="8"/>
  <c r="S600" i="8"/>
  <c r="R600" i="8"/>
  <c r="Q600" i="8"/>
  <c r="S601" i="8"/>
  <c r="R601" i="8"/>
  <c r="Q601" i="8"/>
  <c r="S602" i="8"/>
  <c r="R602" i="8"/>
  <c r="Q602" i="8"/>
  <c r="S603" i="8"/>
  <c r="R603" i="8"/>
  <c r="Q603" i="8"/>
  <c r="S604" i="8"/>
  <c r="R604" i="8"/>
  <c r="Q604" i="8"/>
  <c r="S605" i="8"/>
  <c r="R605" i="8"/>
  <c r="Q605" i="8"/>
  <c r="S606" i="8"/>
  <c r="R606" i="8"/>
  <c r="Q606" i="8"/>
  <c r="S607" i="8"/>
  <c r="R607" i="8"/>
  <c r="Q607" i="8"/>
  <c r="S608" i="8"/>
  <c r="R608" i="8"/>
  <c r="Q608" i="8"/>
  <c r="S609" i="8"/>
  <c r="R609" i="8"/>
  <c r="Q609" i="8"/>
  <c r="S610" i="8"/>
  <c r="R610" i="8"/>
  <c r="Q610" i="8"/>
  <c r="S611" i="8"/>
  <c r="R611" i="8"/>
  <c r="Q611" i="8"/>
  <c r="AB3" i="3"/>
  <c r="AB7" i="3"/>
  <c r="AB11" i="3"/>
  <c r="AB15" i="3"/>
  <c r="AB6" i="3"/>
  <c r="AB12" i="3"/>
  <c r="AB16" i="3"/>
  <c r="AB4" i="3"/>
  <c r="AB8" i="3"/>
  <c r="AB5" i="3"/>
  <c r="AB9" i="3"/>
  <c r="AB13" i="3"/>
  <c r="AB10" i="3"/>
  <c r="AB14" i="3"/>
  <c r="Y378" i="3"/>
  <c r="Y362" i="3"/>
  <c r="Y346" i="3"/>
  <c r="Y330" i="3"/>
  <c r="Y314" i="3"/>
  <c r="Y295" i="3"/>
  <c r="Y273" i="3"/>
  <c r="Y252" i="3"/>
  <c r="Y382" i="3"/>
  <c r="Y350" i="3"/>
  <c r="Y318" i="3"/>
  <c r="Y279" i="3"/>
  <c r="Y390" i="3"/>
  <c r="Y374" i="3"/>
  <c r="Y358" i="3"/>
  <c r="Y342" i="3"/>
  <c r="Y326" i="3"/>
  <c r="Y310" i="3"/>
  <c r="Y289" i="3"/>
  <c r="Y268" i="3"/>
  <c r="Y366" i="3"/>
  <c r="Y334" i="3"/>
  <c r="Y300" i="3"/>
  <c r="Y257" i="3"/>
  <c r="Y386" i="3"/>
  <c r="Y370" i="3"/>
  <c r="Y354" i="3"/>
  <c r="Y338" i="3"/>
  <c r="Y322" i="3"/>
  <c r="Y305" i="3"/>
  <c r="Y284" i="3"/>
  <c r="Y263" i="3"/>
  <c r="Y241" i="3"/>
  <c r="Y231" i="3"/>
  <c r="Y220" i="3"/>
  <c r="Y209" i="3"/>
  <c r="Y199" i="3"/>
  <c r="Y188" i="3"/>
  <c r="Y183" i="3"/>
  <c r="Y172" i="3"/>
  <c r="Y152" i="3"/>
  <c r="Y129" i="3"/>
  <c r="Y110" i="3"/>
  <c r="Y87" i="3"/>
  <c r="Y65" i="3"/>
  <c r="Y45" i="3"/>
  <c r="Y14" i="3"/>
  <c r="AA383" i="3"/>
  <c r="AA353" i="3"/>
  <c r="AA320" i="3"/>
  <c r="AA305" i="3"/>
  <c r="AA272" i="3"/>
  <c r="AA239" i="3"/>
  <c r="AA224" i="3"/>
  <c r="AA191" i="3"/>
  <c r="AA176" i="3"/>
  <c r="AA161" i="3"/>
  <c r="AA143" i="3"/>
  <c r="AA123" i="3"/>
  <c r="AA100" i="3"/>
  <c r="AA73" i="3"/>
  <c r="AA51" i="3"/>
  <c r="Y389" i="3"/>
  <c r="Y381" i="3"/>
  <c r="Y373" i="3"/>
  <c r="Y369" i="3"/>
  <c r="Y365" i="3"/>
  <c r="Y361" i="3"/>
  <c r="Y357" i="3"/>
  <c r="Y353" i="3"/>
  <c r="Y349" i="3"/>
  <c r="Y345" i="3"/>
  <c r="Y341" i="3"/>
  <c r="Y337" i="3"/>
  <c r="Y333" i="3"/>
  <c r="Y329" i="3"/>
  <c r="Y325" i="3"/>
  <c r="Y317" i="3"/>
  <c r="Y309" i="3"/>
  <c r="Y299" i="3"/>
  <c r="Y288" i="3"/>
  <c r="Y277" i="3"/>
  <c r="Y267" i="3"/>
  <c r="Y256" i="3"/>
  <c r="Y245" i="3"/>
  <c r="Y235" i="3"/>
  <c r="Y224" i="3"/>
  <c r="Y213" i="3"/>
  <c r="Y203" i="3"/>
  <c r="Y192" i="3"/>
  <c r="Y187" i="3"/>
  <c r="Y176" i="3"/>
  <c r="Y165" i="3"/>
  <c r="Y159" i="3"/>
  <c r="Y149" i="3"/>
  <c r="Y128" i="3"/>
  <c r="Y117" i="3"/>
  <c r="Y105" i="3"/>
  <c r="Y95" i="3"/>
  <c r="Y86" i="3"/>
  <c r="Y74" i="3"/>
  <c r="Y63" i="3"/>
  <c r="Y53" i="3"/>
  <c r="Y41" i="3"/>
  <c r="Y32" i="3"/>
  <c r="Y21" i="3"/>
  <c r="Y9" i="3"/>
  <c r="AA380" i="3"/>
  <c r="AA347" i="3"/>
  <c r="AA317" i="3"/>
  <c r="AA284" i="3"/>
  <c r="AA251" i="3"/>
  <c r="AA221" i="3"/>
  <c r="AA188" i="3"/>
  <c r="AA155" i="3"/>
  <c r="AA19" i="3"/>
  <c r="Y2" i="3"/>
  <c r="Y388" i="3"/>
  <c r="Y384" i="3"/>
  <c r="Y380" i="3"/>
  <c r="Y376" i="3"/>
  <c r="Y372" i="3"/>
  <c r="Y368" i="3"/>
  <c r="Y364" i="3"/>
  <c r="Y360" i="3"/>
  <c r="Y356" i="3"/>
  <c r="Y352" i="3"/>
  <c r="Y348" i="3"/>
  <c r="Y344" i="3"/>
  <c r="Y340" i="3"/>
  <c r="Y336" i="3"/>
  <c r="Y332" i="3"/>
  <c r="Y328" i="3"/>
  <c r="Y324" i="3"/>
  <c r="Y320" i="3"/>
  <c r="Y316" i="3"/>
  <c r="Y312" i="3"/>
  <c r="Y308" i="3"/>
  <c r="Y303" i="3"/>
  <c r="Y297" i="3"/>
  <c r="Y292" i="3"/>
  <c r="Y287" i="3"/>
  <c r="Y281" i="3"/>
  <c r="Y276" i="3"/>
  <c r="Y271" i="3"/>
  <c r="Y265" i="3"/>
  <c r="Y260" i="3"/>
  <c r="Y255" i="3"/>
  <c r="Y249" i="3"/>
  <c r="Y244" i="3"/>
  <c r="Y239" i="3"/>
  <c r="Y233" i="3"/>
  <c r="Y228" i="3"/>
  <c r="Y223" i="3"/>
  <c r="Y217" i="3"/>
  <c r="Y212" i="3"/>
  <c r="Y207" i="3"/>
  <c r="Y201" i="3"/>
  <c r="Y196" i="3"/>
  <c r="Y191" i="3"/>
  <c r="Y185" i="3"/>
  <c r="Y180" i="3"/>
  <c r="Y175" i="3"/>
  <c r="Y169" i="3"/>
  <c r="Y164" i="3"/>
  <c r="Y158" i="3"/>
  <c r="Y146" i="3"/>
  <c r="Y135" i="3"/>
  <c r="Y125" i="3"/>
  <c r="Y113" i="3"/>
  <c r="Y104" i="3"/>
  <c r="Y93" i="3"/>
  <c r="Y81" i="3"/>
  <c r="Y71" i="3"/>
  <c r="Y62" i="3"/>
  <c r="Y50" i="3"/>
  <c r="Y39" i="3"/>
  <c r="Y29" i="3"/>
  <c r="Y17" i="3"/>
  <c r="Y8" i="3"/>
  <c r="AA2" i="3"/>
  <c r="AA377" i="3"/>
  <c r="AA359" i="3"/>
  <c r="AA344" i="3"/>
  <c r="AA329" i="3"/>
  <c r="AA311" i="3"/>
  <c r="AA296" i="3"/>
  <c r="AA281" i="3"/>
  <c r="AA263" i="3"/>
  <c r="AA248" i="3"/>
  <c r="AA233" i="3"/>
  <c r="AA215" i="3"/>
  <c r="AA200" i="3"/>
  <c r="AA185" i="3"/>
  <c r="AA167" i="3"/>
  <c r="AA152" i="3"/>
  <c r="AA136" i="3"/>
  <c r="AA109" i="3"/>
  <c r="AA87" i="3"/>
  <c r="AA64" i="3"/>
  <c r="AA37" i="3"/>
  <c r="AA15" i="3"/>
  <c r="Y247" i="3"/>
  <c r="Y236" i="3"/>
  <c r="Y225" i="3"/>
  <c r="Y215" i="3"/>
  <c r="Y204" i="3"/>
  <c r="Y193" i="3"/>
  <c r="Y177" i="3"/>
  <c r="Y167" i="3"/>
  <c r="Y160" i="3"/>
  <c r="Y141" i="3"/>
  <c r="Y119" i="3"/>
  <c r="Y98" i="3"/>
  <c r="Y77" i="3"/>
  <c r="Y56" i="3"/>
  <c r="Y33" i="3"/>
  <c r="Y23" i="3"/>
  <c r="AA368" i="3"/>
  <c r="AA335" i="3"/>
  <c r="AA287" i="3"/>
  <c r="AA257" i="3"/>
  <c r="AA209" i="3"/>
  <c r="AA28" i="3"/>
  <c r="Y385" i="3"/>
  <c r="Y377" i="3"/>
  <c r="Y321" i="3"/>
  <c r="Y313" i="3"/>
  <c r="Y304" i="3"/>
  <c r="Y293" i="3"/>
  <c r="Y283" i="3"/>
  <c r="Y272" i="3"/>
  <c r="Y261" i="3"/>
  <c r="Y251" i="3"/>
  <c r="Y240" i="3"/>
  <c r="Y229" i="3"/>
  <c r="Y219" i="3"/>
  <c r="Y208" i="3"/>
  <c r="Y197" i="3"/>
  <c r="Y181" i="3"/>
  <c r="Y171" i="3"/>
  <c r="Y137" i="3"/>
  <c r="AA365" i="3"/>
  <c r="AA332" i="3"/>
  <c r="AA299" i="3"/>
  <c r="AA269" i="3"/>
  <c r="AA236" i="3"/>
  <c r="AA203" i="3"/>
  <c r="AA173" i="3"/>
  <c r="AA140" i="3"/>
  <c r="AA118" i="3"/>
  <c r="AA91" i="3"/>
  <c r="AA69" i="3"/>
  <c r="AA46" i="3"/>
  <c r="Y391" i="3"/>
  <c r="Y387" i="3"/>
  <c r="Y383" i="3"/>
  <c r="Y379" i="3"/>
  <c r="Y375" i="3"/>
  <c r="Y371" i="3"/>
  <c r="Y367" i="3"/>
  <c r="Y363" i="3"/>
  <c r="Y359" i="3"/>
  <c r="Y355" i="3"/>
  <c r="Y351" i="3"/>
  <c r="Y347" i="3"/>
  <c r="Y343" i="3"/>
  <c r="Y339" i="3"/>
  <c r="Y335" i="3"/>
  <c r="Y331" i="3"/>
  <c r="Y327" i="3"/>
  <c r="Y323" i="3"/>
  <c r="Y319" i="3"/>
  <c r="Y315" i="3"/>
  <c r="Y311" i="3"/>
  <c r="Y307" i="3"/>
  <c r="Y301" i="3"/>
  <c r="Y296" i="3"/>
  <c r="Y291" i="3"/>
  <c r="Y285" i="3"/>
  <c r="Y280" i="3"/>
  <c r="Y275" i="3"/>
  <c r="Y269" i="3"/>
  <c r="Y264" i="3"/>
  <c r="Y259" i="3"/>
  <c r="Y253" i="3"/>
  <c r="Y248" i="3"/>
  <c r="Y243" i="3"/>
  <c r="Y237" i="3"/>
  <c r="Y232" i="3"/>
  <c r="Y227" i="3"/>
  <c r="Y221" i="3"/>
  <c r="Y216" i="3"/>
  <c r="Y211" i="3"/>
  <c r="Y205" i="3"/>
  <c r="Y200" i="3"/>
  <c r="Y195" i="3"/>
  <c r="Y189" i="3"/>
  <c r="Y184" i="3"/>
  <c r="Y179" i="3"/>
  <c r="Y173" i="3"/>
  <c r="Y168" i="3"/>
  <c r="Y163" i="3"/>
  <c r="Y153" i="3"/>
  <c r="Y143" i="3"/>
  <c r="Y134" i="3"/>
  <c r="Y122" i="3"/>
  <c r="Y111" i="3"/>
  <c r="Y101" i="3"/>
  <c r="Y89" i="3"/>
  <c r="Y80" i="3"/>
  <c r="Y69" i="3"/>
  <c r="Y57" i="3"/>
  <c r="Y47" i="3"/>
  <c r="Y38" i="3"/>
  <c r="Y26" i="3"/>
  <c r="Y15" i="3"/>
  <c r="Y5" i="3"/>
  <c r="AA389" i="3"/>
  <c r="AA371" i="3"/>
  <c r="AA356" i="3"/>
  <c r="AA341" i="3"/>
  <c r="AA323" i="3"/>
  <c r="AA308" i="3"/>
  <c r="AA293" i="3"/>
  <c r="AA275" i="3"/>
  <c r="AA260" i="3"/>
  <c r="AA245" i="3"/>
  <c r="AA227" i="3"/>
  <c r="AA212" i="3"/>
  <c r="AA197" i="3"/>
  <c r="AA179" i="3"/>
  <c r="AA164" i="3"/>
  <c r="AA149" i="3"/>
  <c r="AA127" i="3"/>
  <c r="AA105" i="3"/>
  <c r="AA82" i="3"/>
  <c r="AA55" i="3"/>
  <c r="AA33" i="3"/>
  <c r="AA10" i="3"/>
  <c r="Y306" i="3"/>
  <c r="Y302" i="3"/>
  <c r="Y298" i="3"/>
  <c r="Y294" i="3"/>
  <c r="Y290" i="3"/>
  <c r="Y286" i="3"/>
  <c r="Y282" i="3"/>
  <c r="Y278" i="3"/>
  <c r="Y274" i="3"/>
  <c r="Y270" i="3"/>
  <c r="Y266" i="3"/>
  <c r="Y262" i="3"/>
  <c r="Y258" i="3"/>
  <c r="Y254" i="3"/>
  <c r="Y250" i="3"/>
  <c r="Y246" i="3"/>
  <c r="Y242" i="3"/>
  <c r="Y238" i="3"/>
  <c r="Y234" i="3"/>
  <c r="Y230" i="3"/>
  <c r="Y226" i="3"/>
  <c r="Y222" i="3"/>
  <c r="Y218" i="3"/>
  <c r="Y214" i="3"/>
  <c r="Y210" i="3"/>
  <c r="Y206" i="3"/>
  <c r="Y202" i="3"/>
  <c r="Y198" i="3"/>
  <c r="Y194" i="3"/>
  <c r="Y190" i="3"/>
  <c r="Y186" i="3"/>
  <c r="Y182" i="3"/>
  <c r="Y178" i="3"/>
  <c r="Y174" i="3"/>
  <c r="Y170" i="3"/>
  <c r="Y166" i="3"/>
  <c r="Y162" i="3"/>
  <c r="Y155" i="3"/>
  <c r="Y147" i="3"/>
  <c r="Y140" i="3"/>
  <c r="Y131" i="3"/>
  <c r="Y123" i="3"/>
  <c r="Y116" i="3"/>
  <c r="Y107" i="3"/>
  <c r="Y99" i="3"/>
  <c r="Y92" i="3"/>
  <c r="Y83" i="3"/>
  <c r="Y75" i="3"/>
  <c r="Y68" i="3"/>
  <c r="Y59" i="3"/>
  <c r="Y51" i="3"/>
  <c r="Y44" i="3"/>
  <c r="Y35" i="3"/>
  <c r="Y27" i="3"/>
  <c r="Y20" i="3"/>
  <c r="Y11" i="3"/>
  <c r="AA386" i="3"/>
  <c r="AA374" i="3"/>
  <c r="AA362" i="3"/>
  <c r="AA350" i="3"/>
  <c r="AA338" i="3"/>
  <c r="AA326" i="3"/>
  <c r="AA314" i="3"/>
  <c r="AA302" i="3"/>
  <c r="AA290" i="3"/>
  <c r="AA278" i="3"/>
  <c r="AA266" i="3"/>
  <c r="AA254" i="3"/>
  <c r="AA242" i="3"/>
  <c r="AA230" i="3"/>
  <c r="AA218" i="3"/>
  <c r="AA206" i="3"/>
  <c r="AA194" i="3"/>
  <c r="AA182" i="3"/>
  <c r="AA170" i="3"/>
  <c r="AA158" i="3"/>
  <c r="AA146" i="3"/>
  <c r="AA132" i="3"/>
  <c r="AA114" i="3"/>
  <c r="AA96" i="3"/>
  <c r="AA78" i="3"/>
  <c r="AA60" i="3"/>
  <c r="AA42" i="3"/>
  <c r="AA24" i="3"/>
  <c r="AA6" i="3"/>
  <c r="Y161" i="3"/>
  <c r="Y156" i="3"/>
  <c r="Y150" i="3"/>
  <c r="Y144" i="3"/>
  <c r="Y138" i="3"/>
  <c r="Y132" i="3"/>
  <c r="Y126" i="3"/>
  <c r="Y120" i="3"/>
  <c r="Y114" i="3"/>
  <c r="Y108" i="3"/>
  <c r="Y102" i="3"/>
  <c r="Y96" i="3"/>
  <c r="Y90" i="3"/>
  <c r="Y84" i="3"/>
  <c r="Y78" i="3"/>
  <c r="Y72" i="3"/>
  <c r="Y66" i="3"/>
  <c r="Y60" i="3"/>
  <c r="Y54" i="3"/>
  <c r="Y48" i="3"/>
  <c r="Y42" i="3"/>
  <c r="Y36" i="3"/>
  <c r="Y30" i="3"/>
  <c r="Y24" i="3"/>
  <c r="Y18" i="3"/>
  <c r="Y12" i="3"/>
  <c r="Y6" i="3"/>
  <c r="Y3" i="3"/>
  <c r="AA387" i="3"/>
  <c r="AA381" i="3"/>
  <c r="AA375" i="3"/>
  <c r="AA369" i="3"/>
  <c r="AA363" i="3"/>
  <c r="AA357" i="3"/>
  <c r="AA351" i="3"/>
  <c r="AA345" i="3"/>
  <c r="AA339" i="3"/>
  <c r="AA333" i="3"/>
  <c r="AA327" i="3"/>
  <c r="AA321" i="3"/>
  <c r="AA315" i="3"/>
  <c r="AA309" i="3"/>
  <c r="AA303" i="3"/>
  <c r="AA297" i="3"/>
  <c r="AA291" i="3"/>
  <c r="AA285" i="3"/>
  <c r="AA279" i="3"/>
  <c r="AA273" i="3"/>
  <c r="AA267" i="3"/>
  <c r="AA261" i="3"/>
  <c r="AA255" i="3"/>
  <c r="AA249" i="3"/>
  <c r="AA243" i="3"/>
  <c r="AA237" i="3"/>
  <c r="AA231" i="3"/>
  <c r="AA225" i="3"/>
  <c r="AA219" i="3"/>
  <c r="AA213" i="3"/>
  <c r="AA207" i="3"/>
  <c r="AA201" i="3"/>
  <c r="AA195" i="3"/>
  <c r="AA189" i="3"/>
  <c r="AA183" i="3"/>
  <c r="AA177" i="3"/>
  <c r="AA171" i="3"/>
  <c r="AA165" i="3"/>
  <c r="AA159" i="3"/>
  <c r="AA153" i="3"/>
  <c r="AA147" i="3"/>
  <c r="AA141" i="3"/>
  <c r="AA133" i="3"/>
  <c r="AA124" i="3"/>
  <c r="AA115" i="3"/>
  <c r="AA106" i="3"/>
  <c r="AA97" i="3"/>
  <c r="AA88" i="3"/>
  <c r="AA79" i="3"/>
  <c r="AA70" i="3"/>
  <c r="AA61" i="3"/>
  <c r="AA52" i="3"/>
  <c r="AA43" i="3"/>
  <c r="AA34" i="3"/>
  <c r="AA25" i="3"/>
  <c r="AA16" i="3"/>
  <c r="AA7" i="3"/>
  <c r="AA390" i="3"/>
  <c r="AA384" i="3"/>
  <c r="AA378" i="3"/>
  <c r="AA372" i="3"/>
  <c r="AA366" i="3"/>
  <c r="AA360" i="3"/>
  <c r="AA354" i="3"/>
  <c r="AA348" i="3"/>
  <c r="AA342" i="3"/>
  <c r="AA336" i="3"/>
  <c r="AA330" i="3"/>
  <c r="AA324" i="3"/>
  <c r="AA318" i="3"/>
  <c r="AA312" i="3"/>
  <c r="AA306" i="3"/>
  <c r="AA300" i="3"/>
  <c r="AA294" i="3"/>
  <c r="AA288" i="3"/>
  <c r="AA282" i="3"/>
  <c r="AA276" i="3"/>
  <c r="AA270" i="3"/>
  <c r="AA264" i="3"/>
  <c r="AA258" i="3"/>
  <c r="AA252" i="3"/>
  <c r="AA246" i="3"/>
  <c r="AA240" i="3"/>
  <c r="AA234" i="3"/>
  <c r="AA228" i="3"/>
  <c r="AA222" i="3"/>
  <c r="AA216" i="3"/>
  <c r="AA210" i="3"/>
  <c r="AA204" i="3"/>
  <c r="AA198" i="3"/>
  <c r="AA192" i="3"/>
  <c r="AA186" i="3"/>
  <c r="AA180" i="3"/>
  <c r="AA174" i="3"/>
  <c r="AA168" i="3"/>
  <c r="AA162" i="3"/>
  <c r="AA156" i="3"/>
  <c r="AA150" i="3"/>
  <c r="AA144" i="3"/>
  <c r="AA138" i="3"/>
  <c r="AA129" i="3"/>
  <c r="AA120" i="3"/>
  <c r="AA111" i="3"/>
  <c r="AA102" i="3"/>
  <c r="AA93" i="3"/>
  <c r="AA84" i="3"/>
  <c r="AA75" i="3"/>
  <c r="AA66" i="3"/>
  <c r="AA57" i="3"/>
  <c r="AA48" i="3"/>
  <c r="AA39" i="3"/>
  <c r="AA30" i="3"/>
  <c r="AA21" i="3"/>
  <c r="AA12" i="3"/>
  <c r="AA3" i="3"/>
  <c r="AB391" i="3"/>
  <c r="Y157" i="3"/>
  <c r="Y154" i="3"/>
  <c r="Y151" i="3"/>
  <c r="Y148" i="3"/>
  <c r="Y145" i="3"/>
  <c r="Y142" i="3"/>
  <c r="Y139" i="3"/>
  <c r="Y136" i="3"/>
  <c r="Y133" i="3"/>
  <c r="Y130" i="3"/>
  <c r="Y127" i="3"/>
  <c r="Y124" i="3"/>
  <c r="Y121" i="3"/>
  <c r="Y118" i="3"/>
  <c r="Y115" i="3"/>
  <c r="Y112" i="3"/>
  <c r="Y109" i="3"/>
  <c r="Y106" i="3"/>
  <c r="Y103" i="3"/>
  <c r="Y100" i="3"/>
  <c r="Y97" i="3"/>
  <c r="Y94" i="3"/>
  <c r="Y91" i="3"/>
  <c r="Y88" i="3"/>
  <c r="Y85" i="3"/>
  <c r="Y82" i="3"/>
  <c r="Y79" i="3"/>
  <c r="Y76" i="3"/>
  <c r="Y73" i="3"/>
  <c r="Y70" i="3"/>
  <c r="Y67" i="3"/>
  <c r="Y64" i="3"/>
  <c r="Y61" i="3"/>
  <c r="Y58" i="3"/>
  <c r="Y55" i="3"/>
  <c r="Y52" i="3"/>
  <c r="Y49" i="3"/>
  <c r="Y46" i="3"/>
  <c r="Y43" i="3"/>
  <c r="Y40" i="3"/>
  <c r="Y37" i="3"/>
  <c r="Y34" i="3"/>
  <c r="Y31" i="3"/>
  <c r="Y28" i="3"/>
  <c r="Y25" i="3"/>
  <c r="Y22" i="3"/>
  <c r="Y19" i="3"/>
  <c r="Y16" i="3"/>
  <c r="Y13" i="3"/>
  <c r="Y10" i="3"/>
  <c r="Y7" i="3"/>
  <c r="Y4" i="3"/>
  <c r="AA391" i="3"/>
  <c r="AA388" i="3"/>
  <c r="AA385" i="3"/>
  <c r="AA382" i="3"/>
  <c r="AA379" i="3"/>
  <c r="AA376" i="3"/>
  <c r="AA373" i="3"/>
  <c r="AA370" i="3"/>
  <c r="AA367" i="3"/>
  <c r="AA364" i="3"/>
  <c r="AA361" i="3"/>
  <c r="AA358" i="3"/>
  <c r="AA355" i="3"/>
  <c r="AA352" i="3"/>
  <c r="AA349" i="3"/>
  <c r="AA346" i="3"/>
  <c r="AA343" i="3"/>
  <c r="AA340" i="3"/>
  <c r="AA337" i="3"/>
  <c r="AA334" i="3"/>
  <c r="AA331" i="3"/>
  <c r="AA328" i="3"/>
  <c r="AA325" i="3"/>
  <c r="AA322" i="3"/>
  <c r="AA319" i="3"/>
  <c r="AA316" i="3"/>
  <c r="AA313" i="3"/>
  <c r="AA310" i="3"/>
  <c r="AA307" i="3"/>
  <c r="AA304" i="3"/>
  <c r="AA301" i="3"/>
  <c r="AA298" i="3"/>
  <c r="AA295" i="3"/>
  <c r="AA292" i="3"/>
  <c r="AA289" i="3"/>
  <c r="AA286" i="3"/>
  <c r="AA283" i="3"/>
  <c r="AA280" i="3"/>
  <c r="AA277" i="3"/>
  <c r="AA274" i="3"/>
  <c r="AA271" i="3"/>
  <c r="AA268" i="3"/>
  <c r="AA265" i="3"/>
  <c r="AA262" i="3"/>
  <c r="AA259" i="3"/>
  <c r="AA256" i="3"/>
  <c r="AA253" i="3"/>
  <c r="AA250" i="3"/>
  <c r="AA247" i="3"/>
  <c r="AA244" i="3"/>
  <c r="AA241" i="3"/>
  <c r="AA238" i="3"/>
  <c r="AA235" i="3"/>
  <c r="AA232" i="3"/>
  <c r="AA229" i="3"/>
  <c r="AA226" i="3"/>
  <c r="AA223" i="3"/>
  <c r="AA220" i="3"/>
  <c r="AA217" i="3"/>
  <c r="AA214" i="3"/>
  <c r="AA211" i="3"/>
  <c r="AA208" i="3"/>
  <c r="AA205" i="3"/>
  <c r="AA202" i="3"/>
  <c r="AA199" i="3"/>
  <c r="AA196" i="3"/>
  <c r="AA193" i="3"/>
  <c r="AA190" i="3"/>
  <c r="AA187" i="3"/>
  <c r="AA184" i="3"/>
  <c r="AA181" i="3"/>
  <c r="AA178" i="3"/>
  <c r="AA175" i="3"/>
  <c r="AA172" i="3"/>
  <c r="AA169" i="3"/>
  <c r="AA166" i="3"/>
  <c r="AA163" i="3"/>
  <c r="AA160" i="3"/>
  <c r="AA157" i="3"/>
  <c r="AA154" i="3"/>
  <c r="AA151" i="3"/>
  <c r="AA148" i="3"/>
  <c r="AA145" i="3"/>
  <c r="AA142" i="3"/>
  <c r="AA139" i="3"/>
  <c r="AA135" i="3"/>
  <c r="AA130" i="3"/>
  <c r="AA126" i="3"/>
  <c r="AA121" i="3"/>
  <c r="AA117" i="3"/>
  <c r="AA112" i="3"/>
  <c r="AA108" i="3"/>
  <c r="AA103" i="3"/>
  <c r="AA99" i="3"/>
  <c r="AA94" i="3"/>
  <c r="AA90" i="3"/>
  <c r="AA85" i="3"/>
  <c r="AA81" i="3"/>
  <c r="AA76" i="3"/>
  <c r="AA72" i="3"/>
  <c r="AA67" i="3"/>
  <c r="AA63" i="3"/>
  <c r="AA58" i="3"/>
  <c r="AA54" i="3"/>
  <c r="AA49" i="3"/>
  <c r="AA45" i="3"/>
  <c r="AA40" i="3"/>
  <c r="AA36" i="3"/>
  <c r="AA31" i="3"/>
  <c r="AA27" i="3"/>
  <c r="AA22" i="3"/>
  <c r="AA18" i="3"/>
  <c r="AA13" i="3"/>
  <c r="AA9" i="3"/>
  <c r="AA4" i="3"/>
  <c r="AB390" i="3"/>
  <c r="AB385" i="3"/>
  <c r="AB381" i="3"/>
  <c r="AB388" i="3"/>
  <c r="AB384" i="3"/>
  <c r="AB379" i="3"/>
  <c r="AB387" i="3"/>
  <c r="AB382" i="3"/>
  <c r="AB378" i="3"/>
  <c r="AA137" i="3"/>
  <c r="AA134" i="3"/>
  <c r="AA131" i="3"/>
  <c r="AA128" i="3"/>
  <c r="AA125" i="3"/>
  <c r="AA122" i="3"/>
  <c r="AA119" i="3"/>
  <c r="AA116" i="3"/>
  <c r="AA113" i="3"/>
  <c r="AA110" i="3"/>
  <c r="AA107" i="3"/>
  <c r="AA104" i="3"/>
  <c r="AA101" i="3"/>
  <c r="AA98" i="3"/>
  <c r="AA95" i="3"/>
  <c r="AA92" i="3"/>
  <c r="AA89" i="3"/>
  <c r="AA86" i="3"/>
  <c r="AA83" i="3"/>
  <c r="AA80" i="3"/>
  <c r="AA77" i="3"/>
  <c r="AA74" i="3"/>
  <c r="AA71" i="3"/>
  <c r="AA68" i="3"/>
  <c r="AA65" i="3"/>
  <c r="AA62" i="3"/>
  <c r="AA59" i="3"/>
  <c r="AA56" i="3"/>
  <c r="AA53" i="3"/>
  <c r="AA50" i="3"/>
  <c r="AA47" i="3"/>
  <c r="AA44" i="3"/>
  <c r="AA41" i="3"/>
  <c r="AA38" i="3"/>
  <c r="AA35" i="3"/>
  <c r="AA32" i="3"/>
  <c r="AA29" i="3"/>
  <c r="AA26" i="3"/>
  <c r="AA23" i="3"/>
  <c r="AA20" i="3"/>
  <c r="AA17" i="3"/>
  <c r="AA14" i="3"/>
  <c r="AA11" i="3"/>
  <c r="AA8" i="3"/>
  <c r="AA5" i="3"/>
  <c r="AB2" i="3"/>
  <c r="AB389" i="3"/>
  <c r="AB386" i="3"/>
  <c r="AB383" i="3"/>
  <c r="AB380" i="3"/>
  <c r="AB377" i="3"/>
  <c r="AB374" i="3"/>
  <c r="AB371" i="3"/>
  <c r="AB368" i="3"/>
  <c r="AB365" i="3"/>
  <c r="AB362" i="3"/>
  <c r="AB359" i="3"/>
  <c r="AB356" i="3"/>
  <c r="AB353" i="3"/>
  <c r="AB350" i="3"/>
  <c r="AB347" i="3"/>
  <c r="AB344" i="3"/>
  <c r="AB341" i="3"/>
  <c r="AB338" i="3"/>
  <c r="AB335" i="3"/>
  <c r="AB332" i="3"/>
  <c r="AB329" i="3"/>
  <c r="AB326" i="3"/>
  <c r="AB323" i="3"/>
  <c r="AB320" i="3"/>
  <c r="AB317" i="3"/>
  <c r="AB314" i="3"/>
  <c r="AB311" i="3"/>
  <c r="AB308" i="3"/>
  <c r="AB305" i="3"/>
  <c r="AB302" i="3"/>
  <c r="AB299" i="3"/>
  <c r="AB296" i="3"/>
  <c r="AB293" i="3"/>
  <c r="AB290" i="3"/>
  <c r="AB287" i="3"/>
  <c r="AB282" i="3"/>
  <c r="AB278" i="3"/>
  <c r="AB273" i="3"/>
  <c r="AB269" i="3"/>
  <c r="AB376" i="3"/>
  <c r="AB373" i="3"/>
  <c r="AB370" i="3"/>
  <c r="AB367" i="3"/>
  <c r="AB364" i="3"/>
  <c r="AB361" i="3"/>
  <c r="AB358" i="3"/>
  <c r="AB355" i="3"/>
  <c r="AB352" i="3"/>
  <c r="AB349" i="3"/>
  <c r="AB346" i="3"/>
  <c r="AB343" i="3"/>
  <c r="AB340" i="3"/>
  <c r="AB337" i="3"/>
  <c r="AB334" i="3"/>
  <c r="AB331" i="3"/>
  <c r="AB328" i="3"/>
  <c r="AB325" i="3"/>
  <c r="AB322" i="3"/>
  <c r="AB319" i="3"/>
  <c r="AB316" i="3"/>
  <c r="AB313" i="3"/>
  <c r="AB310" i="3"/>
  <c r="AB307" i="3"/>
  <c r="AB304" i="3"/>
  <c r="AB301" i="3"/>
  <c r="AB298" i="3"/>
  <c r="AB295" i="3"/>
  <c r="AB292" i="3"/>
  <c r="AB289" i="3"/>
  <c r="AB285" i="3"/>
  <c r="AB281" i="3"/>
  <c r="AB276" i="3"/>
  <c r="AB272" i="3"/>
  <c r="AB267" i="3"/>
  <c r="AB375" i="3"/>
  <c r="AB372" i="3"/>
  <c r="AB369" i="3"/>
  <c r="AB366" i="3"/>
  <c r="AB363" i="3"/>
  <c r="AB360" i="3"/>
  <c r="AB357" i="3"/>
  <c r="AB354" i="3"/>
  <c r="AB351" i="3"/>
  <c r="AB348" i="3"/>
  <c r="AB345" i="3"/>
  <c r="AB342" i="3"/>
  <c r="AB339" i="3"/>
  <c r="AB336" i="3"/>
  <c r="AB333" i="3"/>
  <c r="AB330" i="3"/>
  <c r="AB327" i="3"/>
  <c r="AB324" i="3"/>
  <c r="AB321" i="3"/>
  <c r="AB318" i="3"/>
  <c r="AB315" i="3"/>
  <c r="AB312" i="3"/>
  <c r="AB309" i="3"/>
  <c r="AB306" i="3"/>
  <c r="AB303" i="3"/>
  <c r="AB300" i="3"/>
  <c r="AB297" i="3"/>
  <c r="AB294" i="3"/>
  <c r="AB291" i="3"/>
  <c r="AB288" i="3"/>
  <c r="AB284" i="3"/>
  <c r="AB279" i="3"/>
  <c r="AB275" i="3"/>
  <c r="AB270" i="3"/>
  <c r="AB264" i="3"/>
  <c r="AB266" i="3"/>
  <c r="AB263" i="3"/>
  <c r="AB260" i="3"/>
  <c r="AB257" i="3"/>
  <c r="AB254" i="3"/>
  <c r="AB251" i="3"/>
  <c r="AB248" i="3"/>
  <c r="AB245" i="3"/>
  <c r="AB242" i="3"/>
  <c r="AB239" i="3"/>
  <c r="AB236" i="3"/>
  <c r="AB233" i="3"/>
  <c r="AB230" i="3"/>
  <c r="AB227" i="3"/>
  <c r="AB224" i="3"/>
  <c r="AB221" i="3"/>
  <c r="AB218" i="3"/>
  <c r="AB215" i="3"/>
  <c r="AB212" i="3"/>
  <c r="AB209" i="3"/>
  <c r="AB206" i="3"/>
  <c r="AB203" i="3"/>
  <c r="AB200" i="3"/>
  <c r="AB197" i="3"/>
  <c r="AB194" i="3"/>
  <c r="AB191" i="3"/>
  <c r="AB188" i="3"/>
  <c r="AB185" i="3"/>
  <c r="AB182" i="3"/>
  <c r="AB179" i="3"/>
  <c r="AB176" i="3"/>
  <c r="AB173" i="3"/>
  <c r="AB170" i="3"/>
  <c r="AB167" i="3"/>
  <c r="AB164" i="3"/>
  <c r="AB161" i="3"/>
  <c r="AB158" i="3"/>
  <c r="AB155" i="3"/>
  <c r="AB152" i="3"/>
  <c r="AB149" i="3"/>
  <c r="AB146" i="3"/>
  <c r="AB143" i="3"/>
  <c r="AB140" i="3"/>
  <c r="AB137" i="3"/>
  <c r="AB134" i="3"/>
  <c r="AB131" i="3"/>
  <c r="AB128" i="3"/>
  <c r="AB125" i="3"/>
  <c r="AB122" i="3"/>
  <c r="AB119" i="3"/>
  <c r="AB116" i="3"/>
  <c r="AB113" i="3"/>
  <c r="AB110" i="3"/>
  <c r="AB107" i="3"/>
  <c r="AB104" i="3"/>
  <c r="AB101" i="3"/>
  <c r="AB98" i="3"/>
  <c r="AB95" i="3"/>
  <c r="AB92" i="3"/>
  <c r="AB89" i="3"/>
  <c r="AB86" i="3"/>
  <c r="AB83" i="3"/>
  <c r="AB80" i="3"/>
  <c r="AB77" i="3"/>
  <c r="AB74" i="3"/>
  <c r="AB71" i="3"/>
  <c r="AB68" i="3"/>
  <c r="AB65" i="3"/>
  <c r="AB62" i="3"/>
  <c r="AB59" i="3"/>
  <c r="AB56" i="3"/>
  <c r="AB53" i="3"/>
  <c r="AB50" i="3"/>
  <c r="AB47" i="3"/>
  <c r="AB44" i="3"/>
  <c r="AB41" i="3"/>
  <c r="AB38" i="3"/>
  <c r="AB35" i="3"/>
  <c r="AB286" i="3"/>
  <c r="AB283" i="3"/>
  <c r="AB280" i="3"/>
  <c r="AB277" i="3"/>
  <c r="AB274" i="3"/>
  <c r="AB271" i="3"/>
  <c r="AB268" i="3"/>
  <c r="AB265" i="3"/>
  <c r="AB262" i="3"/>
  <c r="AB259" i="3"/>
  <c r="AB256" i="3"/>
  <c r="AB253" i="3"/>
  <c r="AB250" i="3"/>
  <c r="AB247" i="3"/>
  <c r="AB244" i="3"/>
  <c r="AB241" i="3"/>
  <c r="AB238" i="3"/>
  <c r="AB235" i="3"/>
  <c r="AB232" i="3"/>
  <c r="AB229" i="3"/>
  <c r="AB226" i="3"/>
  <c r="AB223" i="3"/>
  <c r="AB220" i="3"/>
  <c r="AB217" i="3"/>
  <c r="AB214" i="3"/>
  <c r="AB211" i="3"/>
  <c r="AB208" i="3"/>
  <c r="AB205" i="3"/>
  <c r="AB202" i="3"/>
  <c r="AB199" i="3"/>
  <c r="AB196" i="3"/>
  <c r="AB193" i="3"/>
  <c r="AB190" i="3"/>
  <c r="AB187" i="3"/>
  <c r="AB184" i="3"/>
  <c r="AB181" i="3"/>
  <c r="AB178" i="3"/>
  <c r="AB175" i="3"/>
  <c r="AB172" i="3"/>
  <c r="AB169" i="3"/>
  <c r="AB166" i="3"/>
  <c r="AB163" i="3"/>
  <c r="AB160" i="3"/>
  <c r="AB157" i="3"/>
  <c r="AB154" i="3"/>
  <c r="AB151" i="3"/>
  <c r="AB148" i="3"/>
  <c r="AB145" i="3"/>
  <c r="AB142" i="3"/>
  <c r="AB139" i="3"/>
  <c r="AB136" i="3"/>
  <c r="AB133" i="3"/>
  <c r="AB130" i="3"/>
  <c r="AB127" i="3"/>
  <c r="AB124" i="3"/>
  <c r="AB121" i="3"/>
  <c r="AB118" i="3"/>
  <c r="AB115" i="3"/>
  <c r="AB112" i="3"/>
  <c r="AB109" i="3"/>
  <c r="AB106" i="3"/>
  <c r="AB103" i="3"/>
  <c r="AB100" i="3"/>
  <c r="AB97" i="3"/>
  <c r="AB94" i="3"/>
  <c r="AB91" i="3"/>
  <c r="AB88" i="3"/>
  <c r="AB85" i="3"/>
  <c r="AB82" i="3"/>
  <c r="AB79" i="3"/>
  <c r="AB76" i="3"/>
  <c r="AB73" i="3"/>
  <c r="AB70" i="3"/>
  <c r="AB67" i="3"/>
  <c r="AB64" i="3"/>
  <c r="AB61" i="3"/>
  <c r="AB58" i="3"/>
  <c r="AB55" i="3"/>
  <c r="AB52" i="3"/>
  <c r="AB49" i="3"/>
  <c r="AB46" i="3"/>
  <c r="AB43" i="3"/>
  <c r="AB40" i="3"/>
  <c r="AB37" i="3"/>
  <c r="AB34" i="3"/>
  <c r="AB261" i="3"/>
  <c r="AB258" i="3"/>
  <c r="AB255" i="3"/>
  <c r="AB252" i="3"/>
  <c r="AB249" i="3"/>
  <c r="AB246" i="3"/>
  <c r="AB243" i="3"/>
  <c r="AB240" i="3"/>
  <c r="AB237" i="3"/>
  <c r="AB234" i="3"/>
  <c r="AB231" i="3"/>
  <c r="AB228" i="3"/>
  <c r="AB225" i="3"/>
  <c r="AB222" i="3"/>
  <c r="AB219" i="3"/>
  <c r="AB216" i="3"/>
  <c r="AB213" i="3"/>
  <c r="AB210" i="3"/>
  <c r="AB207" i="3"/>
  <c r="AB204" i="3"/>
  <c r="AB201" i="3"/>
  <c r="AB198" i="3"/>
  <c r="AB195" i="3"/>
  <c r="AB192" i="3"/>
  <c r="AB189" i="3"/>
  <c r="AB186" i="3"/>
  <c r="AB183" i="3"/>
  <c r="AB180" i="3"/>
  <c r="AB177" i="3"/>
  <c r="AB174" i="3"/>
  <c r="AB171" i="3"/>
  <c r="AB168" i="3"/>
  <c r="AB165" i="3"/>
  <c r="AB162" i="3"/>
  <c r="AB159" i="3"/>
  <c r="AB156" i="3"/>
  <c r="AB153" i="3"/>
  <c r="AB150" i="3"/>
  <c r="AB147" i="3"/>
  <c r="AB144" i="3"/>
  <c r="AB141" i="3"/>
  <c r="AB138" i="3"/>
  <c r="AB135" i="3"/>
  <c r="AB132" i="3"/>
  <c r="AB129" i="3"/>
  <c r="AB126" i="3"/>
  <c r="AB123" i="3"/>
  <c r="AB120" i="3"/>
  <c r="AB117" i="3"/>
  <c r="AB114" i="3"/>
  <c r="AB111" i="3"/>
  <c r="AB108" i="3"/>
  <c r="AB105" i="3"/>
  <c r="AB102" i="3"/>
  <c r="AB99" i="3"/>
  <c r="AB96" i="3"/>
  <c r="AB93" i="3"/>
  <c r="AB90" i="3"/>
  <c r="AB87" i="3"/>
  <c r="AB84" i="3"/>
  <c r="AB81" i="3"/>
  <c r="AB78" i="3"/>
  <c r="AB75" i="3"/>
  <c r="AB72" i="3"/>
  <c r="AB69" i="3"/>
  <c r="AB66" i="3"/>
  <c r="AB63" i="3"/>
  <c r="AB60" i="3"/>
  <c r="AB57" i="3"/>
  <c r="AB54" i="3"/>
  <c r="AB51" i="3"/>
  <c r="AB48" i="3"/>
  <c r="AB45" i="3"/>
  <c r="AB42" i="3"/>
  <c r="AB39" i="3"/>
  <c r="AB36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</calcChain>
</file>

<file path=xl/sharedStrings.xml><?xml version="1.0" encoding="utf-8"?>
<sst xmlns="http://schemas.openxmlformats.org/spreadsheetml/2006/main" count="927" uniqueCount="88">
  <si>
    <t>hr</t>
  </si>
  <si>
    <t>Sum of instant</t>
  </si>
  <si>
    <t>Grand Total</t>
  </si>
  <si>
    <t>weathersit</t>
  </si>
  <si>
    <t>DayType</t>
  </si>
  <si>
    <t>weekend</t>
  </si>
  <si>
    <t>instant</t>
  </si>
  <si>
    <t>dteday</t>
  </si>
  <si>
    <t>season</t>
  </si>
  <si>
    <t>yr</t>
  </si>
  <si>
    <t>mnth</t>
  </si>
  <si>
    <t>holiday</t>
  </si>
  <si>
    <t>weekday</t>
  </si>
  <si>
    <t>temp</t>
  </si>
  <si>
    <t>SeasonName</t>
  </si>
  <si>
    <t>Total temp</t>
  </si>
  <si>
    <t>Avg Temp</t>
  </si>
  <si>
    <t>Weekend Count</t>
  </si>
  <si>
    <t xml:space="preserve">Temp in text </t>
  </si>
  <si>
    <t>Left Text</t>
  </si>
  <si>
    <t>Right  Text</t>
  </si>
  <si>
    <t>Text lenght</t>
  </si>
  <si>
    <t>Column1</t>
  </si>
  <si>
    <t>countif</t>
  </si>
  <si>
    <t>sumif</t>
  </si>
  <si>
    <t>StdV</t>
  </si>
  <si>
    <t>Correl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</si>
  <si>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</si>
  <si>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</si>
  <si>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</si>
  <si>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</si>
  <si>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</si>
  <si>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</si>
  <si>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</si>
  <si>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</si>
  <si>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</si>
  <si>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</si>
  <si>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</si>
  <si>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</si>
  <si>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</si>
  <si>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</si>
  <si>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</si>
  <si>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</si>
  <si>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Column2</t>
  </si>
  <si>
    <t>atmp</t>
  </si>
  <si>
    <t>Hum</t>
  </si>
  <si>
    <t>cnt</t>
  </si>
  <si>
    <t>Sum of cnt</t>
  </si>
  <si>
    <t>hum</t>
  </si>
  <si>
    <t xml:space="preserve">Sum of Avg cnt </t>
  </si>
  <si>
    <t>Sum of registered</t>
  </si>
  <si>
    <t>Sum of casual</t>
  </si>
  <si>
    <t>Unnamed</t>
  </si>
  <si>
    <t>atemp</t>
  </si>
  <si>
    <t>windspeed</t>
  </si>
  <si>
    <t>casual</t>
  </si>
  <si>
    <t>registered</t>
  </si>
  <si>
    <t>Total atemp</t>
  </si>
  <si>
    <t>Avg atemp</t>
  </si>
  <si>
    <t>count atemp</t>
  </si>
  <si>
    <t>total hum</t>
  </si>
  <si>
    <t>Avg hum</t>
  </si>
  <si>
    <t>count hum</t>
  </si>
  <si>
    <t>total cnt</t>
  </si>
  <si>
    <t xml:space="preserve">Avg cnt </t>
  </si>
  <si>
    <t>count cnt</t>
  </si>
  <si>
    <t>left instant</t>
  </si>
  <si>
    <t>right instant</t>
  </si>
  <si>
    <t>lenght instant</t>
  </si>
  <si>
    <t>Countif</t>
  </si>
  <si>
    <t>STdev</t>
  </si>
  <si>
    <t>Unnamed: 0</t>
  </si>
  <si>
    <t>Status</t>
  </si>
  <si>
    <t>Weekday</t>
  </si>
  <si>
    <t>Weekend</t>
  </si>
  <si>
    <t>(blank)</t>
  </si>
  <si>
    <t xml:space="preserve">total cnt </t>
  </si>
  <si>
    <t>Lefy DayType</t>
  </si>
  <si>
    <t>Right DatType</t>
  </si>
  <si>
    <t>Lenght DayType</t>
  </si>
  <si>
    <t>Atemp</t>
  </si>
  <si>
    <t>Stdev</t>
  </si>
  <si>
    <t>Anomaly Detection</t>
  </si>
  <si>
    <t>29-01-2011</t>
  </si>
  <si>
    <t>30-01-2011</t>
  </si>
  <si>
    <t>31-01-2011</t>
  </si>
  <si>
    <t>13-02-2011</t>
  </si>
  <si>
    <t>14-02-2011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</si>
</sst>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1" xfId="0" applyFont="1" applyBorder="1" applyAlignment="1">
      <alignment readingOrder="1"/>
    </xf>
    <xf numFmtId="0" fontId="4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readingOrder="1"/>
    </xf>
    <xf numFmtId="14" fontId="1" fillId="0" borderId="1" xfId="0" applyNumberFormat="1" applyFont="1" applyBorder="1" applyAlignment="1">
      <alignment readingOrder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15" borderId="1" xfId="0" applyFill="1" applyBorder="1"/>
    <xf numFmtId="0" fontId="0" fillId="14" borderId="1" xfId="0" applyFill="1" applyBorder="1"/>
    <xf numFmtId="0" fontId="0" fillId="13" borderId="1" xfId="0" applyFill="1" applyBorder="1"/>
    <xf numFmtId="0" fontId="2" fillId="0" borderId="1" xfId="0" applyFont="1" applyBorder="1" applyAlignment="1">
      <alignment readingOrder="1"/>
    </xf>
    <xf numFmtId="0" fontId="4" fillId="12" borderId="1" xfId="0" applyFont="1" applyFill="1" applyBorder="1"/>
    <xf numFmtId="0" fontId="4" fillId="11" borderId="1" xfId="0" applyFont="1" applyFill="1" applyBorder="1"/>
    <xf numFmtId="0" fontId="4" fillId="10" borderId="1" xfId="0" applyFont="1" applyFill="1" applyBorder="1"/>
    <xf numFmtId="0" fontId="4" fillId="5" borderId="1" xfId="0" applyFont="1" applyFill="1" applyBorder="1"/>
    <xf numFmtId="0" fontId="4" fillId="9" borderId="1" xfId="0" applyFont="1" applyFill="1" applyBorder="1"/>
    <xf numFmtId="0" fontId="4" fillId="8" borderId="1" xfId="0" applyFont="1" applyFill="1" applyBorder="1"/>
    <xf numFmtId="0" fontId="4" fillId="7" borderId="1" xfId="0" applyFont="1" applyFill="1" applyBorder="1"/>
    <xf numFmtId="0" fontId="4" fillId="6" borderId="1" xfId="0" applyFont="1" applyFill="1" applyBorder="1"/>
    <xf numFmtId="0" fontId="4" fillId="4" borderId="1" xfId="0" applyFont="1" applyFill="1" applyBorder="1"/>
    <xf numFmtId="0" fontId="0" fillId="12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4" borderId="1" xfId="0" applyFill="1" applyBorder="1"/>
    <xf numFmtId="0" fontId="4" fillId="0" borderId="0" xfId="0" applyFont="1" applyBorder="1"/>
    <xf numFmtId="0" fontId="0" fillId="0" borderId="0" xfId="0" applyBorder="1"/>
    <xf numFmtId="0" fontId="0" fillId="0" borderId="1" xfId="0" applyFont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0" borderId="2" xfId="0" applyBorder="1"/>
    <xf numFmtId="0" fontId="0" fillId="0" borderId="2" xfId="0" applyFont="1" applyBorder="1"/>
    <xf numFmtId="0" fontId="0" fillId="0" borderId="0" xfId="0" applyNumberFormat="1"/>
    <xf numFmtId="0" fontId="0" fillId="0" borderId="0" xfId="0" pivotButton="1"/>
    <xf numFmtId="0" fontId="5" fillId="0" borderId="0" xfId="1"/>
    <xf numFmtId="0" fontId="4" fillId="16" borderId="1" xfId="0" applyFont="1" applyFill="1" applyBorder="1"/>
    <xf numFmtId="0" fontId="0" fillId="16" borderId="1" xfId="0" applyFill="1" applyBorder="1"/>
    <xf numFmtId="0" fontId="1" fillId="0" borderId="0" xfId="0" applyFont="1" applyBorder="1" applyAlignment="1">
      <alignment readingOrder="1"/>
    </xf>
    <xf numFmtId="0" fontId="0" fillId="0" borderId="0" xfId="0" applyBorder="1" applyAlignment="1">
      <alignment wrapText="1"/>
    </xf>
    <xf numFmtId="0" fontId="0" fillId="16" borderId="0" xfId="0" applyFill="1" applyBorder="1"/>
    <xf numFmtId="0" fontId="6" fillId="0" borderId="1" xfId="0" applyFont="1" applyBorder="1"/>
    <xf numFmtId="0" fontId="6" fillId="0" borderId="0" xfId="0" applyFont="1" applyBorder="1"/>
    <xf numFmtId="0" fontId="7" fillId="16" borderId="1" xfId="0" applyFont="1" applyFill="1" applyBorder="1" applyAlignment="1">
      <alignment readingOrder="1"/>
    </xf>
    <xf numFmtId="0" fontId="2" fillId="16" borderId="1" xfId="0" applyFont="1" applyFill="1" applyBorder="1" applyAlignment="1">
      <alignment readingOrder="1"/>
    </xf>
    <xf numFmtId="164" fontId="0" fillId="0" borderId="1" xfId="0" applyNumberFormat="1" applyBorder="1"/>
    <xf numFmtId="0" fontId="0" fillId="0" borderId="0" xfId="0" applyFont="1" applyBorder="1"/>
    <xf numFmtId="0" fontId="0" fillId="16" borderId="0" xfId="0" applyFont="1" applyFill="1" applyBorder="1"/>
  </cellXfs>
  <cellStyles count="2">
    <cellStyle name="Hyperlink" xfId="1" builtinId="8"/>
    <cellStyle name="Normal" xfId="0" builtinId="0"/>
  </cellStyles>
  <dxfs count="98">
    <dxf>
      <font>
        <color rgb="FF9C0006"/>
      </font>
      <fill>
        <patternFill>
          <bgColor rgb="FFFFC7CE"/>
        </patternFill>
      </fill>
    </dxf>
    <dxf>
      <font>
        <color theme="2"/>
      </font>
      <fill>
        <patternFill patternType="solid">
          <bgColor theme="5" tint="-0.499984740745262"/>
        </patternFill>
      </fill>
    </dxf>
    <dxf>
      <font>
        <color theme="2" tint="-9.9978637043366805E-2"/>
      </font>
      <fill>
        <patternFill patternType="solid">
          <bgColor theme="5" tint="-0.249977111117893"/>
        </patternFill>
      </fill>
    </dxf>
    <dxf>
      <font>
        <color theme="9" tint="0.79998168889431442"/>
      </font>
      <fill>
        <patternFill patternType="solid">
          <bgColor theme="9" tint="-0.249977111117893"/>
        </patternFill>
      </fill>
    </dxf>
    <dxf>
      <font>
        <color theme="2"/>
      </font>
      <fill>
        <patternFill patternType="solid">
          <bgColor theme="3" tint="0.39997558519241921"/>
        </patternFill>
      </fill>
    </dxf>
    <dxf>
      <font>
        <color theme="7" tint="-0.499984740745262"/>
      </font>
      <fill>
        <patternFill patternType="solid">
          <bgColor theme="7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5" tint="0.79998168889431442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7" tint="-0.249977111117893"/>
        </patternFill>
      </fill>
    </dxf>
    <dxf>
      <font>
        <color rgb="FF9C0006"/>
      </font>
      <fill>
        <patternFill patternType="solid">
          <bgColor theme="9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79998168889431442"/>
      </font>
      <fill>
        <patternFill patternType="solid">
          <bgColor rgb="FF00B0F0"/>
        </patternFill>
      </fill>
    </dxf>
    <dxf>
      <font>
        <color theme="2"/>
      </font>
      <fill>
        <patternFill patternType="solid">
          <bgColor rgb="FF7030A0"/>
        </patternFill>
      </fill>
      <border>
        <bottom style="thin">
          <color rgb="FF000000"/>
        </bottom>
      </border>
    </dxf>
    <dxf>
      <font>
        <color theme="5" tint="0.59999389629810485"/>
      </font>
      <fill>
        <patternFill patternType="solid">
          <bgColor theme="3" tint="-0.499984740745262"/>
        </patternFill>
      </fill>
    </dxf>
    <dxf>
      <font>
        <color theme="2"/>
      </font>
      <fill>
        <patternFill patternType="solid"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5" tint="-0.499984740745262"/>
        </patternFill>
      </fill>
    </dxf>
    <dxf>
      <font>
        <color theme="0" tint="-4.9989318521683403E-2"/>
      </font>
      <fill>
        <patternFill patternType="solid">
          <bgColor theme="1" tint="0.499984740745262"/>
        </patternFill>
      </fill>
    </dxf>
    <dxf>
      <font>
        <color theme="0"/>
      </font>
      <fill>
        <patternFill patternType="solid">
          <bgColor rgb="FFFFC7CE"/>
        </patternFill>
      </fill>
    </dxf>
    <dxf>
      <font>
        <color theme="9" tint="0.79998168889431442"/>
      </font>
      <fill>
        <patternFill patternType="solid">
          <bgColor theme="9" tint="-0.499984740745262"/>
        </patternFill>
      </fill>
    </dxf>
    <dxf>
      <font>
        <color theme="4" tint="0.59999389629810485"/>
      </font>
      <fill>
        <patternFill patternType="solid">
          <bgColor theme="4" tint="-0.499984740745262"/>
        </patternFill>
      </fill>
    </dxf>
    <dxf>
      <font>
        <color theme="9" tint="0.79998168889431442"/>
      </font>
      <fill>
        <patternFill patternType="solid">
          <bgColor theme="9" tint="-0.249977111117893"/>
        </patternFill>
      </fill>
    </dxf>
    <dxf>
      <font>
        <color theme="7" tint="0.79998168889431442"/>
      </font>
      <fill>
        <patternFill patternType="solid">
          <bgColor theme="7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0.79998168889431442"/>
      </font>
      <fill>
        <patternFill patternType="solid">
          <bgColor theme="8" tint="-0.249977111117893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 patternType="solid"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 patternType="solid"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2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8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pivotCacheDefinition" Target="pivotCache/pivotCacheDefinition2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microsoft.com/office/2007/relationships/slicerCache" Target="slicerCaches/slicerCache2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pivotCacheDefinition" Target="pivotCache/pivotCacheDefinition1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microsoft.com/office/2007/relationships/slicerCache" Target="slicerCaches/slicerCach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microsoft.com/office/2007/relationships/slicerCache" Target="slicerCaches/slicerCache4.xml" /><Relationship Id="rId10" Type="http://schemas.openxmlformats.org/officeDocument/2006/relationships/worksheet" Target="worksheets/sheet10.xml" /><Relationship Id="rId19" Type="http://schemas.openxmlformats.org/officeDocument/2006/relationships/pivotCacheDefinition" Target="pivotCache/pivotCacheDefinition3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microsoft.com/office/2007/relationships/slicerCache" Target="slicerCaches/slicerCache3.xml" /><Relationship Id="rId27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 /><Relationship Id="rId1" Type="http://schemas.microsoft.com/office/2011/relationships/chartStyle" Target="style14.xml" 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 /><Relationship Id="rId1" Type="http://schemas.microsoft.com/office/2011/relationships/chartStyle" Target="style15.xml" 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 /><Relationship Id="rId1" Type="http://schemas.microsoft.com/office/2011/relationships/chartStyle" Target="style16.xml" 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 /><Relationship Id="rId1" Type="http://schemas.microsoft.com/office/2011/relationships/chartStyle" Target="style17.xml" 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 /><Relationship Id="rId1" Type="http://schemas.microsoft.com/office/2011/relationships/chartStyle" Target="style18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[DOC-20260523-WA0023^.xlsx]User Demand by Hour!PivotTable3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Demand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Demand by Hour'!$B$3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Demand by Hour'!$A$4:$A$28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 Demand by Hour'!$B$4:$B$28</c:f>
              <c:numCache>
                <c:formatCode>General</c:formatCode>
                <c:ptCount val="24"/>
                <c:pt idx="0">
                  <c:v>7690</c:v>
                </c:pt>
                <c:pt idx="1">
                  <c:v>7716</c:v>
                </c:pt>
                <c:pt idx="2">
                  <c:v>7164</c:v>
                </c:pt>
                <c:pt idx="3">
                  <c:v>5251</c:v>
                </c:pt>
                <c:pt idx="4">
                  <c:v>5298</c:v>
                </c:pt>
                <c:pt idx="5">
                  <c:v>7287</c:v>
                </c:pt>
                <c:pt idx="6">
                  <c:v>7826</c:v>
                </c:pt>
                <c:pt idx="7">
                  <c:v>7852</c:v>
                </c:pt>
                <c:pt idx="8">
                  <c:v>7878</c:v>
                </c:pt>
                <c:pt idx="9">
                  <c:v>7904</c:v>
                </c:pt>
                <c:pt idx="10">
                  <c:v>7930</c:v>
                </c:pt>
                <c:pt idx="11">
                  <c:v>7956</c:v>
                </c:pt>
                <c:pt idx="12">
                  <c:v>8379</c:v>
                </c:pt>
                <c:pt idx="13">
                  <c:v>8406</c:v>
                </c:pt>
                <c:pt idx="14">
                  <c:v>8433</c:v>
                </c:pt>
                <c:pt idx="15">
                  <c:v>8460</c:v>
                </c:pt>
                <c:pt idx="16">
                  <c:v>8464</c:v>
                </c:pt>
                <c:pt idx="17">
                  <c:v>8491</c:v>
                </c:pt>
                <c:pt idx="18">
                  <c:v>7930</c:v>
                </c:pt>
                <c:pt idx="19">
                  <c:v>7956</c:v>
                </c:pt>
                <c:pt idx="20">
                  <c:v>7982</c:v>
                </c:pt>
                <c:pt idx="21">
                  <c:v>8008</c:v>
                </c:pt>
                <c:pt idx="22">
                  <c:v>8034</c:v>
                </c:pt>
                <c:pt idx="23">
                  <c:v>8060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46ED-9075-C638E1D2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770439"/>
        <c:axId val="1666772487"/>
      </c:barChart>
      <c:catAx>
        <c:axId val="166677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72487"/>
        <c:crosses val="autoZero"/>
        <c:auto val="1"/>
        <c:lblAlgn val="ctr"/>
        <c:lblOffset val="100"/>
        <c:noMultiLvlLbl val="0"/>
      </c:catAx>
      <c:valAx>
        <c:axId val="166677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7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[DOC-20260523-WA0023^.xlsx]Demand by Weather Condition!PivotTable4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Demand Across Weather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'Demand by Weather Condition'!$B$3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24-4245-98A9-5095F2C089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24-4245-98A9-5095F2C089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24-4245-98A9-5095F2C089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24-4245-98A9-5095F2C089E9}"/>
              </c:ext>
            </c:extLst>
          </c:dPt>
          <c:cat>
            <c:strRef>
              <c:f>'Demand by Weather Condition'!$A$4:$A$8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'Demand by Weather Condition'!$B$4:$B$8</c:f>
              <c:numCache>
                <c:formatCode>General</c:formatCode>
                <c:ptCount val="4"/>
                <c:pt idx="0">
                  <c:v>105251</c:v>
                </c:pt>
                <c:pt idx="1">
                  <c:v>62670</c:v>
                </c:pt>
                <c:pt idx="2">
                  <c:v>17848</c:v>
                </c:pt>
                <c:pt idx="3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0-451F-A9EA-8F73985A4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[DOC-20260523-WA0023^.xlsx]Weekend vs Weekday Demand!PivotTable5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 vs Weekday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'Weekend vs Weekday Demand'!$B$3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07-498D-9720-A2DA3D787D49}"/>
              </c:ext>
            </c:extLst>
          </c:dPt>
          <c:cat>
            <c:strRef>
              <c:f>'Weekend vs Weekday Demand'!$A$4:$A$5</c:f>
              <c:strCache>
                <c:ptCount val="1"/>
                <c:pt idx="0">
                  <c:v>weekend</c:v>
                </c:pt>
              </c:strCache>
            </c:strRef>
          </c:cat>
          <c:val>
            <c:numRef>
              <c:f>'Weekend vs Weekday Demand'!$B$4:$B$5</c:f>
              <c:numCache>
                <c:formatCode>General</c:formatCode>
                <c:ptCount val="1"/>
                <c:pt idx="0">
                  <c:v>186355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9-4899-8385-B068F81FC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[DOC-20260523-WA0023^.xlsx]User Demand Over Time!PivotTable6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Demand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Demand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Demand Over Time'!$A$4:$A$614</c:f>
              <c:strCache>
                <c:ptCount val="6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</c:strCache>
            </c:strRef>
          </c:cat>
          <c:val>
            <c:numRef>
              <c:f>'User Demand Over Time'!$B$4:$B$614</c:f>
              <c:numCache>
                <c:formatCode>General</c:formatCode>
                <c:ptCount val="610"/>
                <c:pt idx="0">
                  <c:v>16</c:v>
                </c:pt>
                <c:pt idx="1">
                  <c:v>40</c:v>
                </c:pt>
                <c:pt idx="2">
                  <c:v>32</c:v>
                </c:pt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14</c:v>
                </c:pt>
                <c:pt idx="10">
                  <c:v>36</c:v>
                </c:pt>
                <c:pt idx="11">
                  <c:v>56</c:v>
                </c:pt>
                <c:pt idx="12">
                  <c:v>84</c:v>
                </c:pt>
                <c:pt idx="13">
                  <c:v>94</c:v>
                </c:pt>
                <c:pt idx="14">
                  <c:v>106</c:v>
                </c:pt>
                <c:pt idx="15">
                  <c:v>110</c:v>
                </c:pt>
                <c:pt idx="16">
                  <c:v>93</c:v>
                </c:pt>
                <c:pt idx="17">
                  <c:v>67</c:v>
                </c:pt>
                <c:pt idx="18">
                  <c:v>35</c:v>
                </c:pt>
                <c:pt idx="19">
                  <c:v>37</c:v>
                </c:pt>
                <c:pt idx="20">
                  <c:v>36</c:v>
                </c:pt>
                <c:pt idx="21">
                  <c:v>34</c:v>
                </c:pt>
                <c:pt idx="22">
                  <c:v>28</c:v>
                </c:pt>
                <c:pt idx="23">
                  <c:v>39</c:v>
                </c:pt>
                <c:pt idx="24">
                  <c:v>17</c:v>
                </c:pt>
                <c:pt idx="25">
                  <c:v>17</c:v>
                </c:pt>
                <c:pt idx="26">
                  <c:v>9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20</c:v>
                </c:pt>
                <c:pt idx="33">
                  <c:v>53</c:v>
                </c:pt>
                <c:pt idx="34">
                  <c:v>70</c:v>
                </c:pt>
                <c:pt idx="35">
                  <c:v>93</c:v>
                </c:pt>
                <c:pt idx="36">
                  <c:v>75</c:v>
                </c:pt>
                <c:pt idx="37">
                  <c:v>59</c:v>
                </c:pt>
                <c:pt idx="38">
                  <c:v>74</c:v>
                </c:pt>
                <c:pt idx="39">
                  <c:v>76</c:v>
                </c:pt>
                <c:pt idx="40">
                  <c:v>65</c:v>
                </c:pt>
                <c:pt idx="41">
                  <c:v>53</c:v>
                </c:pt>
                <c:pt idx="42">
                  <c:v>30</c:v>
                </c:pt>
                <c:pt idx="43">
                  <c:v>22</c:v>
                </c:pt>
                <c:pt idx="44">
                  <c:v>31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30</c:v>
                </c:pt>
                <c:pt idx="52">
                  <c:v>64</c:v>
                </c:pt>
                <c:pt idx="53">
                  <c:v>154</c:v>
                </c:pt>
                <c:pt idx="54">
                  <c:v>88</c:v>
                </c:pt>
                <c:pt idx="55">
                  <c:v>44</c:v>
                </c:pt>
                <c:pt idx="56">
                  <c:v>51</c:v>
                </c:pt>
                <c:pt idx="57">
                  <c:v>61</c:v>
                </c:pt>
                <c:pt idx="58">
                  <c:v>61</c:v>
                </c:pt>
                <c:pt idx="59">
                  <c:v>77</c:v>
                </c:pt>
                <c:pt idx="60">
                  <c:v>72</c:v>
                </c:pt>
                <c:pt idx="61">
                  <c:v>76</c:v>
                </c:pt>
                <c:pt idx="62">
                  <c:v>157</c:v>
                </c:pt>
                <c:pt idx="63">
                  <c:v>157</c:v>
                </c:pt>
                <c:pt idx="64">
                  <c:v>110</c:v>
                </c:pt>
                <c:pt idx="65">
                  <c:v>52</c:v>
                </c:pt>
                <c:pt idx="66">
                  <c:v>52</c:v>
                </c:pt>
                <c:pt idx="67">
                  <c:v>20</c:v>
                </c:pt>
                <c:pt idx="68">
                  <c:v>12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36</c:v>
                </c:pt>
                <c:pt idx="75">
                  <c:v>94</c:v>
                </c:pt>
                <c:pt idx="76">
                  <c:v>179</c:v>
                </c:pt>
                <c:pt idx="77">
                  <c:v>100</c:v>
                </c:pt>
                <c:pt idx="78">
                  <c:v>42</c:v>
                </c:pt>
                <c:pt idx="79">
                  <c:v>57</c:v>
                </c:pt>
                <c:pt idx="80">
                  <c:v>78</c:v>
                </c:pt>
                <c:pt idx="81">
                  <c:v>97</c:v>
                </c:pt>
                <c:pt idx="82">
                  <c:v>63</c:v>
                </c:pt>
                <c:pt idx="83">
                  <c:v>65</c:v>
                </c:pt>
                <c:pt idx="84">
                  <c:v>83</c:v>
                </c:pt>
                <c:pt idx="85">
                  <c:v>212</c:v>
                </c:pt>
                <c:pt idx="86">
                  <c:v>182</c:v>
                </c:pt>
                <c:pt idx="87">
                  <c:v>112</c:v>
                </c:pt>
                <c:pt idx="88">
                  <c:v>54</c:v>
                </c:pt>
                <c:pt idx="89">
                  <c:v>48</c:v>
                </c:pt>
                <c:pt idx="90">
                  <c:v>35</c:v>
                </c:pt>
                <c:pt idx="91">
                  <c:v>11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33</c:v>
                </c:pt>
                <c:pt idx="98">
                  <c:v>88</c:v>
                </c:pt>
                <c:pt idx="99">
                  <c:v>195</c:v>
                </c:pt>
                <c:pt idx="100">
                  <c:v>115</c:v>
                </c:pt>
                <c:pt idx="101">
                  <c:v>57</c:v>
                </c:pt>
                <c:pt idx="102">
                  <c:v>46</c:v>
                </c:pt>
                <c:pt idx="103">
                  <c:v>79</c:v>
                </c:pt>
                <c:pt idx="104">
                  <c:v>71</c:v>
                </c:pt>
                <c:pt idx="105">
                  <c:v>62</c:v>
                </c:pt>
                <c:pt idx="106">
                  <c:v>62</c:v>
                </c:pt>
                <c:pt idx="107">
                  <c:v>89</c:v>
                </c:pt>
                <c:pt idx="108">
                  <c:v>190</c:v>
                </c:pt>
                <c:pt idx="109">
                  <c:v>169</c:v>
                </c:pt>
                <c:pt idx="110">
                  <c:v>132</c:v>
                </c:pt>
                <c:pt idx="111">
                  <c:v>89</c:v>
                </c:pt>
                <c:pt idx="112">
                  <c:v>43</c:v>
                </c:pt>
                <c:pt idx="113">
                  <c:v>42</c:v>
                </c:pt>
                <c:pt idx="114">
                  <c:v>19</c:v>
                </c:pt>
                <c:pt idx="115">
                  <c:v>11</c:v>
                </c:pt>
                <c:pt idx="116">
                  <c:v>4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36</c:v>
                </c:pt>
                <c:pt idx="121">
                  <c:v>95</c:v>
                </c:pt>
                <c:pt idx="122">
                  <c:v>219</c:v>
                </c:pt>
                <c:pt idx="123">
                  <c:v>122</c:v>
                </c:pt>
                <c:pt idx="124">
                  <c:v>45</c:v>
                </c:pt>
                <c:pt idx="125">
                  <c:v>59</c:v>
                </c:pt>
                <c:pt idx="126">
                  <c:v>84</c:v>
                </c:pt>
                <c:pt idx="127">
                  <c:v>67</c:v>
                </c:pt>
                <c:pt idx="128">
                  <c:v>70</c:v>
                </c:pt>
                <c:pt idx="129">
                  <c:v>62</c:v>
                </c:pt>
                <c:pt idx="130">
                  <c:v>86</c:v>
                </c:pt>
                <c:pt idx="131">
                  <c:v>172</c:v>
                </c:pt>
                <c:pt idx="132">
                  <c:v>163</c:v>
                </c:pt>
                <c:pt idx="133">
                  <c:v>112</c:v>
                </c:pt>
                <c:pt idx="134">
                  <c:v>69</c:v>
                </c:pt>
                <c:pt idx="135">
                  <c:v>48</c:v>
                </c:pt>
                <c:pt idx="136">
                  <c:v>52</c:v>
                </c:pt>
                <c:pt idx="137">
                  <c:v>23</c:v>
                </c:pt>
                <c:pt idx="138">
                  <c:v>17</c:v>
                </c:pt>
                <c:pt idx="139">
                  <c:v>7</c:v>
                </c:pt>
                <c:pt idx="140">
                  <c:v>1</c:v>
                </c:pt>
                <c:pt idx="141">
                  <c:v>1</c:v>
                </c:pt>
                <c:pt idx="142">
                  <c:v>5</c:v>
                </c:pt>
                <c:pt idx="143">
                  <c:v>34</c:v>
                </c:pt>
                <c:pt idx="144">
                  <c:v>84</c:v>
                </c:pt>
                <c:pt idx="145">
                  <c:v>210</c:v>
                </c:pt>
                <c:pt idx="146">
                  <c:v>134</c:v>
                </c:pt>
                <c:pt idx="147">
                  <c:v>63</c:v>
                </c:pt>
                <c:pt idx="148">
                  <c:v>67</c:v>
                </c:pt>
                <c:pt idx="149">
                  <c:v>59</c:v>
                </c:pt>
                <c:pt idx="150">
                  <c:v>73</c:v>
                </c:pt>
                <c:pt idx="151">
                  <c:v>50</c:v>
                </c:pt>
                <c:pt idx="152">
                  <c:v>72</c:v>
                </c:pt>
                <c:pt idx="153">
                  <c:v>87</c:v>
                </c:pt>
                <c:pt idx="154">
                  <c:v>187</c:v>
                </c:pt>
                <c:pt idx="155">
                  <c:v>123</c:v>
                </c:pt>
                <c:pt idx="156">
                  <c:v>95</c:v>
                </c:pt>
                <c:pt idx="157">
                  <c:v>51</c:v>
                </c:pt>
                <c:pt idx="158">
                  <c:v>39</c:v>
                </c:pt>
                <c:pt idx="159">
                  <c:v>36</c:v>
                </c:pt>
                <c:pt idx="160">
                  <c:v>15</c:v>
                </c:pt>
                <c:pt idx="161">
                  <c:v>25</c:v>
                </c:pt>
                <c:pt idx="162">
                  <c:v>16</c:v>
                </c:pt>
                <c:pt idx="163">
                  <c:v>16</c:v>
                </c:pt>
                <c:pt idx="164">
                  <c:v>7</c:v>
                </c:pt>
                <c:pt idx="165">
                  <c:v>1</c:v>
                </c:pt>
                <c:pt idx="166">
                  <c:v>5</c:v>
                </c:pt>
                <c:pt idx="167">
                  <c:v>2</c:v>
                </c:pt>
                <c:pt idx="168">
                  <c:v>9</c:v>
                </c:pt>
                <c:pt idx="169">
                  <c:v>15</c:v>
                </c:pt>
                <c:pt idx="170">
                  <c:v>20</c:v>
                </c:pt>
                <c:pt idx="171">
                  <c:v>61</c:v>
                </c:pt>
                <c:pt idx="172">
                  <c:v>62</c:v>
                </c:pt>
                <c:pt idx="173">
                  <c:v>98</c:v>
                </c:pt>
                <c:pt idx="174">
                  <c:v>102</c:v>
                </c:pt>
                <c:pt idx="175">
                  <c:v>95</c:v>
                </c:pt>
                <c:pt idx="176">
                  <c:v>74</c:v>
                </c:pt>
                <c:pt idx="177">
                  <c:v>76</c:v>
                </c:pt>
                <c:pt idx="178">
                  <c:v>69</c:v>
                </c:pt>
                <c:pt idx="179">
                  <c:v>55</c:v>
                </c:pt>
                <c:pt idx="180">
                  <c:v>30</c:v>
                </c:pt>
                <c:pt idx="181">
                  <c:v>28</c:v>
                </c:pt>
                <c:pt idx="182">
                  <c:v>37</c:v>
                </c:pt>
                <c:pt idx="183">
                  <c:v>34</c:v>
                </c:pt>
                <c:pt idx="184">
                  <c:v>22</c:v>
                </c:pt>
                <c:pt idx="185">
                  <c:v>25</c:v>
                </c:pt>
                <c:pt idx="186">
                  <c:v>12</c:v>
                </c:pt>
                <c:pt idx="187">
                  <c:v>11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10</c:v>
                </c:pt>
                <c:pt idx="194">
                  <c:v>19</c:v>
                </c:pt>
                <c:pt idx="195">
                  <c:v>49</c:v>
                </c:pt>
                <c:pt idx="196">
                  <c:v>49</c:v>
                </c:pt>
                <c:pt idx="197">
                  <c:v>83</c:v>
                </c:pt>
                <c:pt idx="198">
                  <c:v>75</c:v>
                </c:pt>
                <c:pt idx="199">
                  <c:v>72</c:v>
                </c:pt>
                <c:pt idx="200">
                  <c:v>82</c:v>
                </c:pt>
                <c:pt idx="201">
                  <c:v>92</c:v>
                </c:pt>
                <c:pt idx="202">
                  <c:v>62</c:v>
                </c:pt>
                <c:pt idx="203">
                  <c:v>48</c:v>
                </c:pt>
                <c:pt idx="204">
                  <c:v>41</c:v>
                </c:pt>
                <c:pt idx="205">
                  <c:v>38</c:v>
                </c:pt>
                <c:pt idx="206">
                  <c:v>20</c:v>
                </c:pt>
                <c:pt idx="207">
                  <c:v>15</c:v>
                </c:pt>
                <c:pt idx="208">
                  <c:v>6</c:v>
                </c:pt>
                <c:pt idx="209">
                  <c:v>5</c:v>
                </c:pt>
                <c:pt idx="210">
                  <c:v>1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3</c:v>
                </c:pt>
                <c:pt idx="215">
                  <c:v>31</c:v>
                </c:pt>
                <c:pt idx="216">
                  <c:v>77</c:v>
                </c:pt>
                <c:pt idx="217">
                  <c:v>188</c:v>
                </c:pt>
                <c:pt idx="218">
                  <c:v>94</c:v>
                </c:pt>
                <c:pt idx="219">
                  <c:v>31</c:v>
                </c:pt>
                <c:pt idx="220">
                  <c:v>30</c:v>
                </c:pt>
                <c:pt idx="221">
                  <c:v>52</c:v>
                </c:pt>
                <c:pt idx="222">
                  <c:v>54</c:v>
                </c:pt>
                <c:pt idx="223">
                  <c:v>47</c:v>
                </c:pt>
                <c:pt idx="224">
                  <c:v>45</c:v>
                </c:pt>
                <c:pt idx="225">
                  <c:v>74</c:v>
                </c:pt>
                <c:pt idx="226">
                  <c:v>178</c:v>
                </c:pt>
                <c:pt idx="227">
                  <c:v>155</c:v>
                </c:pt>
                <c:pt idx="228">
                  <c:v>95</c:v>
                </c:pt>
                <c:pt idx="229">
                  <c:v>74</c:v>
                </c:pt>
                <c:pt idx="230">
                  <c:v>38</c:v>
                </c:pt>
                <c:pt idx="231">
                  <c:v>24</c:v>
                </c:pt>
                <c:pt idx="232">
                  <c:v>18</c:v>
                </c:pt>
                <c:pt idx="233">
                  <c:v>12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27</c:v>
                </c:pt>
                <c:pt idx="238">
                  <c:v>99</c:v>
                </c:pt>
                <c:pt idx="239">
                  <c:v>217</c:v>
                </c:pt>
                <c:pt idx="240">
                  <c:v>130</c:v>
                </c:pt>
                <c:pt idx="241">
                  <c:v>54</c:v>
                </c:pt>
                <c:pt idx="242">
                  <c:v>35</c:v>
                </c:pt>
                <c:pt idx="243">
                  <c:v>57</c:v>
                </c:pt>
                <c:pt idx="244">
                  <c:v>52</c:v>
                </c:pt>
                <c:pt idx="245">
                  <c:v>63</c:v>
                </c:pt>
                <c:pt idx="246">
                  <c:v>47</c:v>
                </c:pt>
                <c:pt idx="247">
                  <c:v>76</c:v>
                </c:pt>
                <c:pt idx="248">
                  <c:v>136</c:v>
                </c:pt>
                <c:pt idx="249">
                  <c:v>95</c:v>
                </c:pt>
                <c:pt idx="250">
                  <c:v>51</c:v>
                </c:pt>
                <c:pt idx="251">
                  <c:v>32</c:v>
                </c:pt>
                <c:pt idx="252">
                  <c:v>20</c:v>
                </c:pt>
                <c:pt idx="253">
                  <c:v>29</c:v>
                </c:pt>
                <c:pt idx="254">
                  <c:v>19</c:v>
                </c:pt>
                <c:pt idx="255">
                  <c:v>7</c:v>
                </c:pt>
                <c:pt idx="256">
                  <c:v>6</c:v>
                </c:pt>
                <c:pt idx="257">
                  <c:v>1</c:v>
                </c:pt>
                <c:pt idx="258">
                  <c:v>5</c:v>
                </c:pt>
                <c:pt idx="259">
                  <c:v>16</c:v>
                </c:pt>
                <c:pt idx="260">
                  <c:v>54</c:v>
                </c:pt>
                <c:pt idx="261">
                  <c:v>128</c:v>
                </c:pt>
                <c:pt idx="262">
                  <c:v>81</c:v>
                </c:pt>
                <c:pt idx="263">
                  <c:v>39</c:v>
                </c:pt>
                <c:pt idx="264">
                  <c:v>35</c:v>
                </c:pt>
                <c:pt idx="265">
                  <c:v>55</c:v>
                </c:pt>
                <c:pt idx="266">
                  <c:v>49</c:v>
                </c:pt>
                <c:pt idx="267">
                  <c:v>44</c:v>
                </c:pt>
                <c:pt idx="268">
                  <c:v>49</c:v>
                </c:pt>
                <c:pt idx="269">
                  <c:v>68</c:v>
                </c:pt>
                <c:pt idx="270">
                  <c:v>139</c:v>
                </c:pt>
                <c:pt idx="271">
                  <c:v>137</c:v>
                </c:pt>
                <c:pt idx="272">
                  <c:v>83</c:v>
                </c:pt>
                <c:pt idx="273">
                  <c:v>56</c:v>
                </c:pt>
                <c:pt idx="274">
                  <c:v>57</c:v>
                </c:pt>
                <c:pt idx="275">
                  <c:v>33</c:v>
                </c:pt>
                <c:pt idx="276">
                  <c:v>20</c:v>
                </c:pt>
                <c:pt idx="277">
                  <c:v>7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28</c:v>
                </c:pt>
                <c:pt idx="284">
                  <c:v>72</c:v>
                </c:pt>
                <c:pt idx="285">
                  <c:v>202</c:v>
                </c:pt>
                <c:pt idx="286">
                  <c:v>139</c:v>
                </c:pt>
                <c:pt idx="287">
                  <c:v>38</c:v>
                </c:pt>
                <c:pt idx="288">
                  <c:v>37</c:v>
                </c:pt>
                <c:pt idx="289">
                  <c:v>52</c:v>
                </c:pt>
                <c:pt idx="290">
                  <c:v>83</c:v>
                </c:pt>
                <c:pt idx="291">
                  <c:v>42</c:v>
                </c:pt>
                <c:pt idx="292">
                  <c:v>60</c:v>
                </c:pt>
                <c:pt idx="293">
                  <c:v>78</c:v>
                </c:pt>
                <c:pt idx="294">
                  <c:v>162</c:v>
                </c:pt>
                <c:pt idx="295">
                  <c:v>144</c:v>
                </c:pt>
                <c:pt idx="296">
                  <c:v>99</c:v>
                </c:pt>
                <c:pt idx="297">
                  <c:v>64</c:v>
                </c:pt>
                <c:pt idx="298">
                  <c:v>40</c:v>
                </c:pt>
                <c:pt idx="299">
                  <c:v>30</c:v>
                </c:pt>
                <c:pt idx="300">
                  <c:v>15</c:v>
                </c:pt>
                <c:pt idx="301">
                  <c:v>14</c:v>
                </c:pt>
                <c:pt idx="302">
                  <c:v>5</c:v>
                </c:pt>
                <c:pt idx="303">
                  <c:v>1</c:v>
                </c:pt>
                <c:pt idx="304">
                  <c:v>1</c:v>
                </c:pt>
                <c:pt idx="305">
                  <c:v>8</c:v>
                </c:pt>
                <c:pt idx="306">
                  <c:v>17</c:v>
                </c:pt>
                <c:pt idx="307">
                  <c:v>70</c:v>
                </c:pt>
                <c:pt idx="308">
                  <c:v>158</c:v>
                </c:pt>
                <c:pt idx="309">
                  <c:v>117</c:v>
                </c:pt>
                <c:pt idx="310">
                  <c:v>44</c:v>
                </c:pt>
                <c:pt idx="311">
                  <c:v>53</c:v>
                </c:pt>
                <c:pt idx="312">
                  <c:v>61</c:v>
                </c:pt>
                <c:pt idx="313">
                  <c:v>77</c:v>
                </c:pt>
                <c:pt idx="314">
                  <c:v>64</c:v>
                </c:pt>
                <c:pt idx="315">
                  <c:v>68</c:v>
                </c:pt>
                <c:pt idx="316">
                  <c:v>90</c:v>
                </c:pt>
                <c:pt idx="317">
                  <c:v>159</c:v>
                </c:pt>
                <c:pt idx="318">
                  <c:v>139</c:v>
                </c:pt>
                <c:pt idx="319">
                  <c:v>92</c:v>
                </c:pt>
                <c:pt idx="320">
                  <c:v>68</c:v>
                </c:pt>
                <c:pt idx="321">
                  <c:v>52</c:v>
                </c:pt>
                <c:pt idx="322">
                  <c:v>36</c:v>
                </c:pt>
                <c:pt idx="323">
                  <c:v>27</c:v>
                </c:pt>
                <c:pt idx="324">
                  <c:v>28</c:v>
                </c:pt>
                <c:pt idx="325">
                  <c:v>20</c:v>
                </c:pt>
                <c:pt idx="326">
                  <c:v>12</c:v>
                </c:pt>
                <c:pt idx="327">
                  <c:v>8</c:v>
                </c:pt>
                <c:pt idx="328">
                  <c:v>5</c:v>
                </c:pt>
                <c:pt idx="329">
                  <c:v>1</c:v>
                </c:pt>
                <c:pt idx="330">
                  <c:v>3</c:v>
                </c:pt>
                <c:pt idx="331">
                  <c:v>10</c:v>
                </c:pt>
                <c:pt idx="332">
                  <c:v>23</c:v>
                </c:pt>
                <c:pt idx="333">
                  <c:v>33</c:v>
                </c:pt>
                <c:pt idx="334">
                  <c:v>59</c:v>
                </c:pt>
                <c:pt idx="335">
                  <c:v>72</c:v>
                </c:pt>
                <c:pt idx="336">
                  <c:v>89</c:v>
                </c:pt>
                <c:pt idx="337">
                  <c:v>101</c:v>
                </c:pt>
                <c:pt idx="338">
                  <c:v>118</c:v>
                </c:pt>
                <c:pt idx="339">
                  <c:v>129</c:v>
                </c:pt>
                <c:pt idx="340">
                  <c:v>128</c:v>
                </c:pt>
                <c:pt idx="341">
                  <c:v>83</c:v>
                </c:pt>
                <c:pt idx="342">
                  <c:v>84</c:v>
                </c:pt>
                <c:pt idx="343">
                  <c:v>74</c:v>
                </c:pt>
                <c:pt idx="344">
                  <c:v>41</c:v>
                </c:pt>
                <c:pt idx="345">
                  <c:v>57</c:v>
                </c:pt>
                <c:pt idx="346">
                  <c:v>26</c:v>
                </c:pt>
                <c:pt idx="347">
                  <c:v>44</c:v>
                </c:pt>
                <c:pt idx="348">
                  <c:v>39</c:v>
                </c:pt>
                <c:pt idx="349">
                  <c:v>23</c:v>
                </c:pt>
                <c:pt idx="350">
                  <c:v>16</c:v>
                </c:pt>
                <c:pt idx="351">
                  <c:v>15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3</c:v>
                </c:pt>
                <c:pt idx="356">
                  <c:v>18</c:v>
                </c:pt>
                <c:pt idx="357">
                  <c:v>32</c:v>
                </c:pt>
                <c:pt idx="358">
                  <c:v>79</c:v>
                </c:pt>
                <c:pt idx="359">
                  <c:v>93</c:v>
                </c:pt>
                <c:pt idx="360">
                  <c:v>104</c:v>
                </c:pt>
                <c:pt idx="361">
                  <c:v>118</c:v>
                </c:pt>
                <c:pt idx="362">
                  <c:v>91</c:v>
                </c:pt>
                <c:pt idx="363">
                  <c:v>113</c:v>
                </c:pt>
                <c:pt idx="364">
                  <c:v>99</c:v>
                </c:pt>
                <c:pt idx="365">
                  <c:v>105</c:v>
                </c:pt>
                <c:pt idx="366">
                  <c:v>67</c:v>
                </c:pt>
                <c:pt idx="367">
                  <c:v>61</c:v>
                </c:pt>
                <c:pt idx="368">
                  <c:v>57</c:v>
                </c:pt>
                <c:pt idx="369">
                  <c:v>28</c:v>
                </c:pt>
                <c:pt idx="370">
                  <c:v>21</c:v>
                </c:pt>
                <c:pt idx="371">
                  <c:v>18</c:v>
                </c:pt>
                <c:pt idx="372">
                  <c:v>17</c:v>
                </c:pt>
                <c:pt idx="373">
                  <c:v>16</c:v>
                </c:pt>
                <c:pt idx="374">
                  <c:v>8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13</c:v>
                </c:pt>
                <c:pt idx="380">
                  <c:v>33</c:v>
                </c:pt>
                <c:pt idx="381">
                  <c:v>47</c:v>
                </c:pt>
                <c:pt idx="382">
                  <c:v>57</c:v>
                </c:pt>
                <c:pt idx="383">
                  <c:v>64</c:v>
                </c:pt>
                <c:pt idx="384">
                  <c:v>80</c:v>
                </c:pt>
                <c:pt idx="385">
                  <c:v>93</c:v>
                </c:pt>
                <c:pt idx="386">
                  <c:v>86</c:v>
                </c:pt>
                <c:pt idx="387">
                  <c:v>93</c:v>
                </c:pt>
                <c:pt idx="388">
                  <c:v>82</c:v>
                </c:pt>
                <c:pt idx="389">
                  <c:v>71</c:v>
                </c:pt>
                <c:pt idx="390">
                  <c:v>92</c:v>
                </c:pt>
                <c:pt idx="391">
                  <c:v>60</c:v>
                </c:pt>
                <c:pt idx="392">
                  <c:v>33</c:v>
                </c:pt>
                <c:pt idx="393">
                  <c:v>27</c:v>
                </c:pt>
                <c:pt idx="394">
                  <c:v>13</c:v>
                </c:pt>
                <c:pt idx="395">
                  <c:v>4</c:v>
                </c:pt>
                <c:pt idx="396">
                  <c:v>3</c:v>
                </c:pt>
                <c:pt idx="397">
                  <c:v>22</c:v>
                </c:pt>
                <c:pt idx="398">
                  <c:v>28</c:v>
                </c:pt>
                <c:pt idx="399">
                  <c:v>35</c:v>
                </c:pt>
                <c:pt idx="400">
                  <c:v>61</c:v>
                </c:pt>
                <c:pt idx="401">
                  <c:v>125</c:v>
                </c:pt>
                <c:pt idx="402">
                  <c:v>133</c:v>
                </c:pt>
                <c:pt idx="403">
                  <c:v>99</c:v>
                </c:pt>
                <c:pt idx="404">
                  <c:v>83</c:v>
                </c:pt>
                <c:pt idx="405">
                  <c:v>41</c:v>
                </c:pt>
                <c:pt idx="406">
                  <c:v>33</c:v>
                </c:pt>
                <c:pt idx="407">
                  <c:v>20</c:v>
                </c:pt>
                <c:pt idx="408">
                  <c:v>3</c:v>
                </c:pt>
                <c:pt idx="409">
                  <c:v>7</c:v>
                </c:pt>
                <c:pt idx="410">
                  <c:v>3</c:v>
                </c:pt>
                <c:pt idx="411">
                  <c:v>2</c:v>
                </c:pt>
                <c:pt idx="412">
                  <c:v>7</c:v>
                </c:pt>
                <c:pt idx="413">
                  <c:v>32</c:v>
                </c:pt>
                <c:pt idx="414">
                  <c:v>90</c:v>
                </c:pt>
                <c:pt idx="415">
                  <c:v>197</c:v>
                </c:pt>
                <c:pt idx="416">
                  <c:v>109</c:v>
                </c:pt>
                <c:pt idx="417">
                  <c:v>47</c:v>
                </c:pt>
                <c:pt idx="418">
                  <c:v>52</c:v>
                </c:pt>
                <c:pt idx="419">
                  <c:v>70</c:v>
                </c:pt>
                <c:pt idx="420">
                  <c:v>78</c:v>
                </c:pt>
                <c:pt idx="421">
                  <c:v>75</c:v>
                </c:pt>
                <c:pt idx="422">
                  <c:v>82</c:v>
                </c:pt>
                <c:pt idx="423">
                  <c:v>104</c:v>
                </c:pt>
                <c:pt idx="424">
                  <c:v>197</c:v>
                </c:pt>
                <c:pt idx="425">
                  <c:v>161</c:v>
                </c:pt>
                <c:pt idx="426">
                  <c:v>112</c:v>
                </c:pt>
                <c:pt idx="427">
                  <c:v>76</c:v>
                </c:pt>
                <c:pt idx="428">
                  <c:v>59</c:v>
                </c:pt>
                <c:pt idx="429">
                  <c:v>59</c:v>
                </c:pt>
                <c:pt idx="430">
                  <c:v>28</c:v>
                </c:pt>
                <c:pt idx="431">
                  <c:v>13</c:v>
                </c:pt>
                <c:pt idx="432">
                  <c:v>5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6</c:v>
                </c:pt>
                <c:pt idx="437">
                  <c:v>35</c:v>
                </c:pt>
                <c:pt idx="438">
                  <c:v>101</c:v>
                </c:pt>
                <c:pt idx="439">
                  <c:v>249</c:v>
                </c:pt>
                <c:pt idx="440">
                  <c:v>143</c:v>
                </c:pt>
                <c:pt idx="441">
                  <c:v>57</c:v>
                </c:pt>
                <c:pt idx="442">
                  <c:v>68</c:v>
                </c:pt>
                <c:pt idx="443">
                  <c:v>84</c:v>
                </c:pt>
                <c:pt idx="444">
                  <c:v>98</c:v>
                </c:pt>
                <c:pt idx="445">
                  <c:v>81</c:v>
                </c:pt>
                <c:pt idx="446">
                  <c:v>70</c:v>
                </c:pt>
                <c:pt idx="447">
                  <c:v>91</c:v>
                </c:pt>
                <c:pt idx="448">
                  <c:v>215</c:v>
                </c:pt>
                <c:pt idx="449">
                  <c:v>185</c:v>
                </c:pt>
                <c:pt idx="450">
                  <c:v>152</c:v>
                </c:pt>
                <c:pt idx="451">
                  <c:v>126</c:v>
                </c:pt>
                <c:pt idx="452">
                  <c:v>57</c:v>
                </c:pt>
                <c:pt idx="453">
                  <c:v>56</c:v>
                </c:pt>
                <c:pt idx="454">
                  <c:v>31</c:v>
                </c:pt>
                <c:pt idx="455">
                  <c:v>21</c:v>
                </c:pt>
                <c:pt idx="456">
                  <c:v>6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5</c:v>
                </c:pt>
                <c:pt idx="461">
                  <c:v>27</c:v>
                </c:pt>
                <c:pt idx="462">
                  <c:v>68</c:v>
                </c:pt>
                <c:pt idx="463">
                  <c:v>217</c:v>
                </c:pt>
                <c:pt idx="464">
                  <c:v>166</c:v>
                </c:pt>
                <c:pt idx="465">
                  <c:v>63</c:v>
                </c:pt>
                <c:pt idx="466">
                  <c:v>59</c:v>
                </c:pt>
                <c:pt idx="467">
                  <c:v>78</c:v>
                </c:pt>
                <c:pt idx="468">
                  <c:v>73</c:v>
                </c:pt>
                <c:pt idx="469">
                  <c:v>62</c:v>
                </c:pt>
                <c:pt idx="470">
                  <c:v>65</c:v>
                </c:pt>
                <c:pt idx="471">
                  <c:v>97</c:v>
                </c:pt>
                <c:pt idx="472">
                  <c:v>161</c:v>
                </c:pt>
                <c:pt idx="473">
                  <c:v>120</c:v>
                </c:pt>
                <c:pt idx="474">
                  <c:v>96</c:v>
                </c:pt>
                <c:pt idx="475">
                  <c:v>53</c:v>
                </c:pt>
                <c:pt idx="476">
                  <c:v>41</c:v>
                </c:pt>
                <c:pt idx="477">
                  <c:v>34</c:v>
                </c:pt>
                <c:pt idx="478">
                  <c:v>27</c:v>
                </c:pt>
                <c:pt idx="479">
                  <c:v>13</c:v>
                </c:pt>
                <c:pt idx="480">
                  <c:v>12</c:v>
                </c:pt>
                <c:pt idx="481">
                  <c:v>11</c:v>
                </c:pt>
                <c:pt idx="482">
                  <c:v>7</c:v>
                </c:pt>
                <c:pt idx="483">
                  <c:v>3</c:v>
                </c:pt>
                <c:pt idx="484">
                  <c:v>2</c:v>
                </c:pt>
                <c:pt idx="485">
                  <c:v>8</c:v>
                </c:pt>
                <c:pt idx="486">
                  <c:v>27</c:v>
                </c:pt>
                <c:pt idx="487">
                  <c:v>40</c:v>
                </c:pt>
                <c:pt idx="488">
                  <c:v>53</c:v>
                </c:pt>
                <c:pt idx="489">
                  <c:v>63</c:v>
                </c:pt>
                <c:pt idx="490">
                  <c:v>70</c:v>
                </c:pt>
                <c:pt idx="491">
                  <c:v>84</c:v>
                </c:pt>
                <c:pt idx="492">
                  <c:v>75</c:v>
                </c:pt>
                <c:pt idx="493">
                  <c:v>103</c:v>
                </c:pt>
                <c:pt idx="494">
                  <c:v>83</c:v>
                </c:pt>
                <c:pt idx="495">
                  <c:v>67</c:v>
                </c:pt>
                <c:pt idx="496">
                  <c:v>54</c:v>
                </c:pt>
                <c:pt idx="497">
                  <c:v>59</c:v>
                </c:pt>
                <c:pt idx="498">
                  <c:v>45</c:v>
                </c:pt>
                <c:pt idx="499">
                  <c:v>39</c:v>
                </c:pt>
                <c:pt idx="500">
                  <c:v>30</c:v>
                </c:pt>
                <c:pt idx="501">
                  <c:v>33</c:v>
                </c:pt>
                <c:pt idx="502">
                  <c:v>22</c:v>
                </c:pt>
                <c:pt idx="503">
                  <c:v>13</c:v>
                </c:pt>
                <c:pt idx="504">
                  <c:v>18</c:v>
                </c:pt>
                <c:pt idx="505">
                  <c:v>5</c:v>
                </c:pt>
                <c:pt idx="506">
                  <c:v>3</c:v>
                </c:pt>
                <c:pt idx="507">
                  <c:v>1</c:v>
                </c:pt>
                <c:pt idx="508">
                  <c:v>2</c:v>
                </c:pt>
                <c:pt idx="509">
                  <c:v>19</c:v>
                </c:pt>
                <c:pt idx="510">
                  <c:v>28</c:v>
                </c:pt>
                <c:pt idx="511">
                  <c:v>58</c:v>
                </c:pt>
                <c:pt idx="512">
                  <c:v>99</c:v>
                </c:pt>
                <c:pt idx="513">
                  <c:v>116</c:v>
                </c:pt>
                <c:pt idx="514">
                  <c:v>87</c:v>
                </c:pt>
                <c:pt idx="515">
                  <c:v>110</c:v>
                </c:pt>
                <c:pt idx="516">
                  <c:v>77</c:v>
                </c:pt>
                <c:pt idx="517">
                  <c:v>65</c:v>
                </c:pt>
                <c:pt idx="518">
                  <c:v>55</c:v>
                </c:pt>
                <c:pt idx="519">
                  <c:v>49</c:v>
                </c:pt>
                <c:pt idx="520">
                  <c:v>50</c:v>
                </c:pt>
                <c:pt idx="521">
                  <c:v>35</c:v>
                </c:pt>
                <c:pt idx="522">
                  <c:v>25</c:v>
                </c:pt>
                <c:pt idx="523">
                  <c:v>28</c:v>
                </c:pt>
                <c:pt idx="524">
                  <c:v>21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5</c:v>
                </c:pt>
                <c:pt idx="530">
                  <c:v>15</c:v>
                </c:pt>
                <c:pt idx="531">
                  <c:v>84</c:v>
                </c:pt>
                <c:pt idx="532">
                  <c:v>177</c:v>
                </c:pt>
                <c:pt idx="533">
                  <c:v>102</c:v>
                </c:pt>
                <c:pt idx="534">
                  <c:v>40</c:v>
                </c:pt>
                <c:pt idx="535">
                  <c:v>46</c:v>
                </c:pt>
                <c:pt idx="536">
                  <c:v>63</c:v>
                </c:pt>
                <c:pt idx="537">
                  <c:v>60</c:v>
                </c:pt>
                <c:pt idx="538">
                  <c:v>45</c:v>
                </c:pt>
                <c:pt idx="539">
                  <c:v>57</c:v>
                </c:pt>
                <c:pt idx="540">
                  <c:v>70</c:v>
                </c:pt>
                <c:pt idx="541">
                  <c:v>184</c:v>
                </c:pt>
                <c:pt idx="542">
                  <c:v>153</c:v>
                </c:pt>
                <c:pt idx="543">
                  <c:v>106</c:v>
                </c:pt>
                <c:pt idx="544">
                  <c:v>81</c:v>
                </c:pt>
                <c:pt idx="545">
                  <c:v>59</c:v>
                </c:pt>
                <c:pt idx="546">
                  <c:v>35</c:v>
                </c:pt>
                <c:pt idx="547">
                  <c:v>24</c:v>
                </c:pt>
                <c:pt idx="548">
                  <c:v>9</c:v>
                </c:pt>
                <c:pt idx="549">
                  <c:v>5</c:v>
                </c:pt>
                <c:pt idx="550">
                  <c:v>2</c:v>
                </c:pt>
                <c:pt idx="551">
                  <c:v>1</c:v>
                </c:pt>
                <c:pt idx="552">
                  <c:v>9</c:v>
                </c:pt>
                <c:pt idx="553">
                  <c:v>36</c:v>
                </c:pt>
                <c:pt idx="554">
                  <c:v>108</c:v>
                </c:pt>
                <c:pt idx="555">
                  <c:v>238</c:v>
                </c:pt>
                <c:pt idx="556">
                  <c:v>144</c:v>
                </c:pt>
                <c:pt idx="557">
                  <c:v>55</c:v>
                </c:pt>
                <c:pt idx="558">
                  <c:v>61</c:v>
                </c:pt>
                <c:pt idx="559">
                  <c:v>106</c:v>
                </c:pt>
                <c:pt idx="560">
                  <c:v>93</c:v>
                </c:pt>
                <c:pt idx="561">
                  <c:v>68</c:v>
                </c:pt>
                <c:pt idx="562">
                  <c:v>84</c:v>
                </c:pt>
                <c:pt idx="563">
                  <c:v>116</c:v>
                </c:pt>
                <c:pt idx="564">
                  <c:v>222</c:v>
                </c:pt>
                <c:pt idx="565">
                  <c:v>225</c:v>
                </c:pt>
                <c:pt idx="566">
                  <c:v>146</c:v>
                </c:pt>
                <c:pt idx="567">
                  <c:v>119</c:v>
                </c:pt>
                <c:pt idx="568">
                  <c:v>45</c:v>
                </c:pt>
                <c:pt idx="569">
                  <c:v>53</c:v>
                </c:pt>
                <c:pt idx="570">
                  <c:v>40</c:v>
                </c:pt>
                <c:pt idx="571">
                  <c:v>17</c:v>
                </c:pt>
                <c:pt idx="572">
                  <c:v>5</c:v>
                </c:pt>
                <c:pt idx="573">
                  <c:v>10</c:v>
                </c:pt>
                <c:pt idx="574">
                  <c:v>1</c:v>
                </c:pt>
                <c:pt idx="575">
                  <c:v>8</c:v>
                </c:pt>
                <c:pt idx="576">
                  <c:v>30</c:v>
                </c:pt>
                <c:pt idx="577">
                  <c:v>72</c:v>
                </c:pt>
                <c:pt idx="578">
                  <c:v>58</c:v>
                </c:pt>
                <c:pt idx="579">
                  <c:v>28</c:v>
                </c:pt>
                <c:pt idx="580">
                  <c:v>41</c:v>
                </c:pt>
                <c:pt idx="581">
                  <c:v>48</c:v>
                </c:pt>
                <c:pt idx="582">
                  <c:v>47</c:v>
                </c:pt>
                <c:pt idx="583">
                  <c:v>36</c:v>
                </c:pt>
                <c:pt idx="584">
                  <c:v>43</c:v>
                </c:pt>
                <c:pt idx="585">
                  <c:v>36</c:v>
                </c:pt>
                <c:pt idx="586">
                  <c:v>26</c:v>
                </c:pt>
                <c:pt idx="587">
                  <c:v>24</c:v>
                </c:pt>
                <c:pt idx="588">
                  <c:v>84</c:v>
                </c:pt>
                <c:pt idx="589">
                  <c:v>104</c:v>
                </c:pt>
                <c:pt idx="590">
                  <c:v>79</c:v>
                </c:pt>
                <c:pt idx="591">
                  <c:v>59</c:v>
                </c:pt>
                <c:pt idx="592">
                  <c:v>38</c:v>
                </c:pt>
                <c:pt idx="593">
                  <c:v>27</c:v>
                </c:pt>
                <c:pt idx="594">
                  <c:v>16</c:v>
                </c:pt>
                <c:pt idx="595">
                  <c:v>9</c:v>
                </c:pt>
                <c:pt idx="596">
                  <c:v>3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16</c:v>
                </c:pt>
                <c:pt idx="601">
                  <c:v>60</c:v>
                </c:pt>
                <c:pt idx="602">
                  <c:v>157</c:v>
                </c:pt>
                <c:pt idx="603">
                  <c:v>101</c:v>
                </c:pt>
                <c:pt idx="604">
                  <c:v>49</c:v>
                </c:pt>
                <c:pt idx="605">
                  <c:v>30</c:v>
                </c:pt>
                <c:pt idx="606">
                  <c:v>29</c:v>
                </c:pt>
                <c:pt idx="607">
                  <c:v>31</c:v>
                </c:pt>
                <c:pt idx="608">
                  <c:v>38</c:v>
                </c:pt>
                <c:pt idx="60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6-4873-AC95-4E1C2C01C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310408"/>
        <c:axId val="873657864"/>
      </c:barChart>
      <c:catAx>
        <c:axId val="64631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57864"/>
        <c:crosses val="autoZero"/>
        <c:auto val="1"/>
        <c:lblAlgn val="ctr"/>
        <c:lblOffset val="100"/>
        <c:noMultiLvlLbl val="0"/>
      </c:catAx>
      <c:valAx>
        <c:axId val="87365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31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[DOC-20260523-WA0023^.xlsx]Average User Demand by Humidity!PivotTable7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User Demand by 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User Demand by Humidity'!$B$3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User Demand by Humidity'!$A$4:$A$65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'Average User Demand by Humidity'!$B$4:$B$65</c:f>
              <c:numCache>
                <c:formatCode>General</c:formatCode>
                <c:ptCount val="61"/>
                <c:pt idx="0">
                  <c:v>54.260563380281688</c:v>
                </c:pt>
                <c:pt idx="1">
                  <c:v>54.127659574468083</c:v>
                </c:pt>
                <c:pt idx="2">
                  <c:v>220.59345358816131</c:v>
                </c:pt>
                <c:pt idx="3">
                  <c:v>54.426573426573427</c:v>
                </c:pt>
                <c:pt idx="4">
                  <c:v>499.79669885968241</c:v>
                </c:pt>
                <c:pt idx="5">
                  <c:v>55.143187066974598</c:v>
                </c:pt>
                <c:pt idx="6">
                  <c:v>503.13231244878438</c:v>
                </c:pt>
                <c:pt idx="7">
                  <c:v>223.84005763188728</c:v>
                </c:pt>
                <c:pt idx="8">
                  <c:v>277.41759238255656</c:v>
                </c:pt>
                <c:pt idx="9">
                  <c:v>169.85357437695012</c:v>
                </c:pt>
                <c:pt idx="10">
                  <c:v>503.64483118531109</c:v>
                </c:pt>
                <c:pt idx="11">
                  <c:v>561.85008460949871</c:v>
                </c:pt>
                <c:pt idx="12">
                  <c:v>783.44909053636093</c:v>
                </c:pt>
                <c:pt idx="13">
                  <c:v>840.77492292959869</c:v>
                </c:pt>
                <c:pt idx="14">
                  <c:v>449.75401816272995</c:v>
                </c:pt>
                <c:pt idx="15">
                  <c:v>1080.2351755590837</c:v>
                </c:pt>
                <c:pt idx="16">
                  <c:v>949.89936909236792</c:v>
                </c:pt>
                <c:pt idx="17">
                  <c:v>507.22373356334208</c:v>
                </c:pt>
                <c:pt idx="18">
                  <c:v>807.30459192382114</c:v>
                </c:pt>
                <c:pt idx="19">
                  <c:v>905.44653936044426</c:v>
                </c:pt>
                <c:pt idx="20">
                  <c:v>672.65306095509652</c:v>
                </c:pt>
                <c:pt idx="21">
                  <c:v>684.22950931647745</c:v>
                </c:pt>
                <c:pt idx="22">
                  <c:v>2110.5074914930751</c:v>
                </c:pt>
                <c:pt idx="23">
                  <c:v>695.44246480751087</c:v>
                </c:pt>
                <c:pt idx="24">
                  <c:v>619.16115058707703</c:v>
                </c:pt>
                <c:pt idx="25">
                  <c:v>1607.5127345108403</c:v>
                </c:pt>
                <c:pt idx="26">
                  <c:v>1297.2534195201456</c:v>
                </c:pt>
                <c:pt idx="27">
                  <c:v>287.57849969867567</c:v>
                </c:pt>
                <c:pt idx="28">
                  <c:v>167.79653265640889</c:v>
                </c:pt>
                <c:pt idx="29">
                  <c:v>691.35387147062465</c:v>
                </c:pt>
                <c:pt idx="30">
                  <c:v>1731.0737505541408</c:v>
                </c:pt>
                <c:pt idx="31">
                  <c:v>971.2787176025555</c:v>
                </c:pt>
                <c:pt idx="32">
                  <c:v>450.72914412855852</c:v>
                </c:pt>
                <c:pt idx="33">
                  <c:v>176.55223099340748</c:v>
                </c:pt>
                <c:pt idx="34">
                  <c:v>1532.040291261316</c:v>
                </c:pt>
                <c:pt idx="35">
                  <c:v>394.72951914196295</c:v>
                </c:pt>
                <c:pt idx="36">
                  <c:v>58.6</c:v>
                </c:pt>
                <c:pt idx="37">
                  <c:v>228.53273474176754</c:v>
                </c:pt>
                <c:pt idx="38">
                  <c:v>454.16404904757223</c:v>
                </c:pt>
                <c:pt idx="39">
                  <c:v>754.14608579778258</c:v>
                </c:pt>
                <c:pt idx="40">
                  <c:v>271.2506587211758</c:v>
                </c:pt>
                <c:pt idx="41">
                  <c:v>113.70055446144524</c:v>
                </c:pt>
                <c:pt idx="42">
                  <c:v>115.00325576232936</c:v>
                </c:pt>
                <c:pt idx="43">
                  <c:v>1232.7992053654029</c:v>
                </c:pt>
                <c:pt idx="44">
                  <c:v>108.8485965647256</c:v>
                </c:pt>
                <c:pt idx="45">
                  <c:v>170.40714690855864</c:v>
                </c:pt>
                <c:pt idx="46">
                  <c:v>112.47270468674469</c:v>
                </c:pt>
                <c:pt idx="47">
                  <c:v>862.06909894755211</c:v>
                </c:pt>
                <c:pt idx="48">
                  <c:v>445.93738061726265</c:v>
                </c:pt>
                <c:pt idx="49">
                  <c:v>282.76409440766105</c:v>
                </c:pt>
                <c:pt idx="50">
                  <c:v>168.99477005292184</c:v>
                </c:pt>
                <c:pt idx="51">
                  <c:v>812.30952474407525</c:v>
                </c:pt>
                <c:pt idx="52">
                  <c:v>285.49724915372036</c:v>
                </c:pt>
                <c:pt idx="53">
                  <c:v>171.95041566817548</c:v>
                </c:pt>
                <c:pt idx="54">
                  <c:v>956.18195673469052</c:v>
                </c:pt>
                <c:pt idx="55">
                  <c:v>535.75180112442627</c:v>
                </c:pt>
                <c:pt idx="56">
                  <c:v>224.23591110918943</c:v>
                </c:pt>
                <c:pt idx="57">
                  <c:v>60.928571428571431</c:v>
                </c:pt>
                <c:pt idx="58">
                  <c:v>1672.8305277311515</c:v>
                </c:pt>
                <c:pt idx="59">
                  <c:v>225.1690569808168</c:v>
                </c:pt>
                <c:pt idx="60">
                  <c:v>56.299657534246577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3-4586-8F7F-9597DB2B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7307784"/>
        <c:axId val="1016902664"/>
      </c:barChart>
      <c:catAx>
        <c:axId val="1007307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02664"/>
        <c:crosses val="autoZero"/>
        <c:auto val="1"/>
        <c:lblAlgn val="ctr"/>
        <c:lblOffset val="100"/>
        <c:noMultiLvlLbl val="0"/>
      </c:catAx>
      <c:valAx>
        <c:axId val="101690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0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[DOC-20260523-WA0023^.xlsx]Casual vs Registered Users!PivotTable8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 vs Registered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'Casual vs Registered Users'!$A$3</c:f>
              <c:strCache>
                <c:ptCount val="1"/>
                <c:pt idx="0">
                  <c:v>Sum of registered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6F-43A2-87BF-EC0615E61DFB}"/>
              </c:ext>
            </c:extLst>
          </c:dPt>
          <c:cat>
            <c:strRef>
              <c:f>'Casual vs Registered Users'!$A$4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'Casual vs Registered Users'!$A$4</c:f>
              <c:numCache>
                <c:formatCode>General</c:formatCode>
                <c:ptCount val="1"/>
                <c:pt idx="0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F-451C-9EE6-51492BCE4A9E}"/>
            </c:ext>
          </c:extLst>
        </c:ser>
        <c:ser>
          <c:idx val="1"/>
          <c:order val="1"/>
          <c:tx>
            <c:strRef>
              <c:f>'Casual vs Registered Users'!$B$3</c:f>
              <c:strCache>
                <c:ptCount val="1"/>
                <c:pt idx="0">
                  <c:v>Sum of casual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6F-43A2-87BF-EC0615E61DFB}"/>
              </c:ext>
            </c:extLst>
          </c:dPt>
          <c:cat>
            <c:strRef>
              <c:f>'Casual vs Registered Users'!$A$4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'Casual vs Registered Users'!$B$4</c:f>
              <c:numCache>
                <c:formatCode>General</c:formatCode>
                <c:ptCount val="1"/>
                <c:pt idx="0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1F-451C-9EE6-51492BCE4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[DOC-20260523-WA0023^.xlsx]Average User Demand by Hour!PivotTable1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User Demand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User Demand by Hour'!$B$3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User Demand by Hour'!$A$4:$A$29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4558</c:v>
                </c:pt>
              </c:strCache>
            </c:strRef>
          </c:cat>
          <c:val>
            <c:numRef>
              <c:f>'Average User Demand by Hour'!$B$4:$B$29</c:f>
              <c:numCache>
                <c:formatCode>General</c:formatCode>
                <c:ptCount val="25"/>
                <c:pt idx="0">
                  <c:v>333</c:v>
                </c:pt>
                <c:pt idx="1">
                  <c:v>221</c:v>
                </c:pt>
                <c:pt idx="2">
                  <c:v>124</c:v>
                </c:pt>
                <c:pt idx="3">
                  <c:v>75</c:v>
                </c:pt>
                <c:pt idx="4">
                  <c:v>31</c:v>
                </c:pt>
                <c:pt idx="5">
                  <c:v>69</c:v>
                </c:pt>
                <c:pt idx="6">
                  <c:v>346</c:v>
                </c:pt>
                <c:pt idx="7">
                  <c:v>946</c:v>
                </c:pt>
                <c:pt idx="8">
                  <c:v>2070</c:v>
                </c:pt>
                <c:pt idx="9">
                  <c:v>1476</c:v>
                </c:pt>
                <c:pt idx="10">
                  <c:v>952</c:v>
                </c:pt>
                <c:pt idx="11">
                  <c:v>1039</c:v>
                </c:pt>
                <c:pt idx="12">
                  <c:v>1347</c:v>
                </c:pt>
                <c:pt idx="13">
                  <c:v>1361</c:v>
                </c:pt>
                <c:pt idx="14">
                  <c:v>1373</c:v>
                </c:pt>
                <c:pt idx="15">
                  <c:v>1418</c:v>
                </c:pt>
                <c:pt idx="16">
                  <c:v>1728</c:v>
                </c:pt>
                <c:pt idx="17">
                  <c:v>2619</c:v>
                </c:pt>
                <c:pt idx="18">
                  <c:v>2201</c:v>
                </c:pt>
                <c:pt idx="19">
                  <c:v>1448</c:v>
                </c:pt>
                <c:pt idx="20">
                  <c:v>1115</c:v>
                </c:pt>
                <c:pt idx="21">
                  <c:v>921</c:v>
                </c:pt>
                <c:pt idx="22">
                  <c:v>670</c:v>
                </c:pt>
                <c:pt idx="23">
                  <c:v>523</c:v>
                </c:pt>
                <c:pt idx="24">
                  <c:v>24406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261-95E4-25C082266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159176"/>
        <c:axId val="1417161736"/>
      </c:lineChart>
      <c:catAx>
        <c:axId val="141715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61736"/>
        <c:crosses val="autoZero"/>
        <c:auto val="1"/>
        <c:lblAlgn val="ctr"/>
        <c:lblOffset val="100"/>
        <c:noMultiLvlLbl val="0"/>
      </c:catAx>
      <c:valAx>
        <c:axId val="141716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5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[DOC-20260523-WA0023^.xlsx]Average User Demand by Weather!PivotTable2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User Demand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User Demand by Weather'!$B$3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User Demand by Weather'!$A$4:$A$8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579</c:v>
                </c:pt>
              </c:strCache>
            </c:strRef>
          </c:cat>
          <c:val>
            <c:numRef>
              <c:f>'Average User Demand by Weather'!$B$4:$B$8</c:f>
              <c:numCache>
                <c:formatCode>General</c:formatCode>
                <c:ptCount val="4"/>
                <c:pt idx="0">
                  <c:v>29711.652173912986</c:v>
                </c:pt>
                <c:pt idx="1">
                  <c:v>14356.470588235272</c:v>
                </c:pt>
                <c:pt idx="2">
                  <c:v>4619.0383631713557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3-468C-ABFE-18957F6DC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172488"/>
        <c:axId val="1417174536"/>
      </c:barChart>
      <c:catAx>
        <c:axId val="141717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74536"/>
        <c:crosses val="autoZero"/>
        <c:auto val="1"/>
        <c:lblAlgn val="ctr"/>
        <c:lblOffset val="100"/>
        <c:noMultiLvlLbl val="0"/>
      </c:catAx>
      <c:valAx>
        <c:axId val="141717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[DOC-20260523-WA0023^.xlsx]Weekend vs Weekday User Demand!PivotTable3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 vs Weekday User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'Weekend vs Weekday User Demand'!$B$3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D6-45D0-B516-DFCCA7A098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D6-45D0-B516-DFCCA7A098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D6-45D0-B516-DFCCA7A0989D}"/>
              </c:ext>
            </c:extLst>
          </c:dPt>
          <c:cat>
            <c:strRef>
              <c:f>'Weekend vs Weekday User Demand'!$A$4:$A$7</c:f>
              <c:strCache>
                <c:ptCount val="3"/>
                <c:pt idx="0">
                  <c:v>Weekday</c:v>
                </c:pt>
                <c:pt idx="1">
                  <c:v>Weekend</c:v>
                </c:pt>
                <c:pt idx="2">
                  <c:v>(blank)</c:v>
                </c:pt>
              </c:strCache>
            </c:strRef>
          </c:cat>
          <c:val>
            <c:numRef>
              <c:f>'Weekend vs Weekday User Demand'!$B$4:$B$7</c:f>
              <c:numCache>
                <c:formatCode>General</c:formatCode>
                <c:ptCount val="3"/>
                <c:pt idx="0">
                  <c:v>16523</c:v>
                </c:pt>
                <c:pt idx="1">
                  <c:v>7883</c:v>
                </c:pt>
                <c:pt idx="2">
                  <c:v>24406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0-40CB-971D-8DB61AD25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[DOC-20260523-WA0023^.xlsx]User Demand by Hour!PivotTable3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Demand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Demand by Hour'!$B$3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'User Demand by Hour'!$A$4:$A$28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 Demand by Hour'!$B$4:$B$28</c:f>
              <c:numCache>
                <c:formatCode>General</c:formatCode>
                <c:ptCount val="24"/>
                <c:pt idx="0">
                  <c:v>7690</c:v>
                </c:pt>
                <c:pt idx="1">
                  <c:v>7716</c:v>
                </c:pt>
                <c:pt idx="2">
                  <c:v>7164</c:v>
                </c:pt>
                <c:pt idx="3">
                  <c:v>5251</c:v>
                </c:pt>
                <c:pt idx="4">
                  <c:v>5298</c:v>
                </c:pt>
                <c:pt idx="5">
                  <c:v>7287</c:v>
                </c:pt>
                <c:pt idx="6">
                  <c:v>7826</c:v>
                </c:pt>
                <c:pt idx="7">
                  <c:v>7852</c:v>
                </c:pt>
                <c:pt idx="8">
                  <c:v>7878</c:v>
                </c:pt>
                <c:pt idx="9">
                  <c:v>7904</c:v>
                </c:pt>
                <c:pt idx="10">
                  <c:v>7930</c:v>
                </c:pt>
                <c:pt idx="11">
                  <c:v>7956</c:v>
                </c:pt>
                <c:pt idx="12">
                  <c:v>8379</c:v>
                </c:pt>
                <c:pt idx="13">
                  <c:v>8406</c:v>
                </c:pt>
                <c:pt idx="14">
                  <c:v>8433</c:v>
                </c:pt>
                <c:pt idx="15">
                  <c:v>8460</c:v>
                </c:pt>
                <c:pt idx="16">
                  <c:v>8464</c:v>
                </c:pt>
                <c:pt idx="17">
                  <c:v>8491</c:v>
                </c:pt>
                <c:pt idx="18">
                  <c:v>7930</c:v>
                </c:pt>
                <c:pt idx="19">
                  <c:v>7956</c:v>
                </c:pt>
                <c:pt idx="20">
                  <c:v>7982</c:v>
                </c:pt>
                <c:pt idx="21">
                  <c:v>8008</c:v>
                </c:pt>
                <c:pt idx="22">
                  <c:v>8034</c:v>
                </c:pt>
                <c:pt idx="23">
                  <c:v>8060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C-430E-85A1-7EFB45B12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66770439"/>
        <c:axId val="1666772487"/>
      </c:barChart>
      <c:catAx>
        <c:axId val="166677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72487"/>
        <c:crosses val="autoZero"/>
        <c:auto val="1"/>
        <c:lblAlgn val="ctr"/>
        <c:lblOffset val="100"/>
        <c:noMultiLvlLbl val="0"/>
      </c:catAx>
      <c:valAx>
        <c:axId val="1666772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7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[DOC-20260523-WA0023^.xlsx]Demand by Weather Condition!PivotTable4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Demand Across Weather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2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</c:pivotFmt>
      <c:pivotFmt>
        <c:idx val="24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'Demand by Weather Condition'!$B$3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B05-4B46-82E1-3517AF1182E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B05-4B46-82E1-3517AF1182E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B05-4B46-82E1-3517AF1182E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B05-4B46-82E1-3517AF1182E9}"/>
              </c:ext>
            </c:extLst>
          </c:dPt>
          <c:cat>
            <c:strRef>
              <c:f>'Demand by Weather Condition'!$A$4:$A$8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'Demand by Weather Condition'!$B$4:$B$8</c:f>
              <c:numCache>
                <c:formatCode>General</c:formatCode>
                <c:ptCount val="4"/>
                <c:pt idx="0">
                  <c:v>105251</c:v>
                </c:pt>
                <c:pt idx="1">
                  <c:v>62670</c:v>
                </c:pt>
                <c:pt idx="2">
                  <c:v>17848</c:v>
                </c:pt>
                <c:pt idx="3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05-4B46-82E1-3517AF118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[DOC-20260523-WA0023^.xlsx]Weekend vs Weekday Demand!PivotTable5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Weekend vs Weekday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'Weekend vs Weekday Demand'!$B$3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DC-46C7-BA38-FA0205F374DF}"/>
              </c:ext>
            </c:extLst>
          </c:dPt>
          <c:cat>
            <c:strRef>
              <c:f>'Weekend vs Weekday Demand'!$A$4:$A$5</c:f>
              <c:strCache>
                <c:ptCount val="1"/>
                <c:pt idx="0">
                  <c:v>weekend</c:v>
                </c:pt>
              </c:strCache>
            </c:strRef>
          </c:cat>
          <c:val>
            <c:numRef>
              <c:f>'Weekend vs Weekday Demand'!$B$4:$B$5</c:f>
              <c:numCache>
                <c:formatCode>General</c:formatCode>
                <c:ptCount val="1"/>
                <c:pt idx="0">
                  <c:v>186355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DC-46C7-BA38-FA0205F37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[DOC-20260523-WA0023^.xlsx]User Demand Over Time!PivotTable6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User Demand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Demand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Demand Over Time'!$A$4:$A$614</c:f>
              <c:strCache>
                <c:ptCount val="6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</c:strCache>
            </c:strRef>
          </c:cat>
          <c:val>
            <c:numRef>
              <c:f>'User Demand Over Time'!$B$4:$B$614</c:f>
              <c:numCache>
                <c:formatCode>General</c:formatCode>
                <c:ptCount val="610"/>
                <c:pt idx="0">
                  <c:v>16</c:v>
                </c:pt>
                <c:pt idx="1">
                  <c:v>40</c:v>
                </c:pt>
                <c:pt idx="2">
                  <c:v>32</c:v>
                </c:pt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14</c:v>
                </c:pt>
                <c:pt idx="10">
                  <c:v>36</c:v>
                </c:pt>
                <c:pt idx="11">
                  <c:v>56</c:v>
                </c:pt>
                <c:pt idx="12">
                  <c:v>84</c:v>
                </c:pt>
                <c:pt idx="13">
                  <c:v>94</c:v>
                </c:pt>
                <c:pt idx="14">
                  <c:v>106</c:v>
                </c:pt>
                <c:pt idx="15">
                  <c:v>110</c:v>
                </c:pt>
                <c:pt idx="16">
                  <c:v>93</c:v>
                </c:pt>
                <c:pt idx="17">
                  <c:v>67</c:v>
                </c:pt>
                <c:pt idx="18">
                  <c:v>35</c:v>
                </c:pt>
                <c:pt idx="19">
                  <c:v>37</c:v>
                </c:pt>
                <c:pt idx="20">
                  <c:v>36</c:v>
                </c:pt>
                <c:pt idx="21">
                  <c:v>34</c:v>
                </c:pt>
                <c:pt idx="22">
                  <c:v>28</c:v>
                </c:pt>
                <c:pt idx="23">
                  <c:v>39</c:v>
                </c:pt>
                <c:pt idx="24">
                  <c:v>17</c:v>
                </c:pt>
                <c:pt idx="25">
                  <c:v>17</c:v>
                </c:pt>
                <c:pt idx="26">
                  <c:v>9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20</c:v>
                </c:pt>
                <c:pt idx="33">
                  <c:v>53</c:v>
                </c:pt>
                <c:pt idx="34">
                  <c:v>70</c:v>
                </c:pt>
                <c:pt idx="35">
                  <c:v>93</c:v>
                </c:pt>
                <c:pt idx="36">
                  <c:v>75</c:v>
                </c:pt>
                <c:pt idx="37">
                  <c:v>59</c:v>
                </c:pt>
                <c:pt idx="38">
                  <c:v>74</c:v>
                </c:pt>
                <c:pt idx="39">
                  <c:v>76</c:v>
                </c:pt>
                <c:pt idx="40">
                  <c:v>65</c:v>
                </c:pt>
                <c:pt idx="41">
                  <c:v>53</c:v>
                </c:pt>
                <c:pt idx="42">
                  <c:v>30</c:v>
                </c:pt>
                <c:pt idx="43">
                  <c:v>22</c:v>
                </c:pt>
                <c:pt idx="44">
                  <c:v>31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30</c:v>
                </c:pt>
                <c:pt idx="52">
                  <c:v>64</c:v>
                </c:pt>
                <c:pt idx="53">
                  <c:v>154</c:v>
                </c:pt>
                <c:pt idx="54">
                  <c:v>88</c:v>
                </c:pt>
                <c:pt idx="55">
                  <c:v>44</c:v>
                </c:pt>
                <c:pt idx="56">
                  <c:v>51</c:v>
                </c:pt>
                <c:pt idx="57">
                  <c:v>61</c:v>
                </c:pt>
                <c:pt idx="58">
                  <c:v>61</c:v>
                </c:pt>
                <c:pt idx="59">
                  <c:v>77</c:v>
                </c:pt>
                <c:pt idx="60">
                  <c:v>72</c:v>
                </c:pt>
                <c:pt idx="61">
                  <c:v>76</c:v>
                </c:pt>
                <c:pt idx="62">
                  <c:v>157</c:v>
                </c:pt>
                <c:pt idx="63">
                  <c:v>157</c:v>
                </c:pt>
                <c:pt idx="64">
                  <c:v>110</c:v>
                </c:pt>
                <c:pt idx="65">
                  <c:v>52</c:v>
                </c:pt>
                <c:pt idx="66">
                  <c:v>52</c:v>
                </c:pt>
                <c:pt idx="67">
                  <c:v>20</c:v>
                </c:pt>
                <c:pt idx="68">
                  <c:v>12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36</c:v>
                </c:pt>
                <c:pt idx="75">
                  <c:v>94</c:v>
                </c:pt>
                <c:pt idx="76">
                  <c:v>179</c:v>
                </c:pt>
                <c:pt idx="77">
                  <c:v>100</c:v>
                </c:pt>
                <c:pt idx="78">
                  <c:v>42</c:v>
                </c:pt>
                <c:pt idx="79">
                  <c:v>57</c:v>
                </c:pt>
                <c:pt idx="80">
                  <c:v>78</c:v>
                </c:pt>
                <c:pt idx="81">
                  <c:v>97</c:v>
                </c:pt>
                <c:pt idx="82">
                  <c:v>63</c:v>
                </c:pt>
                <c:pt idx="83">
                  <c:v>65</c:v>
                </c:pt>
                <c:pt idx="84">
                  <c:v>83</c:v>
                </c:pt>
                <c:pt idx="85">
                  <c:v>212</c:v>
                </c:pt>
                <c:pt idx="86">
                  <c:v>182</c:v>
                </c:pt>
                <c:pt idx="87">
                  <c:v>112</c:v>
                </c:pt>
                <c:pt idx="88">
                  <c:v>54</c:v>
                </c:pt>
                <c:pt idx="89">
                  <c:v>48</c:v>
                </c:pt>
                <c:pt idx="90">
                  <c:v>35</c:v>
                </c:pt>
                <c:pt idx="91">
                  <c:v>11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33</c:v>
                </c:pt>
                <c:pt idx="98">
                  <c:v>88</c:v>
                </c:pt>
                <c:pt idx="99">
                  <c:v>195</c:v>
                </c:pt>
                <c:pt idx="100">
                  <c:v>115</c:v>
                </c:pt>
                <c:pt idx="101">
                  <c:v>57</c:v>
                </c:pt>
                <c:pt idx="102">
                  <c:v>46</c:v>
                </c:pt>
                <c:pt idx="103">
                  <c:v>79</c:v>
                </c:pt>
                <c:pt idx="104">
                  <c:v>71</c:v>
                </c:pt>
                <c:pt idx="105">
                  <c:v>62</c:v>
                </c:pt>
                <c:pt idx="106">
                  <c:v>62</c:v>
                </c:pt>
                <c:pt idx="107">
                  <c:v>89</c:v>
                </c:pt>
                <c:pt idx="108">
                  <c:v>190</c:v>
                </c:pt>
                <c:pt idx="109">
                  <c:v>169</c:v>
                </c:pt>
                <c:pt idx="110">
                  <c:v>132</c:v>
                </c:pt>
                <c:pt idx="111">
                  <c:v>89</c:v>
                </c:pt>
                <c:pt idx="112">
                  <c:v>43</c:v>
                </c:pt>
                <c:pt idx="113">
                  <c:v>42</c:v>
                </c:pt>
                <c:pt idx="114">
                  <c:v>19</c:v>
                </c:pt>
                <c:pt idx="115">
                  <c:v>11</c:v>
                </c:pt>
                <c:pt idx="116">
                  <c:v>4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36</c:v>
                </c:pt>
                <c:pt idx="121">
                  <c:v>95</c:v>
                </c:pt>
                <c:pt idx="122">
                  <c:v>219</c:v>
                </c:pt>
                <c:pt idx="123">
                  <c:v>122</c:v>
                </c:pt>
                <c:pt idx="124">
                  <c:v>45</c:v>
                </c:pt>
                <c:pt idx="125">
                  <c:v>59</c:v>
                </c:pt>
                <c:pt idx="126">
                  <c:v>84</c:v>
                </c:pt>
                <c:pt idx="127">
                  <c:v>67</c:v>
                </c:pt>
                <c:pt idx="128">
                  <c:v>70</c:v>
                </c:pt>
                <c:pt idx="129">
                  <c:v>62</c:v>
                </c:pt>
                <c:pt idx="130">
                  <c:v>86</c:v>
                </c:pt>
                <c:pt idx="131">
                  <c:v>172</c:v>
                </c:pt>
                <c:pt idx="132">
                  <c:v>163</c:v>
                </c:pt>
                <c:pt idx="133">
                  <c:v>112</c:v>
                </c:pt>
                <c:pt idx="134">
                  <c:v>69</c:v>
                </c:pt>
                <c:pt idx="135">
                  <c:v>48</c:v>
                </c:pt>
                <c:pt idx="136">
                  <c:v>52</c:v>
                </c:pt>
                <c:pt idx="137">
                  <c:v>23</c:v>
                </c:pt>
                <c:pt idx="138">
                  <c:v>17</c:v>
                </c:pt>
                <c:pt idx="139">
                  <c:v>7</c:v>
                </c:pt>
                <c:pt idx="140">
                  <c:v>1</c:v>
                </c:pt>
                <c:pt idx="141">
                  <c:v>1</c:v>
                </c:pt>
                <c:pt idx="142">
                  <c:v>5</c:v>
                </c:pt>
                <c:pt idx="143">
                  <c:v>34</c:v>
                </c:pt>
                <c:pt idx="144">
                  <c:v>84</c:v>
                </c:pt>
                <c:pt idx="145">
                  <c:v>210</c:v>
                </c:pt>
                <c:pt idx="146">
                  <c:v>134</c:v>
                </c:pt>
                <c:pt idx="147">
                  <c:v>63</c:v>
                </c:pt>
                <c:pt idx="148">
                  <c:v>67</c:v>
                </c:pt>
                <c:pt idx="149">
                  <c:v>59</c:v>
                </c:pt>
                <c:pt idx="150">
                  <c:v>73</c:v>
                </c:pt>
                <c:pt idx="151">
                  <c:v>50</c:v>
                </c:pt>
                <c:pt idx="152">
                  <c:v>72</c:v>
                </c:pt>
                <c:pt idx="153">
                  <c:v>87</c:v>
                </c:pt>
                <c:pt idx="154">
                  <c:v>187</c:v>
                </c:pt>
                <c:pt idx="155">
                  <c:v>123</c:v>
                </c:pt>
                <c:pt idx="156">
                  <c:v>95</c:v>
                </c:pt>
                <c:pt idx="157">
                  <c:v>51</c:v>
                </c:pt>
                <c:pt idx="158">
                  <c:v>39</c:v>
                </c:pt>
                <c:pt idx="159">
                  <c:v>36</c:v>
                </c:pt>
                <c:pt idx="160">
                  <c:v>15</c:v>
                </c:pt>
                <c:pt idx="161">
                  <c:v>25</c:v>
                </c:pt>
                <c:pt idx="162">
                  <c:v>16</c:v>
                </c:pt>
                <c:pt idx="163">
                  <c:v>16</c:v>
                </c:pt>
                <c:pt idx="164">
                  <c:v>7</c:v>
                </c:pt>
                <c:pt idx="165">
                  <c:v>1</c:v>
                </c:pt>
                <c:pt idx="166">
                  <c:v>5</c:v>
                </c:pt>
                <c:pt idx="167">
                  <c:v>2</c:v>
                </c:pt>
                <c:pt idx="168">
                  <c:v>9</c:v>
                </c:pt>
                <c:pt idx="169">
                  <c:v>15</c:v>
                </c:pt>
                <c:pt idx="170">
                  <c:v>20</c:v>
                </c:pt>
                <c:pt idx="171">
                  <c:v>61</c:v>
                </c:pt>
                <c:pt idx="172">
                  <c:v>62</c:v>
                </c:pt>
                <c:pt idx="173">
                  <c:v>98</c:v>
                </c:pt>
                <c:pt idx="174">
                  <c:v>102</c:v>
                </c:pt>
                <c:pt idx="175">
                  <c:v>95</c:v>
                </c:pt>
                <c:pt idx="176">
                  <c:v>74</c:v>
                </c:pt>
                <c:pt idx="177">
                  <c:v>76</c:v>
                </c:pt>
                <c:pt idx="178">
                  <c:v>69</c:v>
                </c:pt>
                <c:pt idx="179">
                  <c:v>55</c:v>
                </c:pt>
                <c:pt idx="180">
                  <c:v>30</c:v>
                </c:pt>
                <c:pt idx="181">
                  <c:v>28</c:v>
                </c:pt>
                <c:pt idx="182">
                  <c:v>37</c:v>
                </c:pt>
                <c:pt idx="183">
                  <c:v>34</c:v>
                </c:pt>
                <c:pt idx="184">
                  <c:v>22</c:v>
                </c:pt>
                <c:pt idx="185">
                  <c:v>25</c:v>
                </c:pt>
                <c:pt idx="186">
                  <c:v>12</c:v>
                </c:pt>
                <c:pt idx="187">
                  <c:v>11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10</c:v>
                </c:pt>
                <c:pt idx="194">
                  <c:v>19</c:v>
                </c:pt>
                <c:pt idx="195">
                  <c:v>49</c:v>
                </c:pt>
                <c:pt idx="196">
                  <c:v>49</c:v>
                </c:pt>
                <c:pt idx="197">
                  <c:v>83</c:v>
                </c:pt>
                <c:pt idx="198">
                  <c:v>75</c:v>
                </c:pt>
                <c:pt idx="199">
                  <c:v>72</c:v>
                </c:pt>
                <c:pt idx="200">
                  <c:v>82</c:v>
                </c:pt>
                <c:pt idx="201">
                  <c:v>92</c:v>
                </c:pt>
                <c:pt idx="202">
                  <c:v>62</c:v>
                </c:pt>
                <c:pt idx="203">
                  <c:v>48</c:v>
                </c:pt>
                <c:pt idx="204">
                  <c:v>41</c:v>
                </c:pt>
                <c:pt idx="205">
                  <c:v>38</c:v>
                </c:pt>
                <c:pt idx="206">
                  <c:v>20</c:v>
                </c:pt>
                <c:pt idx="207">
                  <c:v>15</c:v>
                </c:pt>
                <c:pt idx="208">
                  <c:v>6</c:v>
                </c:pt>
                <c:pt idx="209">
                  <c:v>5</c:v>
                </c:pt>
                <c:pt idx="210">
                  <c:v>1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3</c:v>
                </c:pt>
                <c:pt idx="215">
                  <c:v>31</c:v>
                </c:pt>
                <c:pt idx="216">
                  <c:v>77</c:v>
                </c:pt>
                <c:pt idx="217">
                  <c:v>188</c:v>
                </c:pt>
                <c:pt idx="218">
                  <c:v>94</c:v>
                </c:pt>
                <c:pt idx="219">
                  <c:v>31</c:v>
                </c:pt>
                <c:pt idx="220">
                  <c:v>30</c:v>
                </c:pt>
                <c:pt idx="221">
                  <c:v>52</c:v>
                </c:pt>
                <c:pt idx="222">
                  <c:v>54</c:v>
                </c:pt>
                <c:pt idx="223">
                  <c:v>47</c:v>
                </c:pt>
                <c:pt idx="224">
                  <c:v>45</c:v>
                </c:pt>
                <c:pt idx="225">
                  <c:v>74</c:v>
                </c:pt>
                <c:pt idx="226">
                  <c:v>178</c:v>
                </c:pt>
                <c:pt idx="227">
                  <c:v>155</c:v>
                </c:pt>
                <c:pt idx="228">
                  <c:v>95</c:v>
                </c:pt>
                <c:pt idx="229">
                  <c:v>74</c:v>
                </c:pt>
                <c:pt idx="230">
                  <c:v>38</c:v>
                </c:pt>
                <c:pt idx="231">
                  <c:v>24</c:v>
                </c:pt>
                <c:pt idx="232">
                  <c:v>18</c:v>
                </c:pt>
                <c:pt idx="233">
                  <c:v>12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27</c:v>
                </c:pt>
                <c:pt idx="238">
                  <c:v>99</c:v>
                </c:pt>
                <c:pt idx="239">
                  <c:v>217</c:v>
                </c:pt>
                <c:pt idx="240">
                  <c:v>130</c:v>
                </c:pt>
                <c:pt idx="241">
                  <c:v>54</c:v>
                </c:pt>
                <c:pt idx="242">
                  <c:v>35</c:v>
                </c:pt>
                <c:pt idx="243">
                  <c:v>57</c:v>
                </c:pt>
                <c:pt idx="244">
                  <c:v>52</c:v>
                </c:pt>
                <c:pt idx="245">
                  <c:v>63</c:v>
                </c:pt>
                <c:pt idx="246">
                  <c:v>47</c:v>
                </c:pt>
                <c:pt idx="247">
                  <c:v>76</c:v>
                </c:pt>
                <c:pt idx="248">
                  <c:v>136</c:v>
                </c:pt>
                <c:pt idx="249">
                  <c:v>95</c:v>
                </c:pt>
                <c:pt idx="250">
                  <c:v>51</c:v>
                </c:pt>
                <c:pt idx="251">
                  <c:v>32</c:v>
                </c:pt>
                <c:pt idx="252">
                  <c:v>20</c:v>
                </c:pt>
                <c:pt idx="253">
                  <c:v>29</c:v>
                </c:pt>
                <c:pt idx="254">
                  <c:v>19</c:v>
                </c:pt>
                <c:pt idx="255">
                  <c:v>7</c:v>
                </c:pt>
                <c:pt idx="256">
                  <c:v>6</c:v>
                </c:pt>
                <c:pt idx="257">
                  <c:v>1</c:v>
                </c:pt>
                <c:pt idx="258">
                  <c:v>5</c:v>
                </c:pt>
                <c:pt idx="259">
                  <c:v>16</c:v>
                </c:pt>
                <c:pt idx="260">
                  <c:v>54</c:v>
                </c:pt>
                <c:pt idx="261">
                  <c:v>128</c:v>
                </c:pt>
                <c:pt idx="262">
                  <c:v>81</c:v>
                </c:pt>
                <c:pt idx="263">
                  <c:v>39</c:v>
                </c:pt>
                <c:pt idx="264">
                  <c:v>35</c:v>
                </c:pt>
                <c:pt idx="265">
                  <c:v>55</c:v>
                </c:pt>
                <c:pt idx="266">
                  <c:v>49</c:v>
                </c:pt>
                <c:pt idx="267">
                  <c:v>44</c:v>
                </c:pt>
                <c:pt idx="268">
                  <c:v>49</c:v>
                </c:pt>
                <c:pt idx="269">
                  <c:v>68</c:v>
                </c:pt>
                <c:pt idx="270">
                  <c:v>139</c:v>
                </c:pt>
                <c:pt idx="271">
                  <c:v>137</c:v>
                </c:pt>
                <c:pt idx="272">
                  <c:v>83</c:v>
                </c:pt>
                <c:pt idx="273">
                  <c:v>56</c:v>
                </c:pt>
                <c:pt idx="274">
                  <c:v>57</c:v>
                </c:pt>
                <c:pt idx="275">
                  <c:v>33</c:v>
                </c:pt>
                <c:pt idx="276">
                  <c:v>20</c:v>
                </c:pt>
                <c:pt idx="277">
                  <c:v>7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28</c:v>
                </c:pt>
                <c:pt idx="284">
                  <c:v>72</c:v>
                </c:pt>
                <c:pt idx="285">
                  <c:v>202</c:v>
                </c:pt>
                <c:pt idx="286">
                  <c:v>139</c:v>
                </c:pt>
                <c:pt idx="287">
                  <c:v>38</c:v>
                </c:pt>
                <c:pt idx="288">
                  <c:v>37</c:v>
                </c:pt>
                <c:pt idx="289">
                  <c:v>52</c:v>
                </c:pt>
                <c:pt idx="290">
                  <c:v>83</c:v>
                </c:pt>
                <c:pt idx="291">
                  <c:v>42</c:v>
                </c:pt>
                <c:pt idx="292">
                  <c:v>60</c:v>
                </c:pt>
                <c:pt idx="293">
                  <c:v>78</c:v>
                </c:pt>
                <c:pt idx="294">
                  <c:v>162</c:v>
                </c:pt>
                <c:pt idx="295">
                  <c:v>144</c:v>
                </c:pt>
                <c:pt idx="296">
                  <c:v>99</c:v>
                </c:pt>
                <c:pt idx="297">
                  <c:v>64</c:v>
                </c:pt>
                <c:pt idx="298">
                  <c:v>40</c:v>
                </c:pt>
                <c:pt idx="299">
                  <c:v>30</c:v>
                </c:pt>
                <c:pt idx="300">
                  <c:v>15</c:v>
                </c:pt>
                <c:pt idx="301">
                  <c:v>14</c:v>
                </c:pt>
                <c:pt idx="302">
                  <c:v>5</c:v>
                </c:pt>
                <c:pt idx="303">
                  <c:v>1</c:v>
                </c:pt>
                <c:pt idx="304">
                  <c:v>1</c:v>
                </c:pt>
                <c:pt idx="305">
                  <c:v>8</c:v>
                </c:pt>
                <c:pt idx="306">
                  <c:v>17</c:v>
                </c:pt>
                <c:pt idx="307">
                  <c:v>70</c:v>
                </c:pt>
                <c:pt idx="308">
                  <c:v>158</c:v>
                </c:pt>
                <c:pt idx="309">
                  <c:v>117</c:v>
                </c:pt>
                <c:pt idx="310">
                  <c:v>44</c:v>
                </c:pt>
                <c:pt idx="311">
                  <c:v>53</c:v>
                </c:pt>
                <c:pt idx="312">
                  <c:v>61</c:v>
                </c:pt>
                <c:pt idx="313">
                  <c:v>77</c:v>
                </c:pt>
                <c:pt idx="314">
                  <c:v>64</c:v>
                </c:pt>
                <c:pt idx="315">
                  <c:v>68</c:v>
                </c:pt>
                <c:pt idx="316">
                  <c:v>90</c:v>
                </c:pt>
                <c:pt idx="317">
                  <c:v>159</c:v>
                </c:pt>
                <c:pt idx="318">
                  <c:v>139</c:v>
                </c:pt>
                <c:pt idx="319">
                  <c:v>92</c:v>
                </c:pt>
                <c:pt idx="320">
                  <c:v>68</c:v>
                </c:pt>
                <c:pt idx="321">
                  <c:v>52</c:v>
                </c:pt>
                <c:pt idx="322">
                  <c:v>36</c:v>
                </c:pt>
                <c:pt idx="323">
                  <c:v>27</c:v>
                </c:pt>
                <c:pt idx="324">
                  <c:v>28</c:v>
                </c:pt>
                <c:pt idx="325">
                  <c:v>20</c:v>
                </c:pt>
                <c:pt idx="326">
                  <c:v>12</c:v>
                </c:pt>
                <c:pt idx="327">
                  <c:v>8</c:v>
                </c:pt>
                <c:pt idx="328">
                  <c:v>5</c:v>
                </c:pt>
                <c:pt idx="329">
                  <c:v>1</c:v>
                </c:pt>
                <c:pt idx="330">
                  <c:v>3</c:v>
                </c:pt>
                <c:pt idx="331">
                  <c:v>10</c:v>
                </c:pt>
                <c:pt idx="332">
                  <c:v>23</c:v>
                </c:pt>
                <c:pt idx="333">
                  <c:v>33</c:v>
                </c:pt>
                <c:pt idx="334">
                  <c:v>59</c:v>
                </c:pt>
                <c:pt idx="335">
                  <c:v>72</c:v>
                </c:pt>
                <c:pt idx="336">
                  <c:v>89</c:v>
                </c:pt>
                <c:pt idx="337">
                  <c:v>101</c:v>
                </c:pt>
                <c:pt idx="338">
                  <c:v>118</c:v>
                </c:pt>
                <c:pt idx="339">
                  <c:v>129</c:v>
                </c:pt>
                <c:pt idx="340">
                  <c:v>128</c:v>
                </c:pt>
                <c:pt idx="341">
                  <c:v>83</c:v>
                </c:pt>
                <c:pt idx="342">
                  <c:v>84</c:v>
                </c:pt>
                <c:pt idx="343">
                  <c:v>74</c:v>
                </c:pt>
                <c:pt idx="344">
                  <c:v>41</c:v>
                </c:pt>
                <c:pt idx="345">
                  <c:v>57</c:v>
                </c:pt>
                <c:pt idx="346">
                  <c:v>26</c:v>
                </c:pt>
                <c:pt idx="347">
                  <c:v>44</c:v>
                </c:pt>
                <c:pt idx="348">
                  <c:v>39</c:v>
                </c:pt>
                <c:pt idx="349">
                  <c:v>23</c:v>
                </c:pt>
                <c:pt idx="350">
                  <c:v>16</c:v>
                </c:pt>
                <c:pt idx="351">
                  <c:v>15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3</c:v>
                </c:pt>
                <c:pt idx="356">
                  <c:v>18</c:v>
                </c:pt>
                <c:pt idx="357">
                  <c:v>32</c:v>
                </c:pt>
                <c:pt idx="358">
                  <c:v>79</c:v>
                </c:pt>
                <c:pt idx="359">
                  <c:v>93</c:v>
                </c:pt>
                <c:pt idx="360">
                  <c:v>104</c:v>
                </c:pt>
                <c:pt idx="361">
                  <c:v>118</c:v>
                </c:pt>
                <c:pt idx="362">
                  <c:v>91</c:v>
                </c:pt>
                <c:pt idx="363">
                  <c:v>113</c:v>
                </c:pt>
                <c:pt idx="364">
                  <c:v>99</c:v>
                </c:pt>
                <c:pt idx="365">
                  <c:v>105</c:v>
                </c:pt>
                <c:pt idx="366">
                  <c:v>67</c:v>
                </c:pt>
                <c:pt idx="367">
                  <c:v>61</c:v>
                </c:pt>
                <c:pt idx="368">
                  <c:v>57</c:v>
                </c:pt>
                <c:pt idx="369">
                  <c:v>28</c:v>
                </c:pt>
                <c:pt idx="370">
                  <c:v>21</c:v>
                </c:pt>
                <c:pt idx="371">
                  <c:v>18</c:v>
                </c:pt>
                <c:pt idx="372">
                  <c:v>17</c:v>
                </c:pt>
                <c:pt idx="373">
                  <c:v>16</c:v>
                </c:pt>
                <c:pt idx="374">
                  <c:v>8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13</c:v>
                </c:pt>
                <c:pt idx="380">
                  <c:v>33</c:v>
                </c:pt>
                <c:pt idx="381">
                  <c:v>47</c:v>
                </c:pt>
                <c:pt idx="382">
                  <c:v>57</c:v>
                </c:pt>
                <c:pt idx="383">
                  <c:v>64</c:v>
                </c:pt>
                <c:pt idx="384">
                  <c:v>80</c:v>
                </c:pt>
                <c:pt idx="385">
                  <c:v>93</c:v>
                </c:pt>
                <c:pt idx="386">
                  <c:v>86</c:v>
                </c:pt>
                <c:pt idx="387">
                  <c:v>93</c:v>
                </c:pt>
                <c:pt idx="388">
                  <c:v>82</c:v>
                </c:pt>
                <c:pt idx="389">
                  <c:v>71</c:v>
                </c:pt>
                <c:pt idx="390">
                  <c:v>92</c:v>
                </c:pt>
                <c:pt idx="391">
                  <c:v>60</c:v>
                </c:pt>
                <c:pt idx="392">
                  <c:v>33</c:v>
                </c:pt>
                <c:pt idx="393">
                  <c:v>27</c:v>
                </c:pt>
                <c:pt idx="394">
                  <c:v>13</c:v>
                </c:pt>
                <c:pt idx="395">
                  <c:v>4</c:v>
                </c:pt>
                <c:pt idx="396">
                  <c:v>3</c:v>
                </c:pt>
                <c:pt idx="397">
                  <c:v>22</c:v>
                </c:pt>
                <c:pt idx="398">
                  <c:v>28</c:v>
                </c:pt>
                <c:pt idx="399">
                  <c:v>35</c:v>
                </c:pt>
                <c:pt idx="400">
                  <c:v>61</c:v>
                </c:pt>
                <c:pt idx="401">
                  <c:v>125</c:v>
                </c:pt>
                <c:pt idx="402">
                  <c:v>133</c:v>
                </c:pt>
                <c:pt idx="403">
                  <c:v>99</c:v>
                </c:pt>
                <c:pt idx="404">
                  <c:v>83</c:v>
                </c:pt>
                <c:pt idx="405">
                  <c:v>41</c:v>
                </c:pt>
                <c:pt idx="406">
                  <c:v>33</c:v>
                </c:pt>
                <c:pt idx="407">
                  <c:v>20</c:v>
                </c:pt>
                <c:pt idx="408">
                  <c:v>3</c:v>
                </c:pt>
                <c:pt idx="409">
                  <c:v>7</c:v>
                </c:pt>
                <c:pt idx="410">
                  <c:v>3</c:v>
                </c:pt>
                <c:pt idx="411">
                  <c:v>2</c:v>
                </c:pt>
                <c:pt idx="412">
                  <c:v>7</c:v>
                </c:pt>
                <c:pt idx="413">
                  <c:v>32</c:v>
                </c:pt>
                <c:pt idx="414">
                  <c:v>90</c:v>
                </c:pt>
                <c:pt idx="415">
                  <c:v>197</c:v>
                </c:pt>
                <c:pt idx="416">
                  <c:v>109</c:v>
                </c:pt>
                <c:pt idx="417">
                  <c:v>47</c:v>
                </c:pt>
                <c:pt idx="418">
                  <c:v>52</c:v>
                </c:pt>
                <c:pt idx="419">
                  <c:v>70</c:v>
                </c:pt>
                <c:pt idx="420">
                  <c:v>78</c:v>
                </c:pt>
                <c:pt idx="421">
                  <c:v>75</c:v>
                </c:pt>
                <c:pt idx="422">
                  <c:v>82</c:v>
                </c:pt>
                <c:pt idx="423">
                  <c:v>104</c:v>
                </c:pt>
                <c:pt idx="424">
                  <c:v>197</c:v>
                </c:pt>
                <c:pt idx="425">
                  <c:v>161</c:v>
                </c:pt>
                <c:pt idx="426">
                  <c:v>112</c:v>
                </c:pt>
                <c:pt idx="427">
                  <c:v>76</c:v>
                </c:pt>
                <c:pt idx="428">
                  <c:v>59</c:v>
                </c:pt>
                <c:pt idx="429">
                  <c:v>59</c:v>
                </c:pt>
                <c:pt idx="430">
                  <c:v>28</c:v>
                </c:pt>
                <c:pt idx="431">
                  <c:v>13</c:v>
                </c:pt>
                <c:pt idx="432">
                  <c:v>5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6</c:v>
                </c:pt>
                <c:pt idx="437">
                  <c:v>35</c:v>
                </c:pt>
                <c:pt idx="438">
                  <c:v>101</c:v>
                </c:pt>
                <c:pt idx="439">
                  <c:v>249</c:v>
                </c:pt>
                <c:pt idx="440">
                  <c:v>143</c:v>
                </c:pt>
                <c:pt idx="441">
                  <c:v>57</c:v>
                </c:pt>
                <c:pt idx="442">
                  <c:v>68</c:v>
                </c:pt>
                <c:pt idx="443">
                  <c:v>84</c:v>
                </c:pt>
                <c:pt idx="444">
                  <c:v>98</c:v>
                </c:pt>
                <c:pt idx="445">
                  <c:v>81</c:v>
                </c:pt>
                <c:pt idx="446">
                  <c:v>70</c:v>
                </c:pt>
                <c:pt idx="447">
                  <c:v>91</c:v>
                </c:pt>
                <c:pt idx="448">
                  <c:v>215</c:v>
                </c:pt>
                <c:pt idx="449">
                  <c:v>185</c:v>
                </c:pt>
                <c:pt idx="450">
                  <c:v>152</c:v>
                </c:pt>
                <c:pt idx="451">
                  <c:v>126</c:v>
                </c:pt>
                <c:pt idx="452">
                  <c:v>57</c:v>
                </c:pt>
                <c:pt idx="453">
                  <c:v>56</c:v>
                </c:pt>
                <c:pt idx="454">
                  <c:v>31</c:v>
                </c:pt>
                <c:pt idx="455">
                  <c:v>21</c:v>
                </c:pt>
                <c:pt idx="456">
                  <c:v>6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5</c:v>
                </c:pt>
                <c:pt idx="461">
                  <c:v>27</c:v>
                </c:pt>
                <c:pt idx="462">
                  <c:v>68</c:v>
                </c:pt>
                <c:pt idx="463">
                  <c:v>217</c:v>
                </c:pt>
                <c:pt idx="464">
                  <c:v>166</c:v>
                </c:pt>
                <c:pt idx="465">
                  <c:v>63</c:v>
                </c:pt>
                <c:pt idx="466">
                  <c:v>59</c:v>
                </c:pt>
                <c:pt idx="467">
                  <c:v>78</c:v>
                </c:pt>
                <c:pt idx="468">
                  <c:v>73</c:v>
                </c:pt>
                <c:pt idx="469">
                  <c:v>62</c:v>
                </c:pt>
                <c:pt idx="470">
                  <c:v>65</c:v>
                </c:pt>
                <c:pt idx="471">
                  <c:v>97</c:v>
                </c:pt>
                <c:pt idx="472">
                  <c:v>161</c:v>
                </c:pt>
                <c:pt idx="473">
                  <c:v>120</c:v>
                </c:pt>
                <c:pt idx="474">
                  <c:v>96</c:v>
                </c:pt>
                <c:pt idx="475">
                  <c:v>53</c:v>
                </c:pt>
                <c:pt idx="476">
                  <c:v>41</c:v>
                </c:pt>
                <c:pt idx="477">
                  <c:v>34</c:v>
                </c:pt>
                <c:pt idx="478">
                  <c:v>27</c:v>
                </c:pt>
                <c:pt idx="479">
                  <c:v>13</c:v>
                </c:pt>
                <c:pt idx="480">
                  <c:v>12</c:v>
                </c:pt>
                <c:pt idx="481">
                  <c:v>11</c:v>
                </c:pt>
                <c:pt idx="482">
                  <c:v>7</c:v>
                </c:pt>
                <c:pt idx="483">
                  <c:v>3</c:v>
                </c:pt>
                <c:pt idx="484">
                  <c:v>2</c:v>
                </c:pt>
                <c:pt idx="485">
                  <c:v>8</c:v>
                </c:pt>
                <c:pt idx="486">
                  <c:v>27</c:v>
                </c:pt>
                <c:pt idx="487">
                  <c:v>40</c:v>
                </c:pt>
                <c:pt idx="488">
                  <c:v>53</c:v>
                </c:pt>
                <c:pt idx="489">
                  <c:v>63</c:v>
                </c:pt>
                <c:pt idx="490">
                  <c:v>70</c:v>
                </c:pt>
                <c:pt idx="491">
                  <c:v>84</c:v>
                </c:pt>
                <c:pt idx="492">
                  <c:v>75</c:v>
                </c:pt>
                <c:pt idx="493">
                  <c:v>103</c:v>
                </c:pt>
                <c:pt idx="494">
                  <c:v>83</c:v>
                </c:pt>
                <c:pt idx="495">
                  <c:v>67</c:v>
                </c:pt>
                <c:pt idx="496">
                  <c:v>54</c:v>
                </c:pt>
                <c:pt idx="497">
                  <c:v>59</c:v>
                </c:pt>
                <c:pt idx="498">
                  <c:v>45</c:v>
                </c:pt>
                <c:pt idx="499">
                  <c:v>39</c:v>
                </c:pt>
                <c:pt idx="500">
                  <c:v>30</c:v>
                </c:pt>
                <c:pt idx="501">
                  <c:v>33</c:v>
                </c:pt>
                <c:pt idx="502">
                  <c:v>22</c:v>
                </c:pt>
                <c:pt idx="503">
                  <c:v>13</c:v>
                </c:pt>
                <c:pt idx="504">
                  <c:v>18</c:v>
                </c:pt>
                <c:pt idx="505">
                  <c:v>5</c:v>
                </c:pt>
                <c:pt idx="506">
                  <c:v>3</c:v>
                </c:pt>
                <c:pt idx="507">
                  <c:v>1</c:v>
                </c:pt>
                <c:pt idx="508">
                  <c:v>2</c:v>
                </c:pt>
                <c:pt idx="509">
                  <c:v>19</c:v>
                </c:pt>
                <c:pt idx="510">
                  <c:v>28</c:v>
                </c:pt>
                <c:pt idx="511">
                  <c:v>58</c:v>
                </c:pt>
                <c:pt idx="512">
                  <c:v>99</c:v>
                </c:pt>
                <c:pt idx="513">
                  <c:v>116</c:v>
                </c:pt>
                <c:pt idx="514">
                  <c:v>87</c:v>
                </c:pt>
                <c:pt idx="515">
                  <c:v>110</c:v>
                </c:pt>
                <c:pt idx="516">
                  <c:v>77</c:v>
                </c:pt>
                <c:pt idx="517">
                  <c:v>65</c:v>
                </c:pt>
                <c:pt idx="518">
                  <c:v>55</c:v>
                </c:pt>
                <c:pt idx="519">
                  <c:v>49</c:v>
                </c:pt>
                <c:pt idx="520">
                  <c:v>50</c:v>
                </c:pt>
                <c:pt idx="521">
                  <c:v>35</c:v>
                </c:pt>
                <c:pt idx="522">
                  <c:v>25</c:v>
                </c:pt>
                <c:pt idx="523">
                  <c:v>28</c:v>
                </c:pt>
                <c:pt idx="524">
                  <c:v>21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5</c:v>
                </c:pt>
                <c:pt idx="530">
                  <c:v>15</c:v>
                </c:pt>
                <c:pt idx="531">
                  <c:v>84</c:v>
                </c:pt>
                <c:pt idx="532">
                  <c:v>177</c:v>
                </c:pt>
                <c:pt idx="533">
                  <c:v>102</c:v>
                </c:pt>
                <c:pt idx="534">
                  <c:v>40</c:v>
                </c:pt>
                <c:pt idx="535">
                  <c:v>46</c:v>
                </c:pt>
                <c:pt idx="536">
                  <c:v>63</c:v>
                </c:pt>
                <c:pt idx="537">
                  <c:v>60</c:v>
                </c:pt>
                <c:pt idx="538">
                  <c:v>45</c:v>
                </c:pt>
                <c:pt idx="539">
                  <c:v>57</c:v>
                </c:pt>
                <c:pt idx="540">
                  <c:v>70</c:v>
                </c:pt>
                <c:pt idx="541">
                  <c:v>184</c:v>
                </c:pt>
                <c:pt idx="542">
                  <c:v>153</c:v>
                </c:pt>
                <c:pt idx="543">
                  <c:v>106</c:v>
                </c:pt>
                <c:pt idx="544">
                  <c:v>81</c:v>
                </c:pt>
                <c:pt idx="545">
                  <c:v>59</c:v>
                </c:pt>
                <c:pt idx="546">
                  <c:v>35</c:v>
                </c:pt>
                <c:pt idx="547">
                  <c:v>24</c:v>
                </c:pt>
                <c:pt idx="548">
                  <c:v>9</c:v>
                </c:pt>
                <c:pt idx="549">
                  <c:v>5</c:v>
                </c:pt>
                <c:pt idx="550">
                  <c:v>2</c:v>
                </c:pt>
                <c:pt idx="551">
                  <c:v>1</c:v>
                </c:pt>
                <c:pt idx="552">
                  <c:v>9</c:v>
                </c:pt>
                <c:pt idx="553">
                  <c:v>36</c:v>
                </c:pt>
                <c:pt idx="554">
                  <c:v>108</c:v>
                </c:pt>
                <c:pt idx="555">
                  <c:v>238</c:v>
                </c:pt>
                <c:pt idx="556">
                  <c:v>144</c:v>
                </c:pt>
                <c:pt idx="557">
                  <c:v>55</c:v>
                </c:pt>
                <c:pt idx="558">
                  <c:v>61</c:v>
                </c:pt>
                <c:pt idx="559">
                  <c:v>106</c:v>
                </c:pt>
                <c:pt idx="560">
                  <c:v>93</c:v>
                </c:pt>
                <c:pt idx="561">
                  <c:v>68</c:v>
                </c:pt>
                <c:pt idx="562">
                  <c:v>84</c:v>
                </c:pt>
                <c:pt idx="563">
                  <c:v>116</c:v>
                </c:pt>
                <c:pt idx="564">
                  <c:v>222</c:v>
                </c:pt>
                <c:pt idx="565">
                  <c:v>225</c:v>
                </c:pt>
                <c:pt idx="566">
                  <c:v>146</c:v>
                </c:pt>
                <c:pt idx="567">
                  <c:v>119</c:v>
                </c:pt>
                <c:pt idx="568">
                  <c:v>45</c:v>
                </c:pt>
                <c:pt idx="569">
                  <c:v>53</c:v>
                </c:pt>
                <c:pt idx="570">
                  <c:v>40</c:v>
                </c:pt>
                <c:pt idx="571">
                  <c:v>17</c:v>
                </c:pt>
                <c:pt idx="572">
                  <c:v>5</c:v>
                </c:pt>
                <c:pt idx="573">
                  <c:v>10</c:v>
                </c:pt>
                <c:pt idx="574">
                  <c:v>1</c:v>
                </c:pt>
                <c:pt idx="575">
                  <c:v>8</c:v>
                </c:pt>
                <c:pt idx="576">
                  <c:v>30</c:v>
                </c:pt>
                <c:pt idx="577">
                  <c:v>72</c:v>
                </c:pt>
                <c:pt idx="578">
                  <c:v>58</c:v>
                </c:pt>
                <c:pt idx="579">
                  <c:v>28</c:v>
                </c:pt>
                <c:pt idx="580">
                  <c:v>41</c:v>
                </c:pt>
                <c:pt idx="581">
                  <c:v>48</c:v>
                </c:pt>
                <c:pt idx="582">
                  <c:v>47</c:v>
                </c:pt>
                <c:pt idx="583">
                  <c:v>36</c:v>
                </c:pt>
                <c:pt idx="584">
                  <c:v>43</c:v>
                </c:pt>
                <c:pt idx="585">
                  <c:v>36</c:v>
                </c:pt>
                <c:pt idx="586">
                  <c:v>26</c:v>
                </c:pt>
                <c:pt idx="587">
                  <c:v>24</c:v>
                </c:pt>
                <c:pt idx="588">
                  <c:v>84</c:v>
                </c:pt>
                <c:pt idx="589">
                  <c:v>104</c:v>
                </c:pt>
                <c:pt idx="590">
                  <c:v>79</c:v>
                </c:pt>
                <c:pt idx="591">
                  <c:v>59</c:v>
                </c:pt>
                <c:pt idx="592">
                  <c:v>38</c:v>
                </c:pt>
                <c:pt idx="593">
                  <c:v>27</c:v>
                </c:pt>
                <c:pt idx="594">
                  <c:v>16</c:v>
                </c:pt>
                <c:pt idx="595">
                  <c:v>9</c:v>
                </c:pt>
                <c:pt idx="596">
                  <c:v>3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16</c:v>
                </c:pt>
                <c:pt idx="601">
                  <c:v>60</c:v>
                </c:pt>
                <c:pt idx="602">
                  <c:v>157</c:v>
                </c:pt>
                <c:pt idx="603">
                  <c:v>101</c:v>
                </c:pt>
                <c:pt idx="604">
                  <c:v>49</c:v>
                </c:pt>
                <c:pt idx="605">
                  <c:v>30</c:v>
                </c:pt>
                <c:pt idx="606">
                  <c:v>29</c:v>
                </c:pt>
                <c:pt idx="607">
                  <c:v>31</c:v>
                </c:pt>
                <c:pt idx="608">
                  <c:v>38</c:v>
                </c:pt>
                <c:pt idx="60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4-4B65-ADC7-84930899A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46310408"/>
        <c:axId val="873657864"/>
      </c:barChart>
      <c:catAx>
        <c:axId val="64631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57864"/>
        <c:crosses val="autoZero"/>
        <c:auto val="1"/>
        <c:lblAlgn val="ctr"/>
        <c:lblOffset val="100"/>
        <c:noMultiLvlLbl val="0"/>
      </c:catAx>
      <c:valAx>
        <c:axId val="87365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31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[DOC-20260523-WA0023^.xlsx]Average User Demand by Humidity!PivotTable7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User Demand by 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User Demand by Humidity'!$B$3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'Average User Demand by Humidity'!$A$4:$A$65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'Average User Demand by Humidity'!$B$4:$B$65</c:f>
              <c:numCache>
                <c:formatCode>General</c:formatCode>
                <c:ptCount val="61"/>
                <c:pt idx="0">
                  <c:v>54.260563380281688</c:v>
                </c:pt>
                <c:pt idx="1">
                  <c:v>54.127659574468083</c:v>
                </c:pt>
                <c:pt idx="2">
                  <c:v>220.59345358816131</c:v>
                </c:pt>
                <c:pt idx="3">
                  <c:v>54.426573426573427</c:v>
                </c:pt>
                <c:pt idx="4">
                  <c:v>499.79669885968241</c:v>
                </c:pt>
                <c:pt idx="5">
                  <c:v>55.143187066974598</c:v>
                </c:pt>
                <c:pt idx="6">
                  <c:v>503.13231244878438</c:v>
                </c:pt>
                <c:pt idx="7">
                  <c:v>223.84005763188728</c:v>
                </c:pt>
                <c:pt idx="8">
                  <c:v>277.41759238255656</c:v>
                </c:pt>
                <c:pt idx="9">
                  <c:v>169.85357437695012</c:v>
                </c:pt>
                <c:pt idx="10">
                  <c:v>503.64483118531109</c:v>
                </c:pt>
                <c:pt idx="11">
                  <c:v>561.85008460949871</c:v>
                </c:pt>
                <c:pt idx="12">
                  <c:v>783.44909053636093</c:v>
                </c:pt>
                <c:pt idx="13">
                  <c:v>840.77492292959869</c:v>
                </c:pt>
                <c:pt idx="14">
                  <c:v>449.75401816272995</c:v>
                </c:pt>
                <c:pt idx="15">
                  <c:v>1080.2351755590837</c:v>
                </c:pt>
                <c:pt idx="16">
                  <c:v>949.89936909236792</c:v>
                </c:pt>
                <c:pt idx="17">
                  <c:v>507.22373356334208</c:v>
                </c:pt>
                <c:pt idx="18">
                  <c:v>807.30459192382114</c:v>
                </c:pt>
                <c:pt idx="19">
                  <c:v>905.44653936044426</c:v>
                </c:pt>
                <c:pt idx="20">
                  <c:v>672.65306095509652</c:v>
                </c:pt>
                <c:pt idx="21">
                  <c:v>684.22950931647745</c:v>
                </c:pt>
                <c:pt idx="22">
                  <c:v>2110.5074914930751</c:v>
                </c:pt>
                <c:pt idx="23">
                  <c:v>695.44246480751087</c:v>
                </c:pt>
                <c:pt idx="24">
                  <c:v>619.16115058707703</c:v>
                </c:pt>
                <c:pt idx="25">
                  <c:v>1607.5127345108403</c:v>
                </c:pt>
                <c:pt idx="26">
                  <c:v>1297.2534195201456</c:v>
                </c:pt>
                <c:pt idx="27">
                  <c:v>287.57849969867567</c:v>
                </c:pt>
                <c:pt idx="28">
                  <c:v>167.79653265640889</c:v>
                </c:pt>
                <c:pt idx="29">
                  <c:v>691.35387147062465</c:v>
                </c:pt>
                <c:pt idx="30">
                  <c:v>1731.0737505541408</c:v>
                </c:pt>
                <c:pt idx="31">
                  <c:v>971.2787176025555</c:v>
                </c:pt>
                <c:pt idx="32">
                  <c:v>450.72914412855852</c:v>
                </c:pt>
                <c:pt idx="33">
                  <c:v>176.55223099340748</c:v>
                </c:pt>
                <c:pt idx="34">
                  <c:v>1532.040291261316</c:v>
                </c:pt>
                <c:pt idx="35">
                  <c:v>394.72951914196295</c:v>
                </c:pt>
                <c:pt idx="36">
                  <c:v>58.6</c:v>
                </c:pt>
                <c:pt idx="37">
                  <c:v>228.53273474176754</c:v>
                </c:pt>
                <c:pt idx="38">
                  <c:v>454.16404904757223</c:v>
                </c:pt>
                <c:pt idx="39">
                  <c:v>754.14608579778258</c:v>
                </c:pt>
                <c:pt idx="40">
                  <c:v>271.2506587211758</c:v>
                </c:pt>
                <c:pt idx="41">
                  <c:v>113.70055446144524</c:v>
                </c:pt>
                <c:pt idx="42">
                  <c:v>115.00325576232936</c:v>
                </c:pt>
                <c:pt idx="43">
                  <c:v>1232.7992053654029</c:v>
                </c:pt>
                <c:pt idx="44">
                  <c:v>108.8485965647256</c:v>
                </c:pt>
                <c:pt idx="45">
                  <c:v>170.40714690855864</c:v>
                </c:pt>
                <c:pt idx="46">
                  <c:v>112.47270468674469</c:v>
                </c:pt>
                <c:pt idx="47">
                  <c:v>862.06909894755211</c:v>
                </c:pt>
                <c:pt idx="48">
                  <c:v>445.93738061726265</c:v>
                </c:pt>
                <c:pt idx="49">
                  <c:v>282.76409440766105</c:v>
                </c:pt>
                <c:pt idx="50">
                  <c:v>168.99477005292184</c:v>
                </c:pt>
                <c:pt idx="51">
                  <c:v>812.30952474407525</c:v>
                </c:pt>
                <c:pt idx="52">
                  <c:v>285.49724915372036</c:v>
                </c:pt>
                <c:pt idx="53">
                  <c:v>171.95041566817548</c:v>
                </c:pt>
                <c:pt idx="54">
                  <c:v>956.18195673469052</c:v>
                </c:pt>
                <c:pt idx="55">
                  <c:v>535.75180112442627</c:v>
                </c:pt>
                <c:pt idx="56">
                  <c:v>224.23591110918943</c:v>
                </c:pt>
                <c:pt idx="57">
                  <c:v>60.928571428571431</c:v>
                </c:pt>
                <c:pt idx="58">
                  <c:v>1672.8305277311515</c:v>
                </c:pt>
                <c:pt idx="59">
                  <c:v>225.1690569808168</c:v>
                </c:pt>
                <c:pt idx="60">
                  <c:v>56.299657534246577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D-45DE-B696-52AF7EF74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007307784"/>
        <c:axId val="1016902664"/>
      </c:barChart>
      <c:catAx>
        <c:axId val="1007307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02664"/>
        <c:crosses val="autoZero"/>
        <c:auto val="1"/>
        <c:lblAlgn val="ctr"/>
        <c:lblOffset val="100"/>
        <c:noMultiLvlLbl val="0"/>
      </c:catAx>
      <c:valAx>
        <c:axId val="101690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0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[DOC-20260523-WA0023^.xlsx]Casual vs Registered Users!PivotTable8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 vs Registered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'Casual vs Registered Users'!$A$3</c:f>
              <c:strCache>
                <c:ptCount val="1"/>
                <c:pt idx="0">
                  <c:v>Sum of registered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D7-4462-AFB1-342C0FFF1C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'Casual vs Registered Users'!$A$4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'Casual vs Registered Users'!$A$4</c:f>
              <c:numCache>
                <c:formatCode>General</c:formatCode>
                <c:ptCount val="1"/>
                <c:pt idx="0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7-4462-AFB1-342C0FFF1CC1}"/>
            </c:ext>
          </c:extLst>
        </c:ser>
        <c:ser>
          <c:idx val="1"/>
          <c:order val="1"/>
          <c:tx>
            <c:strRef>
              <c:f>'Casual vs Registered Users'!$B$3</c:f>
              <c:strCache>
                <c:ptCount val="1"/>
                <c:pt idx="0">
                  <c:v>Sum of casual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BD7-4462-AFB1-342C0FFF1C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'Casual vs Registered Users'!$A$4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'Casual vs Registered Users'!$B$4</c:f>
              <c:numCache>
                <c:formatCode>General</c:formatCode>
                <c:ptCount val="1"/>
                <c:pt idx="0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7-4462-AFB1-342C0FFF1CC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[DOC-20260523-WA0023^.xlsx]Average User Demand by Hour!PivotTable1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User Demand by Hour</a:t>
            </a:r>
          </a:p>
        </c:rich>
      </c:tx>
      <c:layout>
        <c:manualLayout>
          <c:xMode val="edge"/>
          <c:yMode val="edge"/>
          <c:x val="8.8319877818565942E-2"/>
          <c:y val="3.9985610499526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User Demand by Hour'!$B$3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User Demand by Hour'!$A$4:$A$29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4558</c:v>
                </c:pt>
              </c:strCache>
            </c:strRef>
          </c:cat>
          <c:val>
            <c:numRef>
              <c:f>'Average User Demand by Hour'!$B$4:$B$29</c:f>
              <c:numCache>
                <c:formatCode>General</c:formatCode>
                <c:ptCount val="25"/>
                <c:pt idx="0">
                  <c:v>333</c:v>
                </c:pt>
                <c:pt idx="1">
                  <c:v>221</c:v>
                </c:pt>
                <c:pt idx="2">
                  <c:v>124</c:v>
                </c:pt>
                <c:pt idx="3">
                  <c:v>75</c:v>
                </c:pt>
                <c:pt idx="4">
                  <c:v>31</c:v>
                </c:pt>
                <c:pt idx="5">
                  <c:v>69</c:v>
                </c:pt>
                <c:pt idx="6">
                  <c:v>346</c:v>
                </c:pt>
                <c:pt idx="7">
                  <c:v>946</c:v>
                </c:pt>
                <c:pt idx="8">
                  <c:v>2070</c:v>
                </c:pt>
                <c:pt idx="9">
                  <c:v>1476</c:v>
                </c:pt>
                <c:pt idx="10">
                  <c:v>952</c:v>
                </c:pt>
                <c:pt idx="11">
                  <c:v>1039</c:v>
                </c:pt>
                <c:pt idx="12">
                  <c:v>1347</c:v>
                </c:pt>
                <c:pt idx="13">
                  <c:v>1361</c:v>
                </c:pt>
                <c:pt idx="14">
                  <c:v>1373</c:v>
                </c:pt>
                <c:pt idx="15">
                  <c:v>1418</c:v>
                </c:pt>
                <c:pt idx="16">
                  <c:v>1728</c:v>
                </c:pt>
                <c:pt idx="17">
                  <c:v>2619</c:v>
                </c:pt>
                <c:pt idx="18">
                  <c:v>2201</c:v>
                </c:pt>
                <c:pt idx="19">
                  <c:v>1448</c:v>
                </c:pt>
                <c:pt idx="20">
                  <c:v>1115</c:v>
                </c:pt>
                <c:pt idx="21">
                  <c:v>921</c:v>
                </c:pt>
                <c:pt idx="22">
                  <c:v>670</c:v>
                </c:pt>
                <c:pt idx="23">
                  <c:v>523</c:v>
                </c:pt>
                <c:pt idx="24">
                  <c:v>24406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9-4819-B796-0F8C027D98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7159176"/>
        <c:axId val="1417161736"/>
      </c:lineChart>
      <c:catAx>
        <c:axId val="1417159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61736"/>
        <c:crosses val="autoZero"/>
        <c:auto val="1"/>
        <c:lblAlgn val="ctr"/>
        <c:lblOffset val="100"/>
        <c:noMultiLvlLbl val="0"/>
      </c:catAx>
      <c:valAx>
        <c:axId val="1417161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5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[DOC-20260523-WA0023^.xlsx]Average User Demand by Weather!PivotTable2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User Demand by Weather'!$B$3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User Demand by Weather'!$A$4:$A$8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579</c:v>
                </c:pt>
              </c:strCache>
            </c:strRef>
          </c:cat>
          <c:val>
            <c:numRef>
              <c:f>'Average User Demand by Weather'!$B$4:$B$8</c:f>
              <c:numCache>
                <c:formatCode>General</c:formatCode>
                <c:ptCount val="4"/>
                <c:pt idx="0">
                  <c:v>29711.652173912986</c:v>
                </c:pt>
                <c:pt idx="1">
                  <c:v>14356.470588235272</c:v>
                </c:pt>
                <c:pt idx="2">
                  <c:v>4619.0383631713557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E0A-B081-297BEF974D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17172488"/>
        <c:axId val="1417174536"/>
      </c:barChart>
      <c:catAx>
        <c:axId val="141717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74536"/>
        <c:crosses val="autoZero"/>
        <c:auto val="1"/>
        <c:lblAlgn val="ctr"/>
        <c:lblOffset val="100"/>
        <c:noMultiLvlLbl val="0"/>
      </c:catAx>
      <c:valAx>
        <c:axId val="1417174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[DOC-20260523-WA0023^.xlsx]Weekend vs Weekday User Demand!PivotTable3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'Weekend vs Weekday User Demand'!$B$3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EA-4438-9C64-430A5BA2FF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EA-4438-9C64-430A5BA2FF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EA-4438-9C64-430A5BA2FF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'Weekend vs Weekday User Demand'!$A$4:$A$7</c:f>
              <c:strCache>
                <c:ptCount val="3"/>
                <c:pt idx="0">
                  <c:v>Weekday</c:v>
                </c:pt>
                <c:pt idx="1">
                  <c:v>Weekend</c:v>
                </c:pt>
                <c:pt idx="2">
                  <c:v>(blank)</c:v>
                </c:pt>
              </c:strCache>
            </c:strRef>
          </c:cat>
          <c:val>
            <c:numRef>
              <c:f>'Weekend vs Weekday User Demand'!$B$4:$B$7</c:f>
              <c:numCache>
                <c:formatCode>General</c:formatCode>
                <c:ptCount val="3"/>
                <c:pt idx="0">
                  <c:v>16523</c:v>
                </c:pt>
                <c:pt idx="1">
                  <c:v>7883</c:v>
                </c:pt>
                <c:pt idx="2">
                  <c:v>24406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EA-4438-9C64-430A5BA2FFB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 /><Relationship Id="rId3" Type="http://schemas.openxmlformats.org/officeDocument/2006/relationships/chart" Target="../charts/chart12.xml" /><Relationship Id="rId7" Type="http://schemas.openxmlformats.org/officeDocument/2006/relationships/chart" Target="../charts/chart16.xml" /><Relationship Id="rId2" Type="http://schemas.openxmlformats.org/officeDocument/2006/relationships/chart" Target="../charts/chart11.xml" /><Relationship Id="rId1" Type="http://schemas.openxmlformats.org/officeDocument/2006/relationships/chart" Target="../charts/chart10.xml" /><Relationship Id="rId6" Type="http://schemas.openxmlformats.org/officeDocument/2006/relationships/chart" Target="../charts/chart15.xml" /><Relationship Id="rId5" Type="http://schemas.openxmlformats.org/officeDocument/2006/relationships/chart" Target="../charts/chart14.xml" /><Relationship Id="rId4" Type="http://schemas.openxmlformats.org/officeDocument/2006/relationships/chart" Target="../charts/chart13.xml" /><Relationship Id="rId9" Type="http://schemas.openxmlformats.org/officeDocument/2006/relationships/chart" Target="../charts/chart1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3</xdr:row>
      <xdr:rowOff>19050</xdr:rowOff>
    </xdr:from>
    <xdr:to>
      <xdr:col>10</xdr:col>
      <xdr:colOff>247650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B85342-692D-4A0E-A13A-9B17382B2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95250</xdr:colOff>
      <xdr:row>7</xdr:row>
      <xdr:rowOff>28575</xdr:rowOff>
    </xdr:from>
    <xdr:to>
      <xdr:col>9</xdr:col>
      <xdr:colOff>95250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instant">
              <a:extLst>
                <a:ext uri="{FF2B5EF4-FFF2-40B4-BE49-F238E27FC236}">
                  <a16:creationId xmlns:a16="http://schemas.microsoft.com/office/drawing/2014/main" id="{E0547070-4E7A-E11B-ED31-D0450B6C86D7}"/>
                </a:ext>
                <a:ext uri="{147F2762-F138-4A5C-976F-8EAC2B608ADB}">
                  <a16:predDERef xmlns:a16="http://schemas.microsoft.com/office/drawing/2014/main" pred="{93B85342-692D-4A0E-A13A-9B17382B2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a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6375" y="1362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133350</xdr:colOff>
      <xdr:row>18</xdr:row>
      <xdr:rowOff>0</xdr:rowOff>
    </xdr:from>
    <xdr:to>
      <xdr:col>14</xdr:col>
      <xdr:colOff>133350</xdr:colOff>
      <xdr:row>31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ason">
              <a:extLst>
                <a:ext uri="{FF2B5EF4-FFF2-40B4-BE49-F238E27FC236}">
                  <a16:creationId xmlns:a16="http://schemas.microsoft.com/office/drawing/2014/main" id="{0906628B-34A4-8EDD-EAA5-CBF29066B3FE}"/>
                </a:ext>
                <a:ext uri="{147F2762-F138-4A5C-976F-8EAC2B608ADB}">
                  <a16:predDERef xmlns:a16="http://schemas.microsoft.com/office/drawing/2014/main" pred="{E0547070-4E7A-E11B-ED31-D0450B6C86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2475" y="3429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676275</xdr:colOff>
      <xdr:row>13</xdr:row>
      <xdr:rowOff>28575</xdr:rowOff>
    </xdr:from>
    <xdr:to>
      <xdr:col>4</xdr:col>
      <xdr:colOff>219075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weekday">
              <a:extLst>
                <a:ext uri="{FF2B5EF4-FFF2-40B4-BE49-F238E27FC236}">
                  <a16:creationId xmlns:a16="http://schemas.microsoft.com/office/drawing/2014/main" id="{5AEACC7A-BEF2-61EC-5B7B-BDD97F7DDD92}"/>
                </a:ext>
                <a:ext uri="{147F2762-F138-4A5C-976F-8EAC2B608ADB}">
                  <a16:predDERef xmlns:a16="http://schemas.microsoft.com/office/drawing/2014/main" pred="{0906628B-34A4-8EDD-EAA5-CBF29066B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2505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495300</xdr:colOff>
      <xdr:row>3</xdr:row>
      <xdr:rowOff>142875</xdr:rowOff>
    </xdr:from>
    <xdr:to>
      <xdr:col>14</xdr:col>
      <xdr:colOff>495300</xdr:colOff>
      <xdr:row>17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weathersit">
              <a:extLst>
                <a:ext uri="{FF2B5EF4-FFF2-40B4-BE49-F238E27FC236}">
                  <a16:creationId xmlns:a16="http://schemas.microsoft.com/office/drawing/2014/main" id="{9F026B83-B5E7-4FB0-20E0-54680E526B7B}"/>
                </a:ext>
                <a:ext uri="{147F2762-F138-4A5C-976F-8EAC2B608ADB}">
                  <a16:predDERef xmlns:a16="http://schemas.microsoft.com/office/drawing/2014/main" pred="{5AEACC7A-BEF2-61EC-5B7B-BDD97F7DDD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s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57150</xdr:rowOff>
    </xdr:from>
    <xdr:to>
      <xdr:col>11</xdr:col>
      <xdr:colOff>485775</xdr:colOff>
      <xdr:row>14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4C823B-CED2-722E-ED24-B143A1B2F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85725</xdr:rowOff>
    </xdr:from>
    <xdr:to>
      <xdr:col>8</xdr:col>
      <xdr:colOff>314325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7F5AD-9941-5F2D-BB4E-DCF3F36EA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3</xdr:row>
      <xdr:rowOff>66675</xdr:rowOff>
    </xdr:from>
    <xdr:to>
      <xdr:col>10</xdr:col>
      <xdr:colOff>476250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948A7-EAB4-6B84-C760-804E560A6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2</xdr:row>
      <xdr:rowOff>123825</xdr:rowOff>
    </xdr:from>
    <xdr:to>
      <xdr:col>9</xdr:col>
      <xdr:colOff>333375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862F3-5D02-22CB-8538-698DBFB12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114300</xdr:rowOff>
    </xdr:from>
    <xdr:to>
      <xdr:col>9</xdr:col>
      <xdr:colOff>133350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26D8C8-7BCB-5CD5-0A9A-8E352C210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5</xdr:row>
      <xdr:rowOff>114300</xdr:rowOff>
    </xdr:from>
    <xdr:to>
      <xdr:col>10</xdr:col>
      <xdr:colOff>247650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62807-E5AC-919A-060D-179C92746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5</xdr:row>
      <xdr:rowOff>114300</xdr:rowOff>
    </xdr:from>
    <xdr:to>
      <xdr:col>9</xdr:col>
      <xdr:colOff>419100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1F0EC-C12D-1CED-D772-C31293122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9525</xdr:rowOff>
    </xdr:from>
    <xdr:to>
      <xdr:col>10</xdr:col>
      <xdr:colOff>352425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36CCB-883D-7180-BC88-C40163A45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142875</xdr:rowOff>
    </xdr:from>
    <xdr:to>
      <xdr:col>5</xdr:col>
      <xdr:colOff>466725</xdr:colOff>
      <xdr:row>11</xdr:row>
      <xdr:rowOff>9525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EAE202AA-1F2E-44B6-83A2-E20ACBDD6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123825</xdr:colOff>
      <xdr:row>12</xdr:row>
      <xdr:rowOff>66675</xdr:rowOff>
    </xdr:from>
    <xdr:to>
      <xdr:col>6</xdr:col>
      <xdr:colOff>171450</xdr:colOff>
      <xdr:row>25</xdr:row>
      <xdr:rowOff>85725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2A175B06-F329-4A1D-989B-1278BEBD91F0}"/>
            </a:ext>
            <a:ext uri="{147F2762-F138-4A5C-976F-8EAC2B608ADB}">
              <a16:predDERef xmlns:a16="http://schemas.microsoft.com/office/drawing/2014/main" pred="{EAE202AA-1F2E-44B6-83A2-E20ACBDD6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59055</xdr:rowOff>
    </xdr:from>
    <xdr:to>
      <xdr:col>3</xdr:col>
      <xdr:colOff>28575</xdr:colOff>
      <xdr:row>25</xdr:row>
      <xdr:rowOff>78105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8BED6FDE-A574-4A52-ACF1-36D3CF231338}"/>
            </a:ext>
            <a:ext uri="{147F2762-F138-4A5C-976F-8EAC2B608ADB}">
              <a16:predDERef xmlns:a16="http://schemas.microsoft.com/office/drawing/2014/main" pred="{2A175B06-F329-4A1D-989B-1278BEBD9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581025</xdr:colOff>
      <xdr:row>0</xdr:row>
      <xdr:rowOff>133350</xdr:rowOff>
    </xdr:from>
    <xdr:to>
      <xdr:col>10</xdr:col>
      <xdr:colOff>47625</xdr:colOff>
      <xdr:row>11</xdr:row>
      <xdr:rowOff>28575</xdr:rowOff>
    </xdr:to>
    <xdr:graphicFrame macro="">
      <xdr:nvGraphicFramePr>
        <xdr:cNvPr id="28" name="Chart 4">
          <a:extLst>
            <a:ext uri="{FF2B5EF4-FFF2-40B4-BE49-F238E27FC236}">
              <a16:creationId xmlns:a16="http://schemas.microsoft.com/office/drawing/2014/main" id="{DE10FD84-2E67-4D31-A355-A44F71D22C3A}"/>
            </a:ext>
            <a:ext uri="{147F2762-F138-4A5C-976F-8EAC2B608ADB}">
              <a16:predDERef xmlns:a16="http://schemas.microsoft.com/office/drawing/2014/main" pred="{8BED6FDE-A574-4A52-ACF1-36D3CF23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142875</xdr:colOff>
      <xdr:row>0</xdr:row>
      <xdr:rowOff>0</xdr:rowOff>
    </xdr:from>
    <xdr:to>
      <xdr:col>13</xdr:col>
      <xdr:colOff>523875</xdr:colOff>
      <xdr:row>12</xdr:row>
      <xdr:rowOff>47625</xdr:rowOff>
    </xdr:to>
    <xdr:graphicFrame macro="">
      <xdr:nvGraphicFramePr>
        <xdr:cNvPr id="17" name="Chart 5">
          <a:extLst>
            <a:ext uri="{FF2B5EF4-FFF2-40B4-BE49-F238E27FC236}">
              <a16:creationId xmlns:a16="http://schemas.microsoft.com/office/drawing/2014/main" id="{8A708FE3-C478-4556-AF17-FFCD9ECDBC70}"/>
            </a:ext>
            <a:ext uri="{147F2762-F138-4A5C-976F-8EAC2B608ADB}">
              <a16:predDERef xmlns:a16="http://schemas.microsoft.com/office/drawing/2014/main" pred="{DE10FD84-2E67-4D31-A355-A44F71D22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400050</xdr:colOff>
      <xdr:row>12</xdr:row>
      <xdr:rowOff>38100</xdr:rowOff>
    </xdr:from>
    <xdr:to>
      <xdr:col>9</xdr:col>
      <xdr:colOff>571500</xdr:colOff>
      <xdr:row>25</xdr:row>
      <xdr:rowOff>28575</xdr:rowOff>
    </xdr:to>
    <xdr:graphicFrame macro="">
      <xdr:nvGraphicFramePr>
        <xdr:cNvPr id="14" name="Chart 6">
          <a:extLst>
            <a:ext uri="{FF2B5EF4-FFF2-40B4-BE49-F238E27FC236}">
              <a16:creationId xmlns:a16="http://schemas.microsoft.com/office/drawing/2014/main" id="{382B0EDB-41C9-444B-9851-93EAF1CFED1F}"/>
            </a:ext>
            <a:ext uri="{147F2762-F138-4A5C-976F-8EAC2B608ADB}">
              <a16:predDERef xmlns:a16="http://schemas.microsoft.com/office/drawing/2014/main" pred="{8A708FE3-C478-4556-AF17-FFCD9ECDB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57150</xdr:colOff>
      <xdr:row>0</xdr:row>
      <xdr:rowOff>9525</xdr:rowOff>
    </xdr:from>
    <xdr:to>
      <xdr:col>18</xdr:col>
      <xdr:colOff>581025</xdr:colOff>
      <xdr:row>12</xdr:row>
      <xdr:rowOff>47625</xdr:rowOff>
    </xdr:to>
    <xdr:graphicFrame macro="">
      <xdr:nvGraphicFramePr>
        <xdr:cNvPr id="24" name="Chart 7">
          <a:extLst>
            <a:ext uri="{FF2B5EF4-FFF2-40B4-BE49-F238E27FC236}">
              <a16:creationId xmlns:a16="http://schemas.microsoft.com/office/drawing/2014/main" id="{7B7DB413-EF6D-4EA8-BC69-7DD7E9961934}"/>
            </a:ext>
            <a:ext uri="{147F2762-F138-4A5C-976F-8EAC2B608ADB}">
              <a16:predDERef xmlns:a16="http://schemas.microsoft.com/office/drawing/2014/main" pred="{382B0EDB-41C9-444B-9851-93EAF1CFE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76200</xdr:colOff>
      <xdr:row>12</xdr:row>
      <xdr:rowOff>104775</xdr:rowOff>
    </xdr:from>
    <xdr:to>
      <xdr:col>19</xdr:col>
      <xdr:colOff>47625</xdr:colOff>
      <xdr:row>25</xdr:row>
      <xdr:rowOff>9525</xdr:rowOff>
    </xdr:to>
    <xdr:graphicFrame macro="">
      <xdr:nvGraphicFramePr>
        <xdr:cNvPr id="18" name="Chart 8">
          <a:extLst>
            <a:ext uri="{FF2B5EF4-FFF2-40B4-BE49-F238E27FC236}">
              <a16:creationId xmlns:a16="http://schemas.microsoft.com/office/drawing/2014/main" id="{122A9F66-994D-49A6-BD90-2F85FFF0E7E3}"/>
            </a:ext>
            <a:ext uri="{147F2762-F138-4A5C-976F-8EAC2B608ADB}">
              <a16:predDERef xmlns:a16="http://schemas.microsoft.com/office/drawing/2014/main" pred="{7B7DB413-EF6D-4EA8-BC69-7DD7E9961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171450</xdr:colOff>
      <xdr:row>12</xdr:row>
      <xdr:rowOff>180975</xdr:rowOff>
    </xdr:from>
    <xdr:to>
      <xdr:col>13</xdr:col>
      <xdr:colOff>333375</xdr:colOff>
      <xdr:row>25</xdr:row>
      <xdr:rowOff>66675</xdr:rowOff>
    </xdr:to>
    <xdr:graphicFrame macro="">
      <xdr:nvGraphicFramePr>
        <xdr:cNvPr id="15" name="Chart 9">
          <a:extLst>
            <a:ext uri="{FF2B5EF4-FFF2-40B4-BE49-F238E27FC236}">
              <a16:creationId xmlns:a16="http://schemas.microsoft.com/office/drawing/2014/main" id="{3A2A0F60-E661-470E-908E-57AAB0967DE3}"/>
            </a:ext>
            <a:ext uri="{147F2762-F138-4A5C-976F-8EAC2B608ADB}">
              <a16:predDERef xmlns:a16="http://schemas.microsoft.com/office/drawing/2014/main" pred="{122A9F66-994D-49A6-BD90-2F85FFF0E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588309837964" createdVersion="8" refreshedVersion="8" minRefreshableVersion="3" recordCount="610" xr:uid="{4E6CF8C6-8182-4E21-AA53-194DC0F29CE5}">
  <cacheSource type="worksheet">
    <worksheetSource name="Table1"/>
  </cacheSource>
  <cacheFields count="21">
    <cacheField name="instant" numFmtId="0">
      <sharedItems containsSemiMixedTypes="0" containsString="0" containsNumber="1" containsInteger="1" minValue="1" maxValue="610" count="61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</sharedItems>
    </cacheField>
    <cacheField name="dteday" numFmtId="0">
      <sharedItems containsDate="1" containsMixedTypes="1" minDate="2011-01-01T00:00:00" maxDate="2011-12-02T00:00:00" count="28"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s v="13-01-2011"/>
        <s v="14-01-2011"/>
        <s v="15-01-2011"/>
        <s v="16-01-2011"/>
        <s v="17-01-2011"/>
        <s v="18-01-2011"/>
        <s v="19-01-2011"/>
        <s v="20-01-2011"/>
        <s v="21-01-2011"/>
        <s v="22-01-2011"/>
        <s v="23-01-2011"/>
        <s v="24-01-2011"/>
        <s v="25-01-2011"/>
        <s v="26-01-2011"/>
        <s v="27-01-2011"/>
        <s v="28-01-2011"/>
      </sharedItems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DayType" numFmtId="0">
      <sharedItems count="1">
        <s v="weekend"/>
      </sharedItems>
    </cacheField>
    <cacheField name="SeasonName" numFmtId="0">
      <sharedItems count="1">
        <s v="Spring"/>
      </sharedItems>
    </cacheField>
    <cacheField name="Total temp" numFmtId="0">
      <sharedItems containsSemiMixedTypes="0" containsString="0" containsNumber="1" minValue="0.2" maxValue="10.440000000000001"/>
    </cacheField>
    <cacheField name="Avg Temp" numFmtId="0">
      <sharedItems containsSemiMixedTypes="0" containsString="0" containsNumber="1" minValue="0.14115942028985506" maxValue="0.21773584905660362"/>
    </cacheField>
    <cacheField name="Weekend Count" numFmtId="0">
      <sharedItems containsSemiMixedTypes="0" containsString="0" containsNumber="1" containsInteger="1" minValue="1" maxValue="610"/>
    </cacheField>
    <cacheField name="Temp in text " numFmtId="0">
      <sharedItems/>
    </cacheField>
    <cacheField name="Left Text" numFmtId="0">
      <sharedItems/>
    </cacheField>
    <cacheField name="Right  Text" numFmtId="0">
      <sharedItems/>
    </cacheField>
    <cacheField name="Text lenght" numFmtId="0">
      <sharedItems containsSemiMixedTypes="0" containsString="0" containsNumber="1" containsInteger="1" minValue="6" maxValue="6"/>
    </cacheField>
    <cacheField name="Column1" numFmtId="0">
      <sharedItems/>
    </cacheField>
    <cacheField name="DayType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42986276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617120254632" createdVersion="8" refreshedVersion="8" minRefreshableVersion="3" recordCount="610" xr:uid="{3FA14C9B-A7C8-4E2E-8E1C-7FBD32CCFD18}">
  <cacheSource type="worksheet">
    <worksheetSource ref="A1:T611" sheet="dataset_2"/>
  </cacheSource>
  <cacheFields count="20">
    <cacheField name="Unnamed" numFmtId="0">
      <sharedItems containsSemiMixedTypes="0" containsString="0" containsNumber="1" containsInteger="1" minValue="0" maxValue="609"/>
    </cacheField>
    <cacheField name="instant" numFmtId="0">
      <sharedItems containsSemiMixedTypes="0" containsString="0" containsNumber="1" containsInteger="1" minValue="1" maxValue="610" count="61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</sharedItems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  <cacheField name="Total atemp" numFmtId="0">
      <sharedItems containsSemiMixedTypes="0" containsString="0" containsNumber="1" minValue="0.2576" maxValue="121.9602850000001"/>
    </cacheField>
    <cacheField name="Avg atemp" numFmtId="0">
      <sharedItems containsSemiMixedTypes="0" containsString="0" containsNumber="1" minValue="0.15216619718309851" maxValue="0.26515"/>
    </cacheField>
    <cacheField name="count atemp" numFmtId="0">
      <sharedItems containsSemiMixedTypes="0" containsString="0" containsNumber="1" containsInteger="1" minValue="1" maxValue="610"/>
    </cacheField>
    <cacheField name="total hum" numFmtId="0">
      <sharedItems containsSemiMixedTypes="0" containsString="0" containsNumber="1" minValue="0.86" maxValue="343.11000000000087"/>
    </cacheField>
    <cacheField name="Avg hum" numFmtId="0">
      <sharedItems containsSemiMixedTypes="0" containsString="0" containsNumber="1" minValue="0.54548330404218004" maxValue="0.89"/>
    </cacheField>
    <cacheField name="count hum" numFmtId="0">
      <sharedItems containsSemiMixedTypes="0" containsString="0" containsNumber="1" containsInteger="1" minValue="1" maxValue="610"/>
    </cacheField>
    <cacheField name="total cnt" numFmtId="0">
      <sharedItems containsSemiMixedTypes="0" containsString="0" containsNumber="1" containsInteger="1" minValue="41" maxValue="33898"/>
    </cacheField>
    <cacheField name="Avg cnt " numFmtId="0">
      <sharedItems containsSemiMixedTypes="0" containsString="0" containsNumber="1" minValue="33.799999999999997" maxValue="61.759493670886073"/>
    </cacheField>
    <cacheField name="count cnt" numFmtId="0">
      <sharedItems containsSemiMixedTypes="0" containsString="0" containsNumber="1" containsInteger="1" minValue="1" maxValue="610"/>
    </cacheField>
    <cacheField name="left instant" numFmtId="0">
      <sharedItems/>
    </cacheField>
    <cacheField name="right instant" numFmtId="0">
      <sharedItems/>
    </cacheField>
    <cacheField name="lenght insta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625360763886" createdVersion="8" refreshedVersion="8" minRefreshableVersion="3" recordCount="391" xr:uid="{C343C61D-F9B6-40B9-8E0B-EDFE1A764CD2}">
  <cacheSource type="worksheet">
    <worksheetSource ref="A1:X392" sheet="dataset_3"/>
  </cacheSource>
  <cacheFields count="24">
    <cacheField name="instant" numFmtId="0">
      <sharedItems containsSemiMixedTypes="0" containsString="0" containsNumber="1" containsInteger="1" minValue="611" maxValue="314145"/>
    </cacheField>
    <cacheField name="dteday" numFmtId="0">
      <sharedItems containsDate="1" containsBlank="1" containsMixedTypes="1" minDate="2011-01-02T00:00:00" maxDate="2011-12-03T00:00:00"/>
    </cacheField>
    <cacheField name="season" numFmtId="0">
      <sharedItems containsSemiMixedTypes="0" containsString="0" containsNumber="1" containsInteger="1" minValue="1" maxValue="390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702"/>
    </cacheField>
    <cacheField name="hr" numFmtId="0">
      <sharedItems containsSemiMixedTypes="0" containsString="0" containsNumber="1" containsInteger="1" minValue="0" maxValue="4558" count="25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  <n v="4558"/>
      </sharedItems>
    </cacheField>
    <cacheField name="holiday" numFmtId="0">
      <sharedItems containsMixedTypes="1" containsNumber="1" containsInteger="1" minValue="0" maxValue="0"/>
    </cacheField>
    <cacheField name="weekday" numFmtId="0">
      <sharedItems containsSemiMixedTypes="0" containsString="0" containsNumber="1" containsInteger="1" minValue="0" maxValue="1166"/>
    </cacheField>
    <cacheField name="weathersit" numFmtId="0">
      <sharedItems containsSemiMixedTypes="0" containsString="0" containsNumber="1" containsInteger="1" minValue="1" maxValue="579" count="4">
        <n v="1"/>
        <n v="2"/>
        <n v="3"/>
        <n v="579"/>
      </sharedItems>
    </cacheField>
    <cacheField name="temp" numFmtId="0">
      <sharedItems containsSemiMixedTypes="0" containsString="0" containsNumber="1" minValue="0.06" maxValue="85.8"/>
    </cacheField>
    <cacheField name="atemp" numFmtId="0">
      <sharedItems containsSemiMixedTypes="0" containsString="0" containsNumber="1" minValue="7.5800000000000006E-2" maxValue="89.865299999999948"/>
    </cacheField>
    <cacheField name="hum" numFmtId="0">
      <sharedItems containsSemiMixedTypes="0" containsString="0" containsNumber="1" minValue="0.21" maxValue="239.3700000000004"/>
    </cacheField>
    <cacheField name="windspeed" numFmtId="0">
      <sharedItems containsSemiMixedTypes="0" containsString="0" containsNumber="1" minValue="0" maxValue="69.9722000000001"/>
    </cacheField>
    <cacheField name="casual" numFmtId="0">
      <sharedItems containsSemiMixedTypes="0" containsString="0" containsNumber="1" containsInteger="1" minValue="0" maxValue="2175"/>
    </cacheField>
    <cacheField name="registered" numFmtId="0">
      <sharedItems containsSemiMixedTypes="0" containsString="0" containsNumber="1" containsInteger="1" minValue="0" maxValue="22231"/>
    </cacheField>
    <cacheField name="cnt" numFmtId="0">
      <sharedItems containsSemiMixedTypes="0" containsString="0" containsNumber="1" containsInteger="1" minValue="1" maxValue="24406"/>
    </cacheField>
    <cacheField name="DayType" numFmtId="0">
      <sharedItems containsBlank="1" count="3">
        <s v="Weekend"/>
        <s v="Weekday"/>
        <m/>
      </sharedItems>
    </cacheField>
    <cacheField name="total cnt " numFmtId="0">
      <sharedItems containsString="0" containsBlank="1" containsNumber="1" containsInteger="1" minValue="24406" maxValue="48792"/>
    </cacheField>
    <cacheField name="Avg cnt " numFmtId="0">
      <sharedItems containsString="0" containsBlank="1" containsNumber="1" minValue="124.8388746803069" maxValue="124.8388746803069"/>
    </cacheField>
    <cacheField name="count cnt" numFmtId="0">
      <sharedItems containsString="0" containsBlank="1" containsNumber="1" containsInteger="1" minValue="2" maxValue="391"/>
    </cacheField>
    <cacheField name="Lefy DayType" numFmtId="0">
      <sharedItems containsBlank="1"/>
    </cacheField>
    <cacheField name="Right DatType" numFmtId="0">
      <sharedItems containsBlank="1"/>
    </cacheField>
    <cacheField name="Lenght DayType" numFmtId="0">
      <sharedItems containsString="0" containsBlank="1" containsNumber="1" containsInteger="1" minValue="7" maxValue="7"/>
    </cacheField>
    <cacheField name="Atemp2" numFmtId="0">
      <sharedItems containsString="0" containsBlank="1" containsNumber="1" minValue="7.5800000000000006E-2" maxValue="0.424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x v="0"/>
    <x v="0"/>
    <n v="0"/>
    <n v="1"/>
    <x v="0"/>
    <x v="0"/>
    <x v="0"/>
    <x v="0"/>
    <n v="0.24"/>
    <x v="0"/>
    <x v="0"/>
    <n v="8.7200000000000024"/>
    <n v="0.19688524590163942"/>
    <n v="610"/>
    <s v="0.24"/>
    <s v="Spr"/>
    <s v="ing"/>
    <n v="6"/>
    <s v="1|40544|0"/>
    <m/>
  </r>
  <r>
    <x v="1"/>
    <x v="0"/>
    <x v="0"/>
    <n v="0"/>
    <n v="1"/>
    <x v="1"/>
    <x v="0"/>
    <x v="0"/>
    <x v="0"/>
    <n v="0.22"/>
    <x v="0"/>
    <x v="0"/>
    <n v="8.9200000000000017"/>
    <n v="0.19681444991789826"/>
    <n v="609"/>
    <s v="0.22"/>
    <s v="Spr"/>
    <s v="ing"/>
    <n v="6"/>
    <s v="2|40544|1"/>
    <m/>
  </r>
  <r>
    <x v="2"/>
    <x v="0"/>
    <x v="0"/>
    <n v="0"/>
    <n v="1"/>
    <x v="2"/>
    <x v="0"/>
    <x v="0"/>
    <x v="0"/>
    <n v="0.22"/>
    <x v="0"/>
    <x v="0"/>
    <n v="9.120000000000001"/>
    <n v="0.19677631578947374"/>
    <n v="608"/>
    <s v="0.22"/>
    <s v="Spr"/>
    <s v="ing"/>
    <n v="6"/>
    <s v="3|40544|2"/>
    <m/>
  </r>
  <r>
    <x v="3"/>
    <x v="0"/>
    <x v="0"/>
    <n v="0"/>
    <n v="1"/>
    <x v="3"/>
    <x v="0"/>
    <x v="0"/>
    <x v="0"/>
    <n v="0.24"/>
    <x v="0"/>
    <x v="0"/>
    <n v="9.3600000000000012"/>
    <n v="0.19673805601317967"/>
    <n v="607"/>
    <s v="0.24"/>
    <s v="Spr"/>
    <s v="ing"/>
    <n v="6"/>
    <s v="4|40544|3"/>
    <m/>
  </r>
  <r>
    <x v="4"/>
    <x v="0"/>
    <x v="0"/>
    <n v="0"/>
    <n v="1"/>
    <x v="4"/>
    <x v="0"/>
    <x v="0"/>
    <x v="0"/>
    <n v="0.24"/>
    <x v="0"/>
    <x v="0"/>
    <n v="9.5800000000000018"/>
    <n v="0.19666666666666677"/>
    <n v="606"/>
    <s v="0.24"/>
    <s v="Spr"/>
    <s v="ing"/>
    <n v="6"/>
    <s v="5|40544|4"/>
    <m/>
  </r>
  <r>
    <x v="5"/>
    <x v="0"/>
    <x v="0"/>
    <n v="0"/>
    <n v="1"/>
    <x v="5"/>
    <x v="0"/>
    <x v="0"/>
    <x v="1"/>
    <n v="0.24"/>
    <x v="0"/>
    <x v="0"/>
    <n v="9.7600000000000033"/>
    <n v="0.19659504132231415"/>
    <n v="605"/>
    <s v="0.24"/>
    <s v="Spr"/>
    <s v="ing"/>
    <n v="6"/>
    <s v="6|40544|5"/>
    <m/>
  </r>
  <r>
    <x v="6"/>
    <x v="0"/>
    <x v="0"/>
    <n v="0"/>
    <n v="1"/>
    <x v="6"/>
    <x v="0"/>
    <x v="0"/>
    <x v="0"/>
    <n v="0.22"/>
    <x v="0"/>
    <x v="0"/>
    <n v="9.9200000000000035"/>
    <n v="0.19652317880794712"/>
    <n v="604"/>
    <s v="0.22"/>
    <s v="Spr"/>
    <s v="ing"/>
    <n v="6"/>
    <s v="7|40544|6"/>
    <m/>
  </r>
  <r>
    <x v="7"/>
    <x v="0"/>
    <x v="0"/>
    <n v="0"/>
    <n v="1"/>
    <x v="7"/>
    <x v="0"/>
    <x v="0"/>
    <x v="0"/>
    <n v="0.2"/>
    <x v="0"/>
    <x v="0"/>
    <n v="10.100000000000003"/>
    <n v="0.19648424543946941"/>
    <n v="603"/>
    <s v="0.20"/>
    <s v="Spr"/>
    <s v="ing"/>
    <n v="6"/>
    <s v="8|40544|7"/>
    <m/>
  </r>
  <r>
    <x v="8"/>
    <x v="0"/>
    <x v="0"/>
    <n v="0"/>
    <n v="1"/>
    <x v="8"/>
    <x v="0"/>
    <x v="0"/>
    <x v="0"/>
    <n v="0.24"/>
    <x v="0"/>
    <x v="0"/>
    <n v="10.280000000000005"/>
    <n v="0.19647840531561472"/>
    <n v="602"/>
    <s v="0.24"/>
    <s v="Spr"/>
    <s v="ing"/>
    <n v="6"/>
    <s v="9|40544|8"/>
    <m/>
  </r>
  <r>
    <x v="9"/>
    <x v="0"/>
    <x v="0"/>
    <n v="0"/>
    <n v="1"/>
    <x v="9"/>
    <x v="0"/>
    <x v="0"/>
    <x v="0"/>
    <n v="0.32"/>
    <x v="0"/>
    <x v="0"/>
    <n v="10.400000000000002"/>
    <n v="0.19640599001663903"/>
    <n v="601"/>
    <s v="0.32"/>
    <s v="Spr"/>
    <s v="ing"/>
    <n v="6"/>
    <s v="10|40544|9"/>
    <m/>
  </r>
  <r>
    <x v="10"/>
    <x v="0"/>
    <x v="0"/>
    <n v="0"/>
    <n v="1"/>
    <x v="10"/>
    <x v="0"/>
    <x v="0"/>
    <x v="0"/>
    <n v="0.38"/>
    <x v="0"/>
    <x v="0"/>
    <n v="10.440000000000001"/>
    <n v="0.19620000000000007"/>
    <n v="600"/>
    <s v="0.38"/>
    <s v="Spr"/>
    <s v="ing"/>
    <n v="6"/>
    <s v="11|40544|10"/>
    <m/>
  </r>
  <r>
    <x v="11"/>
    <x v="0"/>
    <x v="0"/>
    <n v="0"/>
    <n v="1"/>
    <x v="11"/>
    <x v="0"/>
    <x v="0"/>
    <x v="0"/>
    <n v="0.36"/>
    <x v="0"/>
    <x v="0"/>
    <n v="10.420000000000002"/>
    <n v="0.19589315525876469"/>
    <n v="599"/>
    <s v="0.36"/>
    <s v="Spr"/>
    <s v="ing"/>
    <n v="6"/>
    <s v="12|40544|11"/>
    <m/>
  </r>
  <r>
    <x v="12"/>
    <x v="0"/>
    <x v="0"/>
    <n v="0"/>
    <n v="1"/>
    <x v="12"/>
    <x v="0"/>
    <x v="0"/>
    <x v="0"/>
    <n v="0.42"/>
    <x v="0"/>
    <x v="0"/>
    <n v="10.42"/>
    <n v="0.19561872909699002"/>
    <n v="598"/>
    <s v="0.42"/>
    <s v="Spr"/>
    <s v="ing"/>
    <n v="6"/>
    <s v="13|40544|12"/>
    <m/>
  </r>
  <r>
    <x v="13"/>
    <x v="0"/>
    <x v="0"/>
    <n v="0"/>
    <n v="1"/>
    <x v="13"/>
    <x v="0"/>
    <x v="0"/>
    <x v="1"/>
    <n v="0.46"/>
    <x v="0"/>
    <x v="0"/>
    <n v="10.359999999999998"/>
    <n v="0.19524288107202686"/>
    <n v="597"/>
    <s v="0.46"/>
    <s v="Spr"/>
    <s v="ing"/>
    <n v="6"/>
    <s v="14|40544|13"/>
    <m/>
  </r>
  <r>
    <x v="14"/>
    <x v="0"/>
    <x v="0"/>
    <n v="0"/>
    <n v="1"/>
    <x v="14"/>
    <x v="0"/>
    <x v="0"/>
    <x v="1"/>
    <n v="0.46"/>
    <x v="0"/>
    <x v="0"/>
    <n v="10.239999999999998"/>
    <n v="0.19479865771812085"/>
    <n v="596"/>
    <s v="0.46"/>
    <s v="Spr"/>
    <s v="ing"/>
    <n v="6"/>
    <s v="15|40544|14"/>
    <m/>
  </r>
  <r>
    <x v="15"/>
    <x v="0"/>
    <x v="0"/>
    <n v="0"/>
    <n v="1"/>
    <x v="15"/>
    <x v="0"/>
    <x v="0"/>
    <x v="1"/>
    <n v="0.44"/>
    <x v="0"/>
    <x v="0"/>
    <n v="10.119999999999997"/>
    <n v="0.19435294117647062"/>
    <n v="595"/>
    <s v="0.44"/>
    <s v="Spr"/>
    <s v="ing"/>
    <n v="6"/>
    <s v="16|40544|15"/>
    <m/>
  </r>
  <r>
    <x v="16"/>
    <x v="0"/>
    <x v="0"/>
    <n v="0"/>
    <n v="1"/>
    <x v="16"/>
    <x v="0"/>
    <x v="0"/>
    <x v="1"/>
    <n v="0.42"/>
    <x v="0"/>
    <x v="0"/>
    <n v="10.02"/>
    <n v="0.19393939393939397"/>
    <n v="594"/>
    <s v="0.42"/>
    <s v="Spr"/>
    <s v="ing"/>
    <n v="6"/>
    <s v="17|40544|16"/>
    <m/>
  </r>
  <r>
    <x v="17"/>
    <x v="0"/>
    <x v="0"/>
    <n v="0"/>
    <n v="1"/>
    <x v="17"/>
    <x v="0"/>
    <x v="0"/>
    <x v="1"/>
    <n v="0.44"/>
    <x v="0"/>
    <x v="0"/>
    <n v="9.9599999999999991"/>
    <n v="0.19355817875210796"/>
    <n v="593"/>
    <s v="0.44"/>
    <s v="Spr"/>
    <s v="ing"/>
    <n v="6"/>
    <s v="18|40544|17"/>
    <m/>
  </r>
  <r>
    <x v="18"/>
    <x v="0"/>
    <x v="0"/>
    <n v="0"/>
    <n v="1"/>
    <x v="18"/>
    <x v="0"/>
    <x v="0"/>
    <x v="2"/>
    <n v="0.42"/>
    <x v="0"/>
    <x v="0"/>
    <n v="9.8400000000000016"/>
    <n v="0.19314189189189193"/>
    <n v="592"/>
    <s v="0.42"/>
    <s v="Spr"/>
    <s v="ing"/>
    <n v="6"/>
    <s v="19|40544|18"/>
    <m/>
  </r>
  <r>
    <x v="19"/>
    <x v="0"/>
    <x v="0"/>
    <n v="0"/>
    <n v="1"/>
    <x v="19"/>
    <x v="0"/>
    <x v="0"/>
    <x v="2"/>
    <n v="0.42"/>
    <x v="0"/>
    <x v="0"/>
    <n v="9.7200000000000024"/>
    <n v="0.19275803722504234"/>
    <n v="591"/>
    <s v="0.42"/>
    <s v="Spr"/>
    <s v="ing"/>
    <n v="6"/>
    <s v="20|40544|19"/>
    <m/>
  </r>
  <r>
    <x v="20"/>
    <x v="0"/>
    <x v="0"/>
    <n v="0"/>
    <n v="1"/>
    <x v="20"/>
    <x v="0"/>
    <x v="0"/>
    <x v="1"/>
    <n v="0.4"/>
    <x v="0"/>
    <x v="0"/>
    <n v="9.5600000000000023"/>
    <n v="0.19237288135593222"/>
    <n v="590"/>
    <s v="0.40"/>
    <s v="Spr"/>
    <s v="ing"/>
    <n v="6"/>
    <s v="21|40544|20"/>
    <m/>
  </r>
  <r>
    <x v="21"/>
    <x v="0"/>
    <x v="0"/>
    <n v="0"/>
    <n v="1"/>
    <x v="21"/>
    <x v="0"/>
    <x v="0"/>
    <x v="1"/>
    <n v="0.4"/>
    <x v="0"/>
    <x v="0"/>
    <n v="9.4000000000000021"/>
    <n v="0.19202037351443124"/>
    <n v="589"/>
    <s v="0.40"/>
    <s v="Spr"/>
    <s v="ing"/>
    <n v="6"/>
    <s v="22|40544|21"/>
    <m/>
  </r>
  <r>
    <x v="22"/>
    <x v="0"/>
    <x v="0"/>
    <n v="0"/>
    <n v="1"/>
    <x v="22"/>
    <x v="0"/>
    <x v="0"/>
    <x v="1"/>
    <n v="0.4"/>
    <x v="0"/>
    <x v="0"/>
    <n v="9.2200000000000024"/>
    <n v="0.19166666666666671"/>
    <n v="588"/>
    <s v="0.40"/>
    <s v="Spr"/>
    <s v="ing"/>
    <n v="6"/>
    <s v="23|40544|22"/>
    <m/>
  </r>
  <r>
    <x v="23"/>
    <x v="0"/>
    <x v="0"/>
    <n v="0"/>
    <n v="1"/>
    <x v="23"/>
    <x v="0"/>
    <x v="0"/>
    <x v="1"/>
    <n v="0.46"/>
    <x v="0"/>
    <x v="0"/>
    <n v="9.0400000000000027"/>
    <n v="0.19131175468483819"/>
    <n v="587"/>
    <s v="0.46"/>
    <s v="Spr"/>
    <s v="ing"/>
    <n v="6"/>
    <s v="24|40544|23"/>
    <m/>
  </r>
  <r>
    <x v="24"/>
    <x v="1"/>
    <x v="0"/>
    <n v="0"/>
    <n v="1"/>
    <x v="0"/>
    <x v="0"/>
    <x v="1"/>
    <x v="1"/>
    <n v="0.46"/>
    <x v="0"/>
    <x v="0"/>
    <n v="8.7800000000000011"/>
    <n v="0.19085324232081913"/>
    <n v="586"/>
    <s v="0.46"/>
    <s v="Spr"/>
    <s v="ing"/>
    <n v="6"/>
    <s v="25|40575|0"/>
    <m/>
  </r>
  <r>
    <x v="25"/>
    <x v="1"/>
    <x v="0"/>
    <n v="0"/>
    <n v="1"/>
    <x v="1"/>
    <x v="0"/>
    <x v="1"/>
    <x v="1"/>
    <n v="0.44"/>
    <x v="0"/>
    <x v="0"/>
    <n v="8.48"/>
    <n v="0.1903931623931624"/>
    <n v="585"/>
    <s v="0.44"/>
    <s v="Spr"/>
    <s v="ing"/>
    <n v="6"/>
    <s v="26|40575|1"/>
    <m/>
  </r>
  <r>
    <x v="26"/>
    <x v="1"/>
    <x v="0"/>
    <n v="0"/>
    <n v="1"/>
    <x v="2"/>
    <x v="0"/>
    <x v="1"/>
    <x v="1"/>
    <n v="0.42"/>
    <x v="0"/>
    <x v="0"/>
    <n v="8.1999999999999993"/>
    <n v="0.18996575342465752"/>
    <n v="584"/>
    <s v="0.42"/>
    <s v="Spr"/>
    <s v="ing"/>
    <n v="6"/>
    <s v="27|40575|2"/>
    <m/>
  </r>
  <r>
    <x v="27"/>
    <x v="1"/>
    <x v="0"/>
    <n v="0"/>
    <n v="1"/>
    <x v="3"/>
    <x v="0"/>
    <x v="1"/>
    <x v="1"/>
    <n v="0.46"/>
    <x v="0"/>
    <x v="0"/>
    <n v="7.919999999999999"/>
    <n v="0.18957118353344768"/>
    <n v="583"/>
    <s v="0.46"/>
    <s v="Spr"/>
    <s v="ing"/>
    <n v="6"/>
    <s v="28|40575|3"/>
    <m/>
  </r>
  <r>
    <x v="28"/>
    <x v="1"/>
    <x v="0"/>
    <n v="0"/>
    <n v="1"/>
    <x v="4"/>
    <x v="0"/>
    <x v="1"/>
    <x v="1"/>
    <n v="0.46"/>
    <x v="0"/>
    <x v="0"/>
    <n v="7.5999999999999988"/>
    <n v="0.18910652920962201"/>
    <n v="582"/>
    <s v="0.46"/>
    <s v="Spr"/>
    <s v="ing"/>
    <n v="6"/>
    <s v="29|40575|4"/>
    <m/>
  </r>
  <r>
    <x v="29"/>
    <x v="1"/>
    <x v="0"/>
    <n v="0"/>
    <n v="1"/>
    <x v="6"/>
    <x v="0"/>
    <x v="1"/>
    <x v="2"/>
    <n v="0.42"/>
    <x v="0"/>
    <x v="0"/>
    <n v="7.2799999999999985"/>
    <n v="0.18864027538726333"/>
    <n v="581"/>
    <s v="0.42"/>
    <s v="Spr"/>
    <s v="ing"/>
    <n v="6"/>
    <s v="30|40575|6"/>
    <m/>
  </r>
  <r>
    <x v="30"/>
    <x v="1"/>
    <x v="0"/>
    <n v="0"/>
    <n v="1"/>
    <x v="7"/>
    <x v="0"/>
    <x v="1"/>
    <x v="1"/>
    <n v="0.4"/>
    <x v="0"/>
    <x v="0"/>
    <n v="7.0199999999999987"/>
    <n v="0.18824137931034482"/>
    <n v="580"/>
    <s v="0.40"/>
    <s v="Spr"/>
    <s v="ing"/>
    <n v="6"/>
    <s v="31|40575|7"/>
    <m/>
  </r>
  <r>
    <x v="31"/>
    <x v="1"/>
    <x v="0"/>
    <n v="0"/>
    <n v="1"/>
    <x v="8"/>
    <x v="0"/>
    <x v="1"/>
    <x v="2"/>
    <n v="0.4"/>
    <x v="0"/>
    <x v="0"/>
    <n v="6.799999999999998"/>
    <n v="0.18787564766839376"/>
    <n v="579"/>
    <s v="0.40"/>
    <s v="Spr"/>
    <s v="ing"/>
    <n v="6"/>
    <s v="32|40575|8"/>
    <m/>
  </r>
  <r>
    <x v="32"/>
    <x v="1"/>
    <x v="0"/>
    <n v="0"/>
    <n v="1"/>
    <x v="9"/>
    <x v="0"/>
    <x v="1"/>
    <x v="1"/>
    <n v="0.38"/>
    <x v="0"/>
    <x v="0"/>
    <n v="6.5999999999999979"/>
    <n v="0.18750865051903112"/>
    <n v="578"/>
    <s v="0.38"/>
    <s v="Spr"/>
    <s v="ing"/>
    <n v="6"/>
    <s v="33|40575|9"/>
    <m/>
  </r>
  <r>
    <x v="33"/>
    <x v="1"/>
    <x v="0"/>
    <n v="0"/>
    <n v="1"/>
    <x v="10"/>
    <x v="0"/>
    <x v="1"/>
    <x v="1"/>
    <n v="0.36"/>
    <x v="0"/>
    <x v="0"/>
    <n v="6.4399999999999977"/>
    <n v="0.18717504332755633"/>
    <n v="577"/>
    <s v="0.36"/>
    <s v="Spr"/>
    <s v="ing"/>
    <n v="6"/>
    <s v="34|40575|10"/>
    <m/>
  </r>
  <r>
    <x v="34"/>
    <x v="1"/>
    <x v="0"/>
    <n v="0"/>
    <n v="1"/>
    <x v="11"/>
    <x v="0"/>
    <x v="1"/>
    <x v="1"/>
    <n v="0.36"/>
    <x v="0"/>
    <x v="0"/>
    <n v="6.3199999999999985"/>
    <n v="0.18687500000000001"/>
    <n v="576"/>
    <s v="0.36"/>
    <s v="Spr"/>
    <s v="ing"/>
    <n v="6"/>
    <s v="35|40575|11"/>
    <m/>
  </r>
  <r>
    <x v="35"/>
    <x v="1"/>
    <x v="0"/>
    <n v="0"/>
    <n v="1"/>
    <x v="12"/>
    <x v="0"/>
    <x v="1"/>
    <x v="1"/>
    <n v="0.36"/>
    <x v="0"/>
    <x v="0"/>
    <n v="6.22"/>
    <n v="0.18657391304347823"/>
    <n v="575"/>
    <s v="0.36"/>
    <s v="Spr"/>
    <s v="ing"/>
    <n v="6"/>
    <s v="36|40575|12"/>
    <m/>
  </r>
  <r>
    <x v="36"/>
    <x v="1"/>
    <x v="0"/>
    <n v="0"/>
    <n v="1"/>
    <x v="13"/>
    <x v="0"/>
    <x v="1"/>
    <x v="1"/>
    <n v="0.36"/>
    <x v="0"/>
    <x v="0"/>
    <n v="6.1199999999999992"/>
    <n v="0.1862717770034843"/>
    <n v="574"/>
    <s v="0.36"/>
    <s v="Spr"/>
    <s v="ing"/>
    <n v="6"/>
    <s v="37|40575|13"/>
    <m/>
  </r>
  <r>
    <x v="37"/>
    <x v="1"/>
    <x v="0"/>
    <n v="0"/>
    <n v="1"/>
    <x v="14"/>
    <x v="0"/>
    <x v="1"/>
    <x v="2"/>
    <n v="0.36"/>
    <x v="0"/>
    <x v="0"/>
    <n v="6.0200000000000005"/>
    <n v="0.18596858638743455"/>
    <n v="573"/>
    <s v="0.36"/>
    <s v="Spr"/>
    <s v="ing"/>
    <n v="6"/>
    <s v="38|40575|14"/>
    <m/>
  </r>
  <r>
    <x v="38"/>
    <x v="1"/>
    <x v="0"/>
    <n v="0"/>
    <n v="1"/>
    <x v="15"/>
    <x v="0"/>
    <x v="1"/>
    <x v="2"/>
    <n v="0.34"/>
    <x v="0"/>
    <x v="0"/>
    <n v="5.9"/>
    <n v="0.18566433566433566"/>
    <n v="572"/>
    <s v="0.34"/>
    <s v="Spr"/>
    <s v="ing"/>
    <n v="6"/>
    <s v="39|40575|15"/>
    <m/>
  </r>
  <r>
    <x v="39"/>
    <x v="1"/>
    <x v="0"/>
    <n v="0"/>
    <n v="1"/>
    <x v="16"/>
    <x v="0"/>
    <x v="1"/>
    <x v="2"/>
    <n v="0.34"/>
    <x v="0"/>
    <x v="0"/>
    <n v="5.8000000000000016"/>
    <n v="0.18539404553415056"/>
    <n v="571"/>
    <s v="0.34"/>
    <s v="Spr"/>
    <s v="ing"/>
    <n v="6"/>
    <s v="40|40575|16"/>
    <m/>
  </r>
  <r>
    <x v="40"/>
    <x v="1"/>
    <x v="0"/>
    <n v="0"/>
    <n v="1"/>
    <x v="17"/>
    <x v="0"/>
    <x v="1"/>
    <x v="0"/>
    <n v="0.34"/>
    <x v="0"/>
    <x v="0"/>
    <n v="5.6600000000000019"/>
    <n v="0.1851228070175438"/>
    <n v="570"/>
    <s v="0.34"/>
    <s v="Spr"/>
    <s v="ing"/>
    <n v="6"/>
    <s v="41|40575|17"/>
    <m/>
  </r>
  <r>
    <x v="41"/>
    <x v="1"/>
    <x v="0"/>
    <n v="0"/>
    <n v="1"/>
    <x v="18"/>
    <x v="0"/>
    <x v="1"/>
    <x v="1"/>
    <n v="0.36"/>
    <x v="0"/>
    <x v="0"/>
    <n v="5.5200000000000014"/>
    <n v="0.18485061511423545"/>
    <n v="569"/>
    <s v="0.36"/>
    <s v="Spr"/>
    <s v="ing"/>
    <n v="6"/>
    <s v="42|40575|18"/>
    <m/>
  </r>
  <r>
    <x v="42"/>
    <x v="1"/>
    <x v="0"/>
    <n v="0"/>
    <n v="1"/>
    <x v="19"/>
    <x v="0"/>
    <x v="1"/>
    <x v="0"/>
    <n v="0.32"/>
    <x v="0"/>
    <x v="0"/>
    <n v="5.3400000000000007"/>
    <n v="0.18454225352112669"/>
    <n v="568"/>
    <s v="0.32"/>
    <s v="Spr"/>
    <s v="ing"/>
    <n v="6"/>
    <s v="43|40575|19"/>
    <m/>
  </r>
  <r>
    <x v="43"/>
    <x v="1"/>
    <x v="0"/>
    <n v="0"/>
    <n v="1"/>
    <x v="20"/>
    <x v="0"/>
    <x v="1"/>
    <x v="0"/>
    <n v="0.3"/>
    <x v="0"/>
    <x v="0"/>
    <n v="5.16"/>
    <n v="0.18430335097001757"/>
    <n v="567"/>
    <s v="0.30"/>
    <s v="Spr"/>
    <s v="ing"/>
    <n v="6"/>
    <s v="44|40575|20"/>
    <m/>
  </r>
  <r>
    <x v="44"/>
    <x v="1"/>
    <x v="0"/>
    <n v="0"/>
    <n v="1"/>
    <x v="21"/>
    <x v="0"/>
    <x v="1"/>
    <x v="0"/>
    <n v="0.26"/>
    <x v="0"/>
    <x v="0"/>
    <n v="5.04"/>
    <n v="0.18409893992932852"/>
    <n v="566"/>
    <s v="0.26"/>
    <s v="Spr"/>
    <s v="ing"/>
    <n v="6"/>
    <s v="45|40575|21"/>
    <m/>
  </r>
  <r>
    <x v="45"/>
    <x v="1"/>
    <x v="0"/>
    <n v="0"/>
    <n v="1"/>
    <x v="22"/>
    <x v="0"/>
    <x v="1"/>
    <x v="0"/>
    <n v="0.24"/>
    <x v="0"/>
    <x v="0"/>
    <n v="4.9399999999999995"/>
    <n v="0.18396460176991142"/>
    <n v="565"/>
    <s v="0.24"/>
    <s v="Spr"/>
    <s v="ing"/>
    <n v="6"/>
    <s v="46|40575|22"/>
    <m/>
  </r>
  <r>
    <x v="46"/>
    <x v="1"/>
    <x v="0"/>
    <n v="0"/>
    <n v="1"/>
    <x v="23"/>
    <x v="0"/>
    <x v="1"/>
    <x v="0"/>
    <n v="0.22"/>
    <x v="0"/>
    <x v="0"/>
    <n v="4.8599999999999994"/>
    <n v="0.18386524822695027"/>
    <n v="564"/>
    <s v="0.22"/>
    <s v="Spr"/>
    <s v="ing"/>
    <n v="6"/>
    <s v="47|40575|23"/>
    <m/>
  </r>
  <r>
    <x v="47"/>
    <x v="2"/>
    <x v="0"/>
    <n v="0"/>
    <n v="1"/>
    <x v="0"/>
    <x v="0"/>
    <x v="2"/>
    <x v="0"/>
    <n v="0.22"/>
    <x v="0"/>
    <x v="0"/>
    <n v="4.7799999999999994"/>
    <n v="0.1838010657193605"/>
    <n v="563"/>
    <s v="0.22"/>
    <s v="Spr"/>
    <s v="ing"/>
    <n v="6"/>
    <s v="48|40603|0"/>
    <m/>
  </r>
  <r>
    <x v="48"/>
    <x v="2"/>
    <x v="0"/>
    <n v="0"/>
    <n v="1"/>
    <x v="1"/>
    <x v="0"/>
    <x v="2"/>
    <x v="0"/>
    <n v="0.2"/>
    <x v="0"/>
    <x v="0"/>
    <n v="4.7"/>
    <n v="0.1837366548042704"/>
    <n v="562"/>
    <s v="0.20"/>
    <s v="Spr"/>
    <s v="ing"/>
    <n v="6"/>
    <s v="49|40603|1"/>
    <m/>
  </r>
  <r>
    <x v="49"/>
    <x v="2"/>
    <x v="0"/>
    <n v="0"/>
    <n v="1"/>
    <x v="4"/>
    <x v="0"/>
    <x v="2"/>
    <x v="0"/>
    <n v="0.16"/>
    <x v="0"/>
    <x v="0"/>
    <n v="4.62"/>
    <n v="0.1837076648841354"/>
    <n v="561"/>
    <s v="0.16"/>
    <s v="Spr"/>
    <s v="ing"/>
    <n v="6"/>
    <s v="50|40603|4"/>
    <m/>
  </r>
  <r>
    <x v="50"/>
    <x v="2"/>
    <x v="0"/>
    <n v="0"/>
    <n v="1"/>
    <x v="5"/>
    <x v="0"/>
    <x v="2"/>
    <x v="0"/>
    <n v="0.16"/>
    <x v="0"/>
    <x v="0"/>
    <n v="4.580000000000001"/>
    <n v="0.18374999999999991"/>
    <n v="560"/>
    <s v="0.16"/>
    <s v="Spr"/>
    <s v="ing"/>
    <n v="6"/>
    <s v="51|40603|5"/>
    <m/>
  </r>
  <r>
    <x v="51"/>
    <x v="2"/>
    <x v="0"/>
    <n v="0"/>
    <n v="1"/>
    <x v="6"/>
    <x v="0"/>
    <x v="2"/>
    <x v="0"/>
    <n v="0.14000000000000001"/>
    <x v="0"/>
    <x v="0"/>
    <n v="4.5400000000000018"/>
    <n v="0.18379248658318417"/>
    <n v="559"/>
    <s v="0.14"/>
    <s v="Spr"/>
    <s v="ing"/>
    <n v="6"/>
    <s v="52|40603|6"/>
    <m/>
  </r>
  <r>
    <x v="52"/>
    <x v="2"/>
    <x v="0"/>
    <n v="0"/>
    <n v="1"/>
    <x v="7"/>
    <x v="0"/>
    <x v="2"/>
    <x v="0"/>
    <n v="0.14000000000000001"/>
    <x v="0"/>
    <x v="0"/>
    <n v="4.5400000000000009"/>
    <n v="0.18387096774193537"/>
    <n v="558"/>
    <s v="0.14"/>
    <s v="Spr"/>
    <s v="ing"/>
    <n v="6"/>
    <s v="53|40603|7"/>
    <m/>
  </r>
  <r>
    <x v="53"/>
    <x v="2"/>
    <x v="0"/>
    <n v="0"/>
    <n v="1"/>
    <x v="8"/>
    <x v="0"/>
    <x v="2"/>
    <x v="0"/>
    <n v="0.14000000000000001"/>
    <x v="0"/>
    <x v="0"/>
    <n v="4.5600000000000014"/>
    <n v="0.18394973070017942"/>
    <n v="557"/>
    <s v="0.14"/>
    <s v="Spr"/>
    <s v="ing"/>
    <n v="6"/>
    <s v="54|40603|8"/>
    <m/>
  </r>
  <r>
    <x v="54"/>
    <x v="2"/>
    <x v="0"/>
    <n v="0"/>
    <n v="1"/>
    <x v="9"/>
    <x v="0"/>
    <x v="2"/>
    <x v="0"/>
    <n v="0.16"/>
    <x v="0"/>
    <x v="0"/>
    <n v="4.580000000000001"/>
    <n v="0.18402877697841716"/>
    <n v="556"/>
    <s v="0.16"/>
    <s v="Spr"/>
    <s v="ing"/>
    <n v="6"/>
    <s v="55|40603|9"/>
    <m/>
  </r>
  <r>
    <x v="55"/>
    <x v="2"/>
    <x v="0"/>
    <n v="0"/>
    <n v="1"/>
    <x v="10"/>
    <x v="0"/>
    <x v="2"/>
    <x v="0"/>
    <n v="0.18"/>
    <x v="0"/>
    <x v="0"/>
    <n v="4.6400000000000015"/>
    <n v="0.18407207207207196"/>
    <n v="555"/>
    <s v="0.18"/>
    <s v="Spr"/>
    <s v="ing"/>
    <n v="6"/>
    <s v="56|40603|10"/>
    <m/>
  </r>
  <r>
    <x v="56"/>
    <x v="2"/>
    <x v="0"/>
    <n v="0"/>
    <n v="1"/>
    <x v="11"/>
    <x v="0"/>
    <x v="2"/>
    <x v="0"/>
    <n v="0.2"/>
    <x v="0"/>
    <x v="0"/>
    <n v="4.6800000000000015"/>
    <n v="0.18407942238267136"/>
    <n v="554"/>
    <s v="0.20"/>
    <s v="Spr"/>
    <s v="ing"/>
    <n v="6"/>
    <s v="57|40603|11"/>
    <m/>
  </r>
  <r>
    <x v="57"/>
    <x v="2"/>
    <x v="0"/>
    <n v="0"/>
    <n v="1"/>
    <x v="12"/>
    <x v="0"/>
    <x v="2"/>
    <x v="0"/>
    <n v="0.22"/>
    <x v="0"/>
    <x v="0"/>
    <n v="4.7200000000000015"/>
    <n v="0.18405063291139231"/>
    <n v="553"/>
    <s v="0.22"/>
    <s v="Spr"/>
    <s v="ing"/>
    <n v="6"/>
    <s v="58|40603|12"/>
    <m/>
  </r>
  <r>
    <x v="58"/>
    <x v="2"/>
    <x v="0"/>
    <n v="0"/>
    <n v="1"/>
    <x v="13"/>
    <x v="0"/>
    <x v="2"/>
    <x v="0"/>
    <n v="0.24"/>
    <x v="0"/>
    <x v="0"/>
    <n v="4.7600000000000016"/>
    <n v="0.18398550724637672"/>
    <n v="552"/>
    <s v="0.24"/>
    <s v="Spr"/>
    <s v="ing"/>
    <n v="6"/>
    <s v="59|40603|13"/>
    <m/>
  </r>
  <r>
    <x v="59"/>
    <x v="2"/>
    <x v="0"/>
    <n v="0"/>
    <n v="1"/>
    <x v="14"/>
    <x v="0"/>
    <x v="2"/>
    <x v="0"/>
    <n v="0.26"/>
    <x v="0"/>
    <x v="0"/>
    <n v="4.8000000000000016"/>
    <n v="0.18388384754990916"/>
    <n v="551"/>
    <s v="0.26"/>
    <s v="Spr"/>
    <s v="ing"/>
    <n v="6"/>
    <s v="60|40603|14"/>
    <m/>
  </r>
  <r>
    <x v="60"/>
    <x v="2"/>
    <x v="0"/>
    <n v="0"/>
    <n v="1"/>
    <x v="15"/>
    <x v="0"/>
    <x v="2"/>
    <x v="0"/>
    <n v="0.26"/>
    <x v="0"/>
    <x v="0"/>
    <n v="4.8400000000000007"/>
    <n v="0.18374545454545443"/>
    <n v="550"/>
    <s v="0.26"/>
    <s v="Spr"/>
    <s v="ing"/>
    <n v="6"/>
    <s v="61|40603|15"/>
    <m/>
  </r>
  <r>
    <x v="61"/>
    <x v="2"/>
    <x v="0"/>
    <n v="0"/>
    <n v="1"/>
    <x v="16"/>
    <x v="0"/>
    <x v="2"/>
    <x v="0"/>
    <n v="0.26"/>
    <x v="0"/>
    <x v="0"/>
    <n v="4.8600000000000012"/>
    <n v="0.18360655737704909"/>
    <n v="549"/>
    <s v="0.26"/>
    <s v="Spr"/>
    <s v="ing"/>
    <n v="6"/>
    <s v="62|40603|16"/>
    <m/>
  </r>
  <r>
    <x v="62"/>
    <x v="2"/>
    <x v="0"/>
    <n v="0"/>
    <n v="1"/>
    <x v="17"/>
    <x v="0"/>
    <x v="2"/>
    <x v="0"/>
    <n v="0.24"/>
    <x v="0"/>
    <x v="0"/>
    <n v="4.8600000000000003"/>
    <n v="0.18346715328467145"/>
    <n v="548"/>
    <s v="0.24"/>
    <s v="Spr"/>
    <s v="ing"/>
    <n v="6"/>
    <s v="63|40603|17"/>
    <m/>
  </r>
  <r>
    <x v="63"/>
    <x v="2"/>
    <x v="0"/>
    <n v="0"/>
    <n v="1"/>
    <x v="18"/>
    <x v="0"/>
    <x v="2"/>
    <x v="0"/>
    <n v="0.24"/>
    <x v="0"/>
    <x v="0"/>
    <n v="4.8600000000000012"/>
    <n v="0.1833638025594149"/>
    <n v="547"/>
    <s v="0.24"/>
    <s v="Spr"/>
    <s v="ing"/>
    <n v="6"/>
    <s v="64|40603|18"/>
    <m/>
  </r>
  <r>
    <x v="64"/>
    <x v="2"/>
    <x v="0"/>
    <n v="0"/>
    <n v="1"/>
    <x v="19"/>
    <x v="0"/>
    <x v="2"/>
    <x v="0"/>
    <n v="0.2"/>
    <x v="0"/>
    <x v="0"/>
    <n v="4.8600000000000012"/>
    <n v="0.18326007326007318"/>
    <n v="546"/>
    <s v="0.20"/>
    <s v="Spr"/>
    <s v="ing"/>
    <n v="6"/>
    <s v="65|40603|19"/>
    <m/>
  </r>
  <r>
    <x v="65"/>
    <x v="2"/>
    <x v="0"/>
    <n v="0"/>
    <n v="1"/>
    <x v="20"/>
    <x v="0"/>
    <x v="2"/>
    <x v="0"/>
    <n v="0.2"/>
    <x v="0"/>
    <x v="0"/>
    <n v="4.8800000000000008"/>
    <n v="0.18322935779816507"/>
    <n v="545"/>
    <s v="0.20"/>
    <s v="Spr"/>
    <s v="ing"/>
    <n v="6"/>
    <s v="66|40603|20"/>
    <m/>
  </r>
  <r>
    <x v="66"/>
    <x v="2"/>
    <x v="0"/>
    <n v="0"/>
    <n v="1"/>
    <x v="21"/>
    <x v="0"/>
    <x v="2"/>
    <x v="0"/>
    <n v="0.18"/>
    <x v="0"/>
    <x v="0"/>
    <n v="4.9000000000000004"/>
    <n v="0.18319852941176462"/>
    <n v="544"/>
    <s v="0.18"/>
    <s v="Spr"/>
    <s v="ing"/>
    <n v="6"/>
    <s v="67|40603|21"/>
    <m/>
  </r>
  <r>
    <x v="67"/>
    <x v="2"/>
    <x v="0"/>
    <n v="0"/>
    <n v="1"/>
    <x v="22"/>
    <x v="0"/>
    <x v="2"/>
    <x v="0"/>
    <n v="0.14000000000000001"/>
    <x v="0"/>
    <x v="0"/>
    <n v="4.92"/>
    <n v="0.18320441988950267"/>
    <n v="543"/>
    <s v="0.14"/>
    <s v="Spr"/>
    <s v="ing"/>
    <n v="6"/>
    <s v="68|40603|22"/>
    <m/>
  </r>
  <r>
    <x v="68"/>
    <x v="2"/>
    <x v="0"/>
    <n v="0"/>
    <n v="1"/>
    <x v="23"/>
    <x v="0"/>
    <x v="2"/>
    <x v="0"/>
    <n v="0.18"/>
    <x v="0"/>
    <x v="0"/>
    <n v="4.9800000000000004"/>
    <n v="0.1832841328413283"/>
    <n v="542"/>
    <s v="0.18"/>
    <s v="Spr"/>
    <s v="ing"/>
    <n v="6"/>
    <s v="69|40603|23"/>
    <m/>
  </r>
  <r>
    <x v="69"/>
    <x v="3"/>
    <x v="0"/>
    <n v="0"/>
    <n v="1"/>
    <x v="0"/>
    <x v="0"/>
    <x v="3"/>
    <x v="0"/>
    <n v="0.16"/>
    <x v="0"/>
    <x v="0"/>
    <n v="4.96"/>
    <n v="0.18329020332717183"/>
    <n v="541"/>
    <s v="0.16"/>
    <s v="Spr"/>
    <s v="ing"/>
    <n v="6"/>
    <s v="70|40634|0"/>
    <m/>
  </r>
  <r>
    <x v="70"/>
    <x v="3"/>
    <x v="0"/>
    <n v="0"/>
    <n v="1"/>
    <x v="1"/>
    <x v="0"/>
    <x v="3"/>
    <x v="0"/>
    <n v="0.16"/>
    <x v="0"/>
    <x v="0"/>
    <n v="4.9600000000000009"/>
    <n v="0.18333333333333324"/>
    <n v="540"/>
    <s v="0.16"/>
    <s v="Spr"/>
    <s v="ing"/>
    <n v="6"/>
    <s v="71|40634|1"/>
    <m/>
  </r>
  <r>
    <x v="71"/>
    <x v="3"/>
    <x v="0"/>
    <n v="0"/>
    <n v="1"/>
    <x v="2"/>
    <x v="0"/>
    <x v="3"/>
    <x v="0"/>
    <n v="0.14000000000000001"/>
    <x v="0"/>
    <x v="0"/>
    <n v="5.0400000000000018"/>
    <n v="0.18337662337662328"/>
    <n v="539"/>
    <s v="0.14"/>
    <s v="Spr"/>
    <s v="ing"/>
    <n v="6"/>
    <s v="72|40634|2"/>
    <m/>
  </r>
  <r>
    <x v="72"/>
    <x v="3"/>
    <x v="0"/>
    <n v="0"/>
    <n v="1"/>
    <x v="4"/>
    <x v="0"/>
    <x v="3"/>
    <x v="0"/>
    <n v="0.14000000000000001"/>
    <x v="0"/>
    <x v="0"/>
    <n v="5.120000000000001"/>
    <n v="0.18345724907063188"/>
    <n v="538"/>
    <s v="0.14"/>
    <s v="Spr"/>
    <s v="ing"/>
    <n v="6"/>
    <s v="73|40634|4"/>
    <m/>
  </r>
  <r>
    <x v="73"/>
    <x v="3"/>
    <x v="0"/>
    <n v="0"/>
    <n v="1"/>
    <x v="5"/>
    <x v="0"/>
    <x v="3"/>
    <x v="0"/>
    <n v="0.12"/>
    <x v="0"/>
    <x v="0"/>
    <n v="5.1800000000000015"/>
    <n v="0.18353817504655487"/>
    <n v="537"/>
    <s v="0.12"/>
    <s v="Spr"/>
    <s v="ing"/>
    <n v="6"/>
    <s v="74|40634|5"/>
    <m/>
  </r>
  <r>
    <x v="74"/>
    <x v="3"/>
    <x v="0"/>
    <n v="0"/>
    <n v="1"/>
    <x v="6"/>
    <x v="0"/>
    <x v="3"/>
    <x v="0"/>
    <n v="0.12"/>
    <x v="0"/>
    <x v="0"/>
    <n v="5.2400000000000011"/>
    <n v="0.1836567164179104"/>
    <n v="536"/>
    <s v="0.12"/>
    <s v="Spr"/>
    <s v="ing"/>
    <n v="6"/>
    <s v="75|40634|6"/>
    <m/>
  </r>
  <r>
    <x v="75"/>
    <x v="3"/>
    <x v="0"/>
    <n v="0"/>
    <n v="1"/>
    <x v="7"/>
    <x v="0"/>
    <x v="3"/>
    <x v="0"/>
    <n v="0.12"/>
    <x v="0"/>
    <x v="0"/>
    <n v="5.3200000000000012"/>
    <n v="0.18377570093457937"/>
    <n v="535"/>
    <s v="0.12"/>
    <s v="Spr"/>
    <s v="ing"/>
    <n v="6"/>
    <s v="76|40634|7"/>
    <m/>
  </r>
  <r>
    <x v="76"/>
    <x v="3"/>
    <x v="0"/>
    <n v="0"/>
    <n v="1"/>
    <x v="8"/>
    <x v="0"/>
    <x v="3"/>
    <x v="0"/>
    <n v="0.14000000000000001"/>
    <x v="0"/>
    <x v="0"/>
    <n v="5.4200000000000017"/>
    <n v="0.18389513108614228"/>
    <n v="534"/>
    <s v="0.14"/>
    <s v="Spr"/>
    <s v="ing"/>
    <n v="6"/>
    <s v="77|40634|8"/>
    <m/>
  </r>
  <r>
    <x v="77"/>
    <x v="3"/>
    <x v="0"/>
    <n v="0"/>
    <n v="1"/>
    <x v="9"/>
    <x v="0"/>
    <x v="3"/>
    <x v="0"/>
    <n v="0.16"/>
    <x v="0"/>
    <x v="0"/>
    <n v="5.5000000000000009"/>
    <n v="0.18397748592870539"/>
    <n v="533"/>
    <s v="0.16"/>
    <s v="Spr"/>
    <s v="ing"/>
    <n v="6"/>
    <s v="78|40634|9"/>
    <m/>
  </r>
  <r>
    <x v="78"/>
    <x v="3"/>
    <x v="0"/>
    <n v="0"/>
    <n v="1"/>
    <x v="10"/>
    <x v="0"/>
    <x v="3"/>
    <x v="1"/>
    <n v="0.16"/>
    <x v="0"/>
    <x v="0"/>
    <n v="5.6000000000000005"/>
    <n v="0.18402255639097739"/>
    <n v="532"/>
    <s v="0.16"/>
    <s v="Spr"/>
    <s v="ing"/>
    <n v="6"/>
    <s v="79|40634|10"/>
    <m/>
  </r>
  <r>
    <x v="79"/>
    <x v="3"/>
    <x v="0"/>
    <n v="0"/>
    <n v="1"/>
    <x v="11"/>
    <x v="0"/>
    <x v="3"/>
    <x v="0"/>
    <n v="0.22"/>
    <x v="0"/>
    <x v="0"/>
    <n v="5.7"/>
    <n v="0.18406779661016945"/>
    <n v="531"/>
    <s v="0.22"/>
    <s v="Spr"/>
    <s v="ing"/>
    <n v="6"/>
    <s v="80|40634|11"/>
    <m/>
  </r>
  <r>
    <x v="80"/>
    <x v="3"/>
    <x v="0"/>
    <n v="0"/>
    <n v="1"/>
    <x v="12"/>
    <x v="0"/>
    <x v="3"/>
    <x v="0"/>
    <n v="0.22"/>
    <x v="0"/>
    <x v="0"/>
    <n v="5.7600000000000007"/>
    <n v="0.18399999999999997"/>
    <n v="530"/>
    <s v="0.22"/>
    <s v="Spr"/>
    <s v="ing"/>
    <n v="6"/>
    <s v="81|40634|12"/>
    <m/>
  </r>
  <r>
    <x v="81"/>
    <x v="3"/>
    <x v="0"/>
    <n v="0"/>
    <n v="1"/>
    <x v="13"/>
    <x v="0"/>
    <x v="3"/>
    <x v="0"/>
    <n v="0.24"/>
    <x v="0"/>
    <x v="0"/>
    <n v="5.8400000000000007"/>
    <n v="0.18393194706994329"/>
    <n v="529"/>
    <s v="0.24"/>
    <s v="Spr"/>
    <s v="ing"/>
    <n v="6"/>
    <s v="82|40634|13"/>
    <m/>
  </r>
  <r>
    <x v="82"/>
    <x v="3"/>
    <x v="0"/>
    <n v="0"/>
    <n v="1"/>
    <x v="14"/>
    <x v="0"/>
    <x v="3"/>
    <x v="0"/>
    <n v="0.26"/>
    <x v="0"/>
    <x v="0"/>
    <n v="5.9"/>
    <n v="0.18382575757575756"/>
    <n v="528"/>
    <s v="0.26"/>
    <s v="Spr"/>
    <s v="ing"/>
    <n v="6"/>
    <s v="83|40634|14"/>
    <m/>
  </r>
  <r>
    <x v="83"/>
    <x v="3"/>
    <x v="0"/>
    <n v="0"/>
    <n v="1"/>
    <x v="15"/>
    <x v="0"/>
    <x v="3"/>
    <x v="0"/>
    <n v="0.28000000000000003"/>
    <x v="0"/>
    <x v="0"/>
    <n v="5.94"/>
    <n v="0.18368121442125238"/>
    <n v="527"/>
    <s v="0.28"/>
    <s v="Spr"/>
    <s v="ing"/>
    <n v="6"/>
    <s v="84|40634|15"/>
    <m/>
  </r>
  <r>
    <x v="84"/>
    <x v="3"/>
    <x v="0"/>
    <n v="0"/>
    <n v="1"/>
    <x v="16"/>
    <x v="0"/>
    <x v="3"/>
    <x v="0"/>
    <n v="0.3"/>
    <x v="0"/>
    <x v="0"/>
    <n v="5.9000000000000012"/>
    <n v="0.18349809885931559"/>
    <n v="526"/>
    <s v="0.30"/>
    <s v="Spr"/>
    <s v="ing"/>
    <n v="6"/>
    <s v="85|40634|16"/>
    <m/>
  </r>
  <r>
    <x v="85"/>
    <x v="3"/>
    <x v="0"/>
    <n v="0"/>
    <n v="1"/>
    <x v="17"/>
    <x v="0"/>
    <x v="3"/>
    <x v="0"/>
    <n v="0.28000000000000003"/>
    <x v="0"/>
    <x v="0"/>
    <n v="5.8400000000000007"/>
    <n v="0.18327619047619045"/>
    <n v="525"/>
    <s v="0.28"/>
    <s v="Spr"/>
    <s v="ing"/>
    <n v="6"/>
    <s v="86|40634|17"/>
    <m/>
  </r>
  <r>
    <x v="86"/>
    <x v="3"/>
    <x v="0"/>
    <n v="0"/>
    <n v="1"/>
    <x v="18"/>
    <x v="0"/>
    <x v="3"/>
    <x v="0"/>
    <n v="0.26"/>
    <x v="0"/>
    <x v="0"/>
    <n v="5.8000000000000007"/>
    <n v="0.18309160305343508"/>
    <n v="524"/>
    <s v="0.26"/>
    <s v="Spr"/>
    <s v="ing"/>
    <n v="6"/>
    <s v="87|40634|18"/>
    <m/>
  </r>
  <r>
    <x v="87"/>
    <x v="3"/>
    <x v="0"/>
    <n v="0"/>
    <n v="1"/>
    <x v="19"/>
    <x v="0"/>
    <x v="3"/>
    <x v="0"/>
    <n v="0.24"/>
    <x v="0"/>
    <x v="0"/>
    <n v="5.7600000000000007"/>
    <n v="0.18294455066921603"/>
    <n v="523"/>
    <s v="0.24"/>
    <s v="Spr"/>
    <s v="ing"/>
    <n v="6"/>
    <s v="88|40634|19"/>
    <m/>
  </r>
  <r>
    <x v="88"/>
    <x v="3"/>
    <x v="0"/>
    <n v="0"/>
    <n v="1"/>
    <x v="20"/>
    <x v="0"/>
    <x v="3"/>
    <x v="0"/>
    <n v="0.24"/>
    <x v="0"/>
    <x v="0"/>
    <n v="5.7200000000000006"/>
    <n v="0.18283524904214557"/>
    <n v="522"/>
    <s v="0.24"/>
    <s v="Spr"/>
    <s v="ing"/>
    <n v="6"/>
    <s v="89|40634|20"/>
    <m/>
  </r>
  <r>
    <x v="89"/>
    <x v="3"/>
    <x v="0"/>
    <n v="0"/>
    <n v="1"/>
    <x v="21"/>
    <x v="0"/>
    <x v="3"/>
    <x v="0"/>
    <n v="0.22"/>
    <x v="0"/>
    <x v="0"/>
    <n v="5.66"/>
    <n v="0.182725527831094"/>
    <n v="521"/>
    <s v="0.22"/>
    <s v="Spr"/>
    <s v="ing"/>
    <n v="6"/>
    <s v="90|40634|21"/>
    <m/>
  </r>
  <r>
    <x v="90"/>
    <x v="3"/>
    <x v="0"/>
    <n v="0"/>
    <n v="1"/>
    <x v="22"/>
    <x v="0"/>
    <x v="3"/>
    <x v="0"/>
    <n v="0.22"/>
    <x v="0"/>
    <x v="0"/>
    <n v="5.6400000000000006"/>
    <n v="0.18265384615384611"/>
    <n v="520"/>
    <s v="0.22"/>
    <s v="Spr"/>
    <s v="ing"/>
    <n v="6"/>
    <s v="91|40634|22"/>
    <m/>
  </r>
  <r>
    <x v="91"/>
    <x v="3"/>
    <x v="0"/>
    <n v="0"/>
    <n v="1"/>
    <x v="23"/>
    <x v="0"/>
    <x v="3"/>
    <x v="0"/>
    <n v="0.2"/>
    <x v="0"/>
    <x v="0"/>
    <n v="5.6"/>
    <n v="0.18258188824662808"/>
    <n v="519"/>
    <s v="0.20"/>
    <s v="Spr"/>
    <s v="ing"/>
    <n v="6"/>
    <s v="92|40634|23"/>
    <m/>
  </r>
  <r>
    <x v="92"/>
    <x v="4"/>
    <x v="0"/>
    <n v="0"/>
    <n v="1"/>
    <x v="0"/>
    <x v="0"/>
    <x v="4"/>
    <x v="0"/>
    <n v="0.2"/>
    <x v="0"/>
    <x v="0"/>
    <n v="5.56"/>
    <n v="0.18254826254826251"/>
    <n v="518"/>
    <s v="0.20"/>
    <s v="Spr"/>
    <s v="ing"/>
    <n v="6"/>
    <s v="93|40664|0"/>
    <m/>
  </r>
  <r>
    <x v="93"/>
    <x v="4"/>
    <x v="0"/>
    <n v="0"/>
    <n v="1"/>
    <x v="1"/>
    <x v="0"/>
    <x v="4"/>
    <x v="0"/>
    <n v="0.16"/>
    <x v="0"/>
    <x v="0"/>
    <n v="5.52"/>
    <n v="0.18251450676982589"/>
    <n v="517"/>
    <s v="0.16"/>
    <s v="Spr"/>
    <s v="ing"/>
    <n v="6"/>
    <s v="94|40664|1"/>
    <m/>
  </r>
  <r>
    <x v="94"/>
    <x v="4"/>
    <x v="0"/>
    <n v="0"/>
    <n v="1"/>
    <x v="2"/>
    <x v="0"/>
    <x v="4"/>
    <x v="0"/>
    <n v="0.16"/>
    <x v="0"/>
    <x v="0"/>
    <n v="5.5200000000000005"/>
    <n v="0.1825581395348837"/>
    <n v="516"/>
    <s v="0.16"/>
    <s v="Spr"/>
    <s v="ing"/>
    <n v="6"/>
    <s v="95|40664|2"/>
    <m/>
  </r>
  <r>
    <x v="95"/>
    <x v="4"/>
    <x v="0"/>
    <n v="0"/>
    <n v="1"/>
    <x v="4"/>
    <x v="0"/>
    <x v="4"/>
    <x v="0"/>
    <n v="0.24"/>
    <x v="0"/>
    <x v="0"/>
    <n v="5.4999999999999991"/>
    <n v="0.1826019417475728"/>
    <n v="515"/>
    <s v="0.24"/>
    <s v="Spr"/>
    <s v="ing"/>
    <n v="6"/>
    <s v="96|40664|4"/>
    <m/>
  </r>
  <r>
    <x v="96"/>
    <x v="4"/>
    <x v="0"/>
    <n v="0"/>
    <n v="1"/>
    <x v="5"/>
    <x v="0"/>
    <x v="4"/>
    <x v="0"/>
    <n v="0.22"/>
    <x v="0"/>
    <x v="0"/>
    <n v="5.3999999999999995"/>
    <n v="0.18249027237354085"/>
    <n v="514"/>
    <s v="0.22"/>
    <s v="Spr"/>
    <s v="ing"/>
    <n v="6"/>
    <s v="97|40664|5"/>
    <m/>
  </r>
  <r>
    <x v="97"/>
    <x v="4"/>
    <x v="0"/>
    <n v="0"/>
    <n v="1"/>
    <x v="6"/>
    <x v="0"/>
    <x v="4"/>
    <x v="0"/>
    <n v="0.2"/>
    <x v="0"/>
    <x v="0"/>
    <n v="5.3400000000000007"/>
    <n v="0.18241715399610137"/>
    <n v="513"/>
    <s v="0.20"/>
    <s v="Spr"/>
    <s v="ing"/>
    <n v="6"/>
    <s v="98|40664|6"/>
    <m/>
  </r>
  <r>
    <x v="98"/>
    <x v="4"/>
    <x v="0"/>
    <n v="0"/>
    <n v="1"/>
    <x v="7"/>
    <x v="0"/>
    <x v="4"/>
    <x v="0"/>
    <n v="0.18"/>
    <x v="0"/>
    <x v="0"/>
    <n v="5.3000000000000007"/>
    <n v="0.18238281250000002"/>
    <n v="512"/>
    <s v="0.18"/>
    <s v="Spr"/>
    <s v="ing"/>
    <n v="6"/>
    <s v="99|40664|7"/>
    <m/>
  </r>
  <r>
    <x v="99"/>
    <x v="4"/>
    <x v="0"/>
    <n v="0"/>
    <n v="1"/>
    <x v="8"/>
    <x v="0"/>
    <x v="4"/>
    <x v="0"/>
    <n v="0.2"/>
    <x v="0"/>
    <x v="0"/>
    <n v="5.3000000000000007"/>
    <n v="0.18238747553816048"/>
    <n v="511"/>
    <s v="0.20"/>
    <s v="Spr"/>
    <s v="ing"/>
    <n v="6"/>
    <s v="100|40664|8"/>
    <m/>
  </r>
  <r>
    <x v="100"/>
    <x v="4"/>
    <x v="0"/>
    <n v="0"/>
    <n v="1"/>
    <x v="9"/>
    <x v="0"/>
    <x v="4"/>
    <x v="0"/>
    <n v="0.22"/>
    <x v="0"/>
    <x v="0"/>
    <n v="5.3000000000000007"/>
    <n v="0.18235294117647055"/>
    <n v="510"/>
    <s v="0.22"/>
    <s v="Spr"/>
    <s v="ing"/>
    <n v="6"/>
    <s v="101|40664|9"/>
    <m/>
  </r>
  <r>
    <x v="101"/>
    <x v="4"/>
    <x v="0"/>
    <n v="0"/>
    <n v="1"/>
    <x v="10"/>
    <x v="0"/>
    <x v="4"/>
    <x v="0"/>
    <n v="0.22"/>
    <x v="0"/>
    <x v="0"/>
    <n v="5.3000000000000007"/>
    <n v="0.18227897838899801"/>
    <n v="509"/>
    <s v="0.22"/>
    <s v="Spr"/>
    <s v="ing"/>
    <n v="6"/>
    <s v="102|40664|10"/>
    <m/>
  </r>
  <r>
    <x v="102"/>
    <x v="4"/>
    <x v="0"/>
    <n v="0"/>
    <n v="1"/>
    <x v="11"/>
    <x v="0"/>
    <x v="4"/>
    <x v="0"/>
    <n v="0.26"/>
    <x v="0"/>
    <x v="0"/>
    <n v="5.3400000000000007"/>
    <n v="0.18220472440944877"/>
    <n v="508"/>
    <s v="0.26"/>
    <s v="Spr"/>
    <s v="ing"/>
    <n v="6"/>
    <s v="103|40664|11"/>
    <m/>
  </r>
  <r>
    <x v="103"/>
    <x v="4"/>
    <x v="0"/>
    <n v="0"/>
    <n v="1"/>
    <x v="12"/>
    <x v="0"/>
    <x v="4"/>
    <x v="0"/>
    <n v="0.26"/>
    <x v="0"/>
    <x v="0"/>
    <n v="5.3400000000000007"/>
    <n v="0.18205128205128199"/>
    <n v="507"/>
    <s v="0.26"/>
    <s v="Spr"/>
    <s v="ing"/>
    <n v="6"/>
    <s v="104|40664|12"/>
    <m/>
  </r>
  <r>
    <x v="104"/>
    <x v="4"/>
    <x v="0"/>
    <n v="0"/>
    <n v="1"/>
    <x v="13"/>
    <x v="0"/>
    <x v="4"/>
    <x v="0"/>
    <n v="0.28000000000000003"/>
    <x v="0"/>
    <x v="0"/>
    <n v="5.3600000000000012"/>
    <n v="0.18189723320158097"/>
    <n v="506"/>
    <s v="0.28"/>
    <s v="Spr"/>
    <s v="ing"/>
    <n v="6"/>
    <s v="105|40664|13"/>
    <m/>
  </r>
  <r>
    <x v="105"/>
    <x v="4"/>
    <x v="0"/>
    <n v="0"/>
    <n v="1"/>
    <x v="14"/>
    <x v="0"/>
    <x v="4"/>
    <x v="0"/>
    <n v="0.3"/>
    <x v="0"/>
    <x v="0"/>
    <n v="5.3600000000000012"/>
    <n v="0.18170297029702967"/>
    <n v="505"/>
    <s v="0.30"/>
    <s v="Spr"/>
    <s v="ing"/>
    <n v="6"/>
    <s v="106|40664|14"/>
    <m/>
  </r>
  <r>
    <x v="106"/>
    <x v="4"/>
    <x v="0"/>
    <n v="0"/>
    <n v="1"/>
    <x v="15"/>
    <x v="0"/>
    <x v="4"/>
    <x v="0"/>
    <n v="0.3"/>
    <x v="0"/>
    <x v="0"/>
    <n v="5.3200000000000021"/>
    <n v="0.18146825396825392"/>
    <n v="504"/>
    <s v="0.30"/>
    <s v="Spr"/>
    <s v="ing"/>
    <n v="6"/>
    <s v="107|40664|15"/>
    <m/>
  </r>
  <r>
    <x v="107"/>
    <x v="4"/>
    <x v="0"/>
    <n v="0"/>
    <n v="1"/>
    <x v="16"/>
    <x v="0"/>
    <x v="4"/>
    <x v="0"/>
    <n v="0.3"/>
    <x v="0"/>
    <x v="0"/>
    <n v="5.2400000000000011"/>
    <n v="0.18123260437375741"/>
    <n v="503"/>
    <s v="0.30"/>
    <s v="Spr"/>
    <s v="ing"/>
    <n v="6"/>
    <s v="108|40664|16"/>
    <m/>
  </r>
  <r>
    <x v="108"/>
    <x v="4"/>
    <x v="0"/>
    <n v="0"/>
    <n v="1"/>
    <x v="17"/>
    <x v="0"/>
    <x v="4"/>
    <x v="0"/>
    <n v="0.24"/>
    <x v="0"/>
    <x v="0"/>
    <n v="5.16"/>
    <n v="0.18099601593625489"/>
    <n v="502"/>
    <s v="0.24"/>
    <s v="Spr"/>
    <s v="ing"/>
    <n v="6"/>
    <s v="109|40664|17"/>
    <m/>
  </r>
  <r>
    <x v="109"/>
    <x v="4"/>
    <x v="0"/>
    <n v="0"/>
    <n v="1"/>
    <x v="18"/>
    <x v="0"/>
    <x v="4"/>
    <x v="0"/>
    <n v="0.24"/>
    <x v="0"/>
    <x v="0"/>
    <n v="5.14"/>
    <n v="0.18087824351297394"/>
    <n v="501"/>
    <s v="0.24"/>
    <s v="Spr"/>
    <s v="ing"/>
    <n v="6"/>
    <s v="110|40664|18"/>
    <m/>
  </r>
  <r>
    <x v="110"/>
    <x v="4"/>
    <x v="0"/>
    <n v="0"/>
    <n v="1"/>
    <x v="19"/>
    <x v="0"/>
    <x v="4"/>
    <x v="0"/>
    <n v="0.24"/>
    <x v="0"/>
    <x v="0"/>
    <n v="5.0999999999999996"/>
    <n v="0.18075999999999989"/>
    <n v="500"/>
    <s v="0.24"/>
    <s v="Spr"/>
    <s v="ing"/>
    <n v="6"/>
    <s v="111|40664|19"/>
    <m/>
  </r>
  <r>
    <x v="111"/>
    <x v="4"/>
    <x v="0"/>
    <n v="0"/>
    <n v="1"/>
    <x v="20"/>
    <x v="0"/>
    <x v="4"/>
    <x v="0"/>
    <n v="0.22"/>
    <x v="0"/>
    <x v="0"/>
    <n v="5.0799999999999992"/>
    <n v="0.18064128256513021"/>
    <n v="499"/>
    <s v="0.22"/>
    <s v="Spr"/>
    <s v="ing"/>
    <n v="6"/>
    <s v="112|40664|20"/>
    <m/>
  </r>
  <r>
    <x v="112"/>
    <x v="4"/>
    <x v="0"/>
    <n v="0"/>
    <n v="1"/>
    <x v="21"/>
    <x v="0"/>
    <x v="4"/>
    <x v="0"/>
    <n v="0.2"/>
    <x v="0"/>
    <x v="0"/>
    <n v="5.0799999999999992"/>
    <n v="0.18056224899598386"/>
    <n v="498"/>
    <s v="0.20"/>
    <s v="Spr"/>
    <s v="ing"/>
    <n v="6"/>
    <s v="113|40664|21"/>
    <m/>
  </r>
  <r>
    <x v="113"/>
    <x v="4"/>
    <x v="0"/>
    <n v="0"/>
    <n v="1"/>
    <x v="22"/>
    <x v="0"/>
    <x v="4"/>
    <x v="0"/>
    <n v="0.18"/>
    <x v="0"/>
    <x v="0"/>
    <n v="5.08"/>
    <n v="0.18052313883299792"/>
    <n v="497"/>
    <s v="0.18"/>
    <s v="Spr"/>
    <s v="ing"/>
    <n v="6"/>
    <s v="114|40664|22"/>
    <m/>
  </r>
  <r>
    <x v="114"/>
    <x v="4"/>
    <x v="0"/>
    <n v="0"/>
    <n v="1"/>
    <x v="23"/>
    <x v="0"/>
    <x v="4"/>
    <x v="0"/>
    <n v="0.2"/>
    <x v="0"/>
    <x v="0"/>
    <n v="5.1000000000000005"/>
    <n v="0.18052419354838706"/>
    <n v="496"/>
    <s v="0.20"/>
    <s v="Spr"/>
    <s v="ing"/>
    <n v="6"/>
    <s v="115|40664|23"/>
    <m/>
  </r>
  <r>
    <x v="115"/>
    <x v="5"/>
    <x v="0"/>
    <n v="0"/>
    <n v="1"/>
    <x v="0"/>
    <x v="0"/>
    <x v="5"/>
    <x v="0"/>
    <n v="0.18"/>
    <x v="0"/>
    <x v="0"/>
    <n v="5.1000000000000005"/>
    <n v="0.18048484848484844"/>
    <n v="495"/>
    <s v="0.18"/>
    <s v="Spr"/>
    <s v="ing"/>
    <n v="6"/>
    <s v="116|40695|0"/>
    <m/>
  </r>
  <r>
    <x v="116"/>
    <x v="5"/>
    <x v="0"/>
    <n v="0"/>
    <n v="1"/>
    <x v="1"/>
    <x v="0"/>
    <x v="5"/>
    <x v="0"/>
    <n v="0.16"/>
    <x v="0"/>
    <x v="0"/>
    <n v="5.1200000000000019"/>
    <n v="0.18048582995951412"/>
    <n v="494"/>
    <s v="0.16"/>
    <s v="Spr"/>
    <s v="ing"/>
    <n v="6"/>
    <s v="117|40695|1"/>
    <m/>
  </r>
  <r>
    <x v="117"/>
    <x v="5"/>
    <x v="0"/>
    <n v="0"/>
    <n v="1"/>
    <x v="2"/>
    <x v="0"/>
    <x v="5"/>
    <x v="0"/>
    <n v="0.16"/>
    <x v="0"/>
    <x v="0"/>
    <n v="5.1600000000000019"/>
    <n v="0.18052738336713994"/>
    <n v="493"/>
    <s v="0.16"/>
    <s v="Spr"/>
    <s v="ing"/>
    <n v="6"/>
    <s v="118|40695|2"/>
    <m/>
  </r>
  <r>
    <x v="118"/>
    <x v="5"/>
    <x v="0"/>
    <n v="0"/>
    <n v="1"/>
    <x v="4"/>
    <x v="0"/>
    <x v="5"/>
    <x v="1"/>
    <n v="0.16"/>
    <x v="0"/>
    <x v="0"/>
    <n v="5.2200000000000015"/>
    <n v="0.18056910569105689"/>
    <n v="492"/>
    <s v="0.16"/>
    <s v="Spr"/>
    <s v="ing"/>
    <n v="6"/>
    <s v="119|40695|4"/>
    <m/>
  </r>
  <r>
    <x v="119"/>
    <x v="5"/>
    <x v="0"/>
    <n v="0"/>
    <n v="1"/>
    <x v="5"/>
    <x v="0"/>
    <x v="5"/>
    <x v="1"/>
    <n v="0.14000000000000001"/>
    <x v="0"/>
    <x v="0"/>
    <n v="5.2600000000000016"/>
    <n v="0.1806109979633401"/>
    <n v="491"/>
    <s v="0.14"/>
    <s v="Spr"/>
    <s v="ing"/>
    <n v="6"/>
    <s v="120|40695|5"/>
    <m/>
  </r>
  <r>
    <x v="120"/>
    <x v="5"/>
    <x v="0"/>
    <n v="0"/>
    <n v="1"/>
    <x v="6"/>
    <x v="0"/>
    <x v="5"/>
    <x v="1"/>
    <n v="0.14000000000000001"/>
    <x v="0"/>
    <x v="0"/>
    <n v="5.3200000000000021"/>
    <n v="0.18069387755102037"/>
    <n v="490"/>
    <s v="0.14"/>
    <s v="Spr"/>
    <s v="ing"/>
    <n v="6"/>
    <s v="121|40695|6"/>
    <m/>
  </r>
  <r>
    <x v="121"/>
    <x v="5"/>
    <x v="0"/>
    <n v="0"/>
    <n v="1"/>
    <x v="7"/>
    <x v="0"/>
    <x v="5"/>
    <x v="1"/>
    <n v="0.16"/>
    <x v="0"/>
    <x v="0"/>
    <n v="5.3800000000000017"/>
    <n v="0.18077709611451939"/>
    <n v="489"/>
    <s v="0.16"/>
    <s v="Spr"/>
    <s v="ing"/>
    <n v="6"/>
    <s v="122|40695|7"/>
    <m/>
  </r>
  <r>
    <x v="122"/>
    <x v="5"/>
    <x v="0"/>
    <n v="0"/>
    <n v="1"/>
    <x v="8"/>
    <x v="0"/>
    <x v="5"/>
    <x v="0"/>
    <n v="0.16"/>
    <x v="0"/>
    <x v="0"/>
    <n v="5.4200000000000026"/>
    <n v="0.18081967213114747"/>
    <n v="488"/>
    <s v="0.16"/>
    <s v="Spr"/>
    <s v="ing"/>
    <n v="6"/>
    <s v="123|40695|8"/>
    <m/>
  </r>
  <r>
    <x v="123"/>
    <x v="5"/>
    <x v="0"/>
    <n v="0"/>
    <n v="1"/>
    <x v="9"/>
    <x v="0"/>
    <x v="5"/>
    <x v="1"/>
    <n v="0.18"/>
    <x v="0"/>
    <x v="0"/>
    <n v="5.4800000000000022"/>
    <n v="0.18086242299794655"/>
    <n v="487"/>
    <s v="0.18"/>
    <s v="Spr"/>
    <s v="ing"/>
    <n v="6"/>
    <s v="124|40695|9"/>
    <m/>
  </r>
  <r>
    <x v="124"/>
    <x v="5"/>
    <x v="0"/>
    <n v="0"/>
    <n v="1"/>
    <x v="10"/>
    <x v="0"/>
    <x v="5"/>
    <x v="0"/>
    <n v="0.2"/>
    <x v="0"/>
    <x v="0"/>
    <n v="5.5000000000000018"/>
    <n v="0.18086419753086408"/>
    <n v="486"/>
    <s v="0.20"/>
    <s v="Spr"/>
    <s v="ing"/>
    <n v="6"/>
    <s v="125|40695|10"/>
    <m/>
  </r>
  <r>
    <x v="125"/>
    <x v="5"/>
    <x v="0"/>
    <n v="0"/>
    <n v="1"/>
    <x v="11"/>
    <x v="0"/>
    <x v="5"/>
    <x v="0"/>
    <n v="0.22"/>
    <x v="0"/>
    <x v="0"/>
    <n v="5.5000000000000027"/>
    <n v="0.18082474226804113"/>
    <n v="485"/>
    <s v="0.22"/>
    <s v="Spr"/>
    <s v="ing"/>
    <n v="6"/>
    <s v="126|40695|11"/>
    <m/>
  </r>
  <r>
    <x v="126"/>
    <x v="5"/>
    <x v="0"/>
    <n v="0"/>
    <n v="1"/>
    <x v="12"/>
    <x v="0"/>
    <x v="5"/>
    <x v="0"/>
    <n v="0.26"/>
    <x v="0"/>
    <x v="0"/>
    <n v="5.4800000000000022"/>
    <n v="0.18074380165289247"/>
    <n v="484"/>
    <s v="0.26"/>
    <s v="Spr"/>
    <s v="ing"/>
    <n v="6"/>
    <s v="127|40695|12"/>
    <m/>
  </r>
  <r>
    <x v="127"/>
    <x v="5"/>
    <x v="0"/>
    <n v="0"/>
    <n v="1"/>
    <x v="13"/>
    <x v="0"/>
    <x v="5"/>
    <x v="0"/>
    <n v="0.26"/>
    <x v="0"/>
    <x v="0"/>
    <n v="5.4200000000000026"/>
    <n v="0.18057971014492746"/>
    <n v="483"/>
    <s v="0.26"/>
    <s v="Spr"/>
    <s v="ing"/>
    <n v="6"/>
    <s v="128|40695|13"/>
    <m/>
  </r>
  <r>
    <x v="128"/>
    <x v="5"/>
    <x v="0"/>
    <n v="0"/>
    <n v="1"/>
    <x v="14"/>
    <x v="0"/>
    <x v="5"/>
    <x v="0"/>
    <n v="0.28000000000000003"/>
    <x v="0"/>
    <x v="0"/>
    <n v="5.3600000000000021"/>
    <n v="0.18041493775933604"/>
    <n v="482"/>
    <s v="0.28"/>
    <s v="Spr"/>
    <s v="ing"/>
    <n v="6"/>
    <s v="129|40695|14"/>
    <m/>
  </r>
  <r>
    <x v="129"/>
    <x v="5"/>
    <x v="0"/>
    <n v="0"/>
    <n v="1"/>
    <x v="15"/>
    <x v="0"/>
    <x v="5"/>
    <x v="0"/>
    <n v="0.28000000000000003"/>
    <x v="0"/>
    <x v="0"/>
    <n v="5.2800000000000029"/>
    <n v="0.18020790020790017"/>
    <n v="481"/>
    <s v="0.28"/>
    <s v="Spr"/>
    <s v="ing"/>
    <n v="6"/>
    <s v="130|40695|15"/>
    <m/>
  </r>
  <r>
    <x v="130"/>
    <x v="5"/>
    <x v="0"/>
    <n v="0"/>
    <n v="1"/>
    <x v="16"/>
    <x v="0"/>
    <x v="5"/>
    <x v="0"/>
    <n v="0.26"/>
    <x v="0"/>
    <x v="0"/>
    <n v="5.200000000000002"/>
    <n v="0.17999999999999997"/>
    <n v="480"/>
    <s v="0.26"/>
    <s v="Spr"/>
    <s v="ing"/>
    <n v="6"/>
    <s v="131|40695|16"/>
    <m/>
  </r>
  <r>
    <x v="131"/>
    <x v="5"/>
    <x v="0"/>
    <n v="0"/>
    <n v="1"/>
    <x v="17"/>
    <x v="0"/>
    <x v="5"/>
    <x v="0"/>
    <n v="0.22"/>
    <x v="0"/>
    <x v="0"/>
    <n v="5.1400000000000023"/>
    <n v="0.17983298538622131"/>
    <n v="479"/>
    <s v="0.22"/>
    <s v="Spr"/>
    <s v="ing"/>
    <n v="6"/>
    <s v="132|40695|17"/>
    <m/>
  </r>
  <r>
    <x v="132"/>
    <x v="5"/>
    <x v="0"/>
    <n v="0"/>
    <n v="1"/>
    <x v="18"/>
    <x v="0"/>
    <x v="5"/>
    <x v="0"/>
    <n v="0.22"/>
    <x v="0"/>
    <x v="0"/>
    <n v="5.0800000000000027"/>
    <n v="0.1797489539748954"/>
    <n v="478"/>
    <s v="0.22"/>
    <s v="Spr"/>
    <s v="ing"/>
    <n v="6"/>
    <s v="133|40695|18"/>
    <m/>
  </r>
  <r>
    <x v="133"/>
    <x v="5"/>
    <x v="0"/>
    <n v="0"/>
    <n v="1"/>
    <x v="19"/>
    <x v="0"/>
    <x v="5"/>
    <x v="0"/>
    <n v="0.22"/>
    <x v="0"/>
    <x v="0"/>
    <n v="5.0400000000000018"/>
    <n v="0.17966457023060797"/>
    <n v="477"/>
    <s v="0.22"/>
    <s v="Spr"/>
    <s v="ing"/>
    <n v="6"/>
    <s v="134|40695|19"/>
    <m/>
  </r>
  <r>
    <x v="134"/>
    <x v="5"/>
    <x v="0"/>
    <n v="0"/>
    <n v="1"/>
    <x v="20"/>
    <x v="0"/>
    <x v="5"/>
    <x v="0"/>
    <n v="0.2"/>
    <x v="0"/>
    <x v="0"/>
    <n v="5.0000000000000018"/>
    <n v="0.17957983193277316"/>
    <n v="476"/>
    <s v="0.20"/>
    <s v="Spr"/>
    <s v="ing"/>
    <n v="6"/>
    <s v="135|40695|20"/>
    <m/>
  </r>
  <r>
    <x v="135"/>
    <x v="5"/>
    <x v="0"/>
    <n v="0"/>
    <n v="1"/>
    <x v="21"/>
    <x v="0"/>
    <x v="5"/>
    <x v="1"/>
    <n v="0.22"/>
    <x v="0"/>
    <x v="0"/>
    <n v="4.9800000000000013"/>
    <n v="0.17953684210526319"/>
    <n v="475"/>
    <s v="0.22"/>
    <s v="Spr"/>
    <s v="ing"/>
    <n v="6"/>
    <s v="136|40695|21"/>
    <m/>
  </r>
  <r>
    <x v="136"/>
    <x v="5"/>
    <x v="0"/>
    <n v="0"/>
    <n v="1"/>
    <x v="22"/>
    <x v="0"/>
    <x v="5"/>
    <x v="1"/>
    <n v="0.22"/>
    <x v="0"/>
    <x v="0"/>
    <n v="4.9400000000000004"/>
    <n v="0.17945147679324899"/>
    <n v="474"/>
    <s v="0.22"/>
    <s v="Spr"/>
    <s v="ing"/>
    <n v="6"/>
    <s v="137|40695|22"/>
    <m/>
  </r>
  <r>
    <x v="137"/>
    <x v="5"/>
    <x v="0"/>
    <n v="0"/>
    <n v="1"/>
    <x v="23"/>
    <x v="0"/>
    <x v="5"/>
    <x v="1"/>
    <n v="0.2"/>
    <x v="0"/>
    <x v="0"/>
    <n v="4.9000000000000004"/>
    <n v="0.17936575052854126"/>
    <n v="473"/>
    <s v="0.20"/>
    <s v="Spr"/>
    <s v="ing"/>
    <n v="6"/>
    <s v="138|40695|23"/>
    <m/>
  </r>
  <r>
    <x v="138"/>
    <x v="6"/>
    <x v="0"/>
    <n v="0"/>
    <n v="1"/>
    <x v="0"/>
    <x v="0"/>
    <x v="6"/>
    <x v="1"/>
    <n v="0.2"/>
    <x v="0"/>
    <x v="0"/>
    <n v="4.8800000000000008"/>
    <n v="0.17932203389830514"/>
    <n v="472"/>
    <s v="0.20"/>
    <s v="Spr"/>
    <s v="ing"/>
    <n v="6"/>
    <s v="139|40725|0"/>
    <m/>
  </r>
  <r>
    <x v="139"/>
    <x v="6"/>
    <x v="0"/>
    <n v="0"/>
    <n v="1"/>
    <x v="1"/>
    <x v="0"/>
    <x v="6"/>
    <x v="1"/>
    <n v="0.2"/>
    <x v="0"/>
    <x v="0"/>
    <n v="4.8600000000000003"/>
    <n v="0.17927813163481959"/>
    <n v="471"/>
    <s v="0.20"/>
    <s v="Spr"/>
    <s v="ing"/>
    <n v="6"/>
    <s v="140|40725|1"/>
    <m/>
  </r>
  <r>
    <x v="140"/>
    <x v="6"/>
    <x v="0"/>
    <n v="0"/>
    <n v="1"/>
    <x v="2"/>
    <x v="0"/>
    <x v="6"/>
    <x v="1"/>
    <n v="0.2"/>
    <x v="0"/>
    <x v="0"/>
    <n v="4.8400000000000007"/>
    <n v="0.17923404255319153"/>
    <n v="470"/>
    <s v="0.20"/>
    <s v="Spr"/>
    <s v="ing"/>
    <n v="6"/>
    <s v="141|40725|2"/>
    <m/>
  </r>
  <r>
    <x v="141"/>
    <x v="6"/>
    <x v="0"/>
    <n v="0"/>
    <n v="1"/>
    <x v="4"/>
    <x v="0"/>
    <x v="6"/>
    <x v="1"/>
    <n v="0.2"/>
    <x v="0"/>
    <x v="0"/>
    <n v="4.82"/>
    <n v="0.17918976545842222"/>
    <n v="469"/>
    <s v="0.20"/>
    <s v="Spr"/>
    <s v="ing"/>
    <n v="6"/>
    <s v="142|40725|4"/>
    <m/>
  </r>
  <r>
    <x v="142"/>
    <x v="6"/>
    <x v="0"/>
    <n v="0"/>
    <n v="1"/>
    <x v="5"/>
    <x v="0"/>
    <x v="6"/>
    <x v="2"/>
    <n v="0.22"/>
    <x v="0"/>
    <x v="0"/>
    <n v="4.7800000000000011"/>
    <n v="0.17914529914529917"/>
    <n v="468"/>
    <s v="0.22"/>
    <s v="Spr"/>
    <s v="ing"/>
    <n v="6"/>
    <s v="143|40725|5"/>
    <m/>
  </r>
  <r>
    <x v="143"/>
    <x v="6"/>
    <x v="0"/>
    <n v="0"/>
    <n v="1"/>
    <x v="6"/>
    <x v="0"/>
    <x v="6"/>
    <x v="1"/>
    <n v="0.2"/>
    <x v="0"/>
    <x v="0"/>
    <n v="4.7200000000000015"/>
    <n v="0.17905781584582445"/>
    <n v="467"/>
    <s v="0.20"/>
    <s v="Spr"/>
    <s v="ing"/>
    <n v="6"/>
    <s v="144|40725|6"/>
    <m/>
  </r>
  <r>
    <x v="144"/>
    <x v="6"/>
    <x v="0"/>
    <n v="0"/>
    <n v="1"/>
    <x v="7"/>
    <x v="0"/>
    <x v="6"/>
    <x v="0"/>
    <n v="0.2"/>
    <x v="0"/>
    <x v="0"/>
    <n v="4.6800000000000015"/>
    <n v="0.17901287553648071"/>
    <n v="466"/>
    <s v="0.20"/>
    <s v="Spr"/>
    <s v="ing"/>
    <n v="6"/>
    <s v="145|40725|7"/>
    <m/>
  </r>
  <r>
    <x v="145"/>
    <x v="6"/>
    <x v="0"/>
    <n v="0"/>
    <n v="1"/>
    <x v="8"/>
    <x v="0"/>
    <x v="6"/>
    <x v="0"/>
    <n v="0.2"/>
    <x v="0"/>
    <x v="0"/>
    <n v="4.6400000000000023"/>
    <n v="0.1789677419354839"/>
    <n v="465"/>
    <s v="0.20"/>
    <s v="Spr"/>
    <s v="ing"/>
    <n v="6"/>
    <s v="146|40725|8"/>
    <m/>
  </r>
  <r>
    <x v="146"/>
    <x v="6"/>
    <x v="0"/>
    <n v="0"/>
    <n v="1"/>
    <x v="9"/>
    <x v="0"/>
    <x v="6"/>
    <x v="0"/>
    <n v="0.2"/>
    <x v="0"/>
    <x v="0"/>
    <n v="4.6000000000000023"/>
    <n v="0.17892241379310347"/>
    <n v="464"/>
    <s v="0.20"/>
    <s v="Spr"/>
    <s v="ing"/>
    <n v="6"/>
    <s v="147|40725|9"/>
    <m/>
  </r>
  <r>
    <x v="147"/>
    <x v="6"/>
    <x v="0"/>
    <n v="0"/>
    <n v="1"/>
    <x v="10"/>
    <x v="0"/>
    <x v="6"/>
    <x v="0"/>
    <n v="0.22"/>
    <x v="0"/>
    <x v="0"/>
    <n v="4.580000000000001"/>
    <n v="0.17887688984881212"/>
    <n v="463"/>
    <s v="0.22"/>
    <s v="Spr"/>
    <s v="ing"/>
    <n v="6"/>
    <s v="148|40725|10"/>
    <m/>
  </r>
  <r>
    <x v="148"/>
    <x v="6"/>
    <x v="0"/>
    <n v="0"/>
    <n v="1"/>
    <x v="11"/>
    <x v="0"/>
    <x v="6"/>
    <x v="1"/>
    <n v="0.2"/>
    <x v="0"/>
    <x v="0"/>
    <n v="4.5600000000000014"/>
    <n v="0.17878787878787877"/>
    <n v="462"/>
    <s v="0.20"/>
    <s v="Spr"/>
    <s v="ing"/>
    <n v="6"/>
    <s v="149|40725|11"/>
    <m/>
  </r>
  <r>
    <x v="149"/>
    <x v="6"/>
    <x v="0"/>
    <n v="0"/>
    <n v="1"/>
    <x v="12"/>
    <x v="0"/>
    <x v="6"/>
    <x v="1"/>
    <n v="0.2"/>
    <x v="0"/>
    <x v="0"/>
    <n v="4.5600000000000014"/>
    <n v="0.17874186550976137"/>
    <n v="461"/>
    <s v="0.20"/>
    <s v="Spr"/>
    <s v="ing"/>
    <n v="6"/>
    <s v="150|40725|12"/>
    <m/>
  </r>
  <r>
    <x v="150"/>
    <x v="6"/>
    <x v="0"/>
    <n v="0"/>
    <n v="1"/>
    <x v="13"/>
    <x v="0"/>
    <x v="6"/>
    <x v="1"/>
    <n v="0.2"/>
    <x v="0"/>
    <x v="0"/>
    <n v="4.5600000000000014"/>
    <n v="0.17869565217391306"/>
    <n v="460"/>
    <s v="0.20"/>
    <s v="Spr"/>
    <s v="ing"/>
    <n v="6"/>
    <s v="151|40725|13"/>
    <m/>
  </r>
  <r>
    <x v="151"/>
    <x v="6"/>
    <x v="0"/>
    <n v="0"/>
    <n v="1"/>
    <x v="14"/>
    <x v="0"/>
    <x v="6"/>
    <x v="1"/>
    <n v="0.2"/>
    <x v="0"/>
    <x v="0"/>
    <n v="4.5600000000000014"/>
    <n v="0.1786492374727669"/>
    <n v="459"/>
    <s v="0.20"/>
    <s v="Spr"/>
    <s v="ing"/>
    <n v="6"/>
    <s v="152|40725|14"/>
    <m/>
  </r>
  <r>
    <x v="152"/>
    <x v="6"/>
    <x v="0"/>
    <n v="0"/>
    <n v="1"/>
    <x v="15"/>
    <x v="0"/>
    <x v="6"/>
    <x v="1"/>
    <n v="0.2"/>
    <x v="0"/>
    <x v="0"/>
    <n v="4.5600000000000023"/>
    <n v="0.17860262008733621"/>
    <n v="458"/>
    <s v="0.20"/>
    <s v="Spr"/>
    <s v="ing"/>
    <n v="6"/>
    <s v="153|40725|15"/>
    <m/>
  </r>
  <r>
    <x v="153"/>
    <x v="6"/>
    <x v="0"/>
    <n v="0"/>
    <n v="1"/>
    <x v="16"/>
    <x v="0"/>
    <x v="6"/>
    <x v="1"/>
    <n v="0.2"/>
    <x v="0"/>
    <x v="0"/>
    <n v="4.5400000000000018"/>
    <n v="0.17855579868708968"/>
    <n v="457"/>
    <s v="0.20"/>
    <s v="Spr"/>
    <s v="ing"/>
    <n v="6"/>
    <s v="154|40725|16"/>
    <m/>
  </r>
  <r>
    <x v="154"/>
    <x v="6"/>
    <x v="0"/>
    <n v="0"/>
    <n v="1"/>
    <x v="17"/>
    <x v="0"/>
    <x v="6"/>
    <x v="1"/>
    <n v="0.2"/>
    <x v="0"/>
    <x v="0"/>
    <n v="4.5000000000000009"/>
    <n v="0.17850877192982448"/>
    <n v="456"/>
    <s v="0.20"/>
    <s v="Spr"/>
    <s v="ing"/>
    <n v="6"/>
    <s v="155|40725|17"/>
    <m/>
  </r>
  <r>
    <x v="155"/>
    <x v="6"/>
    <x v="0"/>
    <n v="0"/>
    <n v="1"/>
    <x v="18"/>
    <x v="0"/>
    <x v="6"/>
    <x v="0"/>
    <n v="0.2"/>
    <x v="0"/>
    <x v="0"/>
    <n v="4.4400000000000013"/>
    <n v="0.17846153846153837"/>
    <n v="455"/>
    <s v="0.20"/>
    <s v="Spr"/>
    <s v="ing"/>
    <n v="6"/>
    <s v="156|40725|18"/>
    <m/>
  </r>
  <r>
    <x v="156"/>
    <x v="6"/>
    <x v="0"/>
    <n v="0"/>
    <n v="1"/>
    <x v="19"/>
    <x v="0"/>
    <x v="6"/>
    <x v="0"/>
    <n v="0.16"/>
    <x v="0"/>
    <x v="0"/>
    <n v="4.3800000000000008"/>
    <n v="0.1784140969162995"/>
    <n v="454"/>
    <s v="0.16"/>
    <s v="Spr"/>
    <s v="ing"/>
    <n v="6"/>
    <s v="157|40725|19"/>
    <m/>
  </r>
  <r>
    <x v="157"/>
    <x v="6"/>
    <x v="0"/>
    <n v="0"/>
    <n v="1"/>
    <x v="20"/>
    <x v="0"/>
    <x v="6"/>
    <x v="0"/>
    <n v="0.18"/>
    <x v="0"/>
    <x v="0"/>
    <n v="4.3400000000000007"/>
    <n v="0.17845474613686529"/>
    <n v="453"/>
    <s v="0.18"/>
    <s v="Spr"/>
    <s v="ing"/>
    <n v="6"/>
    <s v="158|40725|20"/>
    <m/>
  </r>
  <r>
    <x v="158"/>
    <x v="6"/>
    <x v="0"/>
    <n v="0"/>
    <n v="1"/>
    <x v="21"/>
    <x v="0"/>
    <x v="6"/>
    <x v="0"/>
    <n v="0.18"/>
    <x v="0"/>
    <x v="0"/>
    <n v="4.2800000000000011"/>
    <n v="0.17845132743362829"/>
    <n v="452"/>
    <s v="0.18"/>
    <s v="Spr"/>
    <s v="ing"/>
    <n v="6"/>
    <s v="159|40725|21"/>
    <m/>
  </r>
  <r>
    <x v="159"/>
    <x v="6"/>
    <x v="0"/>
    <n v="0"/>
    <n v="1"/>
    <x v="22"/>
    <x v="0"/>
    <x v="6"/>
    <x v="1"/>
    <n v="0.18"/>
    <x v="0"/>
    <x v="0"/>
    <n v="4.2200000000000015"/>
    <n v="0.17844789356984472"/>
    <n v="451"/>
    <s v="0.18"/>
    <s v="Spr"/>
    <s v="ing"/>
    <n v="6"/>
    <s v="160|40725|22"/>
    <m/>
  </r>
  <r>
    <x v="160"/>
    <x v="6"/>
    <x v="0"/>
    <n v="0"/>
    <n v="1"/>
    <x v="23"/>
    <x v="0"/>
    <x v="6"/>
    <x v="1"/>
    <n v="0.18"/>
    <x v="0"/>
    <x v="0"/>
    <n v="4.1400000000000006"/>
    <n v="0.17844444444444441"/>
    <n v="450"/>
    <s v="0.18"/>
    <s v="Spr"/>
    <s v="ing"/>
    <n v="6"/>
    <s v="161|40725|23"/>
    <m/>
  </r>
  <r>
    <x v="161"/>
    <x v="7"/>
    <x v="0"/>
    <n v="0"/>
    <n v="1"/>
    <x v="0"/>
    <x v="0"/>
    <x v="0"/>
    <x v="1"/>
    <n v="0.18"/>
    <x v="0"/>
    <x v="0"/>
    <n v="4.0600000000000014"/>
    <n v="0.17844097995545655"/>
    <n v="449"/>
    <s v="0.18"/>
    <s v="Spr"/>
    <s v="ing"/>
    <n v="6"/>
    <s v="162|40756|0"/>
    <m/>
  </r>
  <r>
    <x v="162"/>
    <x v="7"/>
    <x v="0"/>
    <n v="0"/>
    <n v="1"/>
    <x v="1"/>
    <x v="0"/>
    <x v="0"/>
    <x v="1"/>
    <n v="0.18"/>
    <x v="0"/>
    <x v="0"/>
    <n v="3.9800000000000013"/>
    <n v="0.17843749999999997"/>
    <n v="448"/>
    <s v="0.18"/>
    <s v="Spr"/>
    <s v="ing"/>
    <n v="6"/>
    <s v="163|40756|1"/>
    <m/>
  </r>
  <r>
    <x v="163"/>
    <x v="7"/>
    <x v="0"/>
    <n v="0"/>
    <n v="1"/>
    <x v="2"/>
    <x v="0"/>
    <x v="0"/>
    <x v="1"/>
    <n v="0.18"/>
    <x v="0"/>
    <x v="0"/>
    <n v="3.9000000000000012"/>
    <n v="0.17843400447427291"/>
    <n v="447"/>
    <s v="0.18"/>
    <s v="Spr"/>
    <s v="ing"/>
    <n v="6"/>
    <s v="164|40756|2"/>
    <m/>
  </r>
  <r>
    <x v="164"/>
    <x v="7"/>
    <x v="0"/>
    <n v="0"/>
    <n v="1"/>
    <x v="3"/>
    <x v="0"/>
    <x v="0"/>
    <x v="2"/>
    <n v="0.18"/>
    <x v="0"/>
    <x v="0"/>
    <n v="3.8200000000000012"/>
    <n v="0.17843049327354257"/>
    <n v="446"/>
    <s v="0.18"/>
    <s v="Spr"/>
    <s v="ing"/>
    <n v="6"/>
    <s v="165|40756|3"/>
    <m/>
  </r>
  <r>
    <x v="165"/>
    <x v="7"/>
    <x v="0"/>
    <n v="0"/>
    <n v="1"/>
    <x v="4"/>
    <x v="0"/>
    <x v="0"/>
    <x v="2"/>
    <n v="0.18"/>
    <x v="0"/>
    <x v="0"/>
    <n v="3.7200000000000015"/>
    <n v="0.17842696629213481"/>
    <n v="445"/>
    <s v="0.18"/>
    <s v="Spr"/>
    <s v="ing"/>
    <n v="6"/>
    <s v="166|40756|4"/>
    <m/>
  </r>
  <r>
    <x v="166"/>
    <x v="7"/>
    <x v="0"/>
    <n v="0"/>
    <n v="1"/>
    <x v="5"/>
    <x v="0"/>
    <x v="0"/>
    <x v="1"/>
    <n v="0.16"/>
    <x v="0"/>
    <x v="0"/>
    <n v="3.620000000000001"/>
    <n v="0.17842342342342343"/>
    <n v="444"/>
    <s v="0.16"/>
    <s v="Spr"/>
    <s v="ing"/>
    <n v="6"/>
    <s v="167|40756|5"/>
    <m/>
  </r>
  <r>
    <x v="167"/>
    <x v="7"/>
    <x v="0"/>
    <n v="0"/>
    <n v="1"/>
    <x v="6"/>
    <x v="0"/>
    <x v="0"/>
    <x v="1"/>
    <n v="0.16"/>
    <x v="0"/>
    <x v="0"/>
    <n v="3.5600000000000009"/>
    <n v="0.17846501128668171"/>
    <n v="443"/>
    <s v="0.16"/>
    <s v="Spr"/>
    <s v="ing"/>
    <n v="6"/>
    <s v="168|40756|6"/>
    <m/>
  </r>
  <r>
    <x v="168"/>
    <x v="7"/>
    <x v="0"/>
    <n v="0"/>
    <n v="1"/>
    <x v="7"/>
    <x v="0"/>
    <x v="0"/>
    <x v="1"/>
    <n v="0.16"/>
    <x v="0"/>
    <x v="0"/>
    <n v="3.4800000000000009"/>
    <n v="0.17850678733031677"/>
    <n v="442"/>
    <s v="0.16"/>
    <s v="Spr"/>
    <s v="ing"/>
    <n v="6"/>
    <s v="169|40756|7"/>
    <m/>
  </r>
  <r>
    <x v="169"/>
    <x v="7"/>
    <x v="0"/>
    <n v="0"/>
    <n v="1"/>
    <x v="8"/>
    <x v="0"/>
    <x v="0"/>
    <x v="2"/>
    <n v="0.16"/>
    <x v="0"/>
    <x v="0"/>
    <n v="3.4200000000000008"/>
    <n v="0.17854875283446717"/>
    <n v="441"/>
    <s v="0.16"/>
    <s v="Spr"/>
    <s v="ing"/>
    <n v="6"/>
    <s v="170|40756|8"/>
    <m/>
  </r>
  <r>
    <x v="170"/>
    <x v="7"/>
    <x v="0"/>
    <n v="0"/>
    <n v="1"/>
    <x v="9"/>
    <x v="0"/>
    <x v="0"/>
    <x v="2"/>
    <n v="0.16"/>
    <x v="0"/>
    <x v="0"/>
    <n v="3.3800000000000012"/>
    <n v="0.17859090909090916"/>
    <n v="440"/>
    <s v="0.16"/>
    <s v="Spr"/>
    <s v="ing"/>
    <n v="6"/>
    <s v="171|40756|9"/>
    <m/>
  </r>
  <r>
    <x v="171"/>
    <x v="7"/>
    <x v="0"/>
    <n v="0"/>
    <n v="1"/>
    <x v="10"/>
    <x v="0"/>
    <x v="0"/>
    <x v="1"/>
    <n v="0.18"/>
    <x v="0"/>
    <x v="0"/>
    <n v="3.3600000000000012"/>
    <n v="0.17863325740318911"/>
    <n v="439"/>
    <s v="0.18"/>
    <s v="Spr"/>
    <s v="ing"/>
    <n v="6"/>
    <s v="172|40756|10"/>
    <m/>
  </r>
  <r>
    <x v="172"/>
    <x v="7"/>
    <x v="0"/>
    <n v="0"/>
    <n v="1"/>
    <x v="11"/>
    <x v="0"/>
    <x v="0"/>
    <x v="1"/>
    <n v="0.2"/>
    <x v="0"/>
    <x v="0"/>
    <n v="3.3400000000000016"/>
    <n v="0.17863013698630142"/>
    <n v="438"/>
    <s v="0.20"/>
    <s v="Spr"/>
    <s v="ing"/>
    <n v="6"/>
    <s v="173|40756|11"/>
    <m/>
  </r>
  <r>
    <x v="173"/>
    <x v="7"/>
    <x v="0"/>
    <n v="0"/>
    <n v="1"/>
    <x v="12"/>
    <x v="0"/>
    <x v="0"/>
    <x v="1"/>
    <n v="0.2"/>
    <x v="0"/>
    <x v="0"/>
    <n v="3.3200000000000016"/>
    <n v="0.17858123569794057"/>
    <n v="437"/>
    <s v="0.20"/>
    <s v="Spr"/>
    <s v="ing"/>
    <n v="6"/>
    <s v="174|40756|12"/>
    <m/>
  </r>
  <r>
    <x v="174"/>
    <x v="7"/>
    <x v="0"/>
    <n v="0"/>
    <n v="1"/>
    <x v="13"/>
    <x v="0"/>
    <x v="0"/>
    <x v="0"/>
    <n v="0.2"/>
    <x v="0"/>
    <x v="0"/>
    <n v="3.3200000000000021"/>
    <n v="0.17853211009174316"/>
    <n v="436"/>
    <s v="0.20"/>
    <s v="Spr"/>
    <s v="ing"/>
    <n v="6"/>
    <s v="175|40756|13"/>
    <m/>
  </r>
  <r>
    <x v="175"/>
    <x v="7"/>
    <x v="0"/>
    <n v="0"/>
    <n v="1"/>
    <x v="14"/>
    <x v="0"/>
    <x v="0"/>
    <x v="0"/>
    <n v="0.2"/>
    <x v="0"/>
    <x v="0"/>
    <n v="3.3400000000000021"/>
    <n v="0.17848275862068969"/>
    <n v="435"/>
    <s v="0.20"/>
    <s v="Spr"/>
    <s v="ing"/>
    <n v="6"/>
    <s v="176|40756|14"/>
    <m/>
  </r>
  <r>
    <x v="176"/>
    <x v="7"/>
    <x v="0"/>
    <n v="0"/>
    <n v="1"/>
    <x v="15"/>
    <x v="0"/>
    <x v="0"/>
    <x v="0"/>
    <n v="0.2"/>
    <x v="0"/>
    <x v="0"/>
    <n v="3.3600000000000021"/>
    <n v="0.17843317972350234"/>
    <n v="434"/>
    <s v="0.20"/>
    <s v="Spr"/>
    <s v="ing"/>
    <n v="6"/>
    <s v="177|40756|15"/>
    <m/>
  </r>
  <r>
    <x v="177"/>
    <x v="7"/>
    <x v="0"/>
    <n v="0"/>
    <n v="1"/>
    <x v="16"/>
    <x v="0"/>
    <x v="0"/>
    <x v="0"/>
    <n v="0.18"/>
    <x v="0"/>
    <x v="0"/>
    <n v="3.3600000000000021"/>
    <n v="0.17838337182448039"/>
    <n v="433"/>
    <s v="0.18"/>
    <s v="Spr"/>
    <s v="ing"/>
    <n v="6"/>
    <s v="178|40756|16"/>
    <m/>
  </r>
  <r>
    <x v="178"/>
    <x v="7"/>
    <x v="0"/>
    <n v="0"/>
    <n v="1"/>
    <x v="17"/>
    <x v="0"/>
    <x v="0"/>
    <x v="0"/>
    <n v="0.16"/>
    <x v="0"/>
    <x v="0"/>
    <n v="3.3600000000000021"/>
    <n v="0.17837962962962967"/>
    <n v="432"/>
    <s v="0.16"/>
    <s v="Spr"/>
    <s v="ing"/>
    <n v="6"/>
    <s v="179|40756|17"/>
    <m/>
  </r>
  <r>
    <x v="179"/>
    <x v="7"/>
    <x v="0"/>
    <n v="0"/>
    <n v="1"/>
    <x v="18"/>
    <x v="0"/>
    <x v="0"/>
    <x v="0"/>
    <n v="0.14000000000000001"/>
    <x v="0"/>
    <x v="0"/>
    <n v="3.3600000000000021"/>
    <n v="0.17842227378190259"/>
    <n v="431"/>
    <s v="0.14"/>
    <s v="Spr"/>
    <s v="ing"/>
    <n v="6"/>
    <s v="180|40756|18"/>
    <m/>
  </r>
  <r>
    <x v="180"/>
    <x v="7"/>
    <x v="0"/>
    <n v="0"/>
    <n v="1"/>
    <x v="19"/>
    <x v="0"/>
    <x v="0"/>
    <x v="0"/>
    <n v="0.14000000000000001"/>
    <x v="0"/>
    <x v="0"/>
    <n v="3.3800000000000012"/>
    <n v="0.17851162790697678"/>
    <n v="430"/>
    <s v="0.14"/>
    <s v="Spr"/>
    <s v="ing"/>
    <n v="6"/>
    <s v="181|40756|19"/>
    <m/>
  </r>
  <r>
    <x v="181"/>
    <x v="7"/>
    <x v="0"/>
    <n v="0"/>
    <n v="1"/>
    <x v="20"/>
    <x v="0"/>
    <x v="0"/>
    <x v="0"/>
    <n v="0.12"/>
    <x v="0"/>
    <x v="0"/>
    <n v="3.3800000000000012"/>
    <n v="0.17860139860139865"/>
    <n v="429"/>
    <s v="0.12"/>
    <s v="Spr"/>
    <s v="ing"/>
    <n v="6"/>
    <s v="182|40756|20"/>
    <m/>
  </r>
  <r>
    <x v="182"/>
    <x v="7"/>
    <x v="0"/>
    <n v="0"/>
    <n v="1"/>
    <x v="21"/>
    <x v="0"/>
    <x v="0"/>
    <x v="0"/>
    <n v="0.12"/>
    <x v="0"/>
    <x v="0"/>
    <n v="3.4000000000000008"/>
    <n v="0.17873831775700938"/>
    <n v="428"/>
    <s v="0.12"/>
    <s v="Spr"/>
    <s v="ing"/>
    <n v="6"/>
    <s v="183|40756|21"/>
    <m/>
  </r>
  <r>
    <x v="183"/>
    <x v="7"/>
    <x v="0"/>
    <n v="0"/>
    <n v="1"/>
    <x v="22"/>
    <x v="0"/>
    <x v="0"/>
    <x v="0"/>
    <n v="0.12"/>
    <x v="0"/>
    <x v="0"/>
    <n v="3.4200000000000008"/>
    <n v="0.17887587822014053"/>
    <n v="427"/>
    <s v="0.12"/>
    <s v="Spr"/>
    <s v="ing"/>
    <n v="6"/>
    <s v="184|40756|22"/>
    <m/>
  </r>
  <r>
    <x v="184"/>
    <x v="7"/>
    <x v="0"/>
    <n v="0"/>
    <n v="1"/>
    <x v="23"/>
    <x v="0"/>
    <x v="0"/>
    <x v="0"/>
    <n v="0.1"/>
    <x v="0"/>
    <x v="0"/>
    <n v="3.4200000000000008"/>
    <n v="0.17901408450704226"/>
    <n v="426"/>
    <s v="0.10"/>
    <s v="Spr"/>
    <s v="ing"/>
    <n v="6"/>
    <s v="185|40756|23"/>
    <m/>
  </r>
  <r>
    <x v="185"/>
    <x v="8"/>
    <x v="0"/>
    <n v="0"/>
    <n v="1"/>
    <x v="0"/>
    <x v="0"/>
    <x v="1"/>
    <x v="0"/>
    <n v="0.1"/>
    <x v="0"/>
    <x v="0"/>
    <n v="3.4400000000000013"/>
    <n v="0.17920000000000005"/>
    <n v="425"/>
    <s v="0.10"/>
    <s v="Spr"/>
    <s v="ing"/>
    <n v="6"/>
    <s v="186|40787|0"/>
    <m/>
  </r>
  <r>
    <x v="186"/>
    <x v="8"/>
    <x v="0"/>
    <n v="0"/>
    <n v="1"/>
    <x v="1"/>
    <x v="0"/>
    <x v="1"/>
    <x v="0"/>
    <n v="0.1"/>
    <x v="0"/>
    <x v="0"/>
    <n v="3.4600000000000009"/>
    <n v="0.17938679245283023"/>
    <n v="424"/>
    <s v="0.10"/>
    <s v="Spr"/>
    <s v="ing"/>
    <n v="6"/>
    <s v="187|40787|1"/>
    <m/>
  </r>
  <r>
    <x v="187"/>
    <x v="8"/>
    <x v="0"/>
    <n v="0"/>
    <n v="1"/>
    <x v="2"/>
    <x v="0"/>
    <x v="1"/>
    <x v="0"/>
    <n v="0.1"/>
    <x v="0"/>
    <x v="0"/>
    <n v="3.4800000000000013"/>
    <n v="0.17957446808510644"/>
    <n v="423"/>
    <s v="0.10"/>
    <s v="Spr"/>
    <s v="ing"/>
    <n v="6"/>
    <s v="188|40787|2"/>
    <m/>
  </r>
  <r>
    <x v="188"/>
    <x v="8"/>
    <x v="0"/>
    <n v="0"/>
    <n v="1"/>
    <x v="3"/>
    <x v="0"/>
    <x v="1"/>
    <x v="0"/>
    <n v="0.1"/>
    <x v="0"/>
    <x v="0"/>
    <n v="3.5000000000000013"/>
    <n v="0.17976303317535547"/>
    <n v="422"/>
    <s v="0.10"/>
    <s v="Spr"/>
    <s v="ing"/>
    <n v="6"/>
    <s v="189|40787|3"/>
    <m/>
  </r>
  <r>
    <x v="189"/>
    <x v="8"/>
    <x v="0"/>
    <n v="0"/>
    <n v="1"/>
    <x v="4"/>
    <x v="0"/>
    <x v="1"/>
    <x v="0"/>
    <n v="0.08"/>
    <x v="0"/>
    <x v="0"/>
    <n v="3.5000000000000013"/>
    <n v="0.17995249406175776"/>
    <n v="421"/>
    <s v="0.08"/>
    <s v="Spr"/>
    <s v="ing"/>
    <n v="6"/>
    <s v="190|40787|4"/>
    <m/>
  </r>
  <r>
    <x v="190"/>
    <x v="8"/>
    <x v="0"/>
    <n v="0"/>
    <n v="1"/>
    <x v="5"/>
    <x v="0"/>
    <x v="1"/>
    <x v="0"/>
    <n v="0.08"/>
    <x v="0"/>
    <x v="0"/>
    <n v="3.5200000000000009"/>
    <n v="0.18019047619047621"/>
    <n v="420"/>
    <s v="0.08"/>
    <s v="Spr"/>
    <s v="ing"/>
    <n v="6"/>
    <s v="191|40787|5"/>
    <m/>
  </r>
  <r>
    <x v="191"/>
    <x v="8"/>
    <x v="0"/>
    <n v="0"/>
    <n v="1"/>
    <x v="6"/>
    <x v="0"/>
    <x v="1"/>
    <x v="0"/>
    <n v="0.1"/>
    <x v="0"/>
    <x v="0"/>
    <n v="3.5600000000000014"/>
    <n v="0.18042959427207639"/>
    <n v="419"/>
    <s v="0.10"/>
    <s v="Spr"/>
    <s v="ing"/>
    <n v="6"/>
    <s v="192|40787|6"/>
    <m/>
  </r>
  <r>
    <x v="192"/>
    <x v="8"/>
    <x v="0"/>
    <n v="0"/>
    <n v="1"/>
    <x v="7"/>
    <x v="0"/>
    <x v="1"/>
    <x v="0"/>
    <n v="0.08"/>
    <x v="0"/>
    <x v="0"/>
    <n v="3.580000000000001"/>
    <n v="0.18062200956937804"/>
    <n v="418"/>
    <s v="0.08"/>
    <s v="Spr"/>
    <s v="ing"/>
    <n v="6"/>
    <s v="193|40787|7"/>
    <m/>
  </r>
  <r>
    <x v="193"/>
    <x v="8"/>
    <x v="0"/>
    <n v="0"/>
    <n v="1"/>
    <x v="8"/>
    <x v="0"/>
    <x v="1"/>
    <x v="0"/>
    <n v="0.1"/>
    <x v="0"/>
    <x v="0"/>
    <n v="3.620000000000001"/>
    <n v="0.18086330935251801"/>
    <n v="417"/>
    <s v="0.10"/>
    <s v="Spr"/>
    <s v="ing"/>
    <n v="6"/>
    <s v="194|40787|8"/>
    <m/>
  </r>
  <r>
    <x v="194"/>
    <x v="8"/>
    <x v="0"/>
    <n v="0"/>
    <n v="1"/>
    <x v="9"/>
    <x v="0"/>
    <x v="1"/>
    <x v="0"/>
    <n v="0.12"/>
    <x v="0"/>
    <x v="0"/>
    <n v="3.660000000000001"/>
    <n v="0.18105769230769236"/>
    <n v="416"/>
    <s v="0.12"/>
    <s v="Spr"/>
    <s v="ing"/>
    <n v="6"/>
    <s v="195|40787|9"/>
    <m/>
  </r>
  <r>
    <x v="195"/>
    <x v="8"/>
    <x v="0"/>
    <n v="0"/>
    <n v="1"/>
    <x v="10"/>
    <x v="0"/>
    <x v="1"/>
    <x v="0"/>
    <n v="0.14000000000000001"/>
    <x v="0"/>
    <x v="0"/>
    <n v="3.6800000000000015"/>
    <n v="0.18120481927710846"/>
    <n v="415"/>
    <s v="0.14"/>
    <s v="Spr"/>
    <s v="ing"/>
    <n v="6"/>
    <s v="196|40787|10"/>
    <m/>
  </r>
  <r>
    <x v="196"/>
    <x v="8"/>
    <x v="0"/>
    <n v="0"/>
    <n v="1"/>
    <x v="11"/>
    <x v="0"/>
    <x v="1"/>
    <x v="0"/>
    <n v="0.16"/>
    <x v="0"/>
    <x v="0"/>
    <n v="3.7000000000000015"/>
    <n v="0.18130434782608701"/>
    <n v="414"/>
    <s v="0.16"/>
    <s v="Spr"/>
    <s v="ing"/>
    <n v="6"/>
    <s v="197|40787|11"/>
    <m/>
  </r>
  <r>
    <x v="197"/>
    <x v="8"/>
    <x v="0"/>
    <n v="0"/>
    <n v="1"/>
    <x v="12"/>
    <x v="0"/>
    <x v="1"/>
    <x v="0"/>
    <n v="0.18"/>
    <x v="0"/>
    <x v="0"/>
    <n v="3.7400000000000015"/>
    <n v="0.18135593220338989"/>
    <n v="413"/>
    <s v="0.18"/>
    <s v="Spr"/>
    <s v="ing"/>
    <n v="6"/>
    <s v="198|40787|12"/>
    <m/>
  </r>
  <r>
    <x v="198"/>
    <x v="8"/>
    <x v="0"/>
    <n v="0"/>
    <n v="1"/>
    <x v="13"/>
    <x v="0"/>
    <x v="1"/>
    <x v="0"/>
    <n v="0.2"/>
    <x v="0"/>
    <x v="0"/>
    <n v="3.760000000000002"/>
    <n v="0.1813592233009709"/>
    <n v="412"/>
    <s v="0.20"/>
    <s v="Spr"/>
    <s v="ing"/>
    <n v="6"/>
    <s v="199|40787|13"/>
    <m/>
  </r>
  <r>
    <x v="199"/>
    <x v="8"/>
    <x v="0"/>
    <n v="0"/>
    <n v="1"/>
    <x v="14"/>
    <x v="0"/>
    <x v="1"/>
    <x v="0"/>
    <n v="0.22"/>
    <x v="0"/>
    <x v="0"/>
    <n v="3.7600000000000025"/>
    <n v="0.18131386861313872"/>
    <n v="411"/>
    <s v="0.22"/>
    <s v="Spr"/>
    <s v="ing"/>
    <n v="6"/>
    <s v="200|40787|14"/>
    <m/>
  </r>
  <r>
    <x v="200"/>
    <x v="8"/>
    <x v="0"/>
    <n v="0"/>
    <n v="1"/>
    <x v="15"/>
    <x v="0"/>
    <x v="1"/>
    <x v="0"/>
    <n v="0.22"/>
    <x v="0"/>
    <x v="0"/>
    <n v="3.7400000000000024"/>
    <n v="0.18121951219512197"/>
    <n v="410"/>
    <s v="0.22"/>
    <s v="Spr"/>
    <s v="ing"/>
    <n v="6"/>
    <s v="201|40787|15"/>
    <m/>
  </r>
  <r>
    <x v="201"/>
    <x v="8"/>
    <x v="0"/>
    <n v="0"/>
    <n v="1"/>
    <x v="16"/>
    <x v="0"/>
    <x v="1"/>
    <x v="0"/>
    <n v="0.2"/>
    <x v="0"/>
    <x v="0"/>
    <n v="3.7200000000000024"/>
    <n v="0.18112469437652814"/>
    <n v="409"/>
    <s v="0.20"/>
    <s v="Spr"/>
    <s v="ing"/>
    <n v="6"/>
    <s v="202|40787|16"/>
    <m/>
  </r>
  <r>
    <x v="202"/>
    <x v="8"/>
    <x v="0"/>
    <n v="0"/>
    <n v="1"/>
    <x v="17"/>
    <x v="0"/>
    <x v="1"/>
    <x v="0"/>
    <n v="0.18"/>
    <x v="0"/>
    <x v="0"/>
    <n v="3.7200000000000024"/>
    <n v="0.18107843137254903"/>
    <n v="408"/>
    <s v="0.18"/>
    <s v="Spr"/>
    <s v="ing"/>
    <n v="6"/>
    <s v="203|40787|17"/>
    <m/>
  </r>
  <r>
    <x v="203"/>
    <x v="8"/>
    <x v="0"/>
    <n v="0"/>
    <n v="1"/>
    <x v="18"/>
    <x v="0"/>
    <x v="1"/>
    <x v="0"/>
    <n v="0.16"/>
    <x v="0"/>
    <x v="0"/>
    <n v="3.7400000000000024"/>
    <n v="0.18108108108108112"/>
    <n v="407"/>
    <s v="0.16"/>
    <s v="Spr"/>
    <s v="ing"/>
    <n v="6"/>
    <s v="204|40787|18"/>
    <m/>
  </r>
  <r>
    <x v="204"/>
    <x v="8"/>
    <x v="0"/>
    <n v="0"/>
    <n v="1"/>
    <x v="19"/>
    <x v="0"/>
    <x v="1"/>
    <x v="0"/>
    <n v="0.16"/>
    <x v="0"/>
    <x v="0"/>
    <n v="3.7400000000000024"/>
    <n v="0.18113300492610843"/>
    <n v="406"/>
    <s v="0.16"/>
    <s v="Spr"/>
    <s v="ing"/>
    <n v="6"/>
    <s v="205|40787|19"/>
    <m/>
  </r>
  <r>
    <x v="205"/>
    <x v="8"/>
    <x v="0"/>
    <n v="0"/>
    <n v="1"/>
    <x v="20"/>
    <x v="0"/>
    <x v="1"/>
    <x v="0"/>
    <n v="0.14000000000000001"/>
    <x v="0"/>
    <x v="0"/>
    <n v="3.7400000000000024"/>
    <n v="0.1811851851851852"/>
    <n v="405"/>
    <s v="0.14"/>
    <s v="Spr"/>
    <s v="ing"/>
    <n v="6"/>
    <s v="206|40787|20"/>
    <m/>
  </r>
  <r>
    <x v="206"/>
    <x v="8"/>
    <x v="0"/>
    <n v="0"/>
    <n v="1"/>
    <x v="21"/>
    <x v="0"/>
    <x v="1"/>
    <x v="0"/>
    <n v="0.14000000000000001"/>
    <x v="0"/>
    <x v="0"/>
    <n v="3.740000000000002"/>
    <n v="0.18128712871287134"/>
    <n v="404"/>
    <s v="0.14"/>
    <s v="Spr"/>
    <s v="ing"/>
    <n v="6"/>
    <s v="207|40787|21"/>
    <m/>
  </r>
  <r>
    <x v="207"/>
    <x v="8"/>
    <x v="0"/>
    <n v="0"/>
    <n v="1"/>
    <x v="22"/>
    <x v="0"/>
    <x v="1"/>
    <x v="0"/>
    <n v="0.14000000000000001"/>
    <x v="0"/>
    <x v="0"/>
    <n v="3.740000000000002"/>
    <n v="0.18138957816377177"/>
    <n v="403"/>
    <s v="0.14"/>
    <s v="Spr"/>
    <s v="ing"/>
    <n v="6"/>
    <s v="208|40787|22"/>
    <m/>
  </r>
  <r>
    <x v="208"/>
    <x v="8"/>
    <x v="0"/>
    <n v="0"/>
    <n v="1"/>
    <x v="23"/>
    <x v="0"/>
    <x v="1"/>
    <x v="0"/>
    <n v="0.12"/>
    <x v="0"/>
    <x v="0"/>
    <n v="3.740000000000002"/>
    <n v="0.18149253731343284"/>
    <n v="402"/>
    <s v="0.12"/>
    <s v="Spr"/>
    <s v="ing"/>
    <n v="6"/>
    <s v="209|40787|23"/>
    <m/>
  </r>
  <r>
    <x v="209"/>
    <x v="9"/>
    <x v="0"/>
    <n v="0"/>
    <n v="1"/>
    <x v="0"/>
    <x v="0"/>
    <x v="2"/>
    <x v="0"/>
    <n v="0.12"/>
    <x v="0"/>
    <x v="0"/>
    <n v="3.7600000000000016"/>
    <n v="0.18164588528678305"/>
    <n v="401"/>
    <s v="0.12"/>
    <s v="Spr"/>
    <s v="ing"/>
    <n v="6"/>
    <s v="210|40817|0"/>
    <m/>
  </r>
  <r>
    <x v="210"/>
    <x v="9"/>
    <x v="0"/>
    <n v="0"/>
    <n v="1"/>
    <x v="1"/>
    <x v="0"/>
    <x v="2"/>
    <x v="0"/>
    <n v="0.12"/>
    <x v="0"/>
    <x v="0"/>
    <n v="3.7800000000000016"/>
    <n v="0.18180000000000004"/>
    <n v="400"/>
    <s v="0.12"/>
    <s v="Spr"/>
    <s v="ing"/>
    <n v="6"/>
    <s v="211|40817|1"/>
    <m/>
  </r>
  <r>
    <x v="211"/>
    <x v="9"/>
    <x v="0"/>
    <n v="0"/>
    <n v="1"/>
    <x v="2"/>
    <x v="0"/>
    <x v="2"/>
    <x v="0"/>
    <n v="0.12"/>
    <x v="0"/>
    <x v="0"/>
    <n v="3.8200000000000016"/>
    <n v="0.18195488721804515"/>
    <n v="399"/>
    <s v="0.12"/>
    <s v="Spr"/>
    <s v="ing"/>
    <n v="6"/>
    <s v="212|40817|2"/>
    <m/>
  </r>
  <r>
    <x v="212"/>
    <x v="9"/>
    <x v="0"/>
    <n v="0"/>
    <n v="1"/>
    <x v="3"/>
    <x v="0"/>
    <x v="2"/>
    <x v="0"/>
    <n v="0.12"/>
    <x v="0"/>
    <x v="0"/>
    <n v="3.8600000000000017"/>
    <n v="0.18211055276381913"/>
    <n v="398"/>
    <s v="0.12"/>
    <s v="Spr"/>
    <s v="ing"/>
    <n v="6"/>
    <s v="213|40817|3"/>
    <m/>
  </r>
  <r>
    <x v="213"/>
    <x v="9"/>
    <x v="0"/>
    <n v="0"/>
    <n v="1"/>
    <x v="4"/>
    <x v="0"/>
    <x v="2"/>
    <x v="0"/>
    <n v="0.1"/>
    <x v="0"/>
    <x v="0"/>
    <n v="3.9000000000000012"/>
    <n v="0.18226700251889175"/>
    <n v="397"/>
    <s v="0.10"/>
    <s v="Spr"/>
    <s v="ing"/>
    <n v="6"/>
    <s v="214|40817|4"/>
    <m/>
  </r>
  <r>
    <x v="214"/>
    <x v="9"/>
    <x v="0"/>
    <n v="0"/>
    <n v="1"/>
    <x v="5"/>
    <x v="0"/>
    <x v="2"/>
    <x v="0"/>
    <n v="0.1"/>
    <x v="0"/>
    <x v="0"/>
    <n v="3.9600000000000017"/>
    <n v="0.18247474747474757"/>
    <n v="396"/>
    <s v="0.10"/>
    <s v="Spr"/>
    <s v="ing"/>
    <n v="6"/>
    <s v="215|40817|5"/>
    <m/>
  </r>
  <r>
    <x v="215"/>
    <x v="9"/>
    <x v="0"/>
    <n v="0"/>
    <n v="1"/>
    <x v="6"/>
    <x v="0"/>
    <x v="2"/>
    <x v="0"/>
    <n v="0.12"/>
    <x v="0"/>
    <x v="0"/>
    <n v="4.0400000000000009"/>
    <n v="0.18268354430379752"/>
    <n v="395"/>
    <s v="0.12"/>
    <s v="Spr"/>
    <s v="ing"/>
    <n v="6"/>
    <s v="216|40817|6"/>
    <m/>
  </r>
  <r>
    <x v="216"/>
    <x v="9"/>
    <x v="0"/>
    <n v="0"/>
    <n v="1"/>
    <x v="7"/>
    <x v="0"/>
    <x v="2"/>
    <x v="0"/>
    <n v="0.12"/>
    <x v="0"/>
    <x v="0"/>
    <n v="4.1000000000000014"/>
    <n v="0.18284263959390867"/>
    <n v="394"/>
    <s v="0.12"/>
    <s v="Spr"/>
    <s v="ing"/>
    <n v="6"/>
    <s v="217|40817|7"/>
    <m/>
  </r>
  <r>
    <x v="217"/>
    <x v="9"/>
    <x v="0"/>
    <n v="0"/>
    <n v="1"/>
    <x v="8"/>
    <x v="0"/>
    <x v="2"/>
    <x v="1"/>
    <n v="0.12"/>
    <x v="0"/>
    <x v="0"/>
    <n v="4.1800000000000015"/>
    <n v="0.18300254452926215"/>
    <n v="393"/>
    <s v="0.12"/>
    <s v="Spr"/>
    <s v="ing"/>
    <n v="6"/>
    <s v="218|40817|8"/>
    <m/>
  </r>
  <r>
    <x v="218"/>
    <x v="9"/>
    <x v="0"/>
    <n v="0"/>
    <n v="1"/>
    <x v="9"/>
    <x v="0"/>
    <x v="2"/>
    <x v="1"/>
    <n v="0.14000000000000001"/>
    <x v="0"/>
    <x v="0"/>
    <n v="4.2600000000000016"/>
    <n v="0.18316326530612251"/>
    <n v="392"/>
    <s v="0.14"/>
    <s v="Spr"/>
    <s v="ing"/>
    <n v="6"/>
    <s v="219|40817|9"/>
    <m/>
  </r>
  <r>
    <x v="219"/>
    <x v="9"/>
    <x v="0"/>
    <n v="0"/>
    <n v="1"/>
    <x v="10"/>
    <x v="0"/>
    <x v="2"/>
    <x v="1"/>
    <n v="0.14000000000000001"/>
    <x v="0"/>
    <x v="0"/>
    <n v="4.3200000000000012"/>
    <n v="0.18327365728900263"/>
    <n v="391"/>
    <s v="0.14"/>
    <s v="Spr"/>
    <s v="ing"/>
    <n v="6"/>
    <s v="220|40817|10"/>
    <m/>
  </r>
  <r>
    <x v="220"/>
    <x v="9"/>
    <x v="0"/>
    <n v="0"/>
    <n v="1"/>
    <x v="11"/>
    <x v="0"/>
    <x v="2"/>
    <x v="1"/>
    <n v="0.16"/>
    <x v="0"/>
    <x v="0"/>
    <n v="4.3800000000000017"/>
    <n v="0.18338461538461545"/>
    <n v="390"/>
    <s v="0.16"/>
    <s v="Spr"/>
    <s v="ing"/>
    <n v="6"/>
    <s v="221|40817|11"/>
    <m/>
  </r>
  <r>
    <x v="221"/>
    <x v="9"/>
    <x v="0"/>
    <n v="0"/>
    <n v="1"/>
    <x v="12"/>
    <x v="0"/>
    <x v="2"/>
    <x v="1"/>
    <n v="0.2"/>
    <x v="0"/>
    <x v="0"/>
    <n v="4.4200000000000017"/>
    <n v="0.18344473007712089"/>
    <n v="389"/>
    <s v="0.20"/>
    <s v="Spr"/>
    <s v="ing"/>
    <n v="6"/>
    <s v="222|40817|12"/>
    <m/>
  </r>
  <r>
    <x v="222"/>
    <x v="9"/>
    <x v="0"/>
    <n v="0"/>
    <n v="1"/>
    <x v="13"/>
    <x v="0"/>
    <x v="2"/>
    <x v="1"/>
    <n v="0.2"/>
    <x v="0"/>
    <x v="0"/>
    <n v="4.3800000000000017"/>
    <n v="0.18340206185567018"/>
    <n v="388"/>
    <s v="0.20"/>
    <s v="Spr"/>
    <s v="ing"/>
    <n v="6"/>
    <s v="223|40817|13"/>
    <m/>
  </r>
  <r>
    <x v="223"/>
    <x v="9"/>
    <x v="0"/>
    <n v="0"/>
    <n v="1"/>
    <x v="14"/>
    <x v="0"/>
    <x v="2"/>
    <x v="1"/>
    <n v="0.2"/>
    <x v="0"/>
    <x v="0"/>
    <n v="4.3400000000000025"/>
    <n v="0.18335917312661509"/>
    <n v="387"/>
    <s v="0.20"/>
    <s v="Spr"/>
    <s v="ing"/>
    <n v="6"/>
    <s v="224|40817|14"/>
    <m/>
  </r>
  <r>
    <x v="224"/>
    <x v="9"/>
    <x v="0"/>
    <n v="0"/>
    <n v="1"/>
    <x v="15"/>
    <x v="0"/>
    <x v="2"/>
    <x v="1"/>
    <n v="0.2"/>
    <x v="0"/>
    <x v="0"/>
    <n v="4.3000000000000025"/>
    <n v="0.18331606217616592"/>
    <n v="386"/>
    <s v="0.20"/>
    <s v="Spr"/>
    <s v="ing"/>
    <n v="6"/>
    <s v="225|40817|15"/>
    <m/>
  </r>
  <r>
    <x v="225"/>
    <x v="9"/>
    <x v="0"/>
    <n v="0"/>
    <n v="1"/>
    <x v="16"/>
    <x v="0"/>
    <x v="2"/>
    <x v="0"/>
    <n v="0.2"/>
    <x v="0"/>
    <x v="0"/>
    <n v="4.2600000000000025"/>
    <n v="0.18327272727272739"/>
    <n v="385"/>
    <s v="0.20"/>
    <s v="Spr"/>
    <s v="ing"/>
    <n v="6"/>
    <s v="226|40817|16"/>
    <m/>
  </r>
  <r>
    <x v="226"/>
    <x v="9"/>
    <x v="0"/>
    <n v="0"/>
    <n v="1"/>
    <x v="17"/>
    <x v="0"/>
    <x v="2"/>
    <x v="0"/>
    <n v="0.2"/>
    <x v="0"/>
    <x v="0"/>
    <n v="4.2200000000000015"/>
    <n v="0.18322916666666678"/>
    <n v="384"/>
    <s v="0.20"/>
    <s v="Spr"/>
    <s v="ing"/>
    <n v="6"/>
    <s v="227|40817|17"/>
    <m/>
  </r>
  <r>
    <x v="227"/>
    <x v="9"/>
    <x v="0"/>
    <n v="0"/>
    <n v="1"/>
    <x v="18"/>
    <x v="0"/>
    <x v="2"/>
    <x v="0"/>
    <n v="0.2"/>
    <x v="0"/>
    <x v="0"/>
    <n v="4.1800000000000015"/>
    <n v="0.18318537859007844"/>
    <n v="383"/>
    <s v="0.20"/>
    <s v="Spr"/>
    <s v="ing"/>
    <n v="6"/>
    <s v="228|40817|18"/>
    <m/>
  </r>
  <r>
    <x v="228"/>
    <x v="9"/>
    <x v="0"/>
    <n v="0"/>
    <n v="1"/>
    <x v="19"/>
    <x v="0"/>
    <x v="2"/>
    <x v="0"/>
    <n v="0.16"/>
    <x v="0"/>
    <x v="0"/>
    <n v="4.1400000000000015"/>
    <n v="0.18314136125654459"/>
    <n v="382"/>
    <s v="0.16"/>
    <s v="Spr"/>
    <s v="ing"/>
    <n v="6"/>
    <s v="229|40817|19"/>
    <m/>
  </r>
  <r>
    <x v="229"/>
    <x v="9"/>
    <x v="0"/>
    <n v="0"/>
    <n v="1"/>
    <x v="20"/>
    <x v="0"/>
    <x v="2"/>
    <x v="0"/>
    <n v="0.16"/>
    <x v="0"/>
    <x v="0"/>
    <n v="4.1400000000000015"/>
    <n v="0.1832020997375329"/>
    <n v="381"/>
    <s v="0.16"/>
    <s v="Spr"/>
    <s v="ing"/>
    <n v="6"/>
    <s v="230|40817|20"/>
    <m/>
  </r>
  <r>
    <x v="230"/>
    <x v="9"/>
    <x v="0"/>
    <n v="0"/>
    <n v="1"/>
    <x v="21"/>
    <x v="0"/>
    <x v="2"/>
    <x v="0"/>
    <n v="0.14000000000000001"/>
    <x v="0"/>
    <x v="0"/>
    <n v="4.1400000000000015"/>
    <n v="0.18326315789473696"/>
    <n v="380"/>
    <s v="0.14"/>
    <s v="Spr"/>
    <s v="ing"/>
    <n v="6"/>
    <s v="231|40817|21"/>
    <m/>
  </r>
  <r>
    <x v="231"/>
    <x v="9"/>
    <x v="0"/>
    <n v="0"/>
    <n v="1"/>
    <x v="22"/>
    <x v="0"/>
    <x v="2"/>
    <x v="0"/>
    <n v="0.14000000000000001"/>
    <x v="0"/>
    <x v="0"/>
    <n v="4.160000000000001"/>
    <n v="0.1833773087071241"/>
    <n v="379"/>
    <s v="0.14"/>
    <s v="Spr"/>
    <s v="ing"/>
    <n v="6"/>
    <s v="232|40817|22"/>
    <m/>
  </r>
  <r>
    <x v="232"/>
    <x v="9"/>
    <x v="0"/>
    <n v="0"/>
    <n v="1"/>
    <x v="23"/>
    <x v="0"/>
    <x v="2"/>
    <x v="0"/>
    <n v="0.14000000000000001"/>
    <x v="0"/>
    <x v="0"/>
    <n v="4.1800000000000015"/>
    <n v="0.18349206349206357"/>
    <n v="378"/>
    <s v="0.14"/>
    <s v="Spr"/>
    <s v="ing"/>
    <n v="6"/>
    <s v="233|40817|23"/>
    <m/>
  </r>
  <r>
    <x v="233"/>
    <x v="10"/>
    <x v="0"/>
    <n v="0"/>
    <n v="1"/>
    <x v="0"/>
    <x v="0"/>
    <x v="3"/>
    <x v="0"/>
    <n v="0.14000000000000001"/>
    <x v="0"/>
    <x v="0"/>
    <n v="4.1800000000000015"/>
    <n v="0.18360742705570299"/>
    <n v="377"/>
    <s v="0.14"/>
    <s v="Spr"/>
    <s v="ing"/>
    <n v="6"/>
    <s v="234|40848|0"/>
    <m/>
  </r>
  <r>
    <x v="234"/>
    <x v="10"/>
    <x v="0"/>
    <n v="0"/>
    <n v="1"/>
    <x v="1"/>
    <x v="0"/>
    <x v="3"/>
    <x v="0"/>
    <n v="0.14000000000000001"/>
    <x v="0"/>
    <x v="0"/>
    <n v="4.1800000000000015"/>
    <n v="0.18372340425531922"/>
    <n v="376"/>
    <s v="0.14"/>
    <s v="Spr"/>
    <s v="ing"/>
    <n v="6"/>
    <s v="235|40848|1"/>
    <m/>
  </r>
  <r>
    <x v="235"/>
    <x v="10"/>
    <x v="0"/>
    <n v="0"/>
    <n v="1"/>
    <x v="2"/>
    <x v="0"/>
    <x v="3"/>
    <x v="1"/>
    <n v="0.16"/>
    <x v="0"/>
    <x v="0"/>
    <n v="4.160000000000001"/>
    <n v="0.18384000000000006"/>
    <n v="375"/>
    <s v="0.16"/>
    <s v="Spr"/>
    <s v="ing"/>
    <n v="6"/>
    <s v="236|40848|2"/>
    <m/>
  </r>
  <r>
    <x v="236"/>
    <x v="10"/>
    <x v="0"/>
    <n v="0"/>
    <n v="1"/>
    <x v="5"/>
    <x v="0"/>
    <x v="3"/>
    <x v="1"/>
    <n v="0.16"/>
    <x v="0"/>
    <x v="0"/>
    <n v="4.1400000000000006"/>
    <n v="0.1839037433155081"/>
    <n v="374"/>
    <s v="0.16"/>
    <s v="Spr"/>
    <s v="ing"/>
    <n v="6"/>
    <s v="237|40848|5"/>
    <m/>
  </r>
  <r>
    <x v="237"/>
    <x v="10"/>
    <x v="0"/>
    <n v="0"/>
    <n v="1"/>
    <x v="6"/>
    <x v="0"/>
    <x v="3"/>
    <x v="1"/>
    <n v="0.16"/>
    <x v="0"/>
    <x v="0"/>
    <n v="4.1400000000000015"/>
    <n v="0.18396782841823064"/>
    <n v="373"/>
    <s v="0.16"/>
    <s v="Spr"/>
    <s v="ing"/>
    <n v="6"/>
    <s v="238|40848|6"/>
    <m/>
  </r>
  <r>
    <x v="238"/>
    <x v="10"/>
    <x v="0"/>
    <n v="0"/>
    <n v="1"/>
    <x v="7"/>
    <x v="0"/>
    <x v="3"/>
    <x v="1"/>
    <n v="0.16"/>
    <x v="0"/>
    <x v="0"/>
    <n v="4.1400000000000015"/>
    <n v="0.1840322580645162"/>
    <n v="372"/>
    <s v="0.16"/>
    <s v="Spr"/>
    <s v="ing"/>
    <n v="6"/>
    <s v="239|40848|7"/>
    <m/>
  </r>
  <r>
    <x v="239"/>
    <x v="10"/>
    <x v="0"/>
    <n v="0"/>
    <n v="1"/>
    <x v="8"/>
    <x v="0"/>
    <x v="3"/>
    <x v="1"/>
    <n v="0.18"/>
    <x v="0"/>
    <x v="0"/>
    <n v="4.160000000000001"/>
    <n v="0.18409703504043137"/>
    <n v="371"/>
    <s v="0.18"/>
    <s v="Spr"/>
    <s v="ing"/>
    <n v="6"/>
    <s v="240|40848|8"/>
    <m/>
  </r>
  <r>
    <x v="240"/>
    <x v="10"/>
    <x v="0"/>
    <n v="0"/>
    <n v="1"/>
    <x v="9"/>
    <x v="0"/>
    <x v="3"/>
    <x v="1"/>
    <n v="0.18"/>
    <x v="0"/>
    <x v="0"/>
    <n v="4.1800000000000015"/>
    <n v="0.18410810810810821"/>
    <n v="370"/>
    <s v="0.18"/>
    <s v="Spr"/>
    <s v="ing"/>
    <n v="6"/>
    <s v="241|40848|9"/>
    <m/>
  </r>
  <r>
    <x v="241"/>
    <x v="10"/>
    <x v="0"/>
    <n v="0"/>
    <n v="1"/>
    <x v="10"/>
    <x v="0"/>
    <x v="3"/>
    <x v="1"/>
    <n v="0.2"/>
    <x v="0"/>
    <x v="0"/>
    <n v="4.2000000000000011"/>
    <n v="0.18411924119241202"/>
    <n v="369"/>
    <s v="0.20"/>
    <s v="Spr"/>
    <s v="ing"/>
    <n v="6"/>
    <s v="242|40848|10"/>
    <m/>
  </r>
  <r>
    <x v="242"/>
    <x v="10"/>
    <x v="0"/>
    <n v="0"/>
    <n v="1"/>
    <x v="11"/>
    <x v="0"/>
    <x v="3"/>
    <x v="1"/>
    <n v="0.2"/>
    <x v="0"/>
    <x v="0"/>
    <n v="4.2200000000000006"/>
    <n v="0.18407608695652181"/>
    <n v="368"/>
    <s v="0.20"/>
    <s v="Spr"/>
    <s v="ing"/>
    <n v="6"/>
    <s v="243|40848|11"/>
    <m/>
  </r>
  <r>
    <x v="243"/>
    <x v="10"/>
    <x v="0"/>
    <n v="0"/>
    <n v="1"/>
    <x v="12"/>
    <x v="0"/>
    <x v="3"/>
    <x v="1"/>
    <n v="0.2"/>
    <x v="0"/>
    <x v="0"/>
    <n v="4.2200000000000015"/>
    <n v="0.18403269754768398"/>
    <n v="367"/>
    <s v="0.20"/>
    <s v="Spr"/>
    <s v="ing"/>
    <n v="6"/>
    <s v="244|40848|12"/>
    <m/>
  </r>
  <r>
    <x v="244"/>
    <x v="10"/>
    <x v="0"/>
    <n v="0"/>
    <n v="1"/>
    <x v="13"/>
    <x v="0"/>
    <x v="3"/>
    <x v="1"/>
    <n v="0.2"/>
    <x v="0"/>
    <x v="0"/>
    <n v="4.2200000000000015"/>
    <n v="0.18398907103825141"/>
    <n v="366"/>
    <s v="0.20"/>
    <s v="Spr"/>
    <s v="ing"/>
    <n v="6"/>
    <s v="245|40848|13"/>
    <m/>
  </r>
  <r>
    <x v="245"/>
    <x v="10"/>
    <x v="0"/>
    <n v="0"/>
    <n v="1"/>
    <x v="14"/>
    <x v="0"/>
    <x v="3"/>
    <x v="1"/>
    <n v="0.2"/>
    <x v="0"/>
    <x v="0"/>
    <n v="4.2400000000000011"/>
    <n v="0.18394520547945209"/>
    <n v="365"/>
    <s v="0.20"/>
    <s v="Spr"/>
    <s v="ing"/>
    <n v="6"/>
    <s v="246|40848|14"/>
    <m/>
  </r>
  <r>
    <x v="246"/>
    <x v="10"/>
    <x v="0"/>
    <n v="0"/>
    <n v="1"/>
    <x v="15"/>
    <x v="0"/>
    <x v="3"/>
    <x v="1"/>
    <n v="0.16"/>
    <x v="0"/>
    <x v="0"/>
    <n v="4.240000000000002"/>
    <n v="0.18390109890109893"/>
    <n v="364"/>
    <s v="0.16"/>
    <s v="Spr"/>
    <s v="ing"/>
    <n v="6"/>
    <s v="247|40848|15"/>
    <m/>
  </r>
  <r>
    <x v="247"/>
    <x v="10"/>
    <x v="0"/>
    <n v="0"/>
    <n v="1"/>
    <x v="16"/>
    <x v="0"/>
    <x v="3"/>
    <x v="1"/>
    <n v="0.16"/>
    <x v="0"/>
    <x v="0"/>
    <n v="4.280000000000002"/>
    <n v="0.18396694214876033"/>
    <n v="363"/>
    <s v="0.16"/>
    <s v="Spr"/>
    <s v="ing"/>
    <n v="6"/>
    <s v="248|40848|16"/>
    <m/>
  </r>
  <r>
    <x v="248"/>
    <x v="10"/>
    <x v="0"/>
    <n v="0"/>
    <n v="1"/>
    <x v="17"/>
    <x v="0"/>
    <x v="3"/>
    <x v="1"/>
    <n v="0.16"/>
    <x v="0"/>
    <x v="0"/>
    <n v="4.3000000000000016"/>
    <n v="0.1840331491712707"/>
    <n v="362"/>
    <s v="0.16"/>
    <s v="Spr"/>
    <s v="ing"/>
    <n v="6"/>
    <s v="249|40848|17"/>
    <m/>
  </r>
  <r>
    <x v="249"/>
    <x v="10"/>
    <x v="0"/>
    <n v="0"/>
    <n v="1"/>
    <x v="18"/>
    <x v="0"/>
    <x v="3"/>
    <x v="2"/>
    <n v="0.16"/>
    <x v="0"/>
    <x v="0"/>
    <n v="4.3000000000000016"/>
    <n v="0.18409972299168972"/>
    <n v="361"/>
    <s v="0.16"/>
    <s v="Spr"/>
    <s v="ing"/>
    <n v="6"/>
    <s v="250|40848|18"/>
    <m/>
  </r>
  <r>
    <x v="250"/>
    <x v="10"/>
    <x v="0"/>
    <n v="0"/>
    <n v="1"/>
    <x v="19"/>
    <x v="0"/>
    <x v="3"/>
    <x v="2"/>
    <n v="0.16"/>
    <x v="0"/>
    <x v="0"/>
    <n v="4.3000000000000025"/>
    <n v="0.18416666666666665"/>
    <n v="360"/>
    <s v="0.16"/>
    <s v="Spr"/>
    <s v="ing"/>
    <n v="6"/>
    <s v="251|40848|19"/>
    <m/>
  </r>
  <r>
    <x v="251"/>
    <x v="10"/>
    <x v="0"/>
    <n v="0"/>
    <n v="1"/>
    <x v="20"/>
    <x v="0"/>
    <x v="3"/>
    <x v="2"/>
    <n v="0.16"/>
    <x v="0"/>
    <x v="0"/>
    <n v="4.3000000000000025"/>
    <n v="0.18423398328690804"/>
    <n v="359"/>
    <s v="0.16"/>
    <s v="Spr"/>
    <s v="ing"/>
    <n v="6"/>
    <s v="252|40848|20"/>
    <m/>
  </r>
  <r>
    <x v="252"/>
    <x v="10"/>
    <x v="0"/>
    <n v="0"/>
    <n v="1"/>
    <x v="21"/>
    <x v="0"/>
    <x v="3"/>
    <x v="2"/>
    <n v="0.16"/>
    <x v="0"/>
    <x v="0"/>
    <n v="4.2800000000000011"/>
    <n v="0.1843016759776536"/>
    <n v="358"/>
    <s v="0.16"/>
    <s v="Spr"/>
    <s v="ing"/>
    <n v="6"/>
    <s v="253|40848|21"/>
    <m/>
  </r>
  <r>
    <x v="253"/>
    <x v="10"/>
    <x v="0"/>
    <n v="0"/>
    <n v="1"/>
    <x v="22"/>
    <x v="0"/>
    <x v="3"/>
    <x v="2"/>
    <n v="0.16"/>
    <x v="0"/>
    <x v="0"/>
    <n v="4.2600000000000016"/>
    <n v="0.18436974789915961"/>
    <n v="357"/>
    <s v="0.16"/>
    <s v="Spr"/>
    <s v="ing"/>
    <n v="6"/>
    <s v="254|40848|22"/>
    <m/>
  </r>
  <r>
    <x v="254"/>
    <x v="10"/>
    <x v="0"/>
    <n v="0"/>
    <n v="1"/>
    <x v="23"/>
    <x v="0"/>
    <x v="3"/>
    <x v="2"/>
    <n v="0.16"/>
    <x v="0"/>
    <x v="0"/>
    <n v="4.2400000000000011"/>
    <n v="0.18443820224719096"/>
    <n v="356"/>
    <s v="0.16"/>
    <s v="Spr"/>
    <s v="ing"/>
    <n v="6"/>
    <s v="255|40848|23"/>
    <m/>
  </r>
  <r>
    <x v="255"/>
    <x v="11"/>
    <x v="0"/>
    <n v="0"/>
    <n v="1"/>
    <x v="0"/>
    <x v="0"/>
    <x v="4"/>
    <x v="1"/>
    <n v="0.16"/>
    <x v="0"/>
    <x v="0"/>
    <n v="4.2200000000000006"/>
    <n v="0.18450704225352108"/>
    <n v="355"/>
    <s v="0.16"/>
    <s v="Spr"/>
    <s v="ing"/>
    <n v="6"/>
    <s v="256|40878|0"/>
    <m/>
  </r>
  <r>
    <x v="256"/>
    <x v="11"/>
    <x v="0"/>
    <n v="0"/>
    <n v="1"/>
    <x v="1"/>
    <x v="0"/>
    <x v="4"/>
    <x v="1"/>
    <n v="0.16"/>
    <x v="0"/>
    <x v="0"/>
    <n v="4.2000000000000011"/>
    <n v="0.18457627118644065"/>
    <n v="354"/>
    <s v="0.16"/>
    <s v="Spr"/>
    <s v="ing"/>
    <n v="6"/>
    <s v="257|40878|1"/>
    <m/>
  </r>
  <r>
    <x v="257"/>
    <x v="11"/>
    <x v="0"/>
    <n v="0"/>
    <n v="1"/>
    <x v="2"/>
    <x v="0"/>
    <x v="4"/>
    <x v="0"/>
    <n v="0.14000000000000001"/>
    <x v="0"/>
    <x v="0"/>
    <n v="4.1800000000000015"/>
    <n v="0.18464589235127474"/>
    <n v="353"/>
    <s v="0.14"/>
    <s v="Spr"/>
    <s v="ing"/>
    <n v="6"/>
    <s v="258|40878|2"/>
    <m/>
  </r>
  <r>
    <x v="258"/>
    <x v="11"/>
    <x v="0"/>
    <n v="0"/>
    <n v="1"/>
    <x v="5"/>
    <x v="0"/>
    <x v="4"/>
    <x v="0"/>
    <n v="0.14000000000000001"/>
    <x v="0"/>
    <x v="0"/>
    <n v="4.1800000000000015"/>
    <n v="0.1847727272727272"/>
    <n v="352"/>
    <s v="0.14"/>
    <s v="Spr"/>
    <s v="ing"/>
    <n v="6"/>
    <s v="259|40878|5"/>
    <m/>
  </r>
  <r>
    <x v="259"/>
    <x v="11"/>
    <x v="0"/>
    <n v="0"/>
    <n v="1"/>
    <x v="6"/>
    <x v="0"/>
    <x v="4"/>
    <x v="0"/>
    <n v="0.12"/>
    <x v="0"/>
    <x v="0"/>
    <n v="4.160000000000001"/>
    <n v="0.18490028490028479"/>
    <n v="351"/>
    <s v="0.12"/>
    <s v="Spr"/>
    <s v="ing"/>
    <n v="6"/>
    <s v="260|40878|6"/>
    <m/>
  </r>
  <r>
    <x v="260"/>
    <x v="11"/>
    <x v="0"/>
    <n v="0"/>
    <n v="1"/>
    <x v="7"/>
    <x v="0"/>
    <x v="4"/>
    <x v="0"/>
    <n v="0.14000000000000001"/>
    <x v="0"/>
    <x v="0"/>
    <n v="4.1600000000000019"/>
    <n v="0.18508571428571416"/>
    <n v="350"/>
    <s v="0.14"/>
    <s v="Spr"/>
    <s v="ing"/>
    <n v="6"/>
    <s v="261|40878|7"/>
    <m/>
  </r>
  <r>
    <x v="261"/>
    <x v="11"/>
    <x v="0"/>
    <n v="0"/>
    <n v="1"/>
    <x v="8"/>
    <x v="0"/>
    <x v="4"/>
    <x v="0"/>
    <n v="0.16"/>
    <x v="0"/>
    <x v="0"/>
    <n v="4.160000000000001"/>
    <n v="0.18521489971346694"/>
    <n v="349"/>
    <s v="0.16"/>
    <s v="Spr"/>
    <s v="ing"/>
    <n v="6"/>
    <s v="262|40878|8"/>
    <m/>
  </r>
  <r>
    <x v="262"/>
    <x v="11"/>
    <x v="0"/>
    <n v="0"/>
    <n v="1"/>
    <x v="9"/>
    <x v="0"/>
    <x v="4"/>
    <x v="0"/>
    <n v="0.16"/>
    <x v="0"/>
    <x v="0"/>
    <n v="4.1400000000000006"/>
    <n v="0.18528735632183893"/>
    <n v="348"/>
    <s v="0.16"/>
    <s v="Spr"/>
    <s v="ing"/>
    <n v="6"/>
    <s v="263|40878|9"/>
    <m/>
  </r>
  <r>
    <x v="263"/>
    <x v="11"/>
    <x v="0"/>
    <n v="0"/>
    <n v="1"/>
    <x v="10"/>
    <x v="0"/>
    <x v="4"/>
    <x v="0"/>
    <n v="0.18"/>
    <x v="0"/>
    <x v="0"/>
    <n v="4.1400000000000015"/>
    <n v="0.1853602305475503"/>
    <n v="347"/>
    <s v="0.18"/>
    <s v="Spr"/>
    <s v="ing"/>
    <n v="6"/>
    <s v="264|40878|10"/>
    <m/>
  </r>
  <r>
    <x v="264"/>
    <x v="11"/>
    <x v="0"/>
    <n v="0"/>
    <n v="1"/>
    <x v="11"/>
    <x v="0"/>
    <x v="4"/>
    <x v="0"/>
    <n v="0.2"/>
    <x v="0"/>
    <x v="0"/>
    <n v="4.160000000000001"/>
    <n v="0.18537572254335244"/>
    <n v="346"/>
    <s v="0.20"/>
    <s v="Spr"/>
    <s v="ing"/>
    <n v="6"/>
    <s v="265|40878|11"/>
    <m/>
  </r>
  <r>
    <x v="265"/>
    <x v="11"/>
    <x v="0"/>
    <n v="0"/>
    <n v="1"/>
    <x v="12"/>
    <x v="0"/>
    <x v="4"/>
    <x v="0"/>
    <n v="0.2"/>
    <x v="0"/>
    <x v="0"/>
    <n v="4.160000000000001"/>
    <n v="0.18533333333333316"/>
    <n v="345"/>
    <s v="0.20"/>
    <s v="Spr"/>
    <s v="ing"/>
    <n v="6"/>
    <s v="266|40878|12"/>
    <m/>
  </r>
  <r>
    <x v="266"/>
    <x v="11"/>
    <x v="0"/>
    <n v="0"/>
    <n v="1"/>
    <x v="13"/>
    <x v="0"/>
    <x v="4"/>
    <x v="0"/>
    <n v="0.22"/>
    <x v="0"/>
    <x v="0"/>
    <n v="4.1800000000000015"/>
    <n v="0.18529069767441844"/>
    <n v="344"/>
    <s v="0.22"/>
    <s v="Spr"/>
    <s v="ing"/>
    <n v="6"/>
    <s v="267|40878|13"/>
    <m/>
  </r>
  <r>
    <x v="267"/>
    <x v="11"/>
    <x v="0"/>
    <n v="0"/>
    <n v="1"/>
    <x v="14"/>
    <x v="0"/>
    <x v="4"/>
    <x v="0"/>
    <n v="0.2"/>
    <x v="0"/>
    <x v="0"/>
    <n v="4.1800000000000015"/>
    <n v="0.18518950437317766"/>
    <n v="343"/>
    <s v="0.20"/>
    <s v="Spr"/>
    <s v="ing"/>
    <n v="6"/>
    <s v="268|40878|14"/>
    <m/>
  </r>
  <r>
    <x v="268"/>
    <x v="11"/>
    <x v="0"/>
    <n v="0"/>
    <n v="1"/>
    <x v="15"/>
    <x v="0"/>
    <x v="4"/>
    <x v="0"/>
    <n v="0.2"/>
    <x v="0"/>
    <x v="0"/>
    <n v="4.2200000000000015"/>
    <n v="0.1851461988304092"/>
    <n v="342"/>
    <s v="0.20"/>
    <s v="Spr"/>
    <s v="ing"/>
    <n v="6"/>
    <s v="269|40878|15"/>
    <m/>
  </r>
  <r>
    <x v="269"/>
    <x v="11"/>
    <x v="0"/>
    <n v="0"/>
    <n v="1"/>
    <x v="16"/>
    <x v="0"/>
    <x v="4"/>
    <x v="0"/>
    <n v="0.22"/>
    <x v="0"/>
    <x v="0"/>
    <n v="4.2600000000000025"/>
    <n v="0.18510263929618748"/>
    <n v="341"/>
    <s v="0.22"/>
    <s v="Spr"/>
    <s v="ing"/>
    <n v="6"/>
    <s v="270|40878|16"/>
    <m/>
  </r>
  <r>
    <x v="270"/>
    <x v="11"/>
    <x v="0"/>
    <n v="0"/>
    <n v="1"/>
    <x v="17"/>
    <x v="0"/>
    <x v="4"/>
    <x v="0"/>
    <n v="0.2"/>
    <x v="0"/>
    <x v="0"/>
    <n v="4.2400000000000029"/>
    <n v="0.1849999999999998"/>
    <n v="340"/>
    <s v="0.20"/>
    <s v="Spr"/>
    <s v="ing"/>
    <n v="6"/>
    <s v="271|40878|17"/>
    <m/>
  </r>
  <r>
    <x v="271"/>
    <x v="11"/>
    <x v="0"/>
    <n v="0"/>
    <n v="1"/>
    <x v="18"/>
    <x v="0"/>
    <x v="4"/>
    <x v="0"/>
    <n v="0.2"/>
    <x v="0"/>
    <x v="0"/>
    <n v="4.2400000000000029"/>
    <n v="0.18495575221238919"/>
    <n v="339"/>
    <s v="0.20"/>
    <s v="Spr"/>
    <s v="ing"/>
    <n v="6"/>
    <s v="272|40878|18"/>
    <m/>
  </r>
  <r>
    <x v="272"/>
    <x v="11"/>
    <x v="0"/>
    <n v="0"/>
    <n v="1"/>
    <x v="19"/>
    <x v="0"/>
    <x v="4"/>
    <x v="0"/>
    <n v="0.18"/>
    <x v="0"/>
    <x v="0"/>
    <n v="4.2000000000000028"/>
    <n v="0.18491124260355007"/>
    <n v="338"/>
    <s v="0.18"/>
    <s v="Spr"/>
    <s v="ing"/>
    <n v="6"/>
    <s v="273|40878|19"/>
    <m/>
  </r>
  <r>
    <x v="273"/>
    <x v="11"/>
    <x v="0"/>
    <n v="0"/>
    <n v="1"/>
    <x v="20"/>
    <x v="0"/>
    <x v="4"/>
    <x v="0"/>
    <n v="0.16"/>
    <x v="0"/>
    <x v="0"/>
    <n v="4.1800000000000024"/>
    <n v="0.18492581602373867"/>
    <n v="337"/>
    <s v="0.16"/>
    <s v="Spr"/>
    <s v="ing"/>
    <n v="6"/>
    <s v="274|40878|20"/>
    <m/>
  </r>
  <r>
    <x v="274"/>
    <x v="11"/>
    <x v="0"/>
    <n v="0"/>
    <n v="1"/>
    <x v="21"/>
    <x v="0"/>
    <x v="4"/>
    <x v="0"/>
    <n v="0.16"/>
    <x v="0"/>
    <x v="0"/>
    <n v="4.1600000000000019"/>
    <n v="0.1849999999999998"/>
    <n v="336"/>
    <s v="0.16"/>
    <s v="Spr"/>
    <s v="ing"/>
    <n v="6"/>
    <s v="275|40878|21"/>
    <m/>
  </r>
  <r>
    <x v="275"/>
    <x v="11"/>
    <x v="0"/>
    <n v="0"/>
    <n v="1"/>
    <x v="22"/>
    <x v="0"/>
    <x v="4"/>
    <x v="0"/>
    <n v="0.16"/>
    <x v="0"/>
    <x v="0"/>
    <n v="4.1400000000000015"/>
    <n v="0.18507462686567144"/>
    <n v="335"/>
    <s v="0.16"/>
    <s v="Spr"/>
    <s v="ing"/>
    <n v="6"/>
    <s v="276|40878|22"/>
    <m/>
  </r>
  <r>
    <x v="276"/>
    <x v="11"/>
    <x v="0"/>
    <n v="0"/>
    <n v="1"/>
    <x v="23"/>
    <x v="0"/>
    <x v="4"/>
    <x v="0"/>
    <n v="0.14000000000000001"/>
    <x v="0"/>
    <x v="0"/>
    <n v="4.1000000000000023"/>
    <n v="0.1851497005988022"/>
    <n v="334"/>
    <s v="0.14"/>
    <s v="Spr"/>
    <s v="ing"/>
    <n v="6"/>
    <s v="277|40878|23"/>
    <m/>
  </r>
  <r>
    <x v="277"/>
    <x v="12"/>
    <x v="0"/>
    <n v="0"/>
    <n v="1"/>
    <x v="0"/>
    <x v="0"/>
    <x v="5"/>
    <x v="0"/>
    <n v="0.14000000000000001"/>
    <x v="0"/>
    <x v="0"/>
    <n v="4.0800000000000018"/>
    <n v="0.1852852852852851"/>
    <n v="333"/>
    <s v="0.14"/>
    <s v="Spr"/>
    <s v="ing"/>
    <n v="6"/>
    <s v="278|13-01-2011|0"/>
    <m/>
  </r>
  <r>
    <x v="278"/>
    <x v="12"/>
    <x v="0"/>
    <n v="0"/>
    <n v="1"/>
    <x v="1"/>
    <x v="0"/>
    <x v="5"/>
    <x v="0"/>
    <n v="0.14000000000000001"/>
    <x v="0"/>
    <x v="0"/>
    <n v="4.0400000000000009"/>
    <n v="0.18542168674698778"/>
    <n v="332"/>
    <s v="0.14"/>
    <s v="Spr"/>
    <s v="ing"/>
    <n v="6"/>
    <s v="279|13-01-2011|1"/>
    <m/>
  </r>
  <r>
    <x v="279"/>
    <x v="12"/>
    <x v="0"/>
    <n v="0"/>
    <n v="1"/>
    <x v="2"/>
    <x v="0"/>
    <x v="5"/>
    <x v="0"/>
    <n v="0.14000000000000001"/>
    <x v="0"/>
    <x v="0"/>
    <n v="4.0000000000000018"/>
    <n v="0.18555891238670677"/>
    <n v="331"/>
    <s v="0.14"/>
    <s v="Spr"/>
    <s v="ing"/>
    <n v="6"/>
    <s v="280|13-01-2011|2"/>
    <m/>
  </r>
  <r>
    <x v="280"/>
    <x v="12"/>
    <x v="0"/>
    <n v="0"/>
    <n v="1"/>
    <x v="3"/>
    <x v="0"/>
    <x v="5"/>
    <x v="0"/>
    <n v="0.14000000000000001"/>
    <x v="0"/>
    <x v="0"/>
    <n v="3.9600000000000013"/>
    <n v="0.18569696969696955"/>
    <n v="330"/>
    <s v="0.14"/>
    <s v="Spr"/>
    <s v="ing"/>
    <n v="6"/>
    <s v="281|13-01-2011|3"/>
    <m/>
  </r>
  <r>
    <x v="281"/>
    <x v="12"/>
    <x v="0"/>
    <n v="0"/>
    <n v="1"/>
    <x v="4"/>
    <x v="0"/>
    <x v="5"/>
    <x v="0"/>
    <n v="0.14000000000000001"/>
    <x v="0"/>
    <x v="0"/>
    <n v="3.9200000000000017"/>
    <n v="0.18583586626139803"/>
    <n v="329"/>
    <s v="0.14"/>
    <s v="Spr"/>
    <s v="ing"/>
    <n v="6"/>
    <s v="282|13-01-2011|4"/>
    <m/>
  </r>
  <r>
    <x v="282"/>
    <x v="12"/>
    <x v="0"/>
    <n v="0"/>
    <n v="1"/>
    <x v="5"/>
    <x v="0"/>
    <x v="5"/>
    <x v="0"/>
    <n v="0.14000000000000001"/>
    <x v="0"/>
    <x v="0"/>
    <n v="3.8800000000000012"/>
    <n v="0.18597560975609742"/>
    <n v="328"/>
    <s v="0.14"/>
    <s v="Spr"/>
    <s v="ing"/>
    <n v="6"/>
    <s v="283|13-01-2011|5"/>
    <m/>
  </r>
  <r>
    <x v="283"/>
    <x v="12"/>
    <x v="0"/>
    <n v="0"/>
    <n v="1"/>
    <x v="6"/>
    <x v="0"/>
    <x v="5"/>
    <x v="0"/>
    <n v="0.12"/>
    <x v="0"/>
    <x v="0"/>
    <n v="3.8400000000000016"/>
    <n v="0.18611620795107017"/>
    <n v="327"/>
    <s v="0.12"/>
    <s v="Spr"/>
    <s v="ing"/>
    <n v="6"/>
    <s v="284|13-01-2011|6"/>
    <m/>
  </r>
  <r>
    <x v="284"/>
    <x v="12"/>
    <x v="0"/>
    <n v="0"/>
    <n v="1"/>
    <x v="7"/>
    <x v="0"/>
    <x v="5"/>
    <x v="0"/>
    <n v="0.12"/>
    <x v="0"/>
    <x v="0"/>
    <n v="3.8400000000000016"/>
    <n v="0.18631901840490786"/>
    <n v="326"/>
    <s v="0.12"/>
    <s v="Spr"/>
    <s v="ing"/>
    <n v="6"/>
    <s v="285|13-01-2011|7"/>
    <m/>
  </r>
  <r>
    <x v="285"/>
    <x v="12"/>
    <x v="0"/>
    <n v="0"/>
    <n v="1"/>
    <x v="8"/>
    <x v="0"/>
    <x v="5"/>
    <x v="0"/>
    <n v="0.14000000000000001"/>
    <x v="0"/>
    <x v="0"/>
    <n v="3.8600000000000017"/>
    <n v="0.18652307692307679"/>
    <n v="325"/>
    <s v="0.14"/>
    <s v="Spr"/>
    <s v="ing"/>
    <n v="6"/>
    <s v="286|13-01-2011|8"/>
    <m/>
  </r>
  <r>
    <x v="286"/>
    <x v="12"/>
    <x v="0"/>
    <n v="0"/>
    <n v="1"/>
    <x v="9"/>
    <x v="0"/>
    <x v="5"/>
    <x v="0"/>
    <n v="0.14000000000000001"/>
    <x v="0"/>
    <x v="0"/>
    <n v="3.9000000000000017"/>
    <n v="0.18666666666666654"/>
    <n v="324"/>
    <s v="0.14"/>
    <s v="Spr"/>
    <s v="ing"/>
    <n v="6"/>
    <s v="287|13-01-2011|9"/>
    <m/>
  </r>
  <r>
    <x v="287"/>
    <x v="12"/>
    <x v="0"/>
    <n v="0"/>
    <n v="1"/>
    <x v="10"/>
    <x v="0"/>
    <x v="5"/>
    <x v="1"/>
    <n v="0.16"/>
    <x v="0"/>
    <x v="0"/>
    <n v="3.9400000000000017"/>
    <n v="0.1868111455108358"/>
    <n v="323"/>
    <s v="0.16"/>
    <s v="Spr"/>
    <s v="ing"/>
    <n v="6"/>
    <s v="288|13-01-2011|10"/>
    <m/>
  </r>
  <r>
    <x v="288"/>
    <x v="12"/>
    <x v="0"/>
    <n v="0"/>
    <n v="1"/>
    <x v="11"/>
    <x v="0"/>
    <x v="5"/>
    <x v="1"/>
    <n v="0.2"/>
    <x v="0"/>
    <x v="0"/>
    <n v="3.9800000000000018"/>
    <n v="0.18689440993788808"/>
    <n v="322"/>
    <s v="0.20"/>
    <s v="Spr"/>
    <s v="ing"/>
    <n v="6"/>
    <s v="289|13-01-2011|11"/>
    <m/>
  </r>
  <r>
    <x v="289"/>
    <x v="12"/>
    <x v="0"/>
    <n v="0"/>
    <n v="1"/>
    <x v="12"/>
    <x v="0"/>
    <x v="5"/>
    <x v="0"/>
    <n v="0.2"/>
    <x v="0"/>
    <x v="0"/>
    <n v="4.0000000000000018"/>
    <n v="0.18685358255451703"/>
    <n v="321"/>
    <s v="0.20"/>
    <s v="Spr"/>
    <s v="ing"/>
    <n v="6"/>
    <s v="290|13-01-2011|12"/>
    <m/>
  </r>
  <r>
    <x v="290"/>
    <x v="12"/>
    <x v="0"/>
    <n v="0"/>
    <n v="1"/>
    <x v="13"/>
    <x v="0"/>
    <x v="5"/>
    <x v="0"/>
    <n v="0.22"/>
    <x v="0"/>
    <x v="0"/>
    <n v="4.0200000000000014"/>
    <n v="0.18681249999999988"/>
    <n v="320"/>
    <s v="0.22"/>
    <s v="Spr"/>
    <s v="ing"/>
    <n v="6"/>
    <s v="291|13-01-2011|13"/>
    <m/>
  </r>
  <r>
    <x v="291"/>
    <x v="12"/>
    <x v="0"/>
    <n v="0"/>
    <n v="1"/>
    <x v="14"/>
    <x v="0"/>
    <x v="5"/>
    <x v="0"/>
    <n v="0.22"/>
    <x v="0"/>
    <x v="0"/>
    <n v="4.0400000000000018"/>
    <n v="0.18670846394984317"/>
    <n v="319"/>
    <s v="0.22"/>
    <s v="Spr"/>
    <s v="ing"/>
    <n v="6"/>
    <s v="292|13-01-2011|14"/>
    <m/>
  </r>
  <r>
    <x v="292"/>
    <x v="12"/>
    <x v="0"/>
    <n v="0"/>
    <n v="1"/>
    <x v="15"/>
    <x v="0"/>
    <x v="5"/>
    <x v="0"/>
    <n v="0.24"/>
    <x v="0"/>
    <x v="0"/>
    <n v="4.0400000000000018"/>
    <n v="0.18660377358490557"/>
    <n v="318"/>
    <s v="0.24"/>
    <s v="Spr"/>
    <s v="ing"/>
    <n v="6"/>
    <s v="293|13-01-2011|15"/>
    <m/>
  </r>
  <r>
    <x v="293"/>
    <x v="12"/>
    <x v="0"/>
    <n v="0"/>
    <n v="1"/>
    <x v="16"/>
    <x v="0"/>
    <x v="5"/>
    <x v="0"/>
    <n v="0.24"/>
    <x v="0"/>
    <x v="0"/>
    <n v="4.0200000000000022"/>
    <n v="0.1864353312302838"/>
    <n v="317"/>
    <s v="0.24"/>
    <s v="Spr"/>
    <s v="ing"/>
    <n v="6"/>
    <s v="294|13-01-2011|16"/>
    <m/>
  </r>
  <r>
    <x v="294"/>
    <x v="12"/>
    <x v="0"/>
    <n v="0"/>
    <n v="1"/>
    <x v="17"/>
    <x v="0"/>
    <x v="5"/>
    <x v="0"/>
    <n v="0.2"/>
    <x v="0"/>
    <x v="0"/>
    <n v="3.9800000000000022"/>
    <n v="0.18626582278481002"/>
    <n v="316"/>
    <s v="0.20"/>
    <s v="Spr"/>
    <s v="ing"/>
    <n v="6"/>
    <s v="295|13-01-2011|17"/>
    <m/>
  </r>
  <r>
    <x v="295"/>
    <x v="12"/>
    <x v="0"/>
    <n v="0"/>
    <n v="1"/>
    <x v="18"/>
    <x v="0"/>
    <x v="5"/>
    <x v="0"/>
    <n v="0.2"/>
    <x v="0"/>
    <x v="0"/>
    <n v="3.9400000000000022"/>
    <n v="0.18622222222222209"/>
    <n v="315"/>
    <s v="0.20"/>
    <s v="Spr"/>
    <s v="ing"/>
    <n v="6"/>
    <s v="296|13-01-2011|18"/>
    <m/>
  </r>
  <r>
    <x v="296"/>
    <x v="12"/>
    <x v="0"/>
    <n v="0"/>
    <n v="1"/>
    <x v="19"/>
    <x v="0"/>
    <x v="5"/>
    <x v="0"/>
    <n v="0.16"/>
    <x v="0"/>
    <x v="0"/>
    <n v="3.9200000000000021"/>
    <n v="0.18617834394904448"/>
    <n v="314"/>
    <s v="0.16"/>
    <s v="Spr"/>
    <s v="ing"/>
    <n v="6"/>
    <s v="297|13-01-2011|19"/>
    <m/>
  </r>
  <r>
    <x v="297"/>
    <x v="12"/>
    <x v="0"/>
    <n v="0"/>
    <n v="1"/>
    <x v="20"/>
    <x v="0"/>
    <x v="5"/>
    <x v="0"/>
    <n v="0.16"/>
    <x v="0"/>
    <x v="0"/>
    <n v="3.9200000000000021"/>
    <n v="0.18626198083067083"/>
    <n v="313"/>
    <s v="0.16"/>
    <s v="Spr"/>
    <s v="ing"/>
    <n v="6"/>
    <s v="298|13-01-2011|20"/>
    <m/>
  </r>
  <r>
    <x v="298"/>
    <x v="12"/>
    <x v="0"/>
    <n v="0"/>
    <n v="1"/>
    <x v="21"/>
    <x v="0"/>
    <x v="5"/>
    <x v="0"/>
    <n v="0.14000000000000001"/>
    <x v="0"/>
    <x v="0"/>
    <n v="3.9200000000000013"/>
    <n v="0.18634615384615374"/>
    <n v="312"/>
    <s v="0.14"/>
    <s v="Spr"/>
    <s v="ing"/>
    <n v="6"/>
    <s v="299|13-01-2011|21"/>
    <m/>
  </r>
  <r>
    <x v="299"/>
    <x v="12"/>
    <x v="0"/>
    <n v="0"/>
    <n v="1"/>
    <x v="22"/>
    <x v="0"/>
    <x v="5"/>
    <x v="0"/>
    <n v="0.14000000000000001"/>
    <x v="0"/>
    <x v="0"/>
    <n v="3.9600000000000009"/>
    <n v="0.18649517684887448"/>
    <n v="311"/>
    <s v="0.14"/>
    <s v="Spr"/>
    <s v="ing"/>
    <n v="6"/>
    <s v="300|13-01-2011|22"/>
    <m/>
  </r>
  <r>
    <x v="300"/>
    <x v="12"/>
    <x v="0"/>
    <n v="0"/>
    <n v="1"/>
    <x v="23"/>
    <x v="0"/>
    <x v="5"/>
    <x v="0"/>
    <n v="0.12"/>
    <x v="0"/>
    <x v="0"/>
    <n v="4.0000000000000009"/>
    <n v="0.18664516129032246"/>
    <n v="310"/>
    <s v="0.12"/>
    <s v="Spr"/>
    <s v="ing"/>
    <n v="6"/>
    <s v="301|13-01-2011|23"/>
    <m/>
  </r>
  <r>
    <x v="301"/>
    <x v="13"/>
    <x v="0"/>
    <n v="0"/>
    <n v="1"/>
    <x v="0"/>
    <x v="0"/>
    <x v="6"/>
    <x v="0"/>
    <n v="0.12"/>
    <x v="0"/>
    <x v="0"/>
    <n v="4.0400000000000009"/>
    <n v="0.1868608414239481"/>
    <n v="309"/>
    <s v="0.12"/>
    <s v="Spr"/>
    <s v="ing"/>
    <n v="6"/>
    <s v="302|14-01-2011|0"/>
    <m/>
  </r>
  <r>
    <x v="302"/>
    <x v="13"/>
    <x v="0"/>
    <n v="0"/>
    <n v="1"/>
    <x v="1"/>
    <x v="0"/>
    <x v="6"/>
    <x v="0"/>
    <n v="0.1"/>
    <x v="0"/>
    <x v="0"/>
    <n v="4.080000000000001"/>
    <n v="0.18707792207792198"/>
    <n v="308"/>
    <s v="0.10"/>
    <s v="Spr"/>
    <s v="ing"/>
    <n v="6"/>
    <s v="303|14-01-2011|1"/>
    <m/>
  </r>
  <r>
    <x v="303"/>
    <x v="13"/>
    <x v="0"/>
    <n v="0"/>
    <n v="1"/>
    <x v="2"/>
    <x v="0"/>
    <x v="6"/>
    <x v="0"/>
    <n v="0.1"/>
    <x v="0"/>
    <x v="0"/>
    <n v="4.1400000000000015"/>
    <n v="0.18736156351791519"/>
    <n v="307"/>
    <s v="0.10"/>
    <s v="Spr"/>
    <s v="ing"/>
    <n v="6"/>
    <s v="304|14-01-2011|2"/>
    <m/>
  </r>
  <r>
    <x v="304"/>
    <x v="13"/>
    <x v="0"/>
    <n v="0"/>
    <n v="1"/>
    <x v="3"/>
    <x v="0"/>
    <x v="6"/>
    <x v="0"/>
    <n v="0.1"/>
    <x v="0"/>
    <x v="0"/>
    <n v="4.200000000000002"/>
    <n v="0.18764705882352931"/>
    <n v="306"/>
    <s v="0.10"/>
    <s v="Spr"/>
    <s v="ing"/>
    <n v="6"/>
    <s v="305|14-01-2011|3"/>
    <m/>
  </r>
  <r>
    <x v="305"/>
    <x v="13"/>
    <x v="0"/>
    <n v="0"/>
    <n v="1"/>
    <x v="5"/>
    <x v="0"/>
    <x v="6"/>
    <x v="0"/>
    <n v="0.1"/>
    <x v="0"/>
    <x v="0"/>
    <n v="4.2600000000000016"/>
    <n v="0.18793442622950809"/>
    <n v="305"/>
    <s v="0.10"/>
    <s v="Spr"/>
    <s v="ing"/>
    <n v="6"/>
    <s v="306|14-01-2011|5"/>
    <m/>
  </r>
  <r>
    <x v="306"/>
    <x v="13"/>
    <x v="0"/>
    <n v="0"/>
    <n v="1"/>
    <x v="6"/>
    <x v="0"/>
    <x v="6"/>
    <x v="0"/>
    <n v="0.1"/>
    <x v="0"/>
    <x v="0"/>
    <n v="4.3000000000000016"/>
    <n v="0.18822368421052618"/>
    <n v="304"/>
    <s v="0.10"/>
    <s v="Spr"/>
    <s v="ing"/>
    <n v="6"/>
    <s v="307|14-01-2011|6"/>
    <m/>
  </r>
  <r>
    <x v="307"/>
    <x v="13"/>
    <x v="0"/>
    <n v="0"/>
    <n v="1"/>
    <x v="7"/>
    <x v="0"/>
    <x v="6"/>
    <x v="0"/>
    <n v="0.1"/>
    <x v="0"/>
    <x v="0"/>
    <n v="4.3400000000000007"/>
    <n v="0.1885148514851484"/>
    <n v="303"/>
    <s v="0.10"/>
    <s v="Spr"/>
    <s v="ing"/>
    <n v="6"/>
    <s v="308|14-01-2011|7"/>
    <m/>
  </r>
  <r>
    <x v="308"/>
    <x v="13"/>
    <x v="0"/>
    <n v="0"/>
    <n v="1"/>
    <x v="8"/>
    <x v="0"/>
    <x v="6"/>
    <x v="0"/>
    <n v="0.12"/>
    <x v="0"/>
    <x v="0"/>
    <n v="4.3800000000000008"/>
    <n v="0.18880794701986744"/>
    <n v="302"/>
    <s v="0.12"/>
    <s v="Spr"/>
    <s v="ing"/>
    <n v="6"/>
    <s v="309|14-01-2011|8"/>
    <m/>
  </r>
  <r>
    <x v="309"/>
    <x v="13"/>
    <x v="0"/>
    <n v="0"/>
    <n v="1"/>
    <x v="9"/>
    <x v="0"/>
    <x v="6"/>
    <x v="0"/>
    <n v="0.14000000000000001"/>
    <x v="0"/>
    <x v="0"/>
    <n v="4.4200000000000017"/>
    <n v="0.18903654485049823"/>
    <n v="301"/>
    <s v="0.14"/>
    <s v="Spr"/>
    <s v="ing"/>
    <n v="6"/>
    <s v="310|14-01-2011|9"/>
    <m/>
  </r>
  <r>
    <x v="310"/>
    <x v="13"/>
    <x v="0"/>
    <n v="0"/>
    <n v="1"/>
    <x v="10"/>
    <x v="0"/>
    <x v="6"/>
    <x v="0"/>
    <n v="0.18"/>
    <x v="0"/>
    <x v="0"/>
    <n v="4.4600000000000017"/>
    <n v="0.18919999999999992"/>
    <n v="300"/>
    <s v="0.18"/>
    <s v="Spr"/>
    <s v="ing"/>
    <n v="6"/>
    <s v="311|14-01-2011|10"/>
    <m/>
  </r>
  <r>
    <x v="311"/>
    <x v="13"/>
    <x v="0"/>
    <n v="0"/>
    <n v="1"/>
    <x v="11"/>
    <x v="0"/>
    <x v="6"/>
    <x v="0"/>
    <n v="0.18"/>
    <x v="0"/>
    <x v="0"/>
    <n v="4.4800000000000013"/>
    <n v="0.18923076923076915"/>
    <n v="299"/>
    <s v="0.18"/>
    <s v="Spr"/>
    <s v="ing"/>
    <n v="6"/>
    <s v="312|14-01-2011|11"/>
    <m/>
  </r>
  <r>
    <x v="312"/>
    <x v="13"/>
    <x v="0"/>
    <n v="0"/>
    <n v="1"/>
    <x v="12"/>
    <x v="0"/>
    <x v="6"/>
    <x v="0"/>
    <n v="0.2"/>
    <x v="0"/>
    <x v="0"/>
    <n v="4.5400000000000018"/>
    <n v="0.18926174496644288"/>
    <n v="298"/>
    <s v="0.20"/>
    <s v="Spr"/>
    <s v="ing"/>
    <n v="6"/>
    <s v="313|14-01-2011|12"/>
    <m/>
  </r>
  <r>
    <x v="313"/>
    <x v="13"/>
    <x v="0"/>
    <n v="0"/>
    <n v="1"/>
    <x v="13"/>
    <x v="0"/>
    <x v="6"/>
    <x v="0"/>
    <n v="0.22"/>
    <x v="0"/>
    <x v="0"/>
    <n v="4.6200000000000019"/>
    <n v="0.18922558922558916"/>
    <n v="297"/>
    <s v="0.22"/>
    <s v="Spr"/>
    <s v="ing"/>
    <n v="6"/>
    <s v="314|14-01-2011|13"/>
    <m/>
  </r>
  <r>
    <x v="314"/>
    <x v="13"/>
    <x v="0"/>
    <n v="0"/>
    <n v="1"/>
    <x v="14"/>
    <x v="0"/>
    <x v="6"/>
    <x v="0"/>
    <n v="0.22"/>
    <x v="0"/>
    <x v="0"/>
    <n v="4.7000000000000011"/>
    <n v="0.18912162162162155"/>
    <n v="296"/>
    <s v="0.22"/>
    <s v="Spr"/>
    <s v="ing"/>
    <n v="6"/>
    <s v="315|14-01-2011|14"/>
    <m/>
  </r>
  <r>
    <x v="315"/>
    <x v="13"/>
    <x v="0"/>
    <n v="0"/>
    <n v="1"/>
    <x v="15"/>
    <x v="0"/>
    <x v="6"/>
    <x v="0"/>
    <n v="0.24"/>
    <x v="0"/>
    <x v="0"/>
    <n v="4.8000000000000016"/>
    <n v="0.18901694915254233"/>
    <n v="295"/>
    <s v="0.24"/>
    <s v="Spr"/>
    <s v="ing"/>
    <n v="6"/>
    <s v="316|14-01-2011|15"/>
    <m/>
  </r>
  <r>
    <x v="316"/>
    <x v="13"/>
    <x v="0"/>
    <n v="0"/>
    <n v="1"/>
    <x v="16"/>
    <x v="0"/>
    <x v="6"/>
    <x v="0"/>
    <n v="0.22"/>
    <x v="0"/>
    <x v="0"/>
    <n v="4.9000000000000012"/>
    <n v="0.18884353741496593"/>
    <n v="294"/>
    <s v="0.22"/>
    <s v="Spr"/>
    <s v="ing"/>
    <n v="6"/>
    <s v="317|14-01-2011|16"/>
    <m/>
  </r>
  <r>
    <x v="317"/>
    <x v="13"/>
    <x v="0"/>
    <n v="0"/>
    <n v="1"/>
    <x v="17"/>
    <x v="0"/>
    <x v="6"/>
    <x v="0"/>
    <n v="0.22"/>
    <x v="0"/>
    <x v="0"/>
    <n v="5.0000000000000009"/>
    <n v="0.18873720136518762"/>
    <n v="293"/>
    <s v="0.22"/>
    <s v="Spr"/>
    <s v="ing"/>
    <n v="6"/>
    <s v="318|14-01-2011|17"/>
    <m/>
  </r>
  <r>
    <x v="318"/>
    <x v="13"/>
    <x v="0"/>
    <n v="0"/>
    <n v="1"/>
    <x v="18"/>
    <x v="0"/>
    <x v="6"/>
    <x v="0"/>
    <n v="0.2"/>
    <x v="0"/>
    <x v="0"/>
    <n v="5.080000000000001"/>
    <n v="0.18863013698630129"/>
    <n v="292"/>
    <s v="0.20"/>
    <s v="Spr"/>
    <s v="ing"/>
    <n v="6"/>
    <s v="319|14-01-2011|18"/>
    <m/>
  </r>
  <r>
    <x v="319"/>
    <x v="13"/>
    <x v="0"/>
    <n v="0"/>
    <n v="1"/>
    <x v="19"/>
    <x v="0"/>
    <x v="6"/>
    <x v="0"/>
    <n v="0.16"/>
    <x v="0"/>
    <x v="0"/>
    <n v="5.2000000000000011"/>
    <n v="0.18859106529209613"/>
    <n v="291"/>
    <s v="0.16"/>
    <s v="Spr"/>
    <s v="ing"/>
    <n v="6"/>
    <s v="320|14-01-2011|19"/>
    <m/>
  </r>
  <r>
    <x v="320"/>
    <x v="13"/>
    <x v="0"/>
    <n v="0"/>
    <n v="1"/>
    <x v="20"/>
    <x v="0"/>
    <x v="6"/>
    <x v="0"/>
    <n v="0.18"/>
    <x v="0"/>
    <x v="0"/>
    <n v="5.3600000000000012"/>
    <n v="0.18868965517241368"/>
    <n v="290"/>
    <s v="0.18"/>
    <s v="Spr"/>
    <s v="ing"/>
    <n v="6"/>
    <s v="321|14-01-2011|20"/>
    <m/>
  </r>
  <r>
    <x v="321"/>
    <x v="13"/>
    <x v="0"/>
    <n v="0"/>
    <n v="1"/>
    <x v="21"/>
    <x v="0"/>
    <x v="6"/>
    <x v="0"/>
    <n v="0.16"/>
    <x v="0"/>
    <x v="0"/>
    <n v="5.5000000000000009"/>
    <n v="0.18871972318339086"/>
    <n v="289"/>
    <s v="0.16"/>
    <s v="Spr"/>
    <s v="ing"/>
    <n v="6"/>
    <s v="322|14-01-2011|21"/>
    <m/>
  </r>
  <r>
    <x v="322"/>
    <x v="13"/>
    <x v="0"/>
    <n v="0"/>
    <n v="1"/>
    <x v="22"/>
    <x v="0"/>
    <x v="6"/>
    <x v="1"/>
    <n v="0.16"/>
    <x v="0"/>
    <x v="0"/>
    <n v="5.6400000000000006"/>
    <n v="0.18881944444444432"/>
    <n v="288"/>
    <s v="0.16"/>
    <s v="Spr"/>
    <s v="ing"/>
    <n v="6"/>
    <s v="323|14-01-2011|22"/>
    <m/>
  </r>
  <r>
    <x v="323"/>
    <x v="13"/>
    <x v="0"/>
    <n v="0"/>
    <n v="1"/>
    <x v="23"/>
    <x v="0"/>
    <x v="6"/>
    <x v="1"/>
    <n v="0.18"/>
    <x v="0"/>
    <x v="0"/>
    <n v="5.78"/>
    <n v="0.18891986062717758"/>
    <n v="287"/>
    <s v="0.18"/>
    <s v="Spr"/>
    <s v="ing"/>
    <n v="6"/>
    <s v="324|14-01-2011|23"/>
    <m/>
  </r>
  <r>
    <x v="324"/>
    <x v="14"/>
    <x v="0"/>
    <n v="0"/>
    <n v="1"/>
    <x v="0"/>
    <x v="0"/>
    <x v="0"/>
    <x v="0"/>
    <n v="0.18"/>
    <x v="0"/>
    <x v="0"/>
    <n v="5.8599999999999994"/>
    <n v="0.18895104895104883"/>
    <n v="286"/>
    <s v="0.18"/>
    <s v="Spr"/>
    <s v="ing"/>
    <n v="6"/>
    <s v="325|15-01-2011|0"/>
    <m/>
  </r>
  <r>
    <x v="325"/>
    <x v="14"/>
    <x v="0"/>
    <n v="0"/>
    <n v="1"/>
    <x v="1"/>
    <x v="0"/>
    <x v="0"/>
    <x v="1"/>
    <n v="0.16"/>
    <x v="0"/>
    <x v="0"/>
    <n v="5.9399999999999995"/>
    <n v="0.18898245614035072"/>
    <n v="285"/>
    <s v="0.16"/>
    <s v="Spr"/>
    <s v="ing"/>
    <n v="6"/>
    <s v="326|15-01-2011|1"/>
    <m/>
  </r>
  <r>
    <x v="326"/>
    <x v="14"/>
    <x v="0"/>
    <n v="0"/>
    <n v="1"/>
    <x v="2"/>
    <x v="0"/>
    <x v="0"/>
    <x v="1"/>
    <n v="0.16"/>
    <x v="0"/>
    <x v="0"/>
    <n v="6.0399999999999991"/>
    <n v="0.18908450704225338"/>
    <n v="284"/>
    <s v="0.16"/>
    <s v="Spr"/>
    <s v="ing"/>
    <n v="6"/>
    <s v="327|15-01-2011|2"/>
    <m/>
  </r>
  <r>
    <x v="327"/>
    <x v="14"/>
    <x v="0"/>
    <n v="0"/>
    <n v="1"/>
    <x v="3"/>
    <x v="0"/>
    <x v="0"/>
    <x v="1"/>
    <n v="0.16"/>
    <x v="0"/>
    <x v="0"/>
    <n v="6.0999999999999979"/>
    <n v="0.18918727915194333"/>
    <n v="283"/>
    <s v="0.16"/>
    <s v="Spr"/>
    <s v="ing"/>
    <n v="6"/>
    <s v="328|15-01-2011|3"/>
    <m/>
  </r>
  <r>
    <x v="328"/>
    <x v="14"/>
    <x v="0"/>
    <n v="0"/>
    <n v="1"/>
    <x v="4"/>
    <x v="0"/>
    <x v="0"/>
    <x v="1"/>
    <n v="0.16"/>
    <x v="0"/>
    <x v="0"/>
    <n v="6.1999999999999984"/>
    <n v="0.18929078014184383"/>
    <n v="282"/>
    <s v="0.16"/>
    <s v="Spr"/>
    <s v="ing"/>
    <n v="6"/>
    <s v="329|15-01-2011|4"/>
    <m/>
  </r>
  <r>
    <x v="329"/>
    <x v="14"/>
    <x v="0"/>
    <n v="0"/>
    <n v="1"/>
    <x v="5"/>
    <x v="0"/>
    <x v="0"/>
    <x v="0"/>
    <n v="0.16"/>
    <x v="0"/>
    <x v="0"/>
    <n v="6.299999999999998"/>
    <n v="0.18939501779359416"/>
    <n v="281"/>
    <s v="0.16"/>
    <s v="Spr"/>
    <s v="ing"/>
    <n v="6"/>
    <s v="330|15-01-2011|5"/>
    <m/>
  </r>
  <r>
    <x v="330"/>
    <x v="14"/>
    <x v="0"/>
    <n v="0"/>
    <n v="1"/>
    <x v="6"/>
    <x v="0"/>
    <x v="0"/>
    <x v="0"/>
    <n v="0.14000000000000001"/>
    <x v="0"/>
    <x v="0"/>
    <n v="6.3999999999999977"/>
    <n v="0.18949999999999986"/>
    <n v="280"/>
    <s v="0.14"/>
    <s v="Spr"/>
    <s v="ing"/>
    <n v="6"/>
    <s v="331|15-01-2011|6"/>
    <m/>
  </r>
  <r>
    <x v="331"/>
    <x v="14"/>
    <x v="0"/>
    <n v="0"/>
    <n v="1"/>
    <x v="7"/>
    <x v="0"/>
    <x v="0"/>
    <x v="0"/>
    <n v="0.14000000000000001"/>
    <x v="0"/>
    <x v="0"/>
    <n v="6.4999999999999982"/>
    <n v="0.18967741935483856"/>
    <n v="279"/>
    <s v="0.14"/>
    <s v="Spr"/>
    <s v="ing"/>
    <n v="6"/>
    <s v="332|15-01-2011|7"/>
    <m/>
  </r>
  <r>
    <x v="332"/>
    <x v="14"/>
    <x v="0"/>
    <n v="0"/>
    <n v="1"/>
    <x v="8"/>
    <x v="0"/>
    <x v="0"/>
    <x v="0"/>
    <n v="0.14000000000000001"/>
    <x v="0"/>
    <x v="0"/>
    <n v="6.5799999999999974"/>
    <n v="0.1898561151079135"/>
    <n v="278"/>
    <s v="0.14"/>
    <s v="Spr"/>
    <s v="ing"/>
    <n v="6"/>
    <s v="333|15-01-2011|8"/>
    <m/>
  </r>
  <r>
    <x v="333"/>
    <x v="14"/>
    <x v="0"/>
    <n v="0"/>
    <n v="1"/>
    <x v="9"/>
    <x v="0"/>
    <x v="0"/>
    <x v="0"/>
    <n v="0.16"/>
    <x v="0"/>
    <x v="0"/>
    <n v="6.6599999999999975"/>
    <n v="0.19003610108303234"/>
    <n v="277"/>
    <s v="0.16"/>
    <s v="Spr"/>
    <s v="ing"/>
    <n v="6"/>
    <s v="334|15-01-2011|9"/>
    <m/>
  </r>
  <r>
    <x v="334"/>
    <x v="14"/>
    <x v="0"/>
    <n v="0"/>
    <n v="1"/>
    <x v="10"/>
    <x v="0"/>
    <x v="0"/>
    <x v="0"/>
    <n v="0.18"/>
    <x v="0"/>
    <x v="0"/>
    <n v="6.7199999999999971"/>
    <n v="0.19014492753623172"/>
    <n v="276"/>
    <s v="0.18"/>
    <s v="Spr"/>
    <s v="ing"/>
    <n v="6"/>
    <s v="335|15-01-2011|10"/>
    <m/>
  </r>
  <r>
    <x v="335"/>
    <x v="14"/>
    <x v="0"/>
    <n v="0"/>
    <n v="1"/>
    <x v="11"/>
    <x v="0"/>
    <x v="0"/>
    <x v="0"/>
    <n v="0.2"/>
    <x v="0"/>
    <x v="0"/>
    <n v="6.7799999999999976"/>
    <n v="0.19018181818181801"/>
    <n v="275"/>
    <s v="0.20"/>
    <s v="Spr"/>
    <s v="ing"/>
    <n v="6"/>
    <s v="336|15-01-2011|11"/>
    <m/>
  </r>
  <r>
    <x v="336"/>
    <x v="14"/>
    <x v="0"/>
    <n v="0"/>
    <n v="1"/>
    <x v="12"/>
    <x v="0"/>
    <x v="0"/>
    <x v="0"/>
    <n v="0.24"/>
    <x v="0"/>
    <x v="0"/>
    <n v="6.8199999999999976"/>
    <n v="0.19014598540145972"/>
    <n v="274"/>
    <s v="0.24"/>
    <s v="Spr"/>
    <s v="ing"/>
    <n v="6"/>
    <s v="337|15-01-2011|12"/>
    <m/>
  </r>
  <r>
    <x v="337"/>
    <x v="14"/>
    <x v="0"/>
    <n v="0"/>
    <n v="1"/>
    <x v="13"/>
    <x v="0"/>
    <x v="0"/>
    <x v="0"/>
    <n v="0.28000000000000003"/>
    <x v="0"/>
    <x v="0"/>
    <n v="6.8399999999999981"/>
    <n v="0.18996336996336979"/>
    <n v="273"/>
    <s v="0.28"/>
    <s v="Spr"/>
    <s v="ing"/>
    <n v="6"/>
    <s v="338|15-01-2011|13"/>
    <m/>
  </r>
  <r>
    <x v="338"/>
    <x v="14"/>
    <x v="0"/>
    <n v="0"/>
    <n v="1"/>
    <x v="14"/>
    <x v="0"/>
    <x v="0"/>
    <x v="0"/>
    <n v="0.3"/>
    <x v="0"/>
    <x v="0"/>
    <n v="6.8399999999999981"/>
    <n v="0.18963235294117634"/>
    <n v="272"/>
    <s v="0.30"/>
    <s v="Spr"/>
    <s v="ing"/>
    <n v="6"/>
    <s v="339|15-01-2011|14"/>
    <m/>
  </r>
  <r>
    <x v="339"/>
    <x v="14"/>
    <x v="0"/>
    <n v="0"/>
    <n v="1"/>
    <x v="15"/>
    <x v="0"/>
    <x v="0"/>
    <x v="1"/>
    <n v="0.32"/>
    <x v="0"/>
    <x v="0"/>
    <n v="6.7999999999999989"/>
    <n v="0.18922509225092238"/>
    <n v="271"/>
    <s v="0.32"/>
    <s v="Spr"/>
    <s v="ing"/>
    <n v="6"/>
    <s v="340|15-01-2011|15"/>
    <m/>
  </r>
  <r>
    <x v="340"/>
    <x v="14"/>
    <x v="0"/>
    <n v="0"/>
    <n v="1"/>
    <x v="16"/>
    <x v="0"/>
    <x v="0"/>
    <x v="1"/>
    <n v="0.34"/>
    <x v="0"/>
    <x v="0"/>
    <n v="6.72"/>
    <n v="0.18874074074074065"/>
    <n v="270"/>
    <s v="0.34"/>
    <s v="Spr"/>
    <s v="ing"/>
    <n v="6"/>
    <s v="341|15-01-2011|16"/>
    <m/>
  </r>
  <r>
    <x v="341"/>
    <x v="14"/>
    <x v="0"/>
    <n v="0"/>
    <n v="1"/>
    <x v="17"/>
    <x v="0"/>
    <x v="0"/>
    <x v="1"/>
    <n v="0.32"/>
    <x v="0"/>
    <x v="0"/>
    <n v="6.6"/>
    <n v="0.18817843866170991"/>
    <n v="269"/>
    <s v="0.32"/>
    <s v="Spr"/>
    <s v="ing"/>
    <n v="6"/>
    <s v="342|15-01-2011|17"/>
    <m/>
  </r>
  <r>
    <x v="342"/>
    <x v="14"/>
    <x v="0"/>
    <n v="0"/>
    <n v="1"/>
    <x v="18"/>
    <x v="0"/>
    <x v="0"/>
    <x v="1"/>
    <n v="0.3"/>
    <x v="0"/>
    <x v="0"/>
    <n v="6.4799999999999995"/>
    <n v="0.18768656716417897"/>
    <n v="268"/>
    <s v="0.30"/>
    <s v="Spr"/>
    <s v="ing"/>
    <n v="6"/>
    <s v="343|15-01-2011|18"/>
    <m/>
  </r>
  <r>
    <x v="343"/>
    <x v="14"/>
    <x v="0"/>
    <n v="0"/>
    <n v="1"/>
    <x v="19"/>
    <x v="0"/>
    <x v="0"/>
    <x v="1"/>
    <n v="0.32"/>
    <x v="0"/>
    <x v="0"/>
    <n v="6.36"/>
    <n v="0.18726591760299613"/>
    <n v="267"/>
    <s v="0.32"/>
    <s v="Spr"/>
    <s v="ing"/>
    <n v="6"/>
    <s v="344|15-01-2011|19"/>
    <m/>
  </r>
  <r>
    <x v="344"/>
    <x v="14"/>
    <x v="0"/>
    <n v="0"/>
    <n v="1"/>
    <x v="20"/>
    <x v="0"/>
    <x v="0"/>
    <x v="1"/>
    <n v="0.32"/>
    <x v="0"/>
    <x v="0"/>
    <n v="6.22"/>
    <n v="0.18676691729323297"/>
    <n v="266"/>
    <s v="0.32"/>
    <s v="Spr"/>
    <s v="ing"/>
    <n v="6"/>
    <s v="345|15-01-2011|20"/>
    <m/>
  </r>
  <r>
    <x v="345"/>
    <x v="14"/>
    <x v="0"/>
    <n v="0"/>
    <n v="1"/>
    <x v="21"/>
    <x v="0"/>
    <x v="0"/>
    <x v="1"/>
    <n v="0.32"/>
    <x v="0"/>
    <x v="0"/>
    <n v="6.0799999999999992"/>
    <n v="0.18626415094339605"/>
    <n v="265"/>
    <s v="0.32"/>
    <s v="Spr"/>
    <s v="ing"/>
    <n v="6"/>
    <s v="346|15-01-2011|21"/>
    <m/>
  </r>
  <r>
    <x v="346"/>
    <x v="14"/>
    <x v="0"/>
    <n v="0"/>
    <n v="1"/>
    <x v="22"/>
    <x v="0"/>
    <x v="0"/>
    <x v="1"/>
    <n v="0.3"/>
    <x v="0"/>
    <x v="0"/>
    <n v="5.96"/>
    <n v="0.18575757575757554"/>
    <n v="264"/>
    <s v="0.30"/>
    <s v="Spr"/>
    <s v="ing"/>
    <n v="6"/>
    <s v="347|15-01-2011|22"/>
    <m/>
  </r>
  <r>
    <x v="347"/>
    <x v="14"/>
    <x v="0"/>
    <n v="0"/>
    <n v="1"/>
    <x v="23"/>
    <x v="0"/>
    <x v="0"/>
    <x v="0"/>
    <n v="0.3"/>
    <x v="0"/>
    <x v="0"/>
    <n v="5.86"/>
    <n v="0.1853231939163496"/>
    <n v="263"/>
    <s v="0.30"/>
    <s v="Spr"/>
    <s v="ing"/>
    <n v="6"/>
    <s v="348|15-01-2011|23"/>
    <m/>
  </r>
  <r>
    <x v="348"/>
    <x v="15"/>
    <x v="0"/>
    <n v="0"/>
    <n v="1"/>
    <x v="0"/>
    <x v="0"/>
    <x v="1"/>
    <x v="0"/>
    <n v="0.26"/>
    <x v="0"/>
    <x v="0"/>
    <n v="5.7600000000000007"/>
    <n v="0.18488549618320591"/>
    <n v="262"/>
    <s v="0.26"/>
    <s v="Spr"/>
    <s v="ing"/>
    <n v="6"/>
    <s v="349|16-01-2011|0"/>
    <m/>
  </r>
  <r>
    <x v="349"/>
    <x v="15"/>
    <x v="0"/>
    <n v="0"/>
    <n v="1"/>
    <x v="1"/>
    <x v="0"/>
    <x v="1"/>
    <x v="0"/>
    <n v="0.26"/>
    <x v="0"/>
    <x v="0"/>
    <n v="5.7"/>
    <n v="0.18459770114942511"/>
    <n v="261"/>
    <s v="0.26"/>
    <s v="Spr"/>
    <s v="ing"/>
    <n v="6"/>
    <s v="350|16-01-2011|1"/>
    <m/>
  </r>
  <r>
    <x v="350"/>
    <x v="15"/>
    <x v="0"/>
    <n v="0"/>
    <n v="1"/>
    <x v="2"/>
    <x v="0"/>
    <x v="1"/>
    <x v="0"/>
    <n v="0.26"/>
    <x v="0"/>
    <x v="0"/>
    <n v="5.62"/>
    <n v="0.18430769230769217"/>
    <n v="260"/>
    <s v="0.26"/>
    <s v="Spr"/>
    <s v="ing"/>
    <n v="6"/>
    <s v="351|16-01-2011|2"/>
    <m/>
  </r>
  <r>
    <x v="351"/>
    <x v="15"/>
    <x v="0"/>
    <n v="0"/>
    <n v="1"/>
    <x v="3"/>
    <x v="0"/>
    <x v="1"/>
    <x v="0"/>
    <n v="0.22"/>
    <x v="0"/>
    <x v="0"/>
    <n v="5.54"/>
    <n v="0.18401544401544392"/>
    <n v="259"/>
    <s v="0.22"/>
    <s v="Spr"/>
    <s v="ing"/>
    <n v="6"/>
    <s v="352|16-01-2011|3"/>
    <m/>
  </r>
  <r>
    <x v="352"/>
    <x v="15"/>
    <x v="0"/>
    <n v="0"/>
    <n v="1"/>
    <x v="4"/>
    <x v="0"/>
    <x v="1"/>
    <x v="0"/>
    <n v="0.26"/>
    <x v="0"/>
    <x v="0"/>
    <n v="5.5000000000000009"/>
    <n v="0.18387596899224798"/>
    <n v="258"/>
    <s v="0.26"/>
    <s v="Spr"/>
    <s v="ing"/>
    <n v="6"/>
    <s v="353|16-01-2011|4"/>
    <m/>
  </r>
  <r>
    <x v="353"/>
    <x v="15"/>
    <x v="0"/>
    <n v="0"/>
    <n v="1"/>
    <x v="5"/>
    <x v="0"/>
    <x v="1"/>
    <x v="1"/>
    <n v="0.26"/>
    <x v="0"/>
    <x v="0"/>
    <n v="5.4200000000000008"/>
    <n v="0.18357976653696487"/>
    <n v="257"/>
    <s v="0.26"/>
    <s v="Spr"/>
    <s v="ing"/>
    <n v="6"/>
    <s v="354|16-01-2011|5"/>
    <m/>
  </r>
  <r>
    <x v="354"/>
    <x v="15"/>
    <x v="0"/>
    <n v="0"/>
    <n v="1"/>
    <x v="6"/>
    <x v="0"/>
    <x v="1"/>
    <x v="1"/>
    <n v="0.26"/>
    <x v="0"/>
    <x v="0"/>
    <n v="5.34"/>
    <n v="0.18328124999999981"/>
    <n v="256"/>
    <s v="0.26"/>
    <s v="Spr"/>
    <s v="ing"/>
    <n v="6"/>
    <s v="355|16-01-2011|6"/>
    <m/>
  </r>
  <r>
    <x v="355"/>
    <x v="15"/>
    <x v="0"/>
    <n v="0"/>
    <n v="1"/>
    <x v="7"/>
    <x v="0"/>
    <x v="1"/>
    <x v="1"/>
    <n v="0.24"/>
    <x v="0"/>
    <x v="0"/>
    <n v="5.24"/>
    <n v="0.18298039215686257"/>
    <n v="255"/>
    <s v="0.24"/>
    <s v="Spr"/>
    <s v="ing"/>
    <n v="6"/>
    <s v="356|16-01-2011|7"/>
    <m/>
  </r>
  <r>
    <x v="356"/>
    <x v="15"/>
    <x v="0"/>
    <n v="0"/>
    <n v="1"/>
    <x v="8"/>
    <x v="0"/>
    <x v="1"/>
    <x v="0"/>
    <n v="0.22"/>
    <x v="0"/>
    <x v="0"/>
    <n v="5.160000000000001"/>
    <n v="0.18275590551181084"/>
    <n v="254"/>
    <s v="0.22"/>
    <s v="Spr"/>
    <s v="ing"/>
    <n v="6"/>
    <s v="357|16-01-2011|8"/>
    <m/>
  </r>
  <r>
    <x v="357"/>
    <x v="15"/>
    <x v="0"/>
    <n v="0"/>
    <n v="1"/>
    <x v="9"/>
    <x v="0"/>
    <x v="1"/>
    <x v="0"/>
    <n v="0.22"/>
    <x v="0"/>
    <x v="0"/>
    <n v="5.1000000000000014"/>
    <n v="0.18260869565217375"/>
    <n v="253"/>
    <s v="0.22"/>
    <s v="Spr"/>
    <s v="ing"/>
    <n v="6"/>
    <s v="358|16-01-2011|9"/>
    <m/>
  </r>
  <r>
    <x v="358"/>
    <x v="15"/>
    <x v="0"/>
    <n v="0"/>
    <n v="1"/>
    <x v="10"/>
    <x v="0"/>
    <x v="1"/>
    <x v="0"/>
    <n v="0.22"/>
    <x v="0"/>
    <x v="0"/>
    <n v="5.0400000000000018"/>
    <n v="0.1824603174603173"/>
    <n v="252"/>
    <s v="0.22"/>
    <s v="Spr"/>
    <s v="ing"/>
    <n v="6"/>
    <s v="359|16-01-2011|10"/>
    <m/>
  </r>
  <r>
    <x v="359"/>
    <x v="15"/>
    <x v="0"/>
    <n v="0"/>
    <n v="1"/>
    <x v="11"/>
    <x v="0"/>
    <x v="1"/>
    <x v="0"/>
    <n v="0.24"/>
    <x v="0"/>
    <x v="0"/>
    <n v="4.9800000000000022"/>
    <n v="0.18231075697211141"/>
    <n v="251"/>
    <s v="0.24"/>
    <s v="Spr"/>
    <s v="ing"/>
    <n v="6"/>
    <s v="360|16-01-2011|11"/>
    <m/>
  </r>
  <r>
    <x v="360"/>
    <x v="15"/>
    <x v="0"/>
    <n v="0"/>
    <n v="1"/>
    <x v="12"/>
    <x v="0"/>
    <x v="1"/>
    <x v="0"/>
    <n v="0.24"/>
    <x v="0"/>
    <x v="0"/>
    <n v="4.9200000000000017"/>
    <n v="0.18207999999999985"/>
    <n v="250"/>
    <s v="0.24"/>
    <s v="Spr"/>
    <s v="ing"/>
    <n v="6"/>
    <s v="361|16-01-2011|12"/>
    <m/>
  </r>
  <r>
    <x v="361"/>
    <x v="15"/>
    <x v="0"/>
    <n v="0"/>
    <n v="1"/>
    <x v="13"/>
    <x v="0"/>
    <x v="1"/>
    <x v="0"/>
    <n v="0.26"/>
    <x v="0"/>
    <x v="0"/>
    <n v="4.8600000000000012"/>
    <n v="0.18184738955823276"/>
    <n v="249"/>
    <s v="0.26"/>
    <s v="Spr"/>
    <s v="ing"/>
    <n v="6"/>
    <s v="362|16-01-2011|13"/>
    <m/>
  </r>
  <r>
    <x v="362"/>
    <x v="15"/>
    <x v="0"/>
    <n v="0"/>
    <n v="1"/>
    <x v="14"/>
    <x v="0"/>
    <x v="1"/>
    <x v="0"/>
    <n v="0.28000000000000003"/>
    <x v="0"/>
    <x v="0"/>
    <n v="4.78"/>
    <n v="0.18153225806451598"/>
    <n v="248"/>
    <s v="0.28"/>
    <s v="Spr"/>
    <s v="ing"/>
    <n v="6"/>
    <s v="363|16-01-2011|14"/>
    <m/>
  </r>
  <r>
    <x v="363"/>
    <x v="15"/>
    <x v="0"/>
    <n v="0"/>
    <n v="1"/>
    <x v="15"/>
    <x v="0"/>
    <x v="1"/>
    <x v="0"/>
    <n v="0.26"/>
    <x v="0"/>
    <x v="0"/>
    <n v="4.7000000000000011"/>
    <n v="0.18113360323886626"/>
    <n v="247"/>
    <s v="0.26"/>
    <s v="Spr"/>
    <s v="ing"/>
    <n v="6"/>
    <s v="364|16-01-2011|15"/>
    <m/>
  </r>
  <r>
    <x v="364"/>
    <x v="15"/>
    <x v="0"/>
    <n v="0"/>
    <n v="1"/>
    <x v="16"/>
    <x v="0"/>
    <x v="1"/>
    <x v="0"/>
    <n v="0.24"/>
    <x v="0"/>
    <x v="0"/>
    <n v="4.6400000000000015"/>
    <n v="0.18081300813008114"/>
    <n v="246"/>
    <s v="0.24"/>
    <s v="Spr"/>
    <s v="ing"/>
    <n v="6"/>
    <s v="365|16-01-2011|16"/>
    <m/>
  </r>
  <r>
    <x v="365"/>
    <x v="15"/>
    <x v="0"/>
    <n v="0"/>
    <n v="1"/>
    <x v="17"/>
    <x v="0"/>
    <x v="1"/>
    <x v="0"/>
    <n v="0.22"/>
    <x v="0"/>
    <x v="0"/>
    <n v="4.6000000000000014"/>
    <n v="0.18057142857142841"/>
    <n v="245"/>
    <s v="0.22"/>
    <s v="Spr"/>
    <s v="ing"/>
    <n v="6"/>
    <s v="366|16-01-2011|17"/>
    <m/>
  </r>
  <r>
    <x v="366"/>
    <x v="15"/>
    <x v="0"/>
    <n v="0"/>
    <n v="1"/>
    <x v="18"/>
    <x v="0"/>
    <x v="1"/>
    <x v="0"/>
    <n v="0.2"/>
    <x v="0"/>
    <x v="0"/>
    <n v="4.5600000000000014"/>
    <n v="0.18040983606557365"/>
    <n v="244"/>
    <s v="0.20"/>
    <s v="Spr"/>
    <s v="ing"/>
    <n v="6"/>
    <s v="367|16-01-2011|18"/>
    <m/>
  </r>
  <r>
    <x v="367"/>
    <x v="15"/>
    <x v="0"/>
    <n v="0"/>
    <n v="1"/>
    <x v="19"/>
    <x v="0"/>
    <x v="1"/>
    <x v="0"/>
    <n v="0.18"/>
    <x v="0"/>
    <x v="0"/>
    <n v="4.5400000000000009"/>
    <n v="0.18032921810699576"/>
    <n v="243"/>
    <s v="0.18"/>
    <s v="Spr"/>
    <s v="ing"/>
    <n v="6"/>
    <s v="368|16-01-2011|19"/>
    <m/>
  </r>
  <r>
    <x v="368"/>
    <x v="15"/>
    <x v="0"/>
    <n v="0"/>
    <n v="1"/>
    <x v="20"/>
    <x v="0"/>
    <x v="1"/>
    <x v="0"/>
    <n v="0.18"/>
    <x v="0"/>
    <x v="0"/>
    <n v="4.5200000000000005"/>
    <n v="0.18033057851239659"/>
    <n v="242"/>
    <s v="0.18"/>
    <s v="Spr"/>
    <s v="ing"/>
    <n v="6"/>
    <s v="369|16-01-2011|20"/>
    <m/>
  </r>
  <r>
    <x v="369"/>
    <x v="15"/>
    <x v="0"/>
    <n v="0"/>
    <n v="1"/>
    <x v="21"/>
    <x v="0"/>
    <x v="1"/>
    <x v="0"/>
    <n v="0.18"/>
    <x v="0"/>
    <x v="0"/>
    <n v="4.5000000000000009"/>
    <n v="0.18033195020746876"/>
    <n v="241"/>
    <s v="0.18"/>
    <s v="Spr"/>
    <s v="ing"/>
    <n v="6"/>
    <s v="370|16-01-2011|21"/>
    <m/>
  </r>
  <r>
    <x v="370"/>
    <x v="15"/>
    <x v="0"/>
    <n v="0"/>
    <n v="1"/>
    <x v="22"/>
    <x v="0"/>
    <x v="1"/>
    <x v="1"/>
    <n v="0.2"/>
    <x v="0"/>
    <x v="0"/>
    <n v="4.4600000000000009"/>
    <n v="0.18033333333333321"/>
    <n v="240"/>
    <s v="0.20"/>
    <s v="Spr"/>
    <s v="ing"/>
    <n v="6"/>
    <s v="371|16-01-2011|22"/>
    <m/>
  </r>
  <r>
    <x v="371"/>
    <x v="15"/>
    <x v="0"/>
    <n v="0"/>
    <n v="1"/>
    <x v="23"/>
    <x v="0"/>
    <x v="1"/>
    <x v="1"/>
    <n v="0.2"/>
    <x v="0"/>
    <x v="0"/>
    <n v="4.4200000000000008"/>
    <n v="0.18025104602510447"/>
    <n v="239"/>
    <s v="0.20"/>
    <s v="Spr"/>
    <s v="ing"/>
    <n v="6"/>
    <s v="372|16-01-2011|23"/>
    <m/>
  </r>
  <r>
    <x v="372"/>
    <x v="16"/>
    <x v="0"/>
    <n v="0"/>
    <n v="1"/>
    <x v="0"/>
    <x v="1"/>
    <x v="2"/>
    <x v="1"/>
    <n v="0.2"/>
    <x v="0"/>
    <x v="0"/>
    <n v="4.4200000000000017"/>
    <n v="0.18016806722689066"/>
    <n v="238"/>
    <s v="0.20"/>
    <s v="Spr"/>
    <s v="ing"/>
    <n v="6"/>
    <s v="373|17-01-2011|0"/>
    <m/>
  </r>
  <r>
    <x v="373"/>
    <x v="16"/>
    <x v="0"/>
    <n v="0"/>
    <n v="1"/>
    <x v="1"/>
    <x v="1"/>
    <x v="2"/>
    <x v="1"/>
    <n v="0.2"/>
    <x v="0"/>
    <x v="0"/>
    <n v="4.4200000000000017"/>
    <n v="0.18008438818565389"/>
    <n v="237"/>
    <s v="0.20"/>
    <s v="Spr"/>
    <s v="ing"/>
    <n v="6"/>
    <s v="374|17-01-2011|1"/>
    <m/>
  </r>
  <r>
    <x v="374"/>
    <x v="16"/>
    <x v="0"/>
    <n v="0"/>
    <n v="1"/>
    <x v="2"/>
    <x v="1"/>
    <x v="2"/>
    <x v="1"/>
    <n v="0.18"/>
    <x v="0"/>
    <x v="0"/>
    <n v="4.4400000000000013"/>
    <n v="0.17999999999999991"/>
    <n v="236"/>
    <s v="0.18"/>
    <s v="Spr"/>
    <s v="ing"/>
    <n v="6"/>
    <s v="375|17-01-2011|2"/>
    <m/>
  </r>
  <r>
    <x v="375"/>
    <x v="16"/>
    <x v="0"/>
    <n v="0"/>
    <n v="1"/>
    <x v="3"/>
    <x v="1"/>
    <x v="2"/>
    <x v="1"/>
    <n v="0.18"/>
    <x v="0"/>
    <x v="0"/>
    <n v="4.4800000000000004"/>
    <n v="0.17999999999999991"/>
    <n v="235"/>
    <s v="0.18"/>
    <s v="Spr"/>
    <s v="ing"/>
    <n v="6"/>
    <s v="376|17-01-2011|3"/>
    <m/>
  </r>
  <r>
    <x v="376"/>
    <x v="16"/>
    <x v="0"/>
    <n v="0"/>
    <n v="1"/>
    <x v="4"/>
    <x v="1"/>
    <x v="2"/>
    <x v="1"/>
    <n v="0.18"/>
    <x v="0"/>
    <x v="0"/>
    <n v="4.5200000000000005"/>
    <n v="0.17999999999999991"/>
    <n v="234"/>
    <s v="0.18"/>
    <s v="Spr"/>
    <s v="ing"/>
    <n v="6"/>
    <s v="377|17-01-2011|4"/>
    <m/>
  </r>
  <r>
    <x v="377"/>
    <x v="16"/>
    <x v="0"/>
    <n v="0"/>
    <n v="1"/>
    <x v="5"/>
    <x v="1"/>
    <x v="2"/>
    <x v="1"/>
    <n v="0.18"/>
    <x v="0"/>
    <x v="0"/>
    <n v="4.5600000000000005"/>
    <n v="0.17999999999999991"/>
    <n v="233"/>
    <s v="0.18"/>
    <s v="Spr"/>
    <s v="ing"/>
    <n v="6"/>
    <s v="378|17-01-2011|5"/>
    <m/>
  </r>
  <r>
    <x v="378"/>
    <x v="16"/>
    <x v="0"/>
    <n v="0"/>
    <n v="1"/>
    <x v="6"/>
    <x v="1"/>
    <x v="2"/>
    <x v="1"/>
    <n v="0.18"/>
    <x v="0"/>
    <x v="0"/>
    <n v="4.6000000000000014"/>
    <n v="0.17999999999999991"/>
    <n v="232"/>
    <s v="0.18"/>
    <s v="Spr"/>
    <s v="ing"/>
    <n v="6"/>
    <s v="379|17-01-2011|6"/>
    <m/>
  </r>
  <r>
    <x v="379"/>
    <x v="16"/>
    <x v="0"/>
    <n v="0"/>
    <n v="1"/>
    <x v="7"/>
    <x v="1"/>
    <x v="2"/>
    <x v="1"/>
    <n v="0.16"/>
    <x v="0"/>
    <x v="0"/>
    <n v="4.6400000000000006"/>
    <n v="0.17999999999999991"/>
    <n v="231"/>
    <s v="0.16"/>
    <s v="Spr"/>
    <s v="ing"/>
    <n v="6"/>
    <s v="380|17-01-2011|7"/>
    <m/>
  </r>
  <r>
    <x v="380"/>
    <x v="16"/>
    <x v="0"/>
    <n v="0"/>
    <n v="1"/>
    <x v="8"/>
    <x v="1"/>
    <x v="2"/>
    <x v="1"/>
    <n v="0.16"/>
    <x v="0"/>
    <x v="0"/>
    <n v="4.7"/>
    <n v="0.18008695652173901"/>
    <n v="230"/>
    <s v="0.16"/>
    <s v="Spr"/>
    <s v="ing"/>
    <n v="6"/>
    <s v="381|17-01-2011|8"/>
    <m/>
  </r>
  <r>
    <x v="381"/>
    <x v="16"/>
    <x v="0"/>
    <n v="0"/>
    <n v="1"/>
    <x v="9"/>
    <x v="1"/>
    <x v="2"/>
    <x v="1"/>
    <n v="0.16"/>
    <x v="0"/>
    <x v="0"/>
    <n v="4.7600000000000007"/>
    <n v="0.18017467248908289"/>
    <n v="229"/>
    <s v="0.16"/>
    <s v="Spr"/>
    <s v="ing"/>
    <n v="6"/>
    <s v="382|17-01-2011|9"/>
    <m/>
  </r>
  <r>
    <x v="382"/>
    <x v="16"/>
    <x v="0"/>
    <n v="0"/>
    <n v="1"/>
    <x v="10"/>
    <x v="1"/>
    <x v="2"/>
    <x v="1"/>
    <n v="0.16"/>
    <x v="0"/>
    <x v="0"/>
    <n v="4.82"/>
    <n v="0.18026315789473676"/>
    <n v="228"/>
    <s v="0.16"/>
    <s v="Spr"/>
    <s v="ing"/>
    <n v="6"/>
    <s v="383|17-01-2011|10"/>
    <m/>
  </r>
  <r>
    <x v="383"/>
    <x v="16"/>
    <x v="0"/>
    <n v="0"/>
    <n v="1"/>
    <x v="11"/>
    <x v="1"/>
    <x v="2"/>
    <x v="1"/>
    <n v="0.16"/>
    <x v="0"/>
    <x v="0"/>
    <n v="4.88"/>
    <n v="0.1803524229074889"/>
    <n v="227"/>
    <s v="0.16"/>
    <s v="Spr"/>
    <s v="ing"/>
    <n v="6"/>
    <s v="384|17-01-2011|11"/>
    <m/>
  </r>
  <r>
    <x v="384"/>
    <x v="16"/>
    <x v="0"/>
    <n v="0"/>
    <n v="1"/>
    <x v="12"/>
    <x v="1"/>
    <x v="2"/>
    <x v="1"/>
    <n v="0.18"/>
    <x v="0"/>
    <x v="0"/>
    <n v="4.9400000000000004"/>
    <n v="0.18044247787610615"/>
    <n v="226"/>
    <s v="0.18"/>
    <s v="Spr"/>
    <s v="ing"/>
    <n v="6"/>
    <s v="385|17-01-2011|12"/>
    <m/>
  </r>
  <r>
    <x v="385"/>
    <x v="16"/>
    <x v="0"/>
    <n v="0"/>
    <n v="1"/>
    <x v="13"/>
    <x v="1"/>
    <x v="2"/>
    <x v="1"/>
    <n v="0.18"/>
    <x v="0"/>
    <x v="0"/>
    <n v="4.9800000000000004"/>
    <n v="0.18044444444444438"/>
    <n v="225"/>
    <s v="0.18"/>
    <s v="Spr"/>
    <s v="ing"/>
    <n v="6"/>
    <s v="386|17-01-2011|13"/>
    <m/>
  </r>
  <r>
    <x v="386"/>
    <x v="16"/>
    <x v="0"/>
    <n v="0"/>
    <n v="1"/>
    <x v="14"/>
    <x v="1"/>
    <x v="2"/>
    <x v="1"/>
    <n v="0.18"/>
    <x v="0"/>
    <x v="0"/>
    <n v="5.0200000000000005"/>
    <n v="0.18044642857142848"/>
    <n v="224"/>
    <s v="0.18"/>
    <s v="Spr"/>
    <s v="ing"/>
    <n v="6"/>
    <s v="387|17-01-2011|14"/>
    <m/>
  </r>
  <r>
    <x v="387"/>
    <x v="16"/>
    <x v="0"/>
    <n v="0"/>
    <n v="1"/>
    <x v="15"/>
    <x v="1"/>
    <x v="2"/>
    <x v="1"/>
    <n v="0.2"/>
    <x v="0"/>
    <x v="0"/>
    <n v="5.0600000000000005"/>
    <n v="0.18044843049327344"/>
    <n v="223"/>
    <s v="0.20"/>
    <s v="Spr"/>
    <s v="ing"/>
    <n v="6"/>
    <s v="388|17-01-2011|15"/>
    <m/>
  </r>
  <r>
    <x v="388"/>
    <x v="16"/>
    <x v="0"/>
    <n v="0"/>
    <n v="1"/>
    <x v="16"/>
    <x v="1"/>
    <x v="2"/>
    <x v="1"/>
    <n v="0.2"/>
    <x v="0"/>
    <x v="0"/>
    <n v="5.080000000000001"/>
    <n v="0.18036036036036027"/>
    <n v="222"/>
    <s v="0.20"/>
    <s v="Spr"/>
    <s v="ing"/>
    <n v="6"/>
    <s v="389|17-01-2011|16"/>
    <m/>
  </r>
  <r>
    <x v="389"/>
    <x v="16"/>
    <x v="0"/>
    <n v="0"/>
    <n v="1"/>
    <x v="17"/>
    <x v="1"/>
    <x v="2"/>
    <x v="0"/>
    <n v="0.2"/>
    <x v="0"/>
    <x v="0"/>
    <n v="5.1000000000000005"/>
    <n v="0.18027149321266958"/>
    <n v="221"/>
    <s v="0.20"/>
    <s v="Spr"/>
    <s v="ing"/>
    <n v="6"/>
    <s v="390|17-01-2011|17"/>
    <m/>
  </r>
  <r>
    <x v="390"/>
    <x v="16"/>
    <x v="0"/>
    <n v="0"/>
    <n v="1"/>
    <x v="18"/>
    <x v="1"/>
    <x v="2"/>
    <x v="1"/>
    <n v="0.18"/>
    <x v="0"/>
    <x v="0"/>
    <n v="5.1400000000000006"/>
    <n v="0.18018181818181808"/>
    <n v="220"/>
    <s v="0.18"/>
    <s v="Spr"/>
    <s v="ing"/>
    <n v="6"/>
    <s v="391|17-01-2011|18"/>
    <m/>
  </r>
  <r>
    <x v="391"/>
    <x v="16"/>
    <x v="0"/>
    <n v="0"/>
    <n v="1"/>
    <x v="19"/>
    <x v="1"/>
    <x v="2"/>
    <x v="2"/>
    <n v="0.18"/>
    <x v="0"/>
    <x v="0"/>
    <n v="5.2000000000000011"/>
    <n v="0.18018264840182638"/>
    <n v="219"/>
    <s v="0.18"/>
    <s v="Spr"/>
    <s v="ing"/>
    <n v="6"/>
    <s v="392|17-01-2011|19"/>
    <m/>
  </r>
  <r>
    <x v="392"/>
    <x v="16"/>
    <x v="0"/>
    <n v="0"/>
    <n v="1"/>
    <x v="20"/>
    <x v="1"/>
    <x v="2"/>
    <x v="2"/>
    <n v="0.16"/>
    <x v="0"/>
    <x v="0"/>
    <n v="5.2600000000000016"/>
    <n v="0.18018348623853203"/>
    <n v="218"/>
    <s v="0.16"/>
    <s v="Spr"/>
    <s v="ing"/>
    <n v="6"/>
    <s v="393|17-01-2011|20"/>
    <m/>
  </r>
  <r>
    <x v="393"/>
    <x v="16"/>
    <x v="0"/>
    <n v="0"/>
    <n v="1"/>
    <x v="21"/>
    <x v="1"/>
    <x v="2"/>
    <x v="2"/>
    <n v="0.16"/>
    <x v="0"/>
    <x v="0"/>
    <n v="5.3600000000000021"/>
    <n v="0.18027649769585241"/>
    <n v="217"/>
    <s v="0.16"/>
    <s v="Spr"/>
    <s v="ing"/>
    <n v="6"/>
    <s v="394|17-01-2011|21"/>
    <m/>
  </r>
  <r>
    <x v="394"/>
    <x v="16"/>
    <x v="0"/>
    <n v="0"/>
    <n v="1"/>
    <x v="22"/>
    <x v="1"/>
    <x v="2"/>
    <x v="2"/>
    <n v="0.14000000000000001"/>
    <x v="0"/>
    <x v="0"/>
    <n v="5.4800000000000022"/>
    <n v="0.18037037037037024"/>
    <n v="216"/>
    <s v="0.14"/>
    <s v="Spr"/>
    <s v="ing"/>
    <n v="6"/>
    <s v="395|17-01-2011|22"/>
    <m/>
  </r>
  <r>
    <x v="395"/>
    <x v="16"/>
    <x v="0"/>
    <n v="0"/>
    <n v="1"/>
    <x v="23"/>
    <x v="1"/>
    <x v="2"/>
    <x v="2"/>
    <n v="0.16"/>
    <x v="0"/>
    <x v="0"/>
    <n v="5.6400000000000023"/>
    <n v="0.18055813953488359"/>
    <n v="215"/>
    <s v="0.16"/>
    <s v="Spr"/>
    <s v="ing"/>
    <n v="6"/>
    <s v="396|17-01-2011|23"/>
    <m/>
  </r>
  <r>
    <x v="396"/>
    <x v="17"/>
    <x v="0"/>
    <n v="0"/>
    <n v="1"/>
    <x v="12"/>
    <x v="0"/>
    <x v="3"/>
    <x v="1"/>
    <n v="0.2"/>
    <x v="0"/>
    <x v="0"/>
    <n v="5.8800000000000026"/>
    <n v="0.18065420560747653"/>
    <n v="214"/>
    <s v="0.20"/>
    <s v="Spr"/>
    <s v="ing"/>
    <n v="6"/>
    <s v="397|18-01-2011|12"/>
    <m/>
  </r>
  <r>
    <x v="397"/>
    <x v="17"/>
    <x v="0"/>
    <n v="0"/>
    <n v="1"/>
    <x v="13"/>
    <x v="0"/>
    <x v="3"/>
    <x v="1"/>
    <n v="0.2"/>
    <x v="0"/>
    <x v="0"/>
    <n v="6.0800000000000027"/>
    <n v="0.18056338028169006"/>
    <n v="213"/>
    <s v="0.20"/>
    <s v="Spr"/>
    <s v="ing"/>
    <n v="6"/>
    <s v="398|18-01-2011|13"/>
    <m/>
  </r>
  <r>
    <x v="398"/>
    <x v="17"/>
    <x v="0"/>
    <n v="0"/>
    <n v="1"/>
    <x v="14"/>
    <x v="0"/>
    <x v="3"/>
    <x v="1"/>
    <n v="0.22"/>
    <x v="0"/>
    <x v="0"/>
    <n v="6.2800000000000029"/>
    <n v="0.18047169811320743"/>
    <n v="212"/>
    <s v="0.22"/>
    <s v="Spr"/>
    <s v="ing"/>
    <n v="6"/>
    <s v="399|18-01-2011|14"/>
    <m/>
  </r>
  <r>
    <x v="399"/>
    <x v="17"/>
    <x v="0"/>
    <n v="0"/>
    <n v="1"/>
    <x v="15"/>
    <x v="0"/>
    <x v="3"/>
    <x v="1"/>
    <n v="0.22"/>
    <x v="0"/>
    <x v="0"/>
    <n v="6.4400000000000022"/>
    <n v="0.18028436018957336"/>
    <n v="211"/>
    <s v="0.22"/>
    <s v="Spr"/>
    <s v="ing"/>
    <n v="6"/>
    <s v="400|18-01-2011|15"/>
    <m/>
  </r>
  <r>
    <x v="400"/>
    <x v="17"/>
    <x v="0"/>
    <n v="0"/>
    <n v="1"/>
    <x v="16"/>
    <x v="0"/>
    <x v="3"/>
    <x v="1"/>
    <n v="0.22"/>
    <x v="0"/>
    <x v="0"/>
    <n v="6.5800000000000027"/>
    <n v="0.180095238095238"/>
    <n v="210"/>
    <s v="0.22"/>
    <s v="Spr"/>
    <s v="ing"/>
    <n v="6"/>
    <s v="401|18-01-2011|16"/>
    <m/>
  </r>
  <r>
    <x v="401"/>
    <x v="17"/>
    <x v="0"/>
    <n v="0"/>
    <n v="1"/>
    <x v="17"/>
    <x v="0"/>
    <x v="3"/>
    <x v="1"/>
    <n v="0.22"/>
    <x v="0"/>
    <x v="0"/>
    <n v="6.700000000000002"/>
    <n v="0.17990430622009559"/>
    <n v="209"/>
    <s v="0.22"/>
    <s v="Spr"/>
    <s v="ing"/>
    <n v="6"/>
    <s v="402|18-01-2011|17"/>
    <m/>
  </r>
  <r>
    <x v="402"/>
    <x v="17"/>
    <x v="0"/>
    <n v="0"/>
    <n v="1"/>
    <x v="18"/>
    <x v="0"/>
    <x v="3"/>
    <x v="1"/>
    <n v="0.22"/>
    <x v="0"/>
    <x v="0"/>
    <n v="6.8000000000000025"/>
    <n v="0.17971153846153837"/>
    <n v="208"/>
    <s v="0.22"/>
    <s v="Spr"/>
    <s v="ing"/>
    <n v="6"/>
    <s v="403|18-01-2011|18"/>
    <m/>
  </r>
  <r>
    <x v="403"/>
    <x v="17"/>
    <x v="0"/>
    <n v="0"/>
    <n v="1"/>
    <x v="19"/>
    <x v="0"/>
    <x v="3"/>
    <x v="1"/>
    <n v="0.22"/>
    <x v="0"/>
    <x v="0"/>
    <n v="6.9000000000000021"/>
    <n v="0.17951690821256031"/>
    <n v="207"/>
    <s v="0.22"/>
    <s v="Spr"/>
    <s v="ing"/>
    <n v="6"/>
    <s v="404|18-01-2011|19"/>
    <m/>
  </r>
  <r>
    <x v="404"/>
    <x v="17"/>
    <x v="0"/>
    <n v="0"/>
    <n v="1"/>
    <x v="20"/>
    <x v="0"/>
    <x v="3"/>
    <x v="1"/>
    <n v="0.22"/>
    <x v="0"/>
    <x v="0"/>
    <n v="7.0000000000000027"/>
    <n v="0.17932038834951447"/>
    <n v="206"/>
    <s v="0.22"/>
    <s v="Spr"/>
    <s v="ing"/>
    <n v="6"/>
    <s v="405|18-01-2011|20"/>
    <m/>
  </r>
  <r>
    <x v="405"/>
    <x v="17"/>
    <x v="0"/>
    <n v="0"/>
    <n v="1"/>
    <x v="21"/>
    <x v="0"/>
    <x v="3"/>
    <x v="1"/>
    <n v="0.22"/>
    <x v="0"/>
    <x v="0"/>
    <n v="7.080000000000001"/>
    <n v="0.17912195121951213"/>
    <n v="205"/>
    <s v="0.22"/>
    <s v="Spr"/>
    <s v="ing"/>
    <n v="6"/>
    <s v="406|18-01-2011|21"/>
    <m/>
  </r>
  <r>
    <x v="406"/>
    <x v="17"/>
    <x v="0"/>
    <n v="0"/>
    <n v="1"/>
    <x v="22"/>
    <x v="0"/>
    <x v="3"/>
    <x v="1"/>
    <n v="0.22"/>
    <x v="0"/>
    <x v="0"/>
    <n v="7.160000000000001"/>
    <n v="0.17892156862745087"/>
    <n v="204"/>
    <s v="0.22"/>
    <s v="Spr"/>
    <s v="ing"/>
    <n v="6"/>
    <s v="407|18-01-2011|22"/>
    <m/>
  </r>
  <r>
    <x v="407"/>
    <x v="17"/>
    <x v="0"/>
    <n v="0"/>
    <n v="1"/>
    <x v="23"/>
    <x v="0"/>
    <x v="3"/>
    <x v="1"/>
    <n v="0.22"/>
    <x v="0"/>
    <x v="0"/>
    <n v="7.2"/>
    <n v="0.17871921182266001"/>
    <n v="203"/>
    <s v="0.22"/>
    <s v="Spr"/>
    <s v="ing"/>
    <n v="6"/>
    <s v="408|18-01-2011|23"/>
    <m/>
  </r>
  <r>
    <x v="408"/>
    <x v="18"/>
    <x v="0"/>
    <n v="0"/>
    <n v="1"/>
    <x v="0"/>
    <x v="0"/>
    <x v="4"/>
    <x v="1"/>
    <n v="0.22"/>
    <x v="0"/>
    <x v="0"/>
    <n v="7.24"/>
    <n v="0.17851485148514842"/>
    <n v="202"/>
    <s v="0.22"/>
    <s v="Spr"/>
    <s v="ing"/>
    <n v="6"/>
    <s v="409|19-01-2011|0"/>
    <m/>
  </r>
  <r>
    <x v="409"/>
    <x v="18"/>
    <x v="0"/>
    <n v="0"/>
    <n v="1"/>
    <x v="1"/>
    <x v="0"/>
    <x v="4"/>
    <x v="2"/>
    <n v="0.22"/>
    <x v="0"/>
    <x v="0"/>
    <n v="7.28"/>
    <n v="0.17830845771144266"/>
    <n v="201"/>
    <s v="0.22"/>
    <s v="Spr"/>
    <s v="ing"/>
    <n v="6"/>
    <s v="410|19-01-2011|1"/>
    <m/>
  </r>
  <r>
    <x v="410"/>
    <x v="18"/>
    <x v="0"/>
    <n v="0"/>
    <n v="1"/>
    <x v="2"/>
    <x v="0"/>
    <x v="4"/>
    <x v="2"/>
    <n v="0.22"/>
    <x v="0"/>
    <x v="0"/>
    <n v="7.3199999999999994"/>
    <n v="0.17809999999999984"/>
    <n v="200"/>
    <s v="0.22"/>
    <s v="Spr"/>
    <s v="ing"/>
    <n v="6"/>
    <s v="411|19-01-2011|2"/>
    <m/>
  </r>
  <r>
    <x v="411"/>
    <x v="18"/>
    <x v="0"/>
    <n v="0"/>
    <n v="1"/>
    <x v="4"/>
    <x v="0"/>
    <x v="4"/>
    <x v="2"/>
    <n v="0.22"/>
    <x v="0"/>
    <x v="0"/>
    <n v="7.3599999999999994"/>
    <n v="0.17788944723618075"/>
    <n v="199"/>
    <s v="0.22"/>
    <s v="Spr"/>
    <s v="ing"/>
    <n v="6"/>
    <s v="412|19-01-2011|4"/>
    <m/>
  </r>
  <r>
    <x v="412"/>
    <x v="18"/>
    <x v="0"/>
    <n v="0"/>
    <n v="1"/>
    <x v="5"/>
    <x v="0"/>
    <x v="4"/>
    <x v="1"/>
    <n v="0.22"/>
    <x v="0"/>
    <x v="0"/>
    <n v="7.379999999999999"/>
    <n v="0.17767676767676754"/>
    <n v="198"/>
    <s v="0.22"/>
    <s v="Spr"/>
    <s v="ing"/>
    <n v="6"/>
    <s v="413|19-01-2011|5"/>
    <m/>
  </r>
  <r>
    <x v="413"/>
    <x v="18"/>
    <x v="0"/>
    <n v="0"/>
    <n v="1"/>
    <x v="6"/>
    <x v="0"/>
    <x v="4"/>
    <x v="1"/>
    <n v="0.22"/>
    <x v="0"/>
    <x v="0"/>
    <n v="7.379999999999999"/>
    <n v="0.17746192893400997"/>
    <n v="197"/>
    <s v="0.22"/>
    <s v="Spr"/>
    <s v="ing"/>
    <n v="6"/>
    <s v="414|19-01-2011|6"/>
    <m/>
  </r>
  <r>
    <x v="414"/>
    <x v="18"/>
    <x v="0"/>
    <n v="0"/>
    <n v="1"/>
    <x v="7"/>
    <x v="0"/>
    <x v="4"/>
    <x v="1"/>
    <n v="0.24"/>
    <x v="0"/>
    <x v="0"/>
    <n v="7.3799999999999981"/>
    <n v="0.17724489795918349"/>
    <n v="196"/>
    <s v="0.24"/>
    <s v="Spr"/>
    <s v="ing"/>
    <n v="6"/>
    <s v="415|19-01-2011|7"/>
    <m/>
  </r>
  <r>
    <x v="415"/>
    <x v="18"/>
    <x v="0"/>
    <n v="0"/>
    <n v="1"/>
    <x v="8"/>
    <x v="0"/>
    <x v="4"/>
    <x v="1"/>
    <n v="0.24"/>
    <x v="0"/>
    <x v="0"/>
    <n v="7.3599999999999977"/>
    <n v="0.17692307692307674"/>
    <n v="195"/>
    <s v="0.24"/>
    <s v="Spr"/>
    <s v="ing"/>
    <n v="6"/>
    <s v="416|19-01-2011|8"/>
    <m/>
  </r>
  <r>
    <x v="416"/>
    <x v="18"/>
    <x v="0"/>
    <n v="0"/>
    <n v="1"/>
    <x v="9"/>
    <x v="0"/>
    <x v="4"/>
    <x v="1"/>
    <n v="0.24"/>
    <x v="0"/>
    <x v="0"/>
    <n v="7.3599999999999977"/>
    <n v="0.1765979381443297"/>
    <n v="194"/>
    <s v="0.24"/>
    <s v="Spr"/>
    <s v="ing"/>
    <n v="6"/>
    <s v="417|19-01-2011|9"/>
    <m/>
  </r>
  <r>
    <x v="417"/>
    <x v="18"/>
    <x v="0"/>
    <n v="0"/>
    <n v="1"/>
    <x v="10"/>
    <x v="0"/>
    <x v="4"/>
    <x v="1"/>
    <n v="0.26"/>
    <x v="0"/>
    <x v="0"/>
    <n v="7.3799999999999972"/>
    <n v="0.17626943005181323"/>
    <n v="193"/>
    <s v="0.26"/>
    <s v="Spr"/>
    <s v="ing"/>
    <n v="6"/>
    <s v="418|19-01-2011|10"/>
    <m/>
  </r>
  <r>
    <x v="418"/>
    <x v="18"/>
    <x v="0"/>
    <n v="0"/>
    <n v="1"/>
    <x v="11"/>
    <x v="0"/>
    <x v="4"/>
    <x v="1"/>
    <n v="0.28000000000000003"/>
    <x v="0"/>
    <x v="0"/>
    <n v="7.3999999999999977"/>
    <n v="0.17583333333333309"/>
    <n v="192"/>
    <s v="0.28"/>
    <s v="Spr"/>
    <s v="ing"/>
    <n v="6"/>
    <s v="419|19-01-2011|11"/>
    <m/>
  </r>
  <r>
    <x v="419"/>
    <x v="18"/>
    <x v="0"/>
    <n v="0"/>
    <n v="1"/>
    <x v="12"/>
    <x v="0"/>
    <x v="4"/>
    <x v="1"/>
    <n v="0.3"/>
    <x v="0"/>
    <x v="0"/>
    <n v="7.4199999999999973"/>
    <n v="0.17528795811518308"/>
    <n v="191"/>
    <s v="0.30"/>
    <s v="Spr"/>
    <s v="ing"/>
    <n v="6"/>
    <s v="420|19-01-2011|12"/>
    <m/>
  </r>
  <r>
    <x v="420"/>
    <x v="18"/>
    <x v="0"/>
    <n v="0"/>
    <n v="1"/>
    <x v="13"/>
    <x v="0"/>
    <x v="4"/>
    <x v="0"/>
    <n v="0.4"/>
    <x v="0"/>
    <x v="0"/>
    <n v="7.3999999999999977"/>
    <n v="0.17463157894736828"/>
    <n v="190"/>
    <s v="0.40"/>
    <s v="Spr"/>
    <s v="ing"/>
    <n v="6"/>
    <s v="421|19-01-2011|13"/>
    <m/>
  </r>
  <r>
    <x v="421"/>
    <x v="18"/>
    <x v="0"/>
    <n v="0"/>
    <n v="1"/>
    <x v="14"/>
    <x v="0"/>
    <x v="4"/>
    <x v="0"/>
    <n v="0.4"/>
    <x v="0"/>
    <x v="0"/>
    <n v="7.299999999999998"/>
    <n v="0.17343915343915328"/>
    <n v="189"/>
    <s v="0.40"/>
    <s v="Spr"/>
    <s v="ing"/>
    <n v="6"/>
    <s v="422|19-01-2011|14"/>
    <m/>
  </r>
  <r>
    <x v="422"/>
    <x v="18"/>
    <x v="0"/>
    <n v="0"/>
    <n v="1"/>
    <x v="15"/>
    <x v="0"/>
    <x v="4"/>
    <x v="0"/>
    <n v="0.4"/>
    <x v="0"/>
    <x v="0"/>
    <n v="7.2199999999999989"/>
    <n v="0.1722340425531913"/>
    <n v="188"/>
    <s v="0.40"/>
    <s v="Spr"/>
    <s v="ing"/>
    <n v="6"/>
    <s v="423|19-01-2011|15"/>
    <m/>
  </r>
  <r>
    <x v="423"/>
    <x v="18"/>
    <x v="0"/>
    <n v="0"/>
    <n v="1"/>
    <x v="16"/>
    <x v="0"/>
    <x v="4"/>
    <x v="0"/>
    <n v="0.38"/>
    <x v="0"/>
    <x v="0"/>
    <n v="7.1199999999999983"/>
    <n v="0.17101604278074847"/>
    <n v="187"/>
    <s v="0.38"/>
    <s v="Spr"/>
    <s v="ing"/>
    <n v="6"/>
    <s v="424|19-01-2011|16"/>
    <m/>
  </r>
  <r>
    <x v="424"/>
    <x v="18"/>
    <x v="0"/>
    <n v="0"/>
    <n v="1"/>
    <x v="17"/>
    <x v="0"/>
    <x v="4"/>
    <x v="0"/>
    <n v="0.36"/>
    <x v="0"/>
    <x v="0"/>
    <n v="7.0399999999999991"/>
    <n v="0.16989247311827937"/>
    <n v="186"/>
    <s v="0.36"/>
    <s v="Spr"/>
    <s v="ing"/>
    <n v="6"/>
    <s v="425|19-01-2011|17"/>
    <m/>
  </r>
  <r>
    <x v="425"/>
    <x v="18"/>
    <x v="0"/>
    <n v="0"/>
    <n v="1"/>
    <x v="18"/>
    <x v="0"/>
    <x v="4"/>
    <x v="0"/>
    <n v="0.34"/>
    <x v="0"/>
    <x v="0"/>
    <n v="6.9399999999999995"/>
    <n v="0.16886486486486466"/>
    <n v="185"/>
    <s v="0.34"/>
    <s v="Spr"/>
    <s v="ing"/>
    <n v="6"/>
    <s v="426|19-01-2011|18"/>
    <m/>
  </r>
  <r>
    <x v="426"/>
    <x v="18"/>
    <x v="0"/>
    <n v="0"/>
    <n v="1"/>
    <x v="19"/>
    <x v="0"/>
    <x v="4"/>
    <x v="0"/>
    <n v="0.32"/>
    <x v="0"/>
    <x v="0"/>
    <n v="6.8599999999999994"/>
    <n v="0.16793478260869546"/>
    <n v="184"/>
    <s v="0.32"/>
    <s v="Spr"/>
    <s v="ing"/>
    <n v="6"/>
    <s v="427|19-01-2011|19"/>
    <m/>
  </r>
  <r>
    <x v="427"/>
    <x v="18"/>
    <x v="0"/>
    <n v="0"/>
    <n v="1"/>
    <x v="20"/>
    <x v="0"/>
    <x v="4"/>
    <x v="0"/>
    <n v="0.32"/>
    <x v="0"/>
    <x v="0"/>
    <n v="6.8"/>
    <n v="0.16710382513661179"/>
    <n v="183"/>
    <s v="0.32"/>
    <s v="Spr"/>
    <s v="ing"/>
    <n v="6"/>
    <s v="428|19-01-2011|20"/>
    <m/>
  </r>
  <r>
    <x v="428"/>
    <x v="18"/>
    <x v="0"/>
    <n v="0"/>
    <n v="1"/>
    <x v="21"/>
    <x v="0"/>
    <x v="4"/>
    <x v="0"/>
    <n v="0.32"/>
    <x v="0"/>
    <x v="0"/>
    <n v="6.72"/>
    <n v="0.16626373626373603"/>
    <n v="182"/>
    <s v="0.32"/>
    <s v="Spr"/>
    <s v="ing"/>
    <n v="6"/>
    <s v="429|19-01-2011|21"/>
    <m/>
  </r>
  <r>
    <x v="429"/>
    <x v="18"/>
    <x v="0"/>
    <n v="0"/>
    <n v="1"/>
    <x v="22"/>
    <x v="0"/>
    <x v="4"/>
    <x v="0"/>
    <n v="0.3"/>
    <x v="0"/>
    <x v="0"/>
    <n v="6.6400000000000006"/>
    <n v="0.16541436464088374"/>
    <n v="181"/>
    <s v="0.30"/>
    <s v="Spr"/>
    <s v="ing"/>
    <n v="6"/>
    <s v="430|19-01-2011|22"/>
    <m/>
  </r>
  <r>
    <x v="430"/>
    <x v="18"/>
    <x v="0"/>
    <n v="0"/>
    <n v="1"/>
    <x v="23"/>
    <x v="0"/>
    <x v="4"/>
    <x v="0"/>
    <n v="0.3"/>
    <x v="0"/>
    <x v="0"/>
    <n v="6.58"/>
    <n v="0.16466666666666643"/>
    <n v="180"/>
    <s v="0.30"/>
    <s v="Spr"/>
    <s v="ing"/>
    <n v="6"/>
    <s v="431|19-01-2011|23"/>
    <m/>
  </r>
  <r>
    <x v="431"/>
    <x v="19"/>
    <x v="0"/>
    <n v="0"/>
    <n v="1"/>
    <x v="0"/>
    <x v="0"/>
    <x v="5"/>
    <x v="0"/>
    <n v="0.26"/>
    <x v="0"/>
    <x v="0"/>
    <n v="6.5200000000000005"/>
    <n v="0.16391061452513941"/>
    <n v="179"/>
    <s v="0.26"/>
    <s v="Spr"/>
    <s v="ing"/>
    <n v="6"/>
    <s v="432|20-01-2011|0"/>
    <m/>
  </r>
  <r>
    <x v="432"/>
    <x v="19"/>
    <x v="0"/>
    <n v="0"/>
    <n v="1"/>
    <x v="1"/>
    <x v="0"/>
    <x v="5"/>
    <x v="0"/>
    <n v="0.26"/>
    <x v="0"/>
    <x v="0"/>
    <n v="6.5"/>
    <n v="0.16337078651685372"/>
    <n v="178"/>
    <s v="0.26"/>
    <s v="Spr"/>
    <s v="ing"/>
    <n v="6"/>
    <s v="433|20-01-2011|1"/>
    <m/>
  </r>
  <r>
    <x v="433"/>
    <x v="19"/>
    <x v="0"/>
    <n v="0"/>
    <n v="1"/>
    <x v="2"/>
    <x v="0"/>
    <x v="5"/>
    <x v="0"/>
    <n v="0.26"/>
    <x v="0"/>
    <x v="0"/>
    <n v="6.48"/>
    <n v="0.16282485875706193"/>
    <n v="177"/>
    <s v="0.26"/>
    <s v="Spr"/>
    <s v="ing"/>
    <n v="6"/>
    <s v="434|20-01-2011|2"/>
    <m/>
  </r>
  <r>
    <x v="434"/>
    <x v="19"/>
    <x v="0"/>
    <n v="0"/>
    <n v="1"/>
    <x v="3"/>
    <x v="0"/>
    <x v="5"/>
    <x v="0"/>
    <n v="0.26"/>
    <x v="0"/>
    <x v="0"/>
    <n v="6.44"/>
    <n v="0.16227272727272704"/>
    <n v="176"/>
    <s v="0.26"/>
    <s v="Spr"/>
    <s v="ing"/>
    <n v="6"/>
    <s v="435|20-01-2011|3"/>
    <m/>
  </r>
  <r>
    <x v="435"/>
    <x v="19"/>
    <x v="0"/>
    <n v="0"/>
    <n v="1"/>
    <x v="4"/>
    <x v="0"/>
    <x v="5"/>
    <x v="0"/>
    <n v="0.26"/>
    <x v="0"/>
    <x v="0"/>
    <n v="6.3999999999999995"/>
    <n v="0.16171428571428548"/>
    <n v="175"/>
    <s v="0.26"/>
    <s v="Spr"/>
    <s v="ing"/>
    <n v="6"/>
    <s v="436|20-01-2011|4"/>
    <m/>
  </r>
  <r>
    <x v="436"/>
    <x v="19"/>
    <x v="0"/>
    <n v="0"/>
    <n v="1"/>
    <x v="5"/>
    <x v="0"/>
    <x v="5"/>
    <x v="0"/>
    <n v="0.24"/>
    <x v="0"/>
    <x v="0"/>
    <n v="6.38"/>
    <n v="0.1611494252873561"/>
    <n v="174"/>
    <s v="0.24"/>
    <s v="Spr"/>
    <s v="ing"/>
    <n v="6"/>
    <s v="437|20-01-2011|5"/>
    <m/>
  </r>
  <r>
    <x v="437"/>
    <x v="19"/>
    <x v="0"/>
    <n v="0"/>
    <n v="1"/>
    <x v="6"/>
    <x v="0"/>
    <x v="5"/>
    <x v="0"/>
    <n v="0.22"/>
    <x v="0"/>
    <x v="0"/>
    <n v="6.36"/>
    <n v="0.16069364161849689"/>
    <n v="173"/>
    <s v="0.22"/>
    <s v="Spr"/>
    <s v="ing"/>
    <n v="6"/>
    <s v="438|20-01-2011|6"/>
    <m/>
  </r>
  <r>
    <x v="438"/>
    <x v="19"/>
    <x v="0"/>
    <n v="0"/>
    <n v="1"/>
    <x v="7"/>
    <x v="0"/>
    <x v="5"/>
    <x v="0"/>
    <n v="0.22"/>
    <x v="0"/>
    <x v="0"/>
    <n v="6.34"/>
    <n v="0.1603488372093021"/>
    <n v="172"/>
    <s v="0.22"/>
    <s v="Spr"/>
    <s v="ing"/>
    <n v="6"/>
    <s v="439|20-01-2011|7"/>
    <m/>
  </r>
  <r>
    <x v="439"/>
    <x v="19"/>
    <x v="0"/>
    <n v="0"/>
    <n v="1"/>
    <x v="8"/>
    <x v="0"/>
    <x v="5"/>
    <x v="0"/>
    <n v="0.22"/>
    <x v="0"/>
    <x v="0"/>
    <n v="6.32"/>
    <n v="0.15999999999999978"/>
    <n v="171"/>
    <s v="0.22"/>
    <s v="Spr"/>
    <s v="ing"/>
    <n v="6"/>
    <s v="440|20-01-2011|8"/>
    <m/>
  </r>
  <r>
    <x v="440"/>
    <x v="19"/>
    <x v="0"/>
    <n v="0"/>
    <n v="1"/>
    <x v="9"/>
    <x v="0"/>
    <x v="5"/>
    <x v="1"/>
    <n v="0.24"/>
    <x v="0"/>
    <x v="0"/>
    <n v="6.3000000000000007"/>
    <n v="0.1596470588235292"/>
    <n v="170"/>
    <s v="0.24"/>
    <s v="Spr"/>
    <s v="ing"/>
    <n v="6"/>
    <s v="441|20-01-2011|9"/>
    <m/>
  </r>
  <r>
    <x v="441"/>
    <x v="19"/>
    <x v="0"/>
    <n v="0"/>
    <n v="1"/>
    <x v="10"/>
    <x v="0"/>
    <x v="5"/>
    <x v="0"/>
    <n v="0.26"/>
    <x v="0"/>
    <x v="0"/>
    <n v="6.2600000000000007"/>
    <n v="0.1591715976331359"/>
    <n v="169"/>
    <s v="0.26"/>
    <s v="Spr"/>
    <s v="ing"/>
    <n v="6"/>
    <s v="442|20-01-2011|10"/>
    <m/>
  </r>
  <r>
    <x v="442"/>
    <x v="19"/>
    <x v="0"/>
    <n v="0"/>
    <n v="1"/>
    <x v="11"/>
    <x v="0"/>
    <x v="5"/>
    <x v="1"/>
    <n v="0.28000000000000003"/>
    <x v="0"/>
    <x v="0"/>
    <n v="6.2200000000000006"/>
    <n v="0.15857142857142836"/>
    <n v="168"/>
    <s v="0.28"/>
    <s v="Spr"/>
    <s v="ing"/>
    <n v="6"/>
    <s v="443|20-01-2011|11"/>
    <m/>
  </r>
  <r>
    <x v="443"/>
    <x v="19"/>
    <x v="0"/>
    <n v="0"/>
    <n v="1"/>
    <x v="12"/>
    <x v="0"/>
    <x v="5"/>
    <x v="1"/>
    <n v="0.3"/>
    <x v="0"/>
    <x v="0"/>
    <n v="6.160000000000001"/>
    <n v="0.15784431137724531"/>
    <n v="167"/>
    <s v="0.30"/>
    <s v="Spr"/>
    <s v="ing"/>
    <n v="6"/>
    <s v="444|20-01-2011|12"/>
    <m/>
  </r>
  <r>
    <x v="444"/>
    <x v="19"/>
    <x v="0"/>
    <n v="0"/>
    <n v="1"/>
    <x v="13"/>
    <x v="0"/>
    <x v="5"/>
    <x v="1"/>
    <n v="0.28000000000000003"/>
    <x v="0"/>
    <x v="0"/>
    <n v="6.0600000000000023"/>
    <n v="0.15698795180722872"/>
    <n v="166"/>
    <s v="0.28"/>
    <s v="Spr"/>
    <s v="ing"/>
    <n v="6"/>
    <s v="445|20-01-2011|13"/>
    <m/>
  </r>
  <r>
    <x v="445"/>
    <x v="19"/>
    <x v="0"/>
    <n v="0"/>
    <n v="1"/>
    <x v="14"/>
    <x v="0"/>
    <x v="5"/>
    <x v="1"/>
    <n v="0.3"/>
    <x v="0"/>
    <x v="0"/>
    <n v="5.9800000000000022"/>
    <n v="0.15624242424242404"/>
    <n v="165"/>
    <s v="0.30"/>
    <s v="Spr"/>
    <s v="ing"/>
    <n v="6"/>
    <s v="446|20-01-2011|14"/>
    <m/>
  </r>
  <r>
    <x v="446"/>
    <x v="19"/>
    <x v="0"/>
    <n v="0"/>
    <n v="1"/>
    <x v="15"/>
    <x v="0"/>
    <x v="5"/>
    <x v="1"/>
    <n v="0.32"/>
    <x v="0"/>
    <x v="0"/>
    <n v="5.8400000000000016"/>
    <n v="0.15536585365853636"/>
    <n v="164"/>
    <s v="0.32"/>
    <s v="Spr"/>
    <s v="ing"/>
    <n v="6"/>
    <s v="447|20-01-2011|15"/>
    <m/>
  </r>
  <r>
    <x v="447"/>
    <x v="19"/>
    <x v="0"/>
    <n v="0"/>
    <n v="1"/>
    <x v="16"/>
    <x v="0"/>
    <x v="5"/>
    <x v="1"/>
    <n v="0.3"/>
    <x v="0"/>
    <x v="0"/>
    <n v="5.6800000000000015"/>
    <n v="0.15435582822085869"/>
    <n v="163"/>
    <s v="0.30"/>
    <s v="Spr"/>
    <s v="ing"/>
    <n v="6"/>
    <s v="448|20-01-2011|16"/>
    <m/>
  </r>
  <r>
    <x v="448"/>
    <x v="19"/>
    <x v="0"/>
    <n v="0"/>
    <n v="1"/>
    <x v="17"/>
    <x v="0"/>
    <x v="5"/>
    <x v="1"/>
    <n v="0.3"/>
    <x v="0"/>
    <x v="0"/>
    <n v="5.5200000000000014"/>
    <n v="0.15345679012345659"/>
    <n v="162"/>
    <s v="0.30"/>
    <s v="Spr"/>
    <s v="ing"/>
    <n v="6"/>
    <s v="449|20-01-2011|17"/>
    <m/>
  </r>
  <r>
    <x v="449"/>
    <x v="19"/>
    <x v="0"/>
    <n v="0"/>
    <n v="1"/>
    <x v="18"/>
    <x v="0"/>
    <x v="5"/>
    <x v="1"/>
    <n v="0.26"/>
    <x v="0"/>
    <x v="0"/>
    <n v="5.3400000000000016"/>
    <n v="0.15254658385093148"/>
    <n v="161"/>
    <s v="0.26"/>
    <s v="Spr"/>
    <s v="ing"/>
    <n v="6"/>
    <s v="450|20-01-2011|18"/>
    <m/>
  </r>
  <r>
    <x v="450"/>
    <x v="19"/>
    <x v="0"/>
    <n v="0"/>
    <n v="1"/>
    <x v="19"/>
    <x v="0"/>
    <x v="5"/>
    <x v="0"/>
    <n v="0.26"/>
    <x v="0"/>
    <x v="0"/>
    <n v="5.200000000000002"/>
    <n v="0.15187499999999982"/>
    <n v="160"/>
    <s v="0.26"/>
    <s v="Spr"/>
    <s v="ing"/>
    <n v="6"/>
    <s v="451|20-01-2011|19"/>
    <m/>
  </r>
  <r>
    <x v="451"/>
    <x v="19"/>
    <x v="0"/>
    <n v="0"/>
    <n v="1"/>
    <x v="20"/>
    <x v="0"/>
    <x v="5"/>
    <x v="1"/>
    <n v="0.26"/>
    <x v="0"/>
    <x v="0"/>
    <n v="5.0400000000000009"/>
    <n v="0.15119496855345893"/>
    <n v="159"/>
    <s v="0.26"/>
    <s v="Spr"/>
    <s v="ing"/>
    <n v="6"/>
    <s v="452|20-01-2011|20"/>
    <m/>
  </r>
  <r>
    <x v="452"/>
    <x v="19"/>
    <x v="0"/>
    <n v="0"/>
    <n v="1"/>
    <x v="21"/>
    <x v="0"/>
    <x v="5"/>
    <x v="1"/>
    <n v="0.24"/>
    <x v="0"/>
    <x v="0"/>
    <n v="4.8600000000000012"/>
    <n v="0.15050632911392386"/>
    <n v="158"/>
    <s v="0.24"/>
    <s v="Spr"/>
    <s v="ing"/>
    <n v="6"/>
    <s v="453|20-01-2011|21"/>
    <m/>
  </r>
  <r>
    <x v="453"/>
    <x v="19"/>
    <x v="0"/>
    <n v="0"/>
    <n v="1"/>
    <x v="22"/>
    <x v="0"/>
    <x v="5"/>
    <x v="1"/>
    <n v="0.24"/>
    <x v="0"/>
    <x v="0"/>
    <n v="4.6800000000000006"/>
    <n v="0.1499363057324839"/>
    <n v="157"/>
    <s v="0.24"/>
    <s v="Spr"/>
    <s v="ing"/>
    <n v="6"/>
    <s v="454|20-01-2011|22"/>
    <m/>
  </r>
  <r>
    <x v="454"/>
    <x v="19"/>
    <x v="0"/>
    <n v="0"/>
    <n v="1"/>
    <x v="23"/>
    <x v="0"/>
    <x v="5"/>
    <x v="1"/>
    <n v="0.24"/>
    <x v="0"/>
    <x v="0"/>
    <n v="4.5000000000000009"/>
    <n v="0.14935897435897422"/>
    <n v="156"/>
    <s v="0.24"/>
    <s v="Spr"/>
    <s v="ing"/>
    <n v="6"/>
    <s v="455|20-01-2011|23"/>
    <m/>
  </r>
  <r>
    <x v="455"/>
    <x v="20"/>
    <x v="0"/>
    <n v="0"/>
    <n v="1"/>
    <x v="0"/>
    <x v="0"/>
    <x v="6"/>
    <x v="1"/>
    <n v="0.24"/>
    <x v="0"/>
    <x v="0"/>
    <n v="4.3000000000000007"/>
    <n v="0.14877419354838697"/>
    <n v="155"/>
    <s v="0.24"/>
    <s v="Spr"/>
    <s v="ing"/>
    <n v="6"/>
    <s v="456|21-01-2011|0"/>
    <m/>
  </r>
  <r>
    <x v="456"/>
    <x v="20"/>
    <x v="0"/>
    <n v="0"/>
    <n v="1"/>
    <x v="1"/>
    <x v="0"/>
    <x v="6"/>
    <x v="1"/>
    <n v="0.24"/>
    <x v="0"/>
    <x v="0"/>
    <n v="4.1000000000000014"/>
    <n v="0.14818181818181805"/>
    <n v="154"/>
    <s v="0.24"/>
    <s v="Spr"/>
    <s v="ing"/>
    <n v="6"/>
    <s v="457|21-01-2011|1"/>
    <m/>
  </r>
  <r>
    <x v="457"/>
    <x v="20"/>
    <x v="0"/>
    <n v="0"/>
    <n v="1"/>
    <x v="2"/>
    <x v="0"/>
    <x v="6"/>
    <x v="2"/>
    <n v="0.24"/>
    <x v="0"/>
    <x v="0"/>
    <n v="3.9000000000000012"/>
    <n v="0.14758169934640511"/>
    <n v="153"/>
    <s v="0.24"/>
    <s v="Spr"/>
    <s v="ing"/>
    <n v="6"/>
    <s v="458|21-01-2011|2"/>
    <m/>
  </r>
  <r>
    <x v="458"/>
    <x v="20"/>
    <x v="0"/>
    <n v="0"/>
    <n v="1"/>
    <x v="3"/>
    <x v="0"/>
    <x v="6"/>
    <x v="2"/>
    <n v="0.22"/>
    <x v="0"/>
    <x v="0"/>
    <n v="3.7000000000000011"/>
    <n v="0.1469736842105262"/>
    <n v="152"/>
    <s v="0.22"/>
    <s v="Spr"/>
    <s v="ing"/>
    <n v="6"/>
    <s v="459|21-01-2011|3"/>
    <m/>
  </r>
  <r>
    <x v="459"/>
    <x v="20"/>
    <x v="0"/>
    <n v="0"/>
    <n v="1"/>
    <x v="4"/>
    <x v="0"/>
    <x v="6"/>
    <x v="1"/>
    <n v="0.22"/>
    <x v="0"/>
    <x v="0"/>
    <n v="3.5000000000000009"/>
    <n v="0.14649006622516544"/>
    <n v="151"/>
    <s v="0.22"/>
    <s v="Spr"/>
    <s v="ing"/>
    <n v="6"/>
    <s v="460|21-01-2011|4"/>
    <m/>
  </r>
  <r>
    <x v="460"/>
    <x v="20"/>
    <x v="0"/>
    <n v="0"/>
    <n v="1"/>
    <x v="5"/>
    <x v="0"/>
    <x v="6"/>
    <x v="0"/>
    <n v="0.24"/>
    <x v="0"/>
    <x v="0"/>
    <n v="3.3000000000000007"/>
    <n v="0.14599999999999991"/>
    <n v="150"/>
    <s v="0.24"/>
    <s v="Spr"/>
    <s v="ing"/>
    <n v="6"/>
    <s v="461|21-01-2011|5"/>
    <m/>
  </r>
  <r>
    <x v="461"/>
    <x v="20"/>
    <x v="0"/>
    <n v="0"/>
    <n v="1"/>
    <x v="6"/>
    <x v="0"/>
    <x v="6"/>
    <x v="0"/>
    <n v="0.22"/>
    <x v="0"/>
    <x v="0"/>
    <n v="3.080000000000001"/>
    <n v="0.14536912751677844"/>
    <n v="149"/>
    <s v="0.22"/>
    <s v="Spr"/>
    <s v="ing"/>
    <n v="6"/>
    <s v="462|21-01-2011|6"/>
    <m/>
  </r>
  <r>
    <x v="462"/>
    <x v="20"/>
    <x v="0"/>
    <n v="0"/>
    <n v="1"/>
    <x v="7"/>
    <x v="0"/>
    <x v="6"/>
    <x v="0"/>
    <n v="0.2"/>
    <x v="0"/>
    <x v="0"/>
    <n v="2.8800000000000003"/>
    <n v="0.14486486486486477"/>
    <n v="148"/>
    <s v="0.20"/>
    <s v="Spr"/>
    <s v="ing"/>
    <n v="6"/>
    <s v="463|21-01-2011|7"/>
    <m/>
  </r>
  <r>
    <x v="463"/>
    <x v="20"/>
    <x v="0"/>
    <n v="0"/>
    <n v="1"/>
    <x v="8"/>
    <x v="0"/>
    <x v="6"/>
    <x v="0"/>
    <n v="0.2"/>
    <x v="0"/>
    <x v="0"/>
    <n v="2.7200000000000006"/>
    <n v="0.14448979591836728"/>
    <n v="147"/>
    <s v="0.20"/>
    <s v="Spr"/>
    <s v="ing"/>
    <n v="6"/>
    <s v="464|21-01-2011|8"/>
    <m/>
  </r>
  <r>
    <x v="464"/>
    <x v="20"/>
    <x v="0"/>
    <n v="0"/>
    <n v="1"/>
    <x v="9"/>
    <x v="0"/>
    <x v="6"/>
    <x v="0"/>
    <n v="0.2"/>
    <x v="0"/>
    <x v="0"/>
    <n v="2.5600000000000005"/>
    <n v="0.14410958904109583"/>
    <n v="146"/>
    <s v="0.20"/>
    <s v="Spr"/>
    <s v="ing"/>
    <n v="6"/>
    <s v="465|21-01-2011|9"/>
    <m/>
  </r>
  <r>
    <x v="465"/>
    <x v="20"/>
    <x v="0"/>
    <n v="0"/>
    <n v="1"/>
    <x v="10"/>
    <x v="0"/>
    <x v="6"/>
    <x v="0"/>
    <n v="0.2"/>
    <x v="0"/>
    <x v="0"/>
    <n v="2.4200000000000008"/>
    <n v="0.14372413793103445"/>
    <n v="145"/>
    <s v="0.20"/>
    <s v="Spr"/>
    <s v="ing"/>
    <n v="6"/>
    <s v="466|21-01-2011|10"/>
    <m/>
  </r>
  <r>
    <x v="466"/>
    <x v="20"/>
    <x v="0"/>
    <n v="0"/>
    <n v="1"/>
    <x v="11"/>
    <x v="0"/>
    <x v="6"/>
    <x v="0"/>
    <n v="0.22"/>
    <x v="0"/>
    <x v="0"/>
    <n v="2.2800000000000007"/>
    <n v="0.14333333333333328"/>
    <n v="144"/>
    <s v="0.22"/>
    <s v="Spr"/>
    <s v="ing"/>
    <n v="6"/>
    <s v="467|21-01-2011|11"/>
    <m/>
  </r>
  <r>
    <x v="467"/>
    <x v="20"/>
    <x v="0"/>
    <n v="0"/>
    <n v="1"/>
    <x v="12"/>
    <x v="0"/>
    <x v="6"/>
    <x v="0"/>
    <n v="0.22"/>
    <x v="0"/>
    <x v="0"/>
    <n v="2.140000000000001"/>
    <n v="0.14279720279720279"/>
    <n v="143"/>
    <s v="0.22"/>
    <s v="Spr"/>
    <s v="ing"/>
    <n v="6"/>
    <s v="468|21-01-2011|12"/>
    <m/>
  </r>
  <r>
    <x v="468"/>
    <x v="20"/>
    <x v="0"/>
    <n v="0"/>
    <n v="1"/>
    <x v="13"/>
    <x v="0"/>
    <x v="6"/>
    <x v="0"/>
    <n v="0.2"/>
    <x v="0"/>
    <x v="0"/>
    <n v="2.0200000000000009"/>
    <n v="0.14225352112676054"/>
    <n v="142"/>
    <s v="0.20"/>
    <s v="Spr"/>
    <s v="ing"/>
    <n v="6"/>
    <s v="469|21-01-2011|13"/>
    <m/>
  </r>
  <r>
    <x v="469"/>
    <x v="20"/>
    <x v="0"/>
    <n v="0"/>
    <n v="1"/>
    <x v="14"/>
    <x v="0"/>
    <x v="6"/>
    <x v="0"/>
    <n v="0.2"/>
    <x v="0"/>
    <x v="0"/>
    <n v="1.9400000000000008"/>
    <n v="0.14184397163120566"/>
    <n v="141"/>
    <s v="0.20"/>
    <s v="Spr"/>
    <s v="ing"/>
    <n v="6"/>
    <s v="470|21-01-2011|14"/>
    <m/>
  </r>
  <r>
    <x v="470"/>
    <x v="20"/>
    <x v="0"/>
    <n v="0"/>
    <n v="1"/>
    <x v="15"/>
    <x v="0"/>
    <x v="6"/>
    <x v="0"/>
    <n v="0.16"/>
    <x v="0"/>
    <x v="0"/>
    <n v="1.8600000000000008"/>
    <n v="0.14142857142857143"/>
    <n v="140"/>
    <s v="0.16"/>
    <s v="Spr"/>
    <s v="ing"/>
    <n v="6"/>
    <s v="471|21-01-2011|15"/>
    <m/>
  </r>
  <r>
    <x v="471"/>
    <x v="20"/>
    <x v="0"/>
    <n v="0"/>
    <n v="1"/>
    <x v="16"/>
    <x v="0"/>
    <x v="6"/>
    <x v="0"/>
    <n v="0.16"/>
    <x v="0"/>
    <x v="0"/>
    <n v="1.8200000000000007"/>
    <n v="0.14129496402877698"/>
    <n v="139"/>
    <s v="0.16"/>
    <s v="Spr"/>
    <s v="ing"/>
    <n v="6"/>
    <s v="472|21-01-2011|16"/>
    <m/>
  </r>
  <r>
    <x v="472"/>
    <x v="20"/>
    <x v="0"/>
    <n v="0"/>
    <n v="1"/>
    <x v="17"/>
    <x v="0"/>
    <x v="6"/>
    <x v="0"/>
    <n v="0.14000000000000001"/>
    <x v="0"/>
    <x v="0"/>
    <n v="1.7400000000000007"/>
    <n v="0.14115942028985506"/>
    <n v="138"/>
    <s v="0.14"/>
    <s v="Spr"/>
    <s v="ing"/>
    <n v="6"/>
    <s v="473|21-01-2011|17"/>
    <m/>
  </r>
  <r>
    <x v="473"/>
    <x v="20"/>
    <x v="0"/>
    <n v="0"/>
    <n v="1"/>
    <x v="18"/>
    <x v="0"/>
    <x v="6"/>
    <x v="0"/>
    <n v="0.12"/>
    <x v="0"/>
    <x v="0"/>
    <n v="1.680000000000001"/>
    <n v="0.14116788321167884"/>
    <n v="137"/>
    <s v="0.12"/>
    <s v="Spr"/>
    <s v="ing"/>
    <n v="6"/>
    <s v="474|21-01-2011|18"/>
    <m/>
  </r>
  <r>
    <x v="474"/>
    <x v="20"/>
    <x v="0"/>
    <n v="0"/>
    <n v="1"/>
    <x v="19"/>
    <x v="0"/>
    <x v="6"/>
    <x v="0"/>
    <n v="0.12"/>
    <x v="0"/>
    <x v="0"/>
    <n v="1.6200000000000006"/>
    <n v="0.14132352941176471"/>
    <n v="136"/>
    <s v="0.12"/>
    <s v="Spr"/>
    <s v="ing"/>
    <n v="6"/>
    <s v="475|21-01-2011|19"/>
    <m/>
  </r>
  <r>
    <x v="475"/>
    <x v="20"/>
    <x v="0"/>
    <n v="0"/>
    <n v="1"/>
    <x v="20"/>
    <x v="0"/>
    <x v="6"/>
    <x v="0"/>
    <n v="0.1"/>
    <x v="0"/>
    <x v="0"/>
    <n v="1.5600000000000005"/>
    <n v="0.14148148148148149"/>
    <n v="135"/>
    <s v="0.10"/>
    <s v="Spr"/>
    <s v="ing"/>
    <n v="6"/>
    <s v="476|21-01-2011|20"/>
    <m/>
  </r>
  <r>
    <x v="476"/>
    <x v="20"/>
    <x v="0"/>
    <n v="0"/>
    <n v="1"/>
    <x v="21"/>
    <x v="0"/>
    <x v="6"/>
    <x v="0"/>
    <n v="0.08"/>
    <x v="0"/>
    <x v="0"/>
    <n v="1.5200000000000005"/>
    <n v="0.14179104477611942"/>
    <n v="134"/>
    <s v="0.08"/>
    <s v="Spr"/>
    <s v="ing"/>
    <n v="6"/>
    <s v="477|21-01-2011|21"/>
    <m/>
  </r>
  <r>
    <x v="477"/>
    <x v="20"/>
    <x v="0"/>
    <n v="0"/>
    <n v="1"/>
    <x v="22"/>
    <x v="0"/>
    <x v="6"/>
    <x v="0"/>
    <n v="0.06"/>
    <x v="0"/>
    <x v="0"/>
    <n v="1.4800000000000004"/>
    <n v="0.14225563909774439"/>
    <n v="133"/>
    <s v="0.06"/>
    <s v="Spr"/>
    <s v="ing"/>
    <n v="6"/>
    <s v="478|21-01-2011|22"/>
    <m/>
  </r>
  <r>
    <x v="478"/>
    <x v="20"/>
    <x v="0"/>
    <n v="0"/>
    <n v="1"/>
    <x v="23"/>
    <x v="0"/>
    <x v="6"/>
    <x v="0"/>
    <n v="0.06"/>
    <x v="0"/>
    <x v="0"/>
    <n v="1.4600000000000004"/>
    <n v="0.14287878787878791"/>
    <n v="132"/>
    <s v="0.06"/>
    <s v="Spr"/>
    <s v="ing"/>
    <n v="6"/>
    <s v="479|21-01-2011|23"/>
    <m/>
  </r>
  <r>
    <x v="479"/>
    <x v="21"/>
    <x v="0"/>
    <n v="0"/>
    <n v="1"/>
    <x v="0"/>
    <x v="0"/>
    <x v="0"/>
    <x v="0"/>
    <n v="0.04"/>
    <x v="0"/>
    <x v="0"/>
    <n v="1.4400000000000002"/>
    <n v="0.14351145038167942"/>
    <n v="131"/>
    <s v="0.04"/>
    <s v="Spr"/>
    <s v="ing"/>
    <n v="6"/>
    <s v="480|22-01-2011|0"/>
    <m/>
  </r>
  <r>
    <x v="480"/>
    <x v="21"/>
    <x v="0"/>
    <n v="0"/>
    <n v="1"/>
    <x v="1"/>
    <x v="0"/>
    <x v="0"/>
    <x v="1"/>
    <n v="0.04"/>
    <x v="0"/>
    <x v="0"/>
    <n v="1.4200000000000004"/>
    <n v="0.14430769230769236"/>
    <n v="130"/>
    <s v="0.04"/>
    <s v="Spr"/>
    <s v="ing"/>
    <n v="6"/>
    <s v="481|22-01-2011|1"/>
    <m/>
  </r>
  <r>
    <x v="481"/>
    <x v="21"/>
    <x v="0"/>
    <n v="0"/>
    <n v="1"/>
    <x v="2"/>
    <x v="0"/>
    <x v="0"/>
    <x v="1"/>
    <n v="0.04"/>
    <x v="0"/>
    <x v="0"/>
    <n v="1.4000000000000004"/>
    <n v="0.14511627906976746"/>
    <n v="129"/>
    <s v="0.04"/>
    <s v="Spr"/>
    <s v="ing"/>
    <n v="6"/>
    <s v="482|22-01-2011|2"/>
    <m/>
  </r>
  <r>
    <x v="482"/>
    <x v="21"/>
    <x v="0"/>
    <n v="0"/>
    <n v="1"/>
    <x v="3"/>
    <x v="0"/>
    <x v="0"/>
    <x v="1"/>
    <n v="0.04"/>
    <x v="0"/>
    <x v="0"/>
    <n v="1.4000000000000004"/>
    <n v="0.14593750000000003"/>
    <n v="128"/>
    <s v="0.04"/>
    <s v="Spr"/>
    <s v="ing"/>
    <n v="6"/>
    <s v="483|22-01-2011|3"/>
    <m/>
  </r>
  <r>
    <x v="483"/>
    <x v="21"/>
    <x v="0"/>
    <n v="0"/>
    <n v="1"/>
    <x v="4"/>
    <x v="0"/>
    <x v="0"/>
    <x v="1"/>
    <n v="0.02"/>
    <x v="0"/>
    <x v="0"/>
    <n v="1.4000000000000004"/>
    <n v="0.14677165354330712"/>
    <n v="127"/>
    <s v="0.02"/>
    <s v="Spr"/>
    <s v="ing"/>
    <n v="6"/>
    <s v="484|22-01-2011|4"/>
    <m/>
  </r>
  <r>
    <x v="484"/>
    <x v="21"/>
    <x v="0"/>
    <n v="0"/>
    <n v="1"/>
    <x v="6"/>
    <x v="0"/>
    <x v="0"/>
    <x v="1"/>
    <n v="0.02"/>
    <x v="0"/>
    <x v="0"/>
    <n v="1.4600000000000004"/>
    <n v="0.14777777777777781"/>
    <n v="126"/>
    <s v="0.02"/>
    <s v="Spr"/>
    <s v="ing"/>
    <n v="6"/>
    <s v="485|22-01-2011|6"/>
    <m/>
  </r>
  <r>
    <x v="485"/>
    <x v="21"/>
    <x v="0"/>
    <n v="0"/>
    <n v="1"/>
    <x v="7"/>
    <x v="0"/>
    <x v="0"/>
    <x v="0"/>
    <n v="0.02"/>
    <x v="0"/>
    <x v="0"/>
    <n v="1.5000000000000004"/>
    <n v="0.14880000000000004"/>
    <n v="125"/>
    <s v="0.02"/>
    <s v="Spr"/>
    <s v="ing"/>
    <n v="6"/>
    <s v="486|22-01-2011|7"/>
    <m/>
  </r>
  <r>
    <x v="486"/>
    <x v="21"/>
    <x v="0"/>
    <n v="0"/>
    <n v="1"/>
    <x v="8"/>
    <x v="0"/>
    <x v="0"/>
    <x v="0"/>
    <n v="0.02"/>
    <x v="0"/>
    <x v="0"/>
    <n v="1.5800000000000005"/>
    <n v="0.14983870967741938"/>
    <n v="124"/>
    <s v="0.02"/>
    <s v="Spr"/>
    <s v="ing"/>
    <n v="6"/>
    <s v="487|22-01-2011|8"/>
    <m/>
  </r>
  <r>
    <x v="487"/>
    <x v="21"/>
    <x v="0"/>
    <n v="0"/>
    <n v="1"/>
    <x v="9"/>
    <x v="0"/>
    <x v="0"/>
    <x v="0"/>
    <n v="0.04"/>
    <x v="0"/>
    <x v="0"/>
    <n v="1.7000000000000006"/>
    <n v="0.15089430894308947"/>
    <n v="123"/>
    <s v="0.04"/>
    <s v="Spr"/>
    <s v="ing"/>
    <n v="6"/>
    <s v="488|22-01-2011|9"/>
    <m/>
  </r>
  <r>
    <x v="488"/>
    <x v="21"/>
    <x v="0"/>
    <n v="0"/>
    <n v="1"/>
    <x v="10"/>
    <x v="0"/>
    <x v="0"/>
    <x v="1"/>
    <n v="0.04"/>
    <x v="0"/>
    <x v="0"/>
    <n v="1.8000000000000007"/>
    <n v="0.15180327868852461"/>
    <n v="122"/>
    <s v="0.04"/>
    <s v="Spr"/>
    <s v="ing"/>
    <n v="6"/>
    <s v="489|22-01-2011|10"/>
    <m/>
  </r>
  <r>
    <x v="489"/>
    <x v="21"/>
    <x v="0"/>
    <n v="0"/>
    <n v="1"/>
    <x v="11"/>
    <x v="0"/>
    <x v="0"/>
    <x v="1"/>
    <n v="0.06"/>
    <x v="0"/>
    <x v="0"/>
    <n v="1.9200000000000006"/>
    <n v="0.15272727272727277"/>
    <n v="121"/>
    <s v="0.06"/>
    <s v="Spr"/>
    <s v="ing"/>
    <n v="6"/>
    <s v="490|22-01-2011|11"/>
    <m/>
  </r>
  <r>
    <x v="490"/>
    <x v="21"/>
    <x v="0"/>
    <n v="0"/>
    <n v="1"/>
    <x v="12"/>
    <x v="0"/>
    <x v="0"/>
    <x v="1"/>
    <n v="0.06"/>
    <x v="0"/>
    <x v="0"/>
    <n v="2.0000000000000004"/>
    <n v="0.15350000000000003"/>
    <n v="120"/>
    <s v="0.06"/>
    <s v="Spr"/>
    <s v="ing"/>
    <n v="6"/>
    <s v="491|22-01-2011|12"/>
    <m/>
  </r>
  <r>
    <x v="491"/>
    <x v="21"/>
    <x v="0"/>
    <n v="0"/>
    <n v="1"/>
    <x v="13"/>
    <x v="0"/>
    <x v="0"/>
    <x v="0"/>
    <n v="0.08"/>
    <x v="0"/>
    <x v="0"/>
    <n v="2.1000000000000005"/>
    <n v="0.1542857142857143"/>
    <n v="119"/>
    <s v="0.08"/>
    <s v="Spr"/>
    <s v="ing"/>
    <n v="6"/>
    <s v="492|22-01-2011|13"/>
    <m/>
  </r>
  <r>
    <x v="492"/>
    <x v="21"/>
    <x v="0"/>
    <n v="0"/>
    <n v="1"/>
    <x v="14"/>
    <x v="0"/>
    <x v="0"/>
    <x v="0"/>
    <n v="0.1"/>
    <x v="0"/>
    <x v="0"/>
    <n v="2.1800000000000006"/>
    <n v="0.15491525423728816"/>
    <n v="118"/>
    <s v="0.10"/>
    <s v="Spr"/>
    <s v="ing"/>
    <n v="6"/>
    <s v="493|22-01-2011|14"/>
    <m/>
  </r>
  <r>
    <x v="493"/>
    <x v="21"/>
    <x v="0"/>
    <n v="0"/>
    <n v="1"/>
    <x v="15"/>
    <x v="0"/>
    <x v="0"/>
    <x v="0"/>
    <n v="0.12"/>
    <x v="0"/>
    <x v="0"/>
    <n v="2.2400000000000007"/>
    <n v="0.1553846153846154"/>
    <n v="117"/>
    <s v="0.12"/>
    <s v="Spr"/>
    <s v="ing"/>
    <n v="6"/>
    <s v="494|22-01-2011|15"/>
    <m/>
  </r>
  <r>
    <x v="494"/>
    <x v="21"/>
    <x v="0"/>
    <n v="0"/>
    <n v="1"/>
    <x v="16"/>
    <x v="0"/>
    <x v="0"/>
    <x v="0"/>
    <n v="0.12"/>
    <x v="0"/>
    <x v="0"/>
    <n v="2.2600000000000002"/>
    <n v="0.15568965517241382"/>
    <n v="116"/>
    <s v="0.12"/>
    <s v="Spr"/>
    <s v="ing"/>
    <n v="6"/>
    <s v="495|22-01-2011|16"/>
    <m/>
  </r>
  <r>
    <x v="495"/>
    <x v="21"/>
    <x v="0"/>
    <n v="0"/>
    <n v="1"/>
    <x v="17"/>
    <x v="0"/>
    <x v="0"/>
    <x v="0"/>
    <n v="0.12"/>
    <x v="0"/>
    <x v="0"/>
    <n v="2.2599999999999998"/>
    <n v="0.156"/>
    <n v="115"/>
    <s v="0.12"/>
    <s v="Spr"/>
    <s v="ing"/>
    <n v="6"/>
    <s v="496|22-01-2011|17"/>
    <m/>
  </r>
  <r>
    <x v="496"/>
    <x v="21"/>
    <x v="0"/>
    <n v="0"/>
    <n v="1"/>
    <x v="18"/>
    <x v="0"/>
    <x v="0"/>
    <x v="0"/>
    <n v="0.08"/>
    <x v="0"/>
    <x v="0"/>
    <n v="2.2599999999999998"/>
    <n v="0.15631578947368421"/>
    <n v="114"/>
    <s v="0.08"/>
    <s v="Spr"/>
    <s v="ing"/>
    <n v="6"/>
    <s v="497|22-01-2011|18"/>
    <m/>
  </r>
  <r>
    <x v="497"/>
    <x v="21"/>
    <x v="0"/>
    <n v="0"/>
    <n v="1"/>
    <x v="19"/>
    <x v="0"/>
    <x v="0"/>
    <x v="0"/>
    <n v="0.08"/>
    <x v="0"/>
    <x v="0"/>
    <n v="2.2799999999999998"/>
    <n v="0.15699115044247788"/>
    <n v="113"/>
    <s v="0.08"/>
    <s v="Spr"/>
    <s v="ing"/>
    <n v="6"/>
    <s v="498|22-01-2011|19"/>
    <m/>
  </r>
  <r>
    <x v="498"/>
    <x v="21"/>
    <x v="0"/>
    <n v="0"/>
    <n v="1"/>
    <x v="20"/>
    <x v="0"/>
    <x v="0"/>
    <x v="0"/>
    <n v="0.06"/>
    <x v="0"/>
    <x v="0"/>
    <n v="2.3000000000000003"/>
    <n v="0.15767857142857147"/>
    <n v="112"/>
    <s v="0.06"/>
    <s v="Spr"/>
    <s v="ing"/>
    <n v="6"/>
    <s v="499|22-01-2011|20"/>
    <m/>
  </r>
  <r>
    <x v="499"/>
    <x v="21"/>
    <x v="0"/>
    <n v="0"/>
    <n v="1"/>
    <x v="21"/>
    <x v="0"/>
    <x v="0"/>
    <x v="0"/>
    <n v="0.06"/>
    <x v="0"/>
    <x v="0"/>
    <n v="2.3200000000000003"/>
    <n v="0.15855855855855858"/>
    <n v="111"/>
    <s v="0.06"/>
    <s v="Spr"/>
    <s v="ing"/>
    <n v="6"/>
    <s v="500|22-01-2011|21"/>
    <m/>
  </r>
  <r>
    <x v="500"/>
    <x v="21"/>
    <x v="0"/>
    <n v="0"/>
    <n v="1"/>
    <x v="22"/>
    <x v="0"/>
    <x v="0"/>
    <x v="0"/>
    <n v="0.06"/>
    <x v="0"/>
    <x v="0"/>
    <n v="2.3200000000000003"/>
    <n v="0.15945454545454549"/>
    <n v="110"/>
    <s v="0.06"/>
    <s v="Spr"/>
    <s v="ing"/>
    <n v="6"/>
    <s v="501|22-01-2011|22"/>
    <m/>
  </r>
  <r>
    <x v="501"/>
    <x v="21"/>
    <x v="0"/>
    <n v="0"/>
    <n v="1"/>
    <x v="23"/>
    <x v="0"/>
    <x v="0"/>
    <x v="0"/>
    <n v="0.04"/>
    <x v="0"/>
    <x v="0"/>
    <n v="2.3200000000000003"/>
    <n v="0.16036697247706422"/>
    <n v="109"/>
    <s v="0.04"/>
    <s v="Spr"/>
    <s v="ing"/>
    <n v="6"/>
    <s v="502|22-01-2011|23"/>
    <m/>
  </r>
  <r>
    <x v="502"/>
    <x v="22"/>
    <x v="0"/>
    <n v="0"/>
    <n v="1"/>
    <x v="0"/>
    <x v="0"/>
    <x v="1"/>
    <x v="0"/>
    <n v="0.04"/>
    <x v="0"/>
    <x v="0"/>
    <n v="2.3200000000000003"/>
    <n v="0.1614814814814815"/>
    <n v="108"/>
    <s v="0.04"/>
    <s v="Spr"/>
    <s v="ing"/>
    <n v="6"/>
    <s v="503|23-01-2011|0"/>
    <m/>
  </r>
  <r>
    <x v="503"/>
    <x v="22"/>
    <x v="0"/>
    <n v="0"/>
    <n v="1"/>
    <x v="1"/>
    <x v="0"/>
    <x v="1"/>
    <x v="0"/>
    <n v="0.04"/>
    <x v="0"/>
    <x v="0"/>
    <n v="2.3200000000000007"/>
    <n v="0.16261682242990655"/>
    <n v="107"/>
    <s v="0.04"/>
    <s v="Spr"/>
    <s v="ing"/>
    <n v="6"/>
    <s v="504|23-01-2011|1"/>
    <m/>
  </r>
  <r>
    <x v="504"/>
    <x v="22"/>
    <x v="0"/>
    <n v="0"/>
    <n v="1"/>
    <x v="2"/>
    <x v="0"/>
    <x v="1"/>
    <x v="0"/>
    <n v="0.02"/>
    <x v="0"/>
    <x v="0"/>
    <n v="2.3000000000000007"/>
    <n v="0.16377358490566041"/>
    <n v="106"/>
    <s v="0.02"/>
    <s v="Spr"/>
    <s v="ing"/>
    <n v="6"/>
    <s v="505|23-01-2011|2"/>
    <m/>
  </r>
  <r>
    <x v="505"/>
    <x v="22"/>
    <x v="0"/>
    <n v="0"/>
    <n v="1"/>
    <x v="3"/>
    <x v="0"/>
    <x v="1"/>
    <x v="0"/>
    <n v="0.02"/>
    <x v="0"/>
    <x v="0"/>
    <n v="2.3000000000000007"/>
    <n v="0.16514285714285717"/>
    <n v="105"/>
    <s v="0.02"/>
    <s v="Spr"/>
    <s v="ing"/>
    <n v="6"/>
    <s v="506|23-01-2011|3"/>
    <m/>
  </r>
  <r>
    <x v="506"/>
    <x v="22"/>
    <x v="0"/>
    <n v="0"/>
    <n v="1"/>
    <x v="5"/>
    <x v="0"/>
    <x v="1"/>
    <x v="1"/>
    <n v="0.04"/>
    <x v="0"/>
    <x v="0"/>
    <n v="2.3000000000000007"/>
    <n v="0.16653846153846155"/>
    <n v="104"/>
    <s v="0.04"/>
    <s v="Spr"/>
    <s v="ing"/>
    <n v="6"/>
    <s v="507|23-01-2011|5"/>
    <m/>
  </r>
  <r>
    <x v="507"/>
    <x v="22"/>
    <x v="0"/>
    <n v="0"/>
    <n v="1"/>
    <x v="6"/>
    <x v="0"/>
    <x v="1"/>
    <x v="1"/>
    <n v="0.04"/>
    <x v="0"/>
    <x v="0"/>
    <n v="2.2800000000000007"/>
    <n v="0.16776699029126216"/>
    <n v="103"/>
    <s v="0.04"/>
    <s v="Spr"/>
    <s v="ing"/>
    <n v="6"/>
    <s v="508|23-01-2011|6"/>
    <m/>
  </r>
  <r>
    <x v="508"/>
    <x v="22"/>
    <x v="0"/>
    <n v="0"/>
    <n v="1"/>
    <x v="7"/>
    <x v="0"/>
    <x v="1"/>
    <x v="0"/>
    <n v="0.08"/>
    <x v="0"/>
    <x v="0"/>
    <n v="2.2800000000000007"/>
    <n v="0.16901960784313727"/>
    <n v="102"/>
    <s v="0.08"/>
    <s v="Spr"/>
    <s v="ing"/>
    <n v="6"/>
    <s v="509|23-01-2011|7"/>
    <m/>
  </r>
  <r>
    <x v="509"/>
    <x v="22"/>
    <x v="0"/>
    <n v="0"/>
    <n v="1"/>
    <x v="8"/>
    <x v="0"/>
    <x v="1"/>
    <x v="0"/>
    <n v="0.06"/>
    <x v="0"/>
    <x v="0"/>
    <n v="2.2600000000000007"/>
    <n v="0.16990099009900994"/>
    <n v="101"/>
    <s v="0.06"/>
    <s v="Spr"/>
    <s v="ing"/>
    <n v="6"/>
    <s v="510|23-01-2011|8"/>
    <m/>
  </r>
  <r>
    <x v="510"/>
    <x v="22"/>
    <x v="0"/>
    <n v="0"/>
    <n v="1"/>
    <x v="9"/>
    <x v="0"/>
    <x v="1"/>
    <x v="0"/>
    <n v="0.1"/>
    <x v="0"/>
    <x v="0"/>
    <n v="2.3000000000000007"/>
    <n v="0.17100000000000001"/>
    <n v="100"/>
    <s v="0.10"/>
    <s v="Spr"/>
    <s v="ing"/>
    <n v="6"/>
    <s v="511|23-01-2011|9"/>
    <m/>
  </r>
  <r>
    <x v="511"/>
    <x v="22"/>
    <x v="0"/>
    <n v="0"/>
    <n v="1"/>
    <x v="10"/>
    <x v="0"/>
    <x v="1"/>
    <x v="0"/>
    <n v="0.14000000000000001"/>
    <x v="0"/>
    <x v="0"/>
    <n v="2.3000000000000012"/>
    <n v="0.17171717171717174"/>
    <n v="99"/>
    <s v="0.14"/>
    <s v="Spr"/>
    <s v="ing"/>
    <n v="6"/>
    <s v="512|23-01-2011|10"/>
    <m/>
  </r>
  <r>
    <x v="512"/>
    <x v="22"/>
    <x v="0"/>
    <n v="0"/>
    <n v="1"/>
    <x v="11"/>
    <x v="0"/>
    <x v="1"/>
    <x v="0"/>
    <n v="0.14000000000000001"/>
    <x v="0"/>
    <x v="0"/>
    <n v="2.2800000000000011"/>
    <n v="0.17204081632653065"/>
    <n v="98"/>
    <s v="0.14"/>
    <s v="Spr"/>
    <s v="ing"/>
    <n v="6"/>
    <s v="513|23-01-2011|11"/>
    <m/>
  </r>
  <r>
    <x v="513"/>
    <x v="22"/>
    <x v="0"/>
    <n v="0"/>
    <n v="1"/>
    <x v="12"/>
    <x v="0"/>
    <x v="1"/>
    <x v="0"/>
    <n v="0.16"/>
    <x v="0"/>
    <x v="0"/>
    <n v="2.2800000000000011"/>
    <n v="0.17237113402061857"/>
    <n v="97"/>
    <s v="0.16"/>
    <s v="Spr"/>
    <s v="ing"/>
    <n v="6"/>
    <s v="514|23-01-2011|12"/>
    <m/>
  </r>
  <r>
    <x v="514"/>
    <x v="22"/>
    <x v="0"/>
    <n v="0"/>
    <n v="1"/>
    <x v="13"/>
    <x v="0"/>
    <x v="1"/>
    <x v="0"/>
    <n v="0.14000000000000001"/>
    <x v="0"/>
    <x v="0"/>
    <n v="2.2600000000000011"/>
    <n v="0.17250000000000001"/>
    <n v="96"/>
    <s v="0.14"/>
    <s v="Spr"/>
    <s v="ing"/>
    <n v="6"/>
    <s v="515|23-01-2011|13"/>
    <m/>
  </r>
  <r>
    <x v="515"/>
    <x v="22"/>
    <x v="0"/>
    <n v="0"/>
    <n v="1"/>
    <x v="14"/>
    <x v="0"/>
    <x v="1"/>
    <x v="0"/>
    <n v="0.16"/>
    <x v="0"/>
    <x v="0"/>
    <n v="2.2800000000000011"/>
    <n v="0.17284210526315791"/>
    <n v="95"/>
    <s v="0.16"/>
    <s v="Spr"/>
    <s v="ing"/>
    <n v="6"/>
    <s v="516|23-01-2011|14"/>
    <m/>
  </r>
  <r>
    <x v="516"/>
    <x v="22"/>
    <x v="0"/>
    <n v="0"/>
    <n v="1"/>
    <x v="15"/>
    <x v="0"/>
    <x v="1"/>
    <x v="0"/>
    <n v="0.16"/>
    <x v="0"/>
    <x v="0"/>
    <n v="2.2800000000000011"/>
    <n v="0.17297872340425532"/>
    <n v="94"/>
    <s v="0.16"/>
    <s v="Spr"/>
    <s v="ing"/>
    <n v="6"/>
    <s v="517|23-01-2011|15"/>
    <m/>
  </r>
  <r>
    <x v="517"/>
    <x v="22"/>
    <x v="0"/>
    <n v="0"/>
    <n v="1"/>
    <x v="16"/>
    <x v="0"/>
    <x v="1"/>
    <x v="0"/>
    <n v="0.16"/>
    <x v="0"/>
    <x v="0"/>
    <n v="2.2600000000000007"/>
    <n v="0.17311827956989254"/>
    <n v="93"/>
    <s v="0.16"/>
    <s v="Spr"/>
    <s v="ing"/>
    <n v="6"/>
    <s v="518|23-01-2011|16"/>
    <m/>
  </r>
  <r>
    <x v="518"/>
    <x v="22"/>
    <x v="0"/>
    <n v="0"/>
    <n v="1"/>
    <x v="17"/>
    <x v="0"/>
    <x v="1"/>
    <x v="0"/>
    <n v="0.14000000000000001"/>
    <x v="0"/>
    <x v="0"/>
    <n v="2.2400000000000007"/>
    <n v="0.17326086956521741"/>
    <n v="92"/>
    <s v="0.14"/>
    <s v="Spr"/>
    <s v="ing"/>
    <n v="6"/>
    <s v="519|23-01-2011|17"/>
    <m/>
  </r>
  <r>
    <x v="519"/>
    <x v="22"/>
    <x v="0"/>
    <n v="0"/>
    <n v="1"/>
    <x v="18"/>
    <x v="0"/>
    <x v="1"/>
    <x v="0"/>
    <n v="0.12"/>
    <x v="0"/>
    <x v="0"/>
    <n v="2.2400000000000007"/>
    <n v="0.17362637362637365"/>
    <n v="91"/>
    <s v="0.12"/>
    <s v="Spr"/>
    <s v="ing"/>
    <n v="6"/>
    <s v="520|23-01-2011|18"/>
    <m/>
  </r>
  <r>
    <x v="520"/>
    <x v="22"/>
    <x v="0"/>
    <n v="0"/>
    <n v="1"/>
    <x v="19"/>
    <x v="0"/>
    <x v="1"/>
    <x v="0"/>
    <n v="0.12"/>
    <x v="0"/>
    <x v="0"/>
    <n v="2.2600000000000007"/>
    <n v="0.17422222222222225"/>
    <n v="90"/>
    <s v="0.12"/>
    <s v="Spr"/>
    <s v="ing"/>
    <n v="6"/>
    <s v="521|23-01-2011|19"/>
    <m/>
  </r>
  <r>
    <x v="521"/>
    <x v="22"/>
    <x v="0"/>
    <n v="0"/>
    <n v="1"/>
    <x v="20"/>
    <x v="0"/>
    <x v="1"/>
    <x v="0"/>
    <n v="0.1"/>
    <x v="0"/>
    <x v="0"/>
    <n v="2.2800000000000007"/>
    <n v="0.17483146067415731"/>
    <n v="89"/>
    <s v="0.10"/>
    <s v="Spr"/>
    <s v="ing"/>
    <n v="6"/>
    <s v="522|23-01-2011|20"/>
    <m/>
  </r>
  <r>
    <x v="522"/>
    <x v="22"/>
    <x v="0"/>
    <n v="0"/>
    <n v="1"/>
    <x v="21"/>
    <x v="0"/>
    <x v="1"/>
    <x v="0"/>
    <n v="0.1"/>
    <x v="0"/>
    <x v="0"/>
    <n v="2.3200000000000007"/>
    <n v="0.17568181818181819"/>
    <n v="88"/>
    <s v="0.10"/>
    <s v="Spr"/>
    <s v="ing"/>
    <n v="6"/>
    <s v="523|23-01-2011|21"/>
    <m/>
  </r>
  <r>
    <x v="523"/>
    <x v="22"/>
    <x v="0"/>
    <n v="0"/>
    <n v="1"/>
    <x v="22"/>
    <x v="0"/>
    <x v="1"/>
    <x v="0"/>
    <n v="0.08"/>
    <x v="0"/>
    <x v="0"/>
    <n v="2.3800000000000008"/>
    <n v="0.17655172413793102"/>
    <n v="87"/>
    <s v="0.08"/>
    <s v="Spr"/>
    <s v="ing"/>
    <n v="6"/>
    <s v="524|23-01-2011|22"/>
    <m/>
  </r>
  <r>
    <x v="524"/>
    <x v="22"/>
    <x v="0"/>
    <n v="0"/>
    <n v="1"/>
    <x v="23"/>
    <x v="0"/>
    <x v="1"/>
    <x v="0"/>
    <n v="0.06"/>
    <x v="0"/>
    <x v="0"/>
    <n v="2.4600000000000009"/>
    <n v="0.17767441860465116"/>
    <n v="86"/>
    <s v="0.06"/>
    <s v="Spr"/>
    <s v="ing"/>
    <n v="6"/>
    <s v="525|23-01-2011|23"/>
    <m/>
  </r>
  <r>
    <x v="525"/>
    <x v="23"/>
    <x v="0"/>
    <n v="0"/>
    <n v="1"/>
    <x v="0"/>
    <x v="0"/>
    <x v="2"/>
    <x v="0"/>
    <n v="0.06"/>
    <x v="0"/>
    <x v="0"/>
    <n v="2.5600000000000009"/>
    <n v="0.17905882352941177"/>
    <n v="85"/>
    <s v="0.06"/>
    <s v="Spr"/>
    <s v="ing"/>
    <n v="6"/>
    <s v="526|24-01-2011|0"/>
    <m/>
  </r>
  <r>
    <x v="526"/>
    <x v="23"/>
    <x v="0"/>
    <n v="0"/>
    <n v="1"/>
    <x v="1"/>
    <x v="0"/>
    <x v="2"/>
    <x v="0"/>
    <n v="0.04"/>
    <x v="0"/>
    <x v="0"/>
    <n v="2.660000000000001"/>
    <n v="0.18047619047619048"/>
    <n v="84"/>
    <s v="0.04"/>
    <s v="Spr"/>
    <s v="ing"/>
    <n v="6"/>
    <s v="527|24-01-2011|1"/>
    <m/>
  </r>
  <r>
    <x v="527"/>
    <x v="23"/>
    <x v="0"/>
    <n v="0"/>
    <n v="1"/>
    <x v="3"/>
    <x v="0"/>
    <x v="2"/>
    <x v="0"/>
    <n v="0.04"/>
    <x v="0"/>
    <x v="0"/>
    <n v="2.7600000000000016"/>
    <n v="0.18216867469879519"/>
    <n v="83"/>
    <s v="0.04"/>
    <s v="Spr"/>
    <s v="ing"/>
    <n v="6"/>
    <s v="528|24-01-2011|3"/>
    <m/>
  </r>
  <r>
    <x v="528"/>
    <x v="23"/>
    <x v="0"/>
    <n v="0"/>
    <n v="1"/>
    <x v="4"/>
    <x v="0"/>
    <x v="2"/>
    <x v="0"/>
    <n v="0.02"/>
    <x v="0"/>
    <x v="0"/>
    <n v="2.8600000000000017"/>
    <n v="0.18390243902439024"/>
    <n v="82"/>
    <s v="0.02"/>
    <s v="Spr"/>
    <s v="ing"/>
    <n v="6"/>
    <s v="529|24-01-2011|4"/>
    <m/>
  </r>
  <r>
    <x v="529"/>
    <x v="23"/>
    <x v="0"/>
    <n v="0"/>
    <n v="1"/>
    <x v="5"/>
    <x v="0"/>
    <x v="2"/>
    <x v="0"/>
    <n v="0.02"/>
    <x v="0"/>
    <x v="0"/>
    <n v="3.0000000000000018"/>
    <n v="0.18592592592592594"/>
    <n v="81"/>
    <s v="0.02"/>
    <s v="Spr"/>
    <s v="ing"/>
    <n v="6"/>
    <s v="530|24-01-2011|5"/>
    <m/>
  </r>
  <r>
    <x v="530"/>
    <x v="23"/>
    <x v="0"/>
    <n v="0"/>
    <n v="1"/>
    <x v="6"/>
    <x v="0"/>
    <x v="2"/>
    <x v="0"/>
    <n v="0.02"/>
    <x v="0"/>
    <x v="0"/>
    <n v="3.1400000000000019"/>
    <n v="0.188"/>
    <n v="80"/>
    <s v="0.02"/>
    <s v="Spr"/>
    <s v="ing"/>
    <n v="6"/>
    <s v="531|24-01-2011|6"/>
    <m/>
  </r>
  <r>
    <x v="531"/>
    <x v="23"/>
    <x v="0"/>
    <n v="0"/>
    <n v="1"/>
    <x v="7"/>
    <x v="0"/>
    <x v="2"/>
    <x v="0"/>
    <n v="0.02"/>
    <x v="0"/>
    <x v="0"/>
    <n v="3.280000000000002"/>
    <n v="0.190126582278481"/>
    <n v="79"/>
    <s v="0.02"/>
    <s v="Spr"/>
    <s v="ing"/>
    <n v="6"/>
    <s v="532|24-01-2011|7"/>
    <m/>
  </r>
  <r>
    <x v="532"/>
    <x v="23"/>
    <x v="0"/>
    <n v="0"/>
    <n v="1"/>
    <x v="8"/>
    <x v="0"/>
    <x v="2"/>
    <x v="0"/>
    <n v="0.04"/>
    <x v="0"/>
    <x v="0"/>
    <n v="3.4600000000000022"/>
    <n v="0.19230769230769232"/>
    <n v="78"/>
    <s v="0.04"/>
    <s v="Spr"/>
    <s v="ing"/>
    <n v="6"/>
    <s v="533|24-01-2011|8"/>
    <m/>
  </r>
  <r>
    <x v="533"/>
    <x v="23"/>
    <x v="0"/>
    <n v="0"/>
    <n v="1"/>
    <x v="9"/>
    <x v="0"/>
    <x v="2"/>
    <x v="0"/>
    <n v="0.06"/>
    <x v="0"/>
    <x v="0"/>
    <n v="3.6400000000000019"/>
    <n v="0.19428571428571428"/>
    <n v="77"/>
    <s v="0.06"/>
    <s v="Spr"/>
    <s v="ing"/>
    <n v="6"/>
    <s v="534|24-01-2011|9"/>
    <m/>
  </r>
  <r>
    <x v="534"/>
    <x v="23"/>
    <x v="0"/>
    <n v="0"/>
    <n v="1"/>
    <x v="10"/>
    <x v="0"/>
    <x v="2"/>
    <x v="0"/>
    <n v="0.1"/>
    <x v="0"/>
    <x v="0"/>
    <n v="3.8200000000000021"/>
    <n v="0.19605263157894737"/>
    <n v="76"/>
    <s v="0.10"/>
    <s v="Spr"/>
    <s v="ing"/>
    <n v="6"/>
    <s v="535|24-01-2011|10"/>
    <m/>
  </r>
  <r>
    <x v="535"/>
    <x v="23"/>
    <x v="0"/>
    <n v="0"/>
    <n v="1"/>
    <x v="11"/>
    <x v="0"/>
    <x v="2"/>
    <x v="0"/>
    <n v="0.1"/>
    <x v="0"/>
    <x v="0"/>
    <n v="3.9800000000000013"/>
    <n v="0.19733333333333333"/>
    <n v="75"/>
    <s v="0.10"/>
    <s v="Spr"/>
    <s v="ing"/>
    <n v="6"/>
    <s v="536|24-01-2011|11"/>
    <m/>
  </r>
  <r>
    <x v="536"/>
    <x v="23"/>
    <x v="0"/>
    <n v="0"/>
    <n v="1"/>
    <x v="12"/>
    <x v="0"/>
    <x v="2"/>
    <x v="1"/>
    <n v="0.12"/>
    <x v="0"/>
    <x v="0"/>
    <n v="4.1400000000000015"/>
    <n v="0.19864864864864867"/>
    <n v="74"/>
    <s v="0.12"/>
    <s v="Spr"/>
    <s v="ing"/>
    <n v="6"/>
    <s v="537|24-01-2011|12"/>
    <m/>
  </r>
  <r>
    <x v="537"/>
    <x v="23"/>
    <x v="0"/>
    <n v="0"/>
    <n v="1"/>
    <x v="13"/>
    <x v="0"/>
    <x v="2"/>
    <x v="1"/>
    <n v="0.14000000000000001"/>
    <x v="0"/>
    <x v="0"/>
    <n v="4.32"/>
    <n v="0.19972602739726028"/>
    <n v="73"/>
    <s v="0.14"/>
    <s v="Spr"/>
    <s v="ing"/>
    <n v="6"/>
    <s v="538|24-01-2011|13"/>
    <m/>
  </r>
  <r>
    <x v="538"/>
    <x v="23"/>
    <x v="0"/>
    <n v="0"/>
    <n v="1"/>
    <x v="14"/>
    <x v="0"/>
    <x v="2"/>
    <x v="1"/>
    <n v="0.14000000000000001"/>
    <x v="0"/>
    <x v="0"/>
    <n v="4.5000000000000009"/>
    <n v="0.20055555555555554"/>
    <n v="72"/>
    <s v="0.14"/>
    <s v="Spr"/>
    <s v="ing"/>
    <n v="6"/>
    <s v="539|24-01-2011|14"/>
    <m/>
  </r>
  <r>
    <x v="539"/>
    <x v="23"/>
    <x v="0"/>
    <n v="0"/>
    <n v="1"/>
    <x v="15"/>
    <x v="0"/>
    <x v="2"/>
    <x v="0"/>
    <n v="0.16"/>
    <x v="0"/>
    <x v="0"/>
    <n v="4.6800000000000006"/>
    <n v="0.20140845070422531"/>
    <n v="71"/>
    <s v="0.16"/>
    <s v="Spr"/>
    <s v="ing"/>
    <n v="6"/>
    <s v="540|24-01-2011|15"/>
    <m/>
  </r>
  <r>
    <x v="540"/>
    <x v="23"/>
    <x v="0"/>
    <n v="0"/>
    <n v="1"/>
    <x v="16"/>
    <x v="0"/>
    <x v="2"/>
    <x v="0"/>
    <n v="0.16"/>
    <x v="0"/>
    <x v="0"/>
    <n v="4.82"/>
    <n v="0.20199999999999996"/>
    <n v="70"/>
    <s v="0.16"/>
    <s v="Spr"/>
    <s v="ing"/>
    <n v="6"/>
    <s v="541|24-01-2011|16"/>
    <m/>
  </r>
  <r>
    <x v="541"/>
    <x v="23"/>
    <x v="0"/>
    <n v="0"/>
    <n v="1"/>
    <x v="17"/>
    <x v="0"/>
    <x v="2"/>
    <x v="0"/>
    <n v="0.14000000000000001"/>
    <x v="0"/>
    <x v="0"/>
    <n v="4.96"/>
    <n v="0.20260869565217388"/>
    <n v="69"/>
    <s v="0.14"/>
    <s v="Spr"/>
    <s v="ing"/>
    <n v="6"/>
    <s v="542|24-01-2011|17"/>
    <m/>
  </r>
  <r>
    <x v="542"/>
    <x v="23"/>
    <x v="0"/>
    <n v="0"/>
    <n v="1"/>
    <x v="18"/>
    <x v="0"/>
    <x v="2"/>
    <x v="0"/>
    <n v="0.14000000000000001"/>
    <x v="0"/>
    <x v="0"/>
    <n v="5.0799999999999992"/>
    <n v="0.20352941176470579"/>
    <n v="68"/>
    <s v="0.14"/>
    <s v="Spr"/>
    <s v="ing"/>
    <n v="6"/>
    <s v="543|24-01-2011|18"/>
    <m/>
  </r>
  <r>
    <x v="543"/>
    <x v="23"/>
    <x v="0"/>
    <n v="0"/>
    <n v="1"/>
    <x v="19"/>
    <x v="0"/>
    <x v="2"/>
    <x v="0"/>
    <n v="0.14000000000000001"/>
    <x v="0"/>
    <x v="0"/>
    <n v="5.1799999999999988"/>
    <n v="0.20447761194029843"/>
    <n v="67"/>
    <s v="0.14"/>
    <s v="Spr"/>
    <s v="ing"/>
    <n v="6"/>
    <s v="544|24-01-2011|19"/>
    <m/>
  </r>
  <r>
    <x v="544"/>
    <x v="23"/>
    <x v="0"/>
    <n v="0"/>
    <n v="1"/>
    <x v="20"/>
    <x v="0"/>
    <x v="2"/>
    <x v="0"/>
    <n v="0.14000000000000001"/>
    <x v="0"/>
    <x v="0"/>
    <n v="5.2799999999999994"/>
    <n v="0.20545454545454536"/>
    <n v="66"/>
    <s v="0.14"/>
    <s v="Spr"/>
    <s v="ing"/>
    <n v="6"/>
    <s v="545|24-01-2011|20"/>
    <m/>
  </r>
  <r>
    <x v="545"/>
    <x v="23"/>
    <x v="0"/>
    <n v="0"/>
    <n v="1"/>
    <x v="21"/>
    <x v="0"/>
    <x v="2"/>
    <x v="0"/>
    <n v="0.14000000000000001"/>
    <x v="0"/>
    <x v="0"/>
    <n v="5.3599999999999985"/>
    <n v="0.20646153846153836"/>
    <n v="65"/>
    <s v="0.14"/>
    <s v="Spr"/>
    <s v="ing"/>
    <n v="6"/>
    <s v="546|24-01-2011|21"/>
    <m/>
  </r>
  <r>
    <x v="546"/>
    <x v="23"/>
    <x v="0"/>
    <n v="0"/>
    <n v="1"/>
    <x v="22"/>
    <x v="0"/>
    <x v="2"/>
    <x v="1"/>
    <n v="0.14000000000000001"/>
    <x v="0"/>
    <x v="0"/>
    <n v="5.4399999999999986"/>
    <n v="0.20749999999999988"/>
    <n v="64"/>
    <s v="0.14"/>
    <s v="Spr"/>
    <s v="ing"/>
    <n v="6"/>
    <s v="547|24-01-2011|22"/>
    <m/>
  </r>
  <r>
    <x v="547"/>
    <x v="23"/>
    <x v="0"/>
    <n v="0"/>
    <n v="1"/>
    <x v="23"/>
    <x v="0"/>
    <x v="2"/>
    <x v="1"/>
    <n v="0.16"/>
    <x v="0"/>
    <x v="0"/>
    <n v="5.5199999999999978"/>
    <n v="0.20857142857142844"/>
    <n v="63"/>
    <s v="0.16"/>
    <s v="Spr"/>
    <s v="ing"/>
    <n v="6"/>
    <s v="548|24-01-2011|23"/>
    <m/>
  </r>
  <r>
    <x v="548"/>
    <x v="24"/>
    <x v="0"/>
    <n v="0"/>
    <n v="1"/>
    <x v="0"/>
    <x v="0"/>
    <x v="3"/>
    <x v="1"/>
    <n v="0.16"/>
    <x v="0"/>
    <x v="0"/>
    <n v="5.5999999999999988"/>
    <n v="0.20935483870967728"/>
    <n v="62"/>
    <s v="0.16"/>
    <s v="Spr"/>
    <s v="ing"/>
    <n v="6"/>
    <s v="549|25-01-2011|0"/>
    <m/>
  </r>
  <r>
    <x v="549"/>
    <x v="24"/>
    <x v="0"/>
    <n v="0"/>
    <n v="1"/>
    <x v="1"/>
    <x v="0"/>
    <x v="3"/>
    <x v="1"/>
    <n v="0.16"/>
    <x v="0"/>
    <x v="0"/>
    <n v="5.6599999999999984"/>
    <n v="0.21016393442622935"/>
    <n v="61"/>
    <s v="0.16"/>
    <s v="Spr"/>
    <s v="ing"/>
    <n v="6"/>
    <s v="550|25-01-2011|1"/>
    <m/>
  </r>
  <r>
    <x v="550"/>
    <x v="24"/>
    <x v="0"/>
    <n v="0"/>
    <n v="1"/>
    <x v="2"/>
    <x v="0"/>
    <x v="3"/>
    <x v="0"/>
    <n v="0.16"/>
    <x v="0"/>
    <x v="0"/>
    <n v="5.6999999999999993"/>
    <n v="0.21099999999999985"/>
    <n v="60"/>
    <s v="0.16"/>
    <s v="Spr"/>
    <s v="ing"/>
    <n v="6"/>
    <s v="551|25-01-2011|2"/>
    <m/>
  </r>
  <r>
    <x v="551"/>
    <x v="24"/>
    <x v="0"/>
    <n v="0"/>
    <n v="1"/>
    <x v="4"/>
    <x v="0"/>
    <x v="3"/>
    <x v="0"/>
    <n v="0.14000000000000001"/>
    <x v="0"/>
    <x v="0"/>
    <n v="5.7399999999999993"/>
    <n v="0.21186440677966087"/>
    <n v="59"/>
    <s v="0.14"/>
    <s v="Spr"/>
    <s v="ing"/>
    <n v="6"/>
    <s v="552|25-01-2011|4"/>
    <m/>
  </r>
  <r>
    <x v="552"/>
    <x v="24"/>
    <x v="0"/>
    <n v="0"/>
    <n v="1"/>
    <x v="5"/>
    <x v="0"/>
    <x v="3"/>
    <x v="0"/>
    <n v="0.14000000000000001"/>
    <x v="0"/>
    <x v="0"/>
    <n v="5.8199999999999994"/>
    <n v="0.21310344827586192"/>
    <n v="58"/>
    <s v="0.14"/>
    <s v="Spr"/>
    <s v="ing"/>
    <n v="6"/>
    <s v="553|25-01-2011|5"/>
    <m/>
  </r>
  <r>
    <x v="553"/>
    <x v="24"/>
    <x v="0"/>
    <n v="0"/>
    <n v="1"/>
    <x v="6"/>
    <x v="0"/>
    <x v="3"/>
    <x v="0"/>
    <n v="0.16"/>
    <x v="0"/>
    <x v="0"/>
    <n v="5.8999999999999986"/>
    <n v="0.21438596491228051"/>
    <n v="57"/>
    <s v="0.16"/>
    <s v="Spr"/>
    <s v="ing"/>
    <n v="6"/>
    <s v="554|25-01-2011|6"/>
    <m/>
  </r>
  <r>
    <x v="554"/>
    <x v="24"/>
    <x v="0"/>
    <n v="0"/>
    <n v="1"/>
    <x v="7"/>
    <x v="0"/>
    <x v="3"/>
    <x v="0"/>
    <n v="0.16"/>
    <x v="0"/>
    <x v="0"/>
    <n v="5.9599999999999991"/>
    <n v="0.21535714285714266"/>
    <n v="56"/>
    <s v="0.16"/>
    <s v="Spr"/>
    <s v="ing"/>
    <n v="6"/>
    <s v="555|25-01-2011|7"/>
    <m/>
  </r>
  <r>
    <x v="555"/>
    <x v="24"/>
    <x v="0"/>
    <n v="0"/>
    <n v="1"/>
    <x v="8"/>
    <x v="0"/>
    <x v="3"/>
    <x v="1"/>
    <n v="0.16"/>
    <x v="0"/>
    <x v="0"/>
    <n v="6.02"/>
    <n v="0.2163636363636362"/>
    <n v="55"/>
    <s v="0.16"/>
    <s v="Spr"/>
    <s v="ing"/>
    <n v="6"/>
    <s v="556|25-01-2011|8"/>
    <m/>
  </r>
  <r>
    <x v="556"/>
    <x v="24"/>
    <x v="0"/>
    <n v="0"/>
    <n v="1"/>
    <x v="9"/>
    <x v="0"/>
    <x v="3"/>
    <x v="1"/>
    <n v="0.2"/>
    <x v="0"/>
    <x v="0"/>
    <n v="6.0799999999999992"/>
    <n v="0.21740740740740724"/>
    <n v="54"/>
    <s v="0.20"/>
    <s v="Spr"/>
    <s v="ing"/>
    <n v="6"/>
    <s v="557|25-01-2011|9"/>
    <m/>
  </r>
  <r>
    <x v="557"/>
    <x v="24"/>
    <x v="0"/>
    <n v="0"/>
    <n v="1"/>
    <x v="10"/>
    <x v="0"/>
    <x v="3"/>
    <x v="1"/>
    <n v="0.22"/>
    <x v="0"/>
    <x v="0"/>
    <n v="6.1"/>
    <n v="0.21773584905660362"/>
    <n v="53"/>
    <s v="0.22"/>
    <s v="Spr"/>
    <s v="ing"/>
    <n v="6"/>
    <s v="558|25-01-2011|10"/>
    <m/>
  </r>
  <r>
    <x v="558"/>
    <x v="24"/>
    <x v="0"/>
    <n v="0"/>
    <n v="1"/>
    <x v="11"/>
    <x v="0"/>
    <x v="3"/>
    <x v="1"/>
    <n v="0.24"/>
    <x v="0"/>
    <x v="0"/>
    <n v="6.0999999999999988"/>
    <n v="0.21769230769230757"/>
    <n v="52"/>
    <s v="0.24"/>
    <s v="Spr"/>
    <s v="ing"/>
    <n v="6"/>
    <s v="559|25-01-2011|11"/>
    <m/>
  </r>
  <r>
    <x v="559"/>
    <x v="24"/>
    <x v="0"/>
    <n v="0"/>
    <n v="1"/>
    <x v="12"/>
    <x v="0"/>
    <x v="3"/>
    <x v="1"/>
    <n v="0.26"/>
    <x v="0"/>
    <x v="0"/>
    <n v="6.0799999999999992"/>
    <n v="0.21725490196078417"/>
    <n v="51"/>
    <s v="0.26"/>
    <s v="Spr"/>
    <s v="ing"/>
    <n v="6"/>
    <s v="560|25-01-2011|12"/>
    <m/>
  </r>
  <r>
    <x v="560"/>
    <x v="24"/>
    <x v="0"/>
    <n v="0"/>
    <n v="1"/>
    <x v="13"/>
    <x v="0"/>
    <x v="3"/>
    <x v="1"/>
    <n v="0.26"/>
    <x v="0"/>
    <x v="0"/>
    <n v="6.0399999999999991"/>
    <n v="0.21639999999999987"/>
    <n v="50"/>
    <s v="0.26"/>
    <s v="Spr"/>
    <s v="ing"/>
    <n v="6"/>
    <s v="561|25-01-2011|13"/>
    <m/>
  </r>
  <r>
    <x v="561"/>
    <x v="24"/>
    <x v="0"/>
    <n v="0"/>
    <n v="1"/>
    <x v="14"/>
    <x v="0"/>
    <x v="3"/>
    <x v="1"/>
    <n v="0.3"/>
    <x v="0"/>
    <x v="0"/>
    <n v="5.9999999999999991"/>
    <n v="0.21551020408163254"/>
    <n v="49"/>
    <s v="0.30"/>
    <s v="Spr"/>
    <s v="ing"/>
    <n v="6"/>
    <s v="562|25-01-2011|14"/>
    <m/>
  </r>
  <r>
    <x v="562"/>
    <x v="24"/>
    <x v="0"/>
    <n v="0"/>
    <n v="1"/>
    <x v="15"/>
    <x v="0"/>
    <x v="3"/>
    <x v="1"/>
    <n v="0.32"/>
    <x v="0"/>
    <x v="0"/>
    <n v="5.9"/>
    <n v="0.21374999999999991"/>
    <n v="48"/>
    <s v="0.32"/>
    <s v="Spr"/>
    <s v="ing"/>
    <n v="6"/>
    <s v="563|25-01-2011|15"/>
    <m/>
  </r>
  <r>
    <x v="563"/>
    <x v="24"/>
    <x v="0"/>
    <n v="0"/>
    <n v="1"/>
    <x v="16"/>
    <x v="0"/>
    <x v="3"/>
    <x v="1"/>
    <n v="0.32"/>
    <x v="0"/>
    <x v="0"/>
    <n v="5.8"/>
    <n v="0.21148936170212762"/>
    <n v="47"/>
    <s v="0.32"/>
    <s v="Spr"/>
    <s v="ing"/>
    <n v="6"/>
    <s v="564|25-01-2011|16"/>
    <m/>
  </r>
  <r>
    <x v="564"/>
    <x v="24"/>
    <x v="0"/>
    <n v="0"/>
    <n v="1"/>
    <x v="17"/>
    <x v="0"/>
    <x v="3"/>
    <x v="0"/>
    <n v="0.3"/>
    <x v="0"/>
    <x v="0"/>
    <n v="5.7"/>
    <n v="0.20913043478260865"/>
    <n v="46"/>
    <s v="0.30"/>
    <s v="Spr"/>
    <s v="ing"/>
    <n v="6"/>
    <s v="565|25-01-2011|17"/>
    <m/>
  </r>
  <r>
    <x v="565"/>
    <x v="24"/>
    <x v="0"/>
    <n v="0"/>
    <n v="1"/>
    <x v="18"/>
    <x v="0"/>
    <x v="3"/>
    <x v="1"/>
    <n v="0.3"/>
    <x v="0"/>
    <x v="0"/>
    <n v="5.6000000000000005"/>
    <n v="0.20711111111111108"/>
    <n v="45"/>
    <s v="0.30"/>
    <s v="Spr"/>
    <s v="ing"/>
    <n v="6"/>
    <s v="566|25-01-2011|18"/>
    <m/>
  </r>
  <r>
    <x v="566"/>
    <x v="24"/>
    <x v="0"/>
    <n v="0"/>
    <n v="1"/>
    <x v="19"/>
    <x v="0"/>
    <x v="3"/>
    <x v="1"/>
    <n v="0.26"/>
    <x v="0"/>
    <x v="0"/>
    <n v="5.5000000000000009"/>
    <n v="0.20499999999999999"/>
    <n v="44"/>
    <s v="0.26"/>
    <s v="Spr"/>
    <s v="ing"/>
    <n v="6"/>
    <s v="567|25-01-2011|19"/>
    <m/>
  </r>
  <r>
    <x v="567"/>
    <x v="24"/>
    <x v="0"/>
    <n v="0"/>
    <n v="1"/>
    <x v="20"/>
    <x v="0"/>
    <x v="3"/>
    <x v="0"/>
    <n v="0.24"/>
    <x v="0"/>
    <x v="0"/>
    <n v="5.4200000000000008"/>
    <n v="0.20372093023255813"/>
    <n v="43"/>
    <s v="0.24"/>
    <s v="Spr"/>
    <s v="ing"/>
    <n v="6"/>
    <s v="568|25-01-2011|20"/>
    <m/>
  </r>
  <r>
    <x v="568"/>
    <x v="24"/>
    <x v="0"/>
    <n v="0"/>
    <n v="1"/>
    <x v="21"/>
    <x v="0"/>
    <x v="3"/>
    <x v="0"/>
    <n v="0.24"/>
    <x v="0"/>
    <x v="0"/>
    <n v="5.36"/>
    <n v="0.20285714285714285"/>
    <n v="42"/>
    <s v="0.24"/>
    <s v="Spr"/>
    <s v="ing"/>
    <n v="6"/>
    <s v="569|25-01-2011|21"/>
    <m/>
  </r>
  <r>
    <x v="569"/>
    <x v="24"/>
    <x v="0"/>
    <n v="0"/>
    <n v="1"/>
    <x v="22"/>
    <x v="0"/>
    <x v="3"/>
    <x v="0"/>
    <n v="0.22"/>
    <x v="0"/>
    <x v="0"/>
    <n v="5.3000000000000007"/>
    <n v="0.20195121951219511"/>
    <n v="41"/>
    <s v="0.22"/>
    <s v="Spr"/>
    <s v="ing"/>
    <n v="6"/>
    <s v="570|25-01-2011|22"/>
    <m/>
  </r>
  <r>
    <x v="570"/>
    <x v="24"/>
    <x v="0"/>
    <n v="0"/>
    <n v="1"/>
    <x v="23"/>
    <x v="0"/>
    <x v="3"/>
    <x v="1"/>
    <n v="0.22"/>
    <x v="0"/>
    <x v="0"/>
    <n v="5.2600000000000007"/>
    <n v="0.20149999999999996"/>
    <n v="40"/>
    <s v="0.22"/>
    <s v="Spr"/>
    <s v="ing"/>
    <n v="6"/>
    <s v="571|25-01-2011|23"/>
    <m/>
  </r>
  <r>
    <x v="571"/>
    <x v="25"/>
    <x v="0"/>
    <n v="0"/>
    <n v="1"/>
    <x v="0"/>
    <x v="0"/>
    <x v="4"/>
    <x v="1"/>
    <n v="0.22"/>
    <x v="0"/>
    <x v="0"/>
    <n v="5.24"/>
    <n v="0.20102564102564099"/>
    <n v="39"/>
    <s v="0.22"/>
    <s v="Spr"/>
    <s v="ing"/>
    <n v="6"/>
    <s v="572|26-01-2011|0"/>
    <m/>
  </r>
  <r>
    <x v="572"/>
    <x v="25"/>
    <x v="0"/>
    <n v="0"/>
    <n v="1"/>
    <x v="1"/>
    <x v="0"/>
    <x v="4"/>
    <x v="1"/>
    <n v="0.24"/>
    <x v="0"/>
    <x v="0"/>
    <n v="5.2200000000000006"/>
    <n v="0.20052631578947366"/>
    <n v="38"/>
    <s v="0.24"/>
    <s v="Spr"/>
    <s v="ing"/>
    <n v="6"/>
    <s v="573|26-01-2011|1"/>
    <m/>
  </r>
  <r>
    <x v="573"/>
    <x v="25"/>
    <x v="0"/>
    <n v="0"/>
    <n v="1"/>
    <x v="2"/>
    <x v="0"/>
    <x v="4"/>
    <x v="2"/>
    <n v="0.22"/>
    <x v="0"/>
    <x v="0"/>
    <n v="5.1800000000000015"/>
    <n v="0.19945945945945945"/>
    <n v="37"/>
    <s v="0.22"/>
    <s v="Spr"/>
    <s v="ing"/>
    <n v="6"/>
    <s v="574|26-01-2011|2"/>
    <m/>
  </r>
  <r>
    <x v="574"/>
    <x v="25"/>
    <x v="0"/>
    <n v="0"/>
    <n v="1"/>
    <x v="5"/>
    <x v="0"/>
    <x v="4"/>
    <x v="2"/>
    <n v="0.2"/>
    <x v="0"/>
    <x v="0"/>
    <n v="5.1600000000000019"/>
    <n v="0.19888888888888889"/>
    <n v="36"/>
    <s v="0.20"/>
    <s v="Spr"/>
    <s v="ing"/>
    <n v="6"/>
    <s v="575|26-01-2011|5"/>
    <m/>
  </r>
  <r>
    <x v="575"/>
    <x v="25"/>
    <x v="0"/>
    <n v="0"/>
    <n v="1"/>
    <x v="6"/>
    <x v="0"/>
    <x v="4"/>
    <x v="2"/>
    <n v="0.2"/>
    <x v="0"/>
    <x v="0"/>
    <n v="5.1400000000000023"/>
    <n v="0.19885714285714287"/>
    <n v="35"/>
    <s v="0.20"/>
    <s v="Spr"/>
    <s v="ing"/>
    <n v="6"/>
    <s v="576|26-01-2011|6"/>
    <m/>
  </r>
  <r>
    <x v="576"/>
    <x v="25"/>
    <x v="0"/>
    <n v="0"/>
    <n v="1"/>
    <x v="7"/>
    <x v="0"/>
    <x v="4"/>
    <x v="2"/>
    <n v="0.22"/>
    <x v="0"/>
    <x v="0"/>
    <n v="5.1200000000000019"/>
    <n v="0.19882352941176473"/>
    <n v="34"/>
    <s v="0.22"/>
    <s v="Spr"/>
    <s v="ing"/>
    <n v="6"/>
    <s v="577|26-01-2011|7"/>
    <m/>
  </r>
  <r>
    <x v="577"/>
    <x v="25"/>
    <x v="0"/>
    <n v="0"/>
    <n v="1"/>
    <x v="8"/>
    <x v="0"/>
    <x v="4"/>
    <x v="2"/>
    <n v="0.22"/>
    <x v="0"/>
    <x v="0"/>
    <n v="5.0600000000000014"/>
    <n v="0.19818181818181818"/>
    <n v="33"/>
    <s v="0.22"/>
    <s v="Spr"/>
    <s v="ing"/>
    <n v="6"/>
    <s v="578|26-01-2011|8"/>
    <m/>
  </r>
  <r>
    <x v="578"/>
    <x v="25"/>
    <x v="0"/>
    <n v="0"/>
    <n v="1"/>
    <x v="9"/>
    <x v="0"/>
    <x v="4"/>
    <x v="2"/>
    <n v="0.22"/>
    <x v="0"/>
    <x v="0"/>
    <n v="5.0000000000000018"/>
    <n v="0.19750000000000001"/>
    <n v="32"/>
    <s v="0.22"/>
    <s v="Spr"/>
    <s v="ing"/>
    <n v="6"/>
    <s v="579|26-01-2011|9"/>
    <m/>
  </r>
  <r>
    <x v="579"/>
    <x v="25"/>
    <x v="0"/>
    <n v="0"/>
    <n v="1"/>
    <x v="10"/>
    <x v="0"/>
    <x v="4"/>
    <x v="2"/>
    <n v="0.22"/>
    <x v="0"/>
    <x v="0"/>
    <n v="4.9600000000000009"/>
    <n v="0.19677419354838707"/>
    <n v="31"/>
    <s v="0.22"/>
    <s v="Spr"/>
    <s v="ing"/>
    <n v="6"/>
    <s v="580|26-01-2011|10"/>
    <m/>
  </r>
  <r>
    <x v="580"/>
    <x v="25"/>
    <x v="0"/>
    <n v="0"/>
    <n v="1"/>
    <x v="11"/>
    <x v="0"/>
    <x v="4"/>
    <x v="2"/>
    <n v="0.22"/>
    <x v="0"/>
    <x v="0"/>
    <n v="4.9200000000000008"/>
    <n v="0.19600000000000001"/>
    <n v="30"/>
    <s v="0.22"/>
    <s v="Spr"/>
    <s v="ing"/>
    <n v="6"/>
    <s v="581|26-01-2011|11"/>
    <m/>
  </r>
  <r>
    <x v="581"/>
    <x v="25"/>
    <x v="0"/>
    <n v="0"/>
    <n v="1"/>
    <x v="12"/>
    <x v="0"/>
    <x v="4"/>
    <x v="2"/>
    <n v="0.22"/>
    <x v="0"/>
    <x v="0"/>
    <n v="4.8800000000000008"/>
    <n v="0.19517241379310346"/>
    <n v="29"/>
    <s v="0.22"/>
    <s v="Spr"/>
    <s v="ing"/>
    <n v="6"/>
    <s v="582|26-01-2011|12"/>
    <m/>
  </r>
  <r>
    <x v="582"/>
    <x v="25"/>
    <x v="0"/>
    <n v="0"/>
    <n v="1"/>
    <x v="13"/>
    <x v="0"/>
    <x v="4"/>
    <x v="2"/>
    <n v="0.22"/>
    <x v="0"/>
    <x v="0"/>
    <n v="4.8400000000000007"/>
    <n v="0.19428571428571431"/>
    <n v="28"/>
    <s v="0.22"/>
    <s v="Spr"/>
    <s v="ing"/>
    <n v="6"/>
    <s v="583|26-01-2011|13"/>
    <m/>
  </r>
  <r>
    <x v="583"/>
    <x v="25"/>
    <x v="0"/>
    <n v="0"/>
    <n v="1"/>
    <x v="14"/>
    <x v="0"/>
    <x v="4"/>
    <x v="2"/>
    <n v="0.22"/>
    <x v="0"/>
    <x v="0"/>
    <n v="4.8000000000000007"/>
    <n v="0.19333333333333336"/>
    <n v="27"/>
    <s v="0.22"/>
    <s v="Spr"/>
    <s v="ing"/>
    <n v="6"/>
    <s v="584|26-01-2011|14"/>
    <m/>
  </r>
  <r>
    <x v="584"/>
    <x v="25"/>
    <x v="0"/>
    <n v="0"/>
    <n v="1"/>
    <x v="15"/>
    <x v="0"/>
    <x v="4"/>
    <x v="2"/>
    <n v="0.22"/>
    <x v="0"/>
    <x v="0"/>
    <n v="4.8000000000000007"/>
    <n v="0.19230769230769235"/>
    <n v="26"/>
    <s v="0.22"/>
    <s v="Spr"/>
    <s v="ing"/>
    <n v="6"/>
    <s v="585|26-01-2011|15"/>
    <m/>
  </r>
  <r>
    <x v="585"/>
    <x v="25"/>
    <x v="0"/>
    <n v="0"/>
    <n v="1"/>
    <x v="16"/>
    <x v="0"/>
    <x v="4"/>
    <x v="3"/>
    <n v="0.22"/>
    <x v="0"/>
    <x v="0"/>
    <n v="4.78"/>
    <n v="0.19120000000000001"/>
    <n v="25"/>
    <s v="0.22"/>
    <s v="Spr"/>
    <s v="ing"/>
    <n v="6"/>
    <s v="586|26-01-2011|16"/>
    <m/>
  </r>
  <r>
    <x v="586"/>
    <x v="25"/>
    <x v="0"/>
    <n v="0"/>
    <n v="1"/>
    <x v="17"/>
    <x v="0"/>
    <x v="4"/>
    <x v="2"/>
    <n v="0.2"/>
    <x v="0"/>
    <x v="0"/>
    <n v="4.5600000000000014"/>
    <n v="0.19000000000000006"/>
    <n v="24"/>
    <s v="0.20"/>
    <s v="Spr"/>
    <s v="ing"/>
    <n v="6"/>
    <s v="587|26-01-2011|17"/>
    <m/>
  </r>
  <r>
    <x v="587"/>
    <x v="26"/>
    <x v="0"/>
    <n v="0"/>
    <n v="1"/>
    <x v="16"/>
    <x v="0"/>
    <x v="5"/>
    <x v="0"/>
    <n v="0.22"/>
    <x v="0"/>
    <x v="0"/>
    <n v="4.3600000000000012"/>
    <n v="0.18956521739130441"/>
    <n v="23"/>
    <s v="0.22"/>
    <s v="Spr"/>
    <s v="ing"/>
    <n v="6"/>
    <s v="588|27-01-2011|16"/>
    <m/>
  </r>
  <r>
    <x v="588"/>
    <x v="26"/>
    <x v="0"/>
    <n v="0"/>
    <n v="1"/>
    <x v="17"/>
    <x v="0"/>
    <x v="5"/>
    <x v="0"/>
    <n v="0.22"/>
    <x v="0"/>
    <x v="0"/>
    <n v="4.1400000000000015"/>
    <n v="0.18818181818181826"/>
    <n v="22"/>
    <s v="0.22"/>
    <s v="Spr"/>
    <s v="ing"/>
    <n v="6"/>
    <s v="589|27-01-2011|17"/>
    <m/>
  </r>
  <r>
    <x v="589"/>
    <x v="26"/>
    <x v="0"/>
    <n v="0"/>
    <n v="1"/>
    <x v="18"/>
    <x v="0"/>
    <x v="5"/>
    <x v="0"/>
    <n v="0.2"/>
    <x v="0"/>
    <x v="0"/>
    <n v="3.9200000000000013"/>
    <n v="0.18666666666666673"/>
    <n v="21"/>
    <s v="0.20"/>
    <s v="Spr"/>
    <s v="ing"/>
    <n v="6"/>
    <s v="590|27-01-2011|18"/>
    <m/>
  </r>
  <r>
    <x v="590"/>
    <x v="26"/>
    <x v="0"/>
    <n v="0"/>
    <n v="1"/>
    <x v="19"/>
    <x v="0"/>
    <x v="5"/>
    <x v="0"/>
    <n v="0.2"/>
    <x v="0"/>
    <x v="0"/>
    <n v="3.7200000000000011"/>
    <n v="0.18600000000000005"/>
    <n v="20"/>
    <s v="0.20"/>
    <s v="Spr"/>
    <s v="ing"/>
    <n v="6"/>
    <s v="591|27-01-2011|19"/>
    <m/>
  </r>
  <r>
    <x v="591"/>
    <x v="26"/>
    <x v="0"/>
    <n v="0"/>
    <n v="1"/>
    <x v="20"/>
    <x v="0"/>
    <x v="5"/>
    <x v="0"/>
    <n v="0.18"/>
    <x v="0"/>
    <x v="0"/>
    <n v="3.5200000000000009"/>
    <n v="0.18526315789473688"/>
    <n v="19"/>
    <s v="0.18"/>
    <s v="Spr"/>
    <s v="ing"/>
    <n v="6"/>
    <s v="592|27-01-2011|20"/>
    <m/>
  </r>
  <r>
    <x v="592"/>
    <x v="26"/>
    <x v="0"/>
    <n v="0"/>
    <n v="1"/>
    <x v="21"/>
    <x v="0"/>
    <x v="5"/>
    <x v="0"/>
    <n v="0.18"/>
    <x v="0"/>
    <x v="0"/>
    <n v="3.3400000000000007"/>
    <n v="0.18555555555555558"/>
    <n v="18"/>
    <s v="0.18"/>
    <s v="Spr"/>
    <s v="ing"/>
    <n v="6"/>
    <s v="593|27-01-2011|21"/>
    <m/>
  </r>
  <r>
    <x v="593"/>
    <x v="26"/>
    <x v="0"/>
    <n v="0"/>
    <n v="1"/>
    <x v="22"/>
    <x v="0"/>
    <x v="5"/>
    <x v="0"/>
    <n v="0.18"/>
    <x v="0"/>
    <x v="0"/>
    <n v="3.1600000000000006"/>
    <n v="0.1858823529411765"/>
    <n v="17"/>
    <s v="0.18"/>
    <s v="Spr"/>
    <s v="ing"/>
    <n v="6"/>
    <s v="594|27-01-2011|22"/>
    <m/>
  </r>
  <r>
    <x v="594"/>
    <x v="26"/>
    <x v="0"/>
    <n v="0"/>
    <n v="1"/>
    <x v="23"/>
    <x v="0"/>
    <x v="5"/>
    <x v="0"/>
    <n v="0.18"/>
    <x v="0"/>
    <x v="0"/>
    <n v="2.9800000000000004"/>
    <n v="0.18625000000000003"/>
    <n v="16"/>
    <s v="0.18"/>
    <s v="Spr"/>
    <s v="ing"/>
    <n v="6"/>
    <s v="595|27-01-2011|23"/>
    <m/>
  </r>
  <r>
    <x v="595"/>
    <x v="27"/>
    <x v="0"/>
    <n v="0"/>
    <n v="1"/>
    <x v="0"/>
    <x v="0"/>
    <x v="6"/>
    <x v="1"/>
    <n v="0.2"/>
    <x v="0"/>
    <x v="0"/>
    <n v="2.8000000000000003"/>
    <n v="0.18666666666666668"/>
    <n v="15"/>
    <s v="0.20"/>
    <s v="Spr"/>
    <s v="ing"/>
    <n v="6"/>
    <s v="596|28-01-2011|0"/>
    <m/>
  </r>
  <r>
    <x v="596"/>
    <x v="27"/>
    <x v="0"/>
    <n v="0"/>
    <n v="1"/>
    <x v="1"/>
    <x v="0"/>
    <x v="6"/>
    <x v="1"/>
    <n v="0.2"/>
    <x v="0"/>
    <x v="0"/>
    <n v="2.6"/>
    <n v="0.18571428571428572"/>
    <n v="14"/>
    <s v="0.20"/>
    <s v="Spr"/>
    <s v="ing"/>
    <n v="6"/>
    <s v="597|28-01-2011|1"/>
    <m/>
  </r>
  <r>
    <x v="597"/>
    <x v="27"/>
    <x v="0"/>
    <n v="0"/>
    <n v="1"/>
    <x v="2"/>
    <x v="0"/>
    <x v="6"/>
    <x v="1"/>
    <n v="0.2"/>
    <x v="0"/>
    <x v="0"/>
    <n v="2.4"/>
    <n v="0.1846153846153846"/>
    <n v="13"/>
    <s v="0.20"/>
    <s v="Spr"/>
    <s v="ing"/>
    <n v="6"/>
    <s v="598|28-01-2011|2"/>
    <m/>
  </r>
  <r>
    <x v="598"/>
    <x v="27"/>
    <x v="0"/>
    <n v="0"/>
    <n v="1"/>
    <x v="3"/>
    <x v="0"/>
    <x v="6"/>
    <x v="1"/>
    <n v="0.2"/>
    <x v="0"/>
    <x v="0"/>
    <n v="2.1999999999999997"/>
    <n v="0.18333333333333332"/>
    <n v="12"/>
    <s v="0.20"/>
    <s v="Spr"/>
    <s v="ing"/>
    <n v="6"/>
    <s v="599|28-01-2011|3"/>
    <m/>
  </r>
  <r>
    <x v="599"/>
    <x v="27"/>
    <x v="0"/>
    <n v="0"/>
    <n v="1"/>
    <x v="5"/>
    <x v="0"/>
    <x v="6"/>
    <x v="1"/>
    <n v="0.18"/>
    <x v="0"/>
    <x v="0"/>
    <n v="1.9999999999999998"/>
    <n v="0.1818181818181818"/>
    <n v="11"/>
    <s v="0.18"/>
    <s v="Spr"/>
    <s v="ing"/>
    <n v="6"/>
    <s v="600|28-01-2011|5"/>
    <m/>
  </r>
  <r>
    <x v="600"/>
    <x v="27"/>
    <x v="0"/>
    <n v="0"/>
    <n v="1"/>
    <x v="6"/>
    <x v="0"/>
    <x v="6"/>
    <x v="1"/>
    <n v="0.18"/>
    <x v="0"/>
    <x v="0"/>
    <n v="1.8199999999999996"/>
    <n v="0.18199999999999997"/>
    <n v="10"/>
    <s v="0.18"/>
    <s v="Spr"/>
    <s v="ing"/>
    <n v="6"/>
    <s v="601|28-01-2011|6"/>
    <m/>
  </r>
  <r>
    <x v="601"/>
    <x v="27"/>
    <x v="0"/>
    <n v="0"/>
    <n v="1"/>
    <x v="7"/>
    <x v="0"/>
    <x v="6"/>
    <x v="1"/>
    <n v="0.16"/>
    <x v="0"/>
    <x v="0"/>
    <n v="1.6399999999999997"/>
    <n v="0.18222222222222217"/>
    <n v="9"/>
    <s v="0.16"/>
    <s v="Spr"/>
    <s v="ing"/>
    <n v="6"/>
    <s v="602|28-01-2011|7"/>
    <m/>
  </r>
  <r>
    <x v="602"/>
    <x v="27"/>
    <x v="0"/>
    <n v="0"/>
    <n v="1"/>
    <x v="8"/>
    <x v="0"/>
    <x v="6"/>
    <x v="1"/>
    <n v="0.16"/>
    <x v="0"/>
    <x v="0"/>
    <n v="1.4799999999999998"/>
    <n v="0.18499999999999997"/>
    <n v="8"/>
    <s v="0.16"/>
    <s v="Spr"/>
    <s v="ing"/>
    <n v="6"/>
    <s v="603|28-01-2011|8"/>
    <m/>
  </r>
  <r>
    <x v="603"/>
    <x v="27"/>
    <x v="0"/>
    <n v="0"/>
    <n v="1"/>
    <x v="9"/>
    <x v="0"/>
    <x v="6"/>
    <x v="2"/>
    <n v="0.18"/>
    <x v="0"/>
    <x v="0"/>
    <n v="1.3199999999999998"/>
    <n v="0.18857142857142856"/>
    <n v="7"/>
    <s v="0.18"/>
    <s v="Spr"/>
    <s v="ing"/>
    <n v="6"/>
    <s v="604|28-01-2011|9"/>
    <m/>
  </r>
  <r>
    <x v="604"/>
    <x v="27"/>
    <x v="0"/>
    <n v="0"/>
    <n v="1"/>
    <x v="10"/>
    <x v="0"/>
    <x v="6"/>
    <x v="2"/>
    <n v="0.18"/>
    <x v="0"/>
    <x v="0"/>
    <n v="1.1399999999999999"/>
    <n v="0.18999999999999997"/>
    <n v="6"/>
    <s v="0.18"/>
    <s v="Spr"/>
    <s v="ing"/>
    <n v="6"/>
    <s v="605|28-01-2011|10"/>
    <m/>
  </r>
  <r>
    <x v="605"/>
    <x v="27"/>
    <x v="0"/>
    <n v="0"/>
    <n v="1"/>
    <x v="11"/>
    <x v="0"/>
    <x v="6"/>
    <x v="2"/>
    <n v="0.18"/>
    <x v="0"/>
    <x v="0"/>
    <n v="0.96"/>
    <n v="0.192"/>
    <n v="5"/>
    <s v="0.18"/>
    <s v="Spr"/>
    <s v="ing"/>
    <n v="6"/>
    <s v="606|28-01-2011|11"/>
    <m/>
  </r>
  <r>
    <x v="606"/>
    <x v="27"/>
    <x v="0"/>
    <n v="0"/>
    <n v="1"/>
    <x v="12"/>
    <x v="0"/>
    <x v="6"/>
    <x v="2"/>
    <n v="0.18"/>
    <x v="0"/>
    <x v="0"/>
    <n v="0.78"/>
    <n v="0.19500000000000001"/>
    <n v="4"/>
    <s v="0.18"/>
    <s v="Spr"/>
    <s v="ing"/>
    <n v="6"/>
    <s v="607|28-01-2011|12"/>
    <m/>
  </r>
  <r>
    <x v="607"/>
    <x v="27"/>
    <x v="0"/>
    <n v="0"/>
    <n v="1"/>
    <x v="13"/>
    <x v="0"/>
    <x v="6"/>
    <x v="2"/>
    <n v="0.18"/>
    <x v="0"/>
    <x v="0"/>
    <n v="0.60000000000000009"/>
    <n v="0.20000000000000004"/>
    <n v="3"/>
    <s v="0.18"/>
    <s v="Spr"/>
    <s v="ing"/>
    <n v="6"/>
    <s v="608|28-01-2011|13"/>
    <m/>
  </r>
  <r>
    <x v="608"/>
    <x v="27"/>
    <x v="0"/>
    <n v="0"/>
    <n v="1"/>
    <x v="14"/>
    <x v="0"/>
    <x v="6"/>
    <x v="2"/>
    <n v="0.22"/>
    <x v="0"/>
    <x v="0"/>
    <n v="0.42000000000000004"/>
    <n v="0.21000000000000002"/>
    <n v="2"/>
    <s v="0.22"/>
    <s v="Spr"/>
    <s v="ing"/>
    <n v="6"/>
    <s v="609|28-01-2011|14"/>
    <m/>
  </r>
  <r>
    <x v="609"/>
    <x v="27"/>
    <x v="0"/>
    <n v="0"/>
    <n v="1"/>
    <x v="15"/>
    <x v="0"/>
    <x v="6"/>
    <x v="1"/>
    <n v="0.2"/>
    <x v="0"/>
    <x v="0"/>
    <n v="0.2"/>
    <n v="0.2"/>
    <n v="1"/>
    <s v="0.20"/>
    <s v="Spr"/>
    <s v="ing"/>
    <n v="6"/>
    <s v="610|28-01-2011|1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0"/>
    <x v="0"/>
    <n v="0.28789999999999999"/>
    <x v="0"/>
    <n v="0"/>
    <n v="3"/>
    <n v="13"/>
    <n v="16"/>
    <n v="121.9602850000001"/>
    <n v="0.19993489344262311"/>
    <n v="610"/>
    <n v="343.11000000000087"/>
    <n v="0.56247540983606703"/>
    <n v="610"/>
    <n v="33898"/>
    <n v="55.570491803278685"/>
    <n v="610"/>
    <s v="1"/>
    <s v="1"/>
    <n v="1"/>
  </r>
  <r>
    <n v="1"/>
    <x v="1"/>
    <n v="0.2727"/>
    <x v="1"/>
    <n v="0"/>
    <n v="8"/>
    <n v="32"/>
    <n v="40"/>
    <n v="121.67238500000011"/>
    <n v="0.1997904515599345"/>
    <n v="609"/>
    <n v="342.30000000000081"/>
    <n v="0.56206896551724272"/>
    <n v="609"/>
    <n v="33882"/>
    <n v="55.635467980295566"/>
    <n v="609"/>
    <s v="2"/>
    <s v="2"/>
    <n v="1"/>
  </r>
  <r>
    <n v="2"/>
    <x v="2"/>
    <n v="0.2727"/>
    <x v="1"/>
    <n v="0"/>
    <n v="5"/>
    <n v="27"/>
    <n v="32"/>
    <n v="121.3996850000001"/>
    <n v="0.19967053453947387"/>
    <n v="608"/>
    <n v="341.5000000000008"/>
    <n v="0.56167763157894868"/>
    <n v="608"/>
    <n v="33842"/>
    <n v="55.661184210526315"/>
    <n v="608"/>
    <s v="3"/>
    <s v="3"/>
    <n v="1"/>
  </r>
  <r>
    <n v="3"/>
    <x v="3"/>
    <n v="0.28789999999999999"/>
    <x v="2"/>
    <n v="0"/>
    <n v="3"/>
    <n v="10"/>
    <n v="13"/>
    <n v="121.1269850000001"/>
    <n v="0.19955022240527201"/>
    <n v="607"/>
    <n v="340.70000000000078"/>
    <n v="0.5612850082372336"/>
    <n v="607"/>
    <n v="33810"/>
    <n v="55.700164744645797"/>
    <n v="607"/>
    <s v="4"/>
    <s v="4"/>
    <n v="1"/>
  </r>
  <r>
    <n v="4"/>
    <x v="4"/>
    <n v="0.28789999999999999"/>
    <x v="2"/>
    <n v="0"/>
    <n v="0"/>
    <n v="1"/>
    <n v="1"/>
    <n v="120.8390850000001"/>
    <n v="0.19940443069306946"/>
    <n v="606"/>
    <n v="339.95000000000078"/>
    <n v="0.56097359735973729"/>
    <n v="606"/>
    <n v="33797"/>
    <n v="55.770627062706268"/>
    <n v="606"/>
    <s v="5"/>
    <s v="5"/>
    <n v="1"/>
  </r>
  <r>
    <n v="5"/>
    <x v="5"/>
    <n v="0.2576"/>
    <x v="2"/>
    <n v="8.9599999999999999E-2"/>
    <n v="0"/>
    <n v="1"/>
    <n v="1"/>
    <n v="120.5511850000001"/>
    <n v="0.19925815702479355"/>
    <n v="605"/>
    <n v="339.20000000000084"/>
    <n v="0.5606611570247948"/>
    <n v="605"/>
    <n v="33796"/>
    <n v="55.861157024793386"/>
    <n v="605"/>
    <s v="6"/>
    <s v="6"/>
    <n v="1"/>
  </r>
  <r>
    <n v="6"/>
    <x v="6"/>
    <n v="0.2727"/>
    <x v="1"/>
    <n v="0"/>
    <n v="2"/>
    <n v="0"/>
    <n v="2"/>
    <n v="120.29358500000012"/>
    <n v="0.19916156456953663"/>
    <n v="604"/>
    <n v="338.45000000000084"/>
    <n v="0.56034768211920671"/>
    <n v="604"/>
    <n v="33795"/>
    <n v="55.951986754966889"/>
    <n v="604"/>
    <s v="7"/>
    <s v="7"/>
    <n v="1"/>
  </r>
  <r>
    <n v="7"/>
    <x v="7"/>
    <n v="0.2576"/>
    <x v="3"/>
    <n v="0"/>
    <n v="1"/>
    <n v="2"/>
    <n v="3"/>
    <n v="120.02088500000011"/>
    <n v="0.19903961028192388"/>
    <n v="603"/>
    <n v="337.65000000000083"/>
    <n v="0.55995024875622024"/>
    <n v="603"/>
    <n v="33793"/>
    <n v="56.041459369817581"/>
    <n v="603"/>
    <s v="8"/>
    <s v="8"/>
    <n v="1"/>
  </r>
  <r>
    <n v="8"/>
    <x v="8"/>
    <n v="0.199935"/>
    <x v="2"/>
    <n v="0"/>
    <n v="1"/>
    <n v="7"/>
    <n v="8"/>
    <n v="119.76328500000011"/>
    <n v="0.19894233388704338"/>
    <n v="602"/>
    <n v="336.79000000000076"/>
    <n v="0.55945182724252618"/>
    <n v="602"/>
    <n v="33790"/>
    <n v="56.129568106312291"/>
    <n v="602"/>
    <s v="9"/>
    <s v="9"/>
    <n v="1"/>
  </r>
  <r>
    <n v="9"/>
    <x v="9"/>
    <n v="0.34849999999999998"/>
    <x v="4"/>
    <n v="0"/>
    <n v="8"/>
    <n v="6"/>
    <n v="14"/>
    <n v="119.56335000000011"/>
    <n v="0.19894068219633962"/>
    <n v="601"/>
    <n v="336.04000000000076"/>
    <n v="0.55913477537437728"/>
    <n v="601"/>
    <n v="33782"/>
    <n v="56.209650582362727"/>
    <n v="601"/>
    <s v="1"/>
    <s v="0"/>
    <n v="2"/>
  </r>
  <r>
    <n v="10"/>
    <x v="10"/>
    <n v="0.39389999999999997"/>
    <x v="4"/>
    <n v="0.25369999999999998"/>
    <n v="12"/>
    <n v="24"/>
    <n v="36"/>
    <n v="119.21485000000011"/>
    <n v="0.19869141666666684"/>
    <n v="600"/>
    <n v="335.28000000000077"/>
    <n v="0.5588000000000013"/>
    <n v="600"/>
    <n v="33768"/>
    <n v="56.28"/>
    <n v="600"/>
    <s v="1"/>
    <s v="1"/>
    <n v="2"/>
  </r>
  <r>
    <n v="11"/>
    <x v="11"/>
    <n v="0.33329999999999999"/>
    <x v="0"/>
    <n v="0.28360000000000002"/>
    <n v="26"/>
    <n v="30"/>
    <n v="56"/>
    <n v="118.82095000000012"/>
    <n v="0.19836552587646097"/>
    <n v="599"/>
    <n v="334.52000000000078"/>
    <n v="0.55846410684474257"/>
    <n v="599"/>
    <n v="33732"/>
    <n v="56.313856427378965"/>
    <n v="599"/>
    <s v="1"/>
    <s v="2"/>
    <n v="2"/>
  </r>
  <r>
    <n v="12"/>
    <x v="12"/>
    <n v="0.42420000000000002"/>
    <x v="5"/>
    <n v="0.28360000000000002"/>
    <n v="29"/>
    <n v="55"/>
    <n v="84"/>
    <n v="118.4876500000001"/>
    <n v="0.19813988294314397"/>
    <n v="598"/>
    <n v="333.71000000000078"/>
    <n v="0.55804347826087086"/>
    <n v="598"/>
    <n v="33676"/>
    <n v="56.314381270903013"/>
    <n v="598"/>
    <s v="1"/>
    <s v="3"/>
    <n v="2"/>
  </r>
  <r>
    <n v="13"/>
    <x v="13"/>
    <n v="0.45450000000000002"/>
    <x v="6"/>
    <n v="0.29849999999999999"/>
    <n v="47"/>
    <n v="47"/>
    <n v="94"/>
    <n v="118.06345000000009"/>
    <n v="0.19776122278056965"/>
    <n v="597"/>
    <n v="332.94000000000079"/>
    <n v="0.55768844221105662"/>
    <n v="597"/>
    <n v="33592"/>
    <n v="56.268006700167504"/>
    <n v="597"/>
    <s v="1"/>
    <s v="4"/>
    <n v="2"/>
  </r>
  <r>
    <n v="14"/>
    <x v="14"/>
    <n v="0.45450000000000002"/>
    <x v="6"/>
    <n v="0.28360000000000002"/>
    <n v="35"/>
    <n v="71"/>
    <n v="106"/>
    <n v="117.60895000000009"/>
    <n v="0.19733045302013438"/>
    <n v="596"/>
    <n v="332.22000000000082"/>
    <n v="0.55741610738255176"/>
    <n v="596"/>
    <n v="33498"/>
    <n v="56.20469798657718"/>
    <n v="596"/>
    <s v="1"/>
    <s v="5"/>
    <n v="2"/>
  </r>
  <r>
    <n v="15"/>
    <x v="15"/>
    <n v="0.43940000000000001"/>
    <x v="5"/>
    <n v="0.29849999999999999"/>
    <n v="40"/>
    <n v="70"/>
    <n v="110"/>
    <n v="117.15445000000011"/>
    <n v="0.19689823529411785"/>
    <n v="595"/>
    <n v="331.50000000000074"/>
    <n v="0.55714285714285838"/>
    <n v="595"/>
    <n v="33392"/>
    <n v="56.121008403361344"/>
    <n v="595"/>
    <s v="1"/>
    <s v="6"/>
    <n v="2"/>
  </r>
  <r>
    <n v="16"/>
    <x v="16"/>
    <n v="0.42420000000000002"/>
    <x v="7"/>
    <n v="0.29849999999999999"/>
    <n v="41"/>
    <n v="52"/>
    <n v="93"/>
    <n v="116.7150500000001"/>
    <n v="0.19648998316498334"/>
    <n v="594"/>
    <n v="330.7300000000007"/>
    <n v="0.55678451178451294"/>
    <n v="594"/>
    <n v="33282"/>
    <n v="56.030303030303031"/>
    <n v="594"/>
    <s v="1"/>
    <s v="7"/>
    <n v="2"/>
  </r>
  <r>
    <n v="17"/>
    <x v="17"/>
    <n v="0.199935"/>
    <x v="7"/>
    <n v="0.28360000000000002"/>
    <n v="15"/>
    <n v="52"/>
    <n v="67"/>
    <n v="116.29085000000011"/>
    <n v="0.19610598650927505"/>
    <n v="593"/>
    <n v="329.91000000000071"/>
    <n v="0.55634064080944468"/>
    <n v="593"/>
    <n v="33189"/>
    <n v="55.967959527824618"/>
    <n v="593"/>
    <s v="1"/>
    <s v="8"/>
    <n v="2"/>
  </r>
  <r>
    <n v="18"/>
    <x v="18"/>
    <n v="0.42420000000000002"/>
    <x v="8"/>
    <n v="0.25369999999999998"/>
    <n v="9"/>
    <n v="26"/>
    <n v="35"/>
    <n v="116.09091500000011"/>
    <n v="0.19609951858108127"/>
    <n v="592"/>
    <n v="329.09000000000071"/>
    <n v="0.55589527027027152"/>
    <n v="592"/>
    <n v="33122"/>
    <n v="55.949324324324323"/>
    <n v="592"/>
    <s v="1"/>
    <s v="9"/>
    <n v="2"/>
  </r>
  <r>
    <n v="19"/>
    <x v="19"/>
    <n v="0.42420000000000002"/>
    <x v="8"/>
    <n v="0.25369999999999998"/>
    <n v="6"/>
    <n v="31"/>
    <n v="37"/>
    <n v="115.66671500000011"/>
    <n v="0.19571356175972945"/>
    <n v="591"/>
    <n v="328.2100000000006"/>
    <n v="0.55534686971235292"/>
    <n v="591"/>
    <n v="33087"/>
    <n v="55.984771573604064"/>
    <n v="591"/>
    <s v="2"/>
    <s v="0"/>
    <n v="2"/>
  </r>
  <r>
    <n v="20"/>
    <x v="20"/>
    <n v="0.40910000000000002"/>
    <x v="9"/>
    <n v="0.25369999999999998"/>
    <n v="11"/>
    <n v="25"/>
    <n v="36"/>
    <n v="115.24251500000011"/>
    <n v="0.19532629661016968"/>
    <n v="590"/>
    <n v="327.33000000000055"/>
    <n v="0.55479661016949244"/>
    <n v="590"/>
    <n v="33050"/>
    <n v="56.016949152542374"/>
    <n v="590"/>
    <s v="2"/>
    <s v="1"/>
    <n v="2"/>
  </r>
  <r>
    <n v="21"/>
    <x v="21"/>
    <n v="0.40910000000000002"/>
    <x v="9"/>
    <n v="0.19400000000000001"/>
    <n v="3"/>
    <n v="31"/>
    <n v="34"/>
    <n v="114.83341500000012"/>
    <n v="0.19496335314091701"/>
    <n v="589"/>
    <n v="326.4600000000006"/>
    <n v="0.55426146010186861"/>
    <n v="589"/>
    <n v="33014"/>
    <n v="56.050933786078097"/>
    <n v="589"/>
    <s v="2"/>
    <s v="2"/>
    <n v="2"/>
  </r>
  <r>
    <n v="22"/>
    <x v="22"/>
    <n v="0.40910000000000002"/>
    <x v="10"/>
    <n v="0.22389999999999999"/>
    <n v="11"/>
    <n v="17"/>
    <n v="28"/>
    <n v="114.42431500000011"/>
    <n v="0.19459917517006819"/>
    <n v="588"/>
    <n v="325.5900000000006"/>
    <n v="0.55372448979591937"/>
    <n v="588"/>
    <n v="32980"/>
    <n v="56.088435374149661"/>
    <n v="588"/>
    <s v="2"/>
    <s v="3"/>
    <n v="2"/>
  </r>
  <r>
    <n v="23"/>
    <x v="23"/>
    <n v="0.199935"/>
    <x v="8"/>
    <n v="0.29849999999999999"/>
    <n v="15"/>
    <n v="24"/>
    <n v="39"/>
    <n v="114.0152150000001"/>
    <n v="0.19423375638841583"/>
    <n v="587"/>
    <n v="324.65000000000055"/>
    <n v="0.55306643952299928"/>
    <n v="587"/>
    <n v="32952"/>
    <n v="56.136286201022145"/>
    <n v="587"/>
    <s v="2"/>
    <s v="4"/>
    <n v="2"/>
  </r>
  <r>
    <n v="24"/>
    <x v="24"/>
    <n v="0.45450000000000002"/>
    <x v="8"/>
    <n v="0.29849999999999999"/>
    <n v="4"/>
    <n v="13"/>
    <n v="17"/>
    <n v="113.8152800000001"/>
    <n v="0.19422402730375443"/>
    <n v="586"/>
    <n v="323.77000000000055"/>
    <n v="0.55250853242320908"/>
    <n v="586"/>
    <n v="32913"/>
    <n v="56.165529010238906"/>
    <n v="586"/>
    <s v="2"/>
    <s v="5"/>
    <n v="2"/>
  </r>
  <r>
    <n v="25"/>
    <x v="25"/>
    <n v="0.43940000000000001"/>
    <x v="10"/>
    <n v="0.25369999999999998"/>
    <n v="1"/>
    <n v="16"/>
    <n v="17"/>
    <n v="113.36078000000009"/>
    <n v="0.19377911111111126"/>
    <n v="585"/>
    <n v="322.89000000000055"/>
    <n v="0.55194871794871891"/>
    <n v="585"/>
    <n v="32896"/>
    <n v="56.232478632478632"/>
    <n v="585"/>
    <s v="2"/>
    <s v="6"/>
    <n v="2"/>
  </r>
  <r>
    <n v="26"/>
    <x v="26"/>
    <n v="0.42420000000000002"/>
    <x v="11"/>
    <n v="0.28360000000000002"/>
    <n v="1"/>
    <n v="8"/>
    <n v="9"/>
    <n v="112.92138000000008"/>
    <n v="0.19335852739726042"/>
    <n v="584"/>
    <n v="321.9500000000005"/>
    <n v="0.55128424657534336"/>
    <n v="584"/>
    <n v="32879"/>
    <n v="56.299657534246577"/>
    <n v="584"/>
    <s v="2"/>
    <s v="7"/>
    <n v="2"/>
  </r>
  <r>
    <n v="27"/>
    <x v="27"/>
    <n v="0.45450000000000002"/>
    <x v="10"/>
    <n v="0.19400000000000001"/>
    <n v="2"/>
    <n v="4"/>
    <n v="6"/>
    <n v="112.4971800000001"/>
    <n v="0.19296257289879948"/>
    <n v="583"/>
    <n v="320.9500000000005"/>
    <n v="0.55051457975986362"/>
    <n v="583"/>
    <n v="32870"/>
    <n v="56.380789022298458"/>
    <n v="583"/>
    <s v="2"/>
    <s v="8"/>
    <n v="2"/>
  </r>
  <r>
    <n v="28"/>
    <x v="28"/>
    <n v="0.199935"/>
    <x v="10"/>
    <n v="0.19400000000000001"/>
    <n v="2"/>
    <n v="1"/>
    <n v="3"/>
    <n v="112.04268000000009"/>
    <n v="0.19251319587628882"/>
    <n v="582"/>
    <n v="320.0100000000005"/>
    <n v="0.54984536082474311"/>
    <n v="582"/>
    <n v="32864"/>
    <n v="56.467353951890033"/>
    <n v="582"/>
    <s v="2"/>
    <s v="9"/>
    <n v="2"/>
  </r>
  <r>
    <n v="29"/>
    <x v="29"/>
    <n v="0.42420000000000002"/>
    <x v="5"/>
    <n v="0.29849999999999999"/>
    <n v="0"/>
    <n v="2"/>
    <n v="2"/>
    <n v="111.84274500000008"/>
    <n v="0.19250042168674714"/>
    <n v="581"/>
    <n v="319.0700000000005"/>
    <n v="0.54917383820998367"/>
    <n v="581"/>
    <n v="32861"/>
    <n v="56.559380378657487"/>
    <n v="581"/>
    <s v="3"/>
    <s v="0"/>
    <n v="2"/>
  </r>
  <r>
    <n v="30"/>
    <x v="30"/>
    <n v="0.40910000000000002"/>
    <x v="4"/>
    <n v="0.19400000000000001"/>
    <n v="0"/>
    <n v="1"/>
    <n v="1"/>
    <n v="111.41854500000005"/>
    <n v="0.1921009396551725"/>
    <n v="580"/>
    <n v="318.30000000000052"/>
    <n v="0.54879310344827681"/>
    <n v="580"/>
    <n v="32859"/>
    <n v="56.653448275862068"/>
    <n v="580"/>
    <s v="3"/>
    <s v="1"/>
    <n v="2"/>
  </r>
  <r>
    <n v="31"/>
    <x v="31"/>
    <n v="0.40910000000000002"/>
    <x v="12"/>
    <n v="0.22389999999999999"/>
    <n v="0"/>
    <n v="8"/>
    <n v="8"/>
    <n v="111.00944500000004"/>
    <n v="0.1917261571675303"/>
    <n v="579"/>
    <n v="317.54000000000048"/>
    <n v="0.5484283246977556"/>
    <n v="579"/>
    <n v="32858"/>
    <n v="56.74956822107081"/>
    <n v="579"/>
    <s v="3"/>
    <s v="2"/>
    <n v="2"/>
  </r>
  <r>
    <n v="32"/>
    <x v="32"/>
    <n v="0.199935"/>
    <x v="4"/>
    <n v="0.22389999999999999"/>
    <n v="1"/>
    <n v="19"/>
    <n v="20"/>
    <n v="110.60034500000003"/>
    <n v="0.19135007785467134"/>
    <n v="578"/>
    <n v="316.8300000000005"/>
    <n v="0.54814878892733654"/>
    <n v="578"/>
    <n v="32850"/>
    <n v="56.833910034602077"/>
    <n v="578"/>
    <s v="3"/>
    <s v="3"/>
    <n v="2"/>
  </r>
  <r>
    <n v="33"/>
    <x v="33"/>
    <n v="0.34849999999999998"/>
    <x v="0"/>
    <n v="0.22389999999999999"/>
    <n v="7"/>
    <n v="46"/>
    <n v="53"/>
    <n v="110.40041000000002"/>
    <n v="0.19133519930675913"/>
    <n v="577"/>
    <n v="316.07000000000056"/>
    <n v="0.54778162911611883"/>
    <n v="577"/>
    <n v="32830"/>
    <n v="56.897746967071058"/>
    <n v="577"/>
    <s v="3"/>
    <s v="4"/>
    <n v="2"/>
  </r>
  <r>
    <n v="34"/>
    <x v="34"/>
    <n v="0.33329999999999999"/>
    <x v="12"/>
    <n v="0.25369999999999998"/>
    <n v="16"/>
    <n v="54"/>
    <n v="70"/>
    <n v="110.05191000000003"/>
    <n v="0.19106234375000006"/>
    <n v="576"/>
    <n v="315.26000000000056"/>
    <n v="0.54732638888888985"/>
    <n v="576"/>
    <n v="32777"/>
    <n v="56.904513888888886"/>
    <n v="576"/>
    <s v="3"/>
    <s v="5"/>
    <n v="2"/>
  </r>
  <r>
    <n v="35"/>
    <x v="35"/>
    <n v="0.33329999999999999"/>
    <x v="13"/>
    <n v="0.29849999999999999"/>
    <n v="20"/>
    <n v="73"/>
    <n v="93"/>
    <n v="109.71861000000003"/>
    <n v="0.19081497391304353"/>
    <n v="575"/>
    <n v="314.55000000000052"/>
    <n v="0.54704347826087052"/>
    <n v="575"/>
    <n v="32707"/>
    <n v="56.881739130434781"/>
    <n v="575"/>
    <s v="3"/>
    <s v="6"/>
    <n v="2"/>
  </r>
  <r>
    <n v="36"/>
    <x v="36"/>
    <n v="0.34849999999999998"/>
    <x v="13"/>
    <n v="0.1343"/>
    <n v="11"/>
    <n v="64"/>
    <n v="75"/>
    <n v="109.38531000000003"/>
    <n v="0.1905667421602788"/>
    <n v="574"/>
    <n v="313.89000000000055"/>
    <n v="0.54684668989547136"/>
    <n v="574"/>
    <n v="32614"/>
    <n v="56.818815331010455"/>
    <n v="574"/>
    <s v="3"/>
    <s v="7"/>
    <n v="2"/>
  </r>
  <r>
    <n v="37"/>
    <x v="37"/>
    <n v="0.199935"/>
    <x v="4"/>
    <n v="0.19400000000000001"/>
    <n v="4"/>
    <n v="55"/>
    <n v="59"/>
    <n v="109.03681000000003"/>
    <n v="0.19029111692844683"/>
    <n v="573"/>
    <n v="313.23000000000047"/>
    <n v="0.54664921465968674"/>
    <n v="573"/>
    <n v="32539"/>
    <n v="56.787085514834203"/>
    <n v="573"/>
    <s v="3"/>
    <s v="8"/>
    <n v="2"/>
  </r>
  <r>
    <n v="38"/>
    <x v="38"/>
    <n v="0.33329999999999999"/>
    <x v="0"/>
    <n v="0.16420000000000001"/>
    <n v="19"/>
    <n v="55"/>
    <n v="74"/>
    <n v="108.83687500000003"/>
    <n v="0.19027425699300704"/>
    <n v="572"/>
    <n v="312.47000000000048"/>
    <n v="0.54627622377622465"/>
    <n v="572"/>
    <n v="32480"/>
    <n v="56.78321678321678"/>
    <n v="572"/>
    <s v="3"/>
    <s v="9"/>
    <n v="2"/>
  </r>
  <r>
    <n v="39"/>
    <x v="39"/>
    <n v="0.33329999999999999"/>
    <x v="12"/>
    <n v="0.16420000000000001"/>
    <n v="9"/>
    <n v="67"/>
    <n v="76"/>
    <n v="108.50357500000004"/>
    <n v="0.19002377408056048"/>
    <n v="571"/>
    <n v="311.66000000000054"/>
    <n v="0.54581436077057888"/>
    <n v="571"/>
    <n v="32406"/>
    <n v="56.753064798598949"/>
    <n v="571"/>
    <s v="4"/>
    <s v="0"/>
    <n v="2"/>
  </r>
  <r>
    <n v="40"/>
    <x v="40"/>
    <n v="0.33329999999999999"/>
    <x v="14"/>
    <n v="0.19400000000000001"/>
    <n v="7"/>
    <n v="58"/>
    <n v="65"/>
    <n v="108.17027500000002"/>
    <n v="0.1897724122807018"/>
    <n v="570"/>
    <n v="310.95000000000044"/>
    <n v="0.54552631578947441"/>
    <n v="570"/>
    <n v="32330"/>
    <n v="56.719298245614034"/>
    <n v="570"/>
    <s v="4"/>
    <s v="1"/>
    <n v="2"/>
  </r>
  <r>
    <n v="41"/>
    <x v="41"/>
    <n v="0.33329999999999999"/>
    <x v="15"/>
    <n v="0.32840000000000003"/>
    <n v="10"/>
    <n v="43"/>
    <n v="53"/>
    <n v="107.83697500000002"/>
    <n v="0.18952016695957824"/>
    <n v="569"/>
    <n v="310.38000000000045"/>
    <n v="0.54548330404218004"/>
    <n v="569"/>
    <n v="32265"/>
    <n v="56.704745166959576"/>
    <n v="569"/>
    <s v="4"/>
    <s v="2"/>
    <n v="2"/>
  </r>
  <r>
    <n v="42"/>
    <x v="42"/>
    <n v="0.28789999999999999"/>
    <x v="16"/>
    <n v="0.44779999999999998"/>
    <n v="1"/>
    <n v="29"/>
    <n v="30"/>
    <n v="107.50367500000002"/>
    <n v="0.18926703345070425"/>
    <n v="568"/>
    <n v="309.92000000000041"/>
    <n v="0.5456338028169021"/>
    <n v="568"/>
    <n v="32212"/>
    <n v="56.7112676056338"/>
    <n v="568"/>
    <s v="4"/>
    <s v="3"/>
    <n v="2"/>
  </r>
  <r>
    <n v="43"/>
    <x v="43"/>
    <n v="0.199935"/>
    <x v="17"/>
    <n v="0.35820000000000002"/>
    <n v="5"/>
    <n v="17"/>
    <n v="22"/>
    <n v="107.21577500000002"/>
    <n v="0.18909307760141097"/>
    <n v="567"/>
    <n v="309.5000000000004"/>
    <n v="0.54585537918871319"/>
    <n v="567"/>
    <n v="32182"/>
    <n v="56.758377425044088"/>
    <n v="567"/>
    <s v="4"/>
    <s v="4"/>
    <n v="2"/>
  </r>
  <r>
    <n v="44"/>
    <x v="44"/>
    <n v="0.2273"/>
    <x v="18"/>
    <n v="0.32840000000000003"/>
    <n v="11"/>
    <n v="20"/>
    <n v="31"/>
    <n v="107.01584000000003"/>
    <n v="0.18907392226148415"/>
    <n v="566"/>
    <n v="309.11000000000035"/>
    <n v="0.54613074204947054"/>
    <n v="566"/>
    <n v="32160"/>
    <n v="56.819787985865723"/>
    <n v="566"/>
    <s v="4"/>
    <s v="5"/>
    <n v="2"/>
  </r>
  <r>
    <n v="45"/>
    <x v="45"/>
    <n v="0.21210000000000001"/>
    <x v="18"/>
    <n v="0.29849999999999999"/>
    <n v="0"/>
    <n v="9"/>
    <n v="9"/>
    <n v="106.78854000000003"/>
    <n v="0.18900626548672572"/>
    <n v="565"/>
    <n v="308.67000000000036"/>
    <n v="0.54631858407079714"/>
    <n v="565"/>
    <n v="32129"/>
    <n v="56.865486725663715"/>
    <n v="565"/>
    <s v="4"/>
    <s v="6"/>
    <n v="2"/>
  </r>
  <r>
    <n v="46"/>
    <x v="46"/>
    <n v="0.2273"/>
    <x v="19"/>
    <n v="0.16420000000000001"/>
    <n v="0"/>
    <n v="8"/>
    <n v="8"/>
    <n v="106.57644000000003"/>
    <n v="0.18896531914893622"/>
    <n v="564"/>
    <n v="308.23000000000036"/>
    <n v="0.54650709219858218"/>
    <n v="564"/>
    <n v="32120"/>
    <n v="56.950354609929079"/>
    <n v="564"/>
    <s v="4"/>
    <s v="7"/>
    <n v="2"/>
  </r>
  <r>
    <n v="47"/>
    <x v="47"/>
    <n v="0.19700000000000001"/>
    <x v="18"/>
    <n v="0.35820000000000002"/>
    <n v="0"/>
    <n v="5"/>
    <n v="5"/>
    <n v="106.34914000000005"/>
    <n v="0.18889722912966261"/>
    <n v="563"/>
    <n v="307.76000000000033"/>
    <n v="0.54664298401421019"/>
    <n v="563"/>
    <n v="32112"/>
    <n v="57.03730017761989"/>
    <n v="563"/>
    <s v="4"/>
    <s v="8"/>
    <n v="2"/>
  </r>
  <r>
    <n v="48"/>
    <x v="48"/>
    <n v="0.199935"/>
    <x v="18"/>
    <n v="0.41789999999999999"/>
    <n v="0"/>
    <n v="2"/>
    <n v="2"/>
    <n v="106.15214000000003"/>
    <n v="0.18888281138790042"/>
    <n v="562"/>
    <n v="307.32000000000033"/>
    <n v="0.54683274021352368"/>
    <n v="562"/>
    <n v="32107"/>
    <n v="57.129893238434164"/>
    <n v="562"/>
    <s v="4"/>
    <s v="9"/>
    <n v="2"/>
  </r>
  <r>
    <n v="49"/>
    <x v="49"/>
    <n v="0.13639999999999999"/>
    <x v="19"/>
    <n v="0.3881"/>
    <n v="0"/>
    <n v="1"/>
    <n v="1"/>
    <n v="105.95220500000003"/>
    <n v="0.18886311051693411"/>
    <n v="561"/>
    <n v="306.88000000000039"/>
    <n v="0.5470231729055266"/>
    <n v="561"/>
    <n v="32105"/>
    <n v="57.228163992869874"/>
    <n v="561"/>
    <s v="5"/>
    <s v="0"/>
    <n v="2"/>
  </r>
  <r>
    <n v="50"/>
    <x v="50"/>
    <n v="0.13639999999999999"/>
    <x v="19"/>
    <n v="0.28360000000000002"/>
    <n v="0"/>
    <n v="3"/>
    <n v="3"/>
    <n v="105.81580500000003"/>
    <n v="0.1889567946428572"/>
    <n v="560"/>
    <n v="306.41000000000042"/>
    <n v="0.547160714285715"/>
    <n v="560"/>
    <n v="32104"/>
    <n v="57.328571428571429"/>
    <n v="560"/>
    <s v="5"/>
    <s v="1"/>
    <n v="2"/>
  </r>
  <r>
    <n v="51"/>
    <x v="51"/>
    <n v="0.1061"/>
    <x v="20"/>
    <n v="0.3881"/>
    <n v="0"/>
    <n v="30"/>
    <n v="30"/>
    <n v="105.67940500000003"/>
    <n v="0.18905081395348844"/>
    <n v="559"/>
    <n v="305.94000000000034"/>
    <n v="0.54729874776386467"/>
    <n v="559"/>
    <n v="32101"/>
    <n v="57.425760286225405"/>
    <n v="559"/>
    <s v="5"/>
    <s v="2"/>
    <n v="2"/>
  </r>
  <r>
    <n v="52"/>
    <x v="52"/>
    <n v="0.13639999999999999"/>
    <x v="20"/>
    <n v="0.19400000000000001"/>
    <n v="1"/>
    <n v="63"/>
    <n v="64"/>
    <n v="105.57330500000003"/>
    <n v="0.18919947132616494"/>
    <n v="558"/>
    <n v="305.4400000000004"/>
    <n v="0.54738351254480355"/>
    <n v="558"/>
    <n v="32071"/>
    <n v="57.47491039426523"/>
    <n v="558"/>
    <s v="5"/>
    <s v="3"/>
    <n v="2"/>
  </r>
  <r>
    <n v="53"/>
    <x v="53"/>
    <n v="0.1212"/>
    <x v="20"/>
    <n v="0.28360000000000002"/>
    <n v="1"/>
    <n v="153"/>
    <n v="154"/>
    <n v="105.43690500000002"/>
    <n v="0.18929426391382409"/>
    <n v="557"/>
    <n v="304.9400000000004"/>
    <n v="0.54746858168761292"/>
    <n v="557"/>
    <n v="32007"/>
    <n v="57.46319569120287"/>
    <n v="557"/>
    <s v="5"/>
    <s v="4"/>
    <n v="2"/>
  </r>
  <r>
    <n v="54"/>
    <x v="54"/>
    <n v="0.13639999999999999"/>
    <x v="21"/>
    <n v="0.3881"/>
    <n v="7"/>
    <n v="81"/>
    <n v="88"/>
    <n v="105.31570500000001"/>
    <n v="0.18941673561151082"/>
    <n v="556"/>
    <n v="304.4400000000004"/>
    <n v="0.54755395683453312"/>
    <n v="556"/>
    <n v="31853"/>
    <n v="57.289568345323744"/>
    <n v="556"/>
    <s v="5"/>
    <s v="5"/>
    <n v="2"/>
  </r>
  <r>
    <n v="55"/>
    <x v="55"/>
    <n v="0.16669999999999999"/>
    <x v="21"/>
    <n v="0.25369999999999998"/>
    <n v="11"/>
    <n v="33"/>
    <n v="44"/>
    <n v="105.179305"/>
    <n v="0.18951226126126125"/>
    <n v="555"/>
    <n v="304.01000000000039"/>
    <n v="0.54776576576576652"/>
    <n v="555"/>
    <n v="31765"/>
    <n v="57.234234234234236"/>
    <n v="555"/>
    <s v="5"/>
    <s v="6"/>
    <n v="2"/>
  </r>
  <r>
    <n v="56"/>
    <x v="56"/>
    <n v="0.18179999999999999"/>
    <x v="22"/>
    <n v="0.32840000000000003"/>
    <n v="10"/>
    <n v="41"/>
    <n v="51"/>
    <n v="105.01260499999999"/>
    <n v="0.18955343862815882"/>
    <n v="554"/>
    <n v="303.58000000000044"/>
    <n v="0.54797833935018125"/>
    <n v="554"/>
    <n v="31721"/>
    <n v="57.258122743682307"/>
    <n v="554"/>
    <s v="5"/>
    <s v="7"/>
    <n v="2"/>
  </r>
  <r>
    <n v="57"/>
    <x v="57"/>
    <n v="0.21210000000000001"/>
    <x v="23"/>
    <n v="0.29849999999999999"/>
    <n v="13"/>
    <n v="48"/>
    <n v="61"/>
    <n v="104.830805"/>
    <n v="0.18956745931283905"/>
    <n v="553"/>
    <n v="303.1800000000004"/>
    <n v="0.54824593128390675"/>
    <n v="553"/>
    <n v="31670"/>
    <n v="57.269439421338156"/>
    <n v="553"/>
    <s v="5"/>
    <s v="8"/>
    <n v="2"/>
  </r>
  <r>
    <n v="58"/>
    <x v="58"/>
    <n v="0.199935"/>
    <x v="23"/>
    <n v="0.28360000000000002"/>
    <n v="8"/>
    <n v="53"/>
    <n v="61"/>
    <n v="104.61870499999999"/>
    <n v="0.18952663949275361"/>
    <n v="552"/>
    <n v="302.83000000000044"/>
    <n v="0.54860507246376888"/>
    <n v="552"/>
    <n v="31609"/>
    <n v="57.262681159420289"/>
    <n v="552"/>
    <s v="5"/>
    <s v="9"/>
    <n v="2"/>
  </r>
  <r>
    <n v="59"/>
    <x v="59"/>
    <n v="0.2424"/>
    <x v="24"/>
    <n v="0.28360000000000002"/>
    <n v="11"/>
    <n v="66"/>
    <n v="77"/>
    <n v="104.41876999999999"/>
    <n v="0.18950774954627947"/>
    <n v="551"/>
    <n v="302.48000000000042"/>
    <n v="0.5489655172413801"/>
    <n v="551"/>
    <n v="31548"/>
    <n v="57.255898366606168"/>
    <n v="551"/>
    <s v="6"/>
    <s v="0"/>
    <n v="2"/>
  </r>
  <r>
    <n v="60"/>
    <x v="60"/>
    <n v="0.2424"/>
    <x v="24"/>
    <n v="0.25369999999999998"/>
    <n v="14"/>
    <n v="58"/>
    <n v="72"/>
    <n v="104.17636999999999"/>
    <n v="0.1894115818181818"/>
    <n v="550"/>
    <n v="302.18000000000046"/>
    <n v="0.54941818181818269"/>
    <n v="550"/>
    <n v="31471"/>
    <n v="57.22"/>
    <n v="550"/>
    <s v="6"/>
    <s v="1"/>
    <n v="2"/>
  </r>
  <r>
    <n v="61"/>
    <x v="61"/>
    <n v="0.2424"/>
    <x v="24"/>
    <n v="0.25369999999999998"/>
    <n v="9"/>
    <n v="67"/>
    <n v="76"/>
    <n v="103.93397"/>
    <n v="0.18931506375227686"/>
    <n v="549"/>
    <n v="301.88000000000045"/>
    <n v="0.54987249544626671"/>
    <n v="549"/>
    <n v="31399"/>
    <n v="57.193078324225866"/>
    <n v="549"/>
    <s v="6"/>
    <s v="2"/>
    <n v="2"/>
  </r>
  <r>
    <n v="62"/>
    <x v="62"/>
    <n v="0.2273"/>
    <x v="24"/>
    <n v="0.22389999999999999"/>
    <n v="11"/>
    <n v="146"/>
    <n v="157"/>
    <n v="103.69157"/>
    <n v="0.18921819343065693"/>
    <n v="548"/>
    <n v="301.58000000000044"/>
    <n v="0.55032846715328543"/>
    <n v="548"/>
    <n v="31323"/>
    <n v="57.158759124087588"/>
    <n v="548"/>
    <s v="6"/>
    <s v="3"/>
    <n v="2"/>
  </r>
  <r>
    <n v="63"/>
    <x v="63"/>
    <n v="0.2576"/>
    <x v="25"/>
    <n v="0.1045"/>
    <n v="9"/>
    <n v="148"/>
    <n v="157"/>
    <n v="103.46427000000001"/>
    <n v="0.1891485740402194"/>
    <n v="547"/>
    <n v="301.28000000000048"/>
    <n v="0.55078610603290767"/>
    <n v="547"/>
    <n v="31166"/>
    <n v="56.976234003656309"/>
    <n v="547"/>
    <s v="6"/>
    <s v="4"/>
    <n v="2"/>
  </r>
  <r>
    <n v="64"/>
    <x v="64"/>
    <n v="0.2576"/>
    <x v="19"/>
    <n v="0"/>
    <n v="8"/>
    <n v="102"/>
    <n v="110"/>
    <n v="103.20667000000002"/>
    <n v="0.18902320512820517"/>
    <n v="546"/>
    <n v="300.96000000000049"/>
    <n v="0.55120879120879207"/>
    <n v="546"/>
    <n v="31009"/>
    <n v="56.793040293040292"/>
    <n v="546"/>
    <s v="6"/>
    <s v="5"/>
    <n v="2"/>
  </r>
  <r>
    <n v="65"/>
    <x v="65"/>
    <n v="0.199935"/>
    <x v="19"/>
    <n v="0.1045"/>
    <n v="3"/>
    <n v="49"/>
    <n v="52"/>
    <n v="102.94907000000001"/>
    <n v="0.188897376146789"/>
    <n v="545"/>
    <n v="300.49000000000046"/>
    <n v="0.55135779816513841"/>
    <n v="545"/>
    <n v="30899"/>
    <n v="56.695412844036696"/>
    <n v="545"/>
    <s v="6"/>
    <s v="6"/>
    <n v="2"/>
  </r>
  <r>
    <n v="66"/>
    <x v="66"/>
    <n v="0.19700000000000001"/>
    <x v="26"/>
    <n v="0.1343"/>
    <n v="3"/>
    <n v="49"/>
    <n v="52"/>
    <n v="102.74913500000001"/>
    <n v="0.18887708639705883"/>
    <n v="544"/>
    <n v="300.02000000000049"/>
    <n v="0.55150735294117736"/>
    <n v="544"/>
    <n v="30847"/>
    <n v="56.704044117647058"/>
    <n v="544"/>
    <s v="6"/>
    <s v="7"/>
    <n v="2"/>
  </r>
  <r>
    <n v="67"/>
    <x v="67"/>
    <n v="0.1515"/>
    <x v="27"/>
    <n v="0.1343"/>
    <n v="0"/>
    <n v="20"/>
    <n v="20"/>
    <n v="102.55213500000001"/>
    <n v="0.1888621270718232"/>
    <n v="543"/>
    <n v="299.38000000000045"/>
    <n v="0.5513443830570911"/>
    <n v="543"/>
    <n v="30795"/>
    <n v="56.712707182320443"/>
    <n v="543"/>
    <s v="6"/>
    <s v="8"/>
    <n v="2"/>
  </r>
  <r>
    <n v="68"/>
    <x v="68"/>
    <n v="0.21210000000000001"/>
    <x v="28"/>
    <n v="0.1045"/>
    <n v="1"/>
    <n v="11"/>
    <n v="12"/>
    <n v="102.40063500000001"/>
    <n v="0.18893106088560888"/>
    <n v="542"/>
    <n v="298.69000000000045"/>
    <n v="0.55108856088560965"/>
    <n v="542"/>
    <n v="30775"/>
    <n v="56.780442804428041"/>
    <n v="542"/>
    <s v="6"/>
    <s v="9"/>
    <n v="2"/>
  </r>
  <r>
    <n v="69"/>
    <x v="69"/>
    <n v="0.199935"/>
    <x v="28"/>
    <n v="0.1045"/>
    <n v="0"/>
    <n v="5"/>
    <n v="5"/>
    <n v="102.18853499999999"/>
    <n v="0.1888882347504621"/>
    <n v="541"/>
    <n v="298.14000000000044"/>
    <n v="0.55109057301293984"/>
    <n v="541"/>
    <n v="30763"/>
    <n v="56.863216266173751"/>
    <n v="541"/>
    <s v="7"/>
    <s v="0"/>
    <n v="2"/>
  </r>
  <r>
    <n v="70"/>
    <x v="70"/>
    <n v="0.18179999999999999"/>
    <x v="29"/>
    <n v="0.1045"/>
    <n v="0"/>
    <n v="2"/>
    <n v="2"/>
    <n v="101.98859999999999"/>
    <n v="0.18886777777777777"/>
    <n v="540"/>
    <n v="297.59000000000043"/>
    <n v="0.55109259259259336"/>
    <n v="540"/>
    <n v="30758"/>
    <n v="56.959259259259262"/>
    <n v="540"/>
    <s v="7"/>
    <s v="1"/>
    <n v="2"/>
  </r>
  <r>
    <n v="71"/>
    <x v="71"/>
    <n v="0.1515"/>
    <x v="30"/>
    <n v="0.1343"/>
    <n v="0"/>
    <n v="1"/>
    <n v="1"/>
    <n v="101.8068"/>
    <n v="0.18888089053803339"/>
    <n v="539"/>
    <n v="297.00000000000045"/>
    <n v="0.55102040816326614"/>
    <n v="539"/>
    <n v="30756"/>
    <n v="57.061224489795919"/>
    <n v="539"/>
    <s v="7"/>
    <s v="2"/>
    <n v="2"/>
  </r>
  <r>
    <n v="72"/>
    <x v="72"/>
    <n v="0.18179999999999999"/>
    <x v="30"/>
    <n v="8.9599999999999999E-2"/>
    <n v="0"/>
    <n v="2"/>
    <n v="2"/>
    <n v="101.6553"/>
    <n v="0.18895037174721188"/>
    <n v="538"/>
    <n v="296.37000000000046"/>
    <n v="0.5508736059479562"/>
    <n v="538"/>
    <n v="30755"/>
    <n v="57.165427509293679"/>
    <n v="538"/>
    <s v="7"/>
    <s v="3"/>
    <n v="2"/>
  </r>
  <r>
    <n v="73"/>
    <x v="73"/>
    <n v="0.1515"/>
    <x v="31"/>
    <n v="0.1045"/>
    <n v="0"/>
    <n v="4"/>
    <n v="4"/>
    <n v="101.47349999999999"/>
    <n v="0.18896368715083797"/>
    <n v="537"/>
    <n v="295.74000000000052"/>
    <n v="0.55072625698324118"/>
    <n v="537"/>
    <n v="30753"/>
    <n v="57.268156424581008"/>
    <n v="537"/>
    <s v="7"/>
    <s v="4"/>
    <n v="2"/>
  </r>
  <r>
    <n v="74"/>
    <x v="74"/>
    <n v="0.1515"/>
    <x v="32"/>
    <n v="0.1045"/>
    <n v="0"/>
    <n v="36"/>
    <n v="36"/>
    <n v="101.32199999999999"/>
    <n v="0.1890335820895522"/>
    <n v="536"/>
    <n v="295.06000000000046"/>
    <n v="0.55048507462686658"/>
    <n v="536"/>
    <n v="30749"/>
    <n v="57.367537313432834"/>
    <n v="536"/>
    <s v="7"/>
    <s v="5"/>
    <n v="2"/>
  </r>
  <r>
    <n v="75"/>
    <x v="75"/>
    <n v="0.1515"/>
    <x v="32"/>
    <n v="0.1343"/>
    <n v="2"/>
    <n v="92"/>
    <n v="94"/>
    <n v="101.17049999999999"/>
    <n v="0.18910373831775698"/>
    <n v="535"/>
    <n v="294.32000000000039"/>
    <n v="0.55013084112149602"/>
    <n v="535"/>
    <n v="30713"/>
    <n v="57.407476635514016"/>
    <n v="535"/>
    <s v="7"/>
    <s v="6"/>
    <n v="2"/>
  </r>
  <r>
    <n v="76"/>
    <x v="76"/>
    <n v="0.1515"/>
    <x v="27"/>
    <n v="0.16420000000000001"/>
    <n v="2"/>
    <n v="177"/>
    <n v="179"/>
    <n v="101.01899999999999"/>
    <n v="0.18917415730337078"/>
    <n v="534"/>
    <n v="293.58000000000038"/>
    <n v="0.54977528089887717"/>
    <n v="534"/>
    <n v="30619"/>
    <n v="57.338951310861425"/>
    <n v="534"/>
    <s v="7"/>
    <s v="7"/>
    <n v="2"/>
  </r>
  <r>
    <n v="77"/>
    <x v="77"/>
    <n v="0.1515"/>
    <x v="26"/>
    <n v="0.22389999999999999"/>
    <n v="2"/>
    <n v="98"/>
    <n v="100"/>
    <n v="100.86749999999999"/>
    <n v="0.18924484052532831"/>
    <n v="533"/>
    <n v="292.89000000000044"/>
    <n v="0.54951219512195204"/>
    <n v="533"/>
    <n v="30440"/>
    <n v="57.110694183864915"/>
    <n v="533"/>
    <s v="7"/>
    <s v="8"/>
    <n v="2"/>
  </r>
  <r>
    <n v="78"/>
    <x v="78"/>
    <n v="0.13639999999999999"/>
    <x v="27"/>
    <n v="0.32840000000000003"/>
    <n v="5"/>
    <n v="37"/>
    <n v="42"/>
    <n v="100.71599999999999"/>
    <n v="0.18931578947368419"/>
    <n v="532"/>
    <n v="292.2500000000004"/>
    <n v="0.54934210526315863"/>
    <n v="532"/>
    <n v="30340"/>
    <n v="57.030075187969928"/>
    <n v="532"/>
    <s v="7"/>
    <s v="9"/>
    <n v="2"/>
  </r>
  <r>
    <n v="79"/>
    <x v="79"/>
    <n v="0.21210000000000001"/>
    <x v="33"/>
    <n v="0.29849999999999999"/>
    <n v="7"/>
    <n v="50"/>
    <n v="57"/>
    <n v="100.5796"/>
    <n v="0.18941544256120527"/>
    <n v="531"/>
    <n v="291.56000000000034"/>
    <n v="0.54907721280602706"/>
    <n v="531"/>
    <n v="30298"/>
    <n v="57.058380414312616"/>
    <n v="531"/>
    <s v="8"/>
    <s v="0"/>
    <n v="2"/>
  </r>
  <r>
    <n v="80"/>
    <x v="80"/>
    <n v="0.2273"/>
    <x v="33"/>
    <n v="0.16420000000000001"/>
    <n v="12"/>
    <n v="66"/>
    <n v="78"/>
    <n v="100.36749999999999"/>
    <n v="0.18937264150943395"/>
    <n v="530"/>
    <n v="291.05000000000035"/>
    <n v="0.54915094339622705"/>
    <n v="530"/>
    <n v="30241"/>
    <n v="57.058490566037733"/>
    <n v="530"/>
    <s v="8"/>
    <s v="1"/>
    <n v="2"/>
  </r>
  <r>
    <n v="81"/>
    <x v="81"/>
    <n v="0.2273"/>
    <x v="34"/>
    <n v="0.19400000000000001"/>
    <n v="18"/>
    <n v="79"/>
    <n v="97"/>
    <n v="100.14019999999999"/>
    <n v="0.1893009451795841"/>
    <n v="529"/>
    <n v="290.54000000000036"/>
    <n v="0.54922495274102145"/>
    <n v="529"/>
    <n v="30163"/>
    <n v="57.018903591682417"/>
    <n v="529"/>
    <s v="8"/>
    <s v="2"/>
    <n v="2"/>
  </r>
  <r>
    <n v="82"/>
    <x v="82"/>
    <n v="0.2576"/>
    <x v="35"/>
    <n v="0.22389999999999999"/>
    <n v="9"/>
    <n v="54"/>
    <n v="63"/>
    <n v="99.912900000000008"/>
    <n v="0.18922897727272728"/>
    <n v="528"/>
    <n v="289.98000000000042"/>
    <n v="0.54920454545454622"/>
    <n v="528"/>
    <n v="30066"/>
    <n v="56.94318181818182"/>
    <n v="528"/>
    <s v="8"/>
    <s v="3"/>
    <n v="2"/>
  </r>
  <r>
    <n v="83"/>
    <x v="83"/>
    <n v="0.2727"/>
    <x v="35"/>
    <n v="0.25369999999999998"/>
    <n v="17"/>
    <n v="48"/>
    <n v="65"/>
    <n v="99.655299999999997"/>
    <n v="0.18909924098671727"/>
    <n v="527"/>
    <n v="289.46000000000043"/>
    <n v="0.54925996204933669"/>
    <n v="527"/>
    <n v="30003"/>
    <n v="56.931688804554078"/>
    <n v="527"/>
    <s v="8"/>
    <s v="4"/>
    <n v="2"/>
  </r>
  <r>
    <n v="84"/>
    <x v="84"/>
    <n v="0.28789999999999999"/>
    <x v="36"/>
    <n v="0.25369999999999998"/>
    <n v="15"/>
    <n v="68"/>
    <n v="83"/>
    <n v="99.382599999999996"/>
    <n v="0.18894030418250951"/>
    <n v="526"/>
    <n v="288.94000000000045"/>
    <n v="0.54931558935361302"/>
    <n v="526"/>
    <n v="29938"/>
    <n v="56.916349809885929"/>
    <n v="526"/>
    <s v="8"/>
    <s v="5"/>
    <n v="2"/>
  </r>
  <r>
    <n v="85"/>
    <x v="85"/>
    <n v="0.2727"/>
    <x v="37"/>
    <n v="0.22389999999999999"/>
    <n v="10"/>
    <n v="202"/>
    <n v="212"/>
    <n v="99.094699999999989"/>
    <n v="0.18875180952380952"/>
    <n v="525"/>
    <n v="288.45000000000044"/>
    <n v="0.54942857142857227"/>
    <n v="525"/>
    <n v="29855"/>
    <n v="56.866666666666667"/>
    <n v="525"/>
    <s v="8"/>
    <s v="6"/>
    <n v="2"/>
  </r>
  <r>
    <n v="86"/>
    <x v="86"/>
    <n v="0.2576"/>
    <x v="37"/>
    <n v="0.19400000000000001"/>
    <n v="3"/>
    <n v="179"/>
    <n v="182"/>
    <n v="98.821999999999974"/>
    <n v="0.18859160305343506"/>
    <n v="524"/>
    <n v="287.97000000000048"/>
    <n v="0.54956106870229104"/>
    <n v="524"/>
    <n v="29643"/>
    <n v="56.570610687022899"/>
    <n v="524"/>
    <s v="8"/>
    <s v="7"/>
    <n v="2"/>
  </r>
  <r>
    <n v="87"/>
    <x v="87"/>
    <n v="0.2576"/>
    <x v="37"/>
    <n v="0.1045"/>
    <n v="2"/>
    <n v="110"/>
    <n v="112"/>
    <n v="98.564399999999978"/>
    <n v="0.18845965583173993"/>
    <n v="523"/>
    <n v="287.49000000000046"/>
    <n v="0.54969407265774473"/>
    <n v="523"/>
    <n v="29461"/>
    <n v="56.330783938814534"/>
    <n v="523"/>
    <s v="8"/>
    <s v="8"/>
    <n v="2"/>
  </r>
  <r>
    <n v="88"/>
    <x v="88"/>
    <n v="0.2576"/>
    <x v="37"/>
    <n v="0.1045"/>
    <n v="1"/>
    <n v="53"/>
    <n v="54"/>
    <n v="98.306799999999981"/>
    <n v="0.18832720306513406"/>
    <n v="522"/>
    <n v="287.01000000000045"/>
    <n v="0.54982758620689742"/>
    <n v="522"/>
    <n v="29349"/>
    <n v="56.224137931034484"/>
    <n v="522"/>
    <s v="8"/>
    <s v="9"/>
    <n v="2"/>
  </r>
  <r>
    <n v="89"/>
    <x v="89"/>
    <n v="0.2727"/>
    <x v="26"/>
    <n v="0"/>
    <n v="0"/>
    <n v="48"/>
    <n v="48"/>
    <n v="98.049199999999971"/>
    <n v="0.1881942418426103"/>
    <n v="521"/>
    <n v="286.53000000000048"/>
    <n v="0.54996161228407003"/>
    <n v="521"/>
    <n v="29295"/>
    <n v="56.228406909788866"/>
    <n v="521"/>
    <s v="9"/>
    <s v="0"/>
    <n v="2"/>
  </r>
  <r>
    <n v="90"/>
    <x v="90"/>
    <n v="0.2576"/>
    <x v="26"/>
    <n v="8.9599999999999999E-2"/>
    <n v="1"/>
    <n v="34"/>
    <n v="35"/>
    <n v="97.77649999999997"/>
    <n v="0.18803173076923071"/>
    <n v="520"/>
    <n v="285.8900000000005"/>
    <n v="0.5497884615384625"/>
    <n v="520"/>
    <n v="29247"/>
    <n v="56.244230769230768"/>
    <n v="520"/>
    <s v="9"/>
    <s v="1"/>
    <n v="2"/>
  </r>
  <r>
    <n v="91"/>
    <x v="91"/>
    <n v="0.2273"/>
    <x v="27"/>
    <n v="8.9599999999999999E-2"/>
    <n v="2"/>
    <n v="9"/>
    <n v="11"/>
    <n v="97.518899999999974"/>
    <n v="0.18789768786127162"/>
    <n v="519"/>
    <n v="285.25000000000045"/>
    <n v="0.54961464354528022"/>
    <n v="519"/>
    <n v="29212"/>
    <n v="56.285163776493256"/>
    <n v="519"/>
    <s v="9"/>
    <s v="2"/>
    <n v="2"/>
  </r>
  <r>
    <n v="92"/>
    <x v="92"/>
    <n v="0.2576"/>
    <x v="26"/>
    <n v="0"/>
    <n v="0"/>
    <n v="6"/>
    <n v="6"/>
    <n v="97.29159999999996"/>
    <n v="0.18782162162162155"/>
    <n v="518"/>
    <n v="284.56000000000046"/>
    <n v="0.54934362934363024"/>
    <n v="518"/>
    <n v="29201"/>
    <n v="56.372586872586872"/>
    <n v="518"/>
    <s v="9"/>
    <s v="3"/>
    <n v="2"/>
  </r>
  <r>
    <n v="93"/>
    <x v="93"/>
    <n v="0.19700000000000001"/>
    <x v="32"/>
    <n v="8.9599999999999999E-2"/>
    <n v="0"/>
    <n v="6"/>
    <n v="6"/>
    <n v="97.033999999999978"/>
    <n v="0.18768665377176011"/>
    <n v="517"/>
    <n v="283.92000000000047"/>
    <n v="0.54916827852998151"/>
    <n v="517"/>
    <n v="29195"/>
    <n v="56.47001934235977"/>
    <n v="517"/>
    <s v="9"/>
    <s v="4"/>
    <n v="2"/>
  </r>
  <r>
    <n v="94"/>
    <x v="94"/>
    <n v="0.19700000000000001"/>
    <x v="32"/>
    <n v="8.9599999999999999E-2"/>
    <n v="0"/>
    <n v="2"/>
    <n v="2"/>
    <n v="96.836999999999975"/>
    <n v="0.18766860465116275"/>
    <n v="516"/>
    <n v="283.18000000000046"/>
    <n v="0.54879844961240398"/>
    <n v="516"/>
    <n v="29189"/>
    <n v="56.56782945736434"/>
    <n v="516"/>
    <s v="9"/>
    <s v="5"/>
    <n v="2"/>
  </r>
  <r>
    <n v="95"/>
    <x v="95"/>
    <n v="0.2273"/>
    <x v="37"/>
    <n v="0.22389999999999999"/>
    <n v="0"/>
    <n v="2"/>
    <n v="2"/>
    <n v="96.639999999999958"/>
    <n v="0.18765048543689311"/>
    <n v="515"/>
    <n v="282.44000000000045"/>
    <n v="0.54842718446602035"/>
    <n v="515"/>
    <n v="29187"/>
    <n v="56.67378640776699"/>
    <n v="515"/>
    <s v="9"/>
    <s v="6"/>
    <n v="2"/>
  </r>
  <r>
    <n v="96"/>
    <x v="96"/>
    <n v="0.2273"/>
    <x v="19"/>
    <n v="0.16420000000000001"/>
    <n v="0"/>
    <n v="3"/>
    <n v="3"/>
    <n v="96.412699999999973"/>
    <n v="0.18757334630350189"/>
    <n v="514"/>
    <n v="281.96000000000049"/>
    <n v="0.5485603112840477"/>
    <n v="514"/>
    <n v="29185"/>
    <n v="56.780155642023345"/>
    <n v="514"/>
    <s v="9"/>
    <s v="7"/>
    <n v="2"/>
  </r>
  <r>
    <n v="97"/>
    <x v="97"/>
    <n v="0.19700000000000001"/>
    <x v="19"/>
    <n v="0.22389999999999999"/>
    <n v="0"/>
    <n v="33"/>
    <n v="33"/>
    <n v="96.185399999999973"/>
    <n v="0.18749590643274849"/>
    <n v="513"/>
    <n v="281.49000000000046"/>
    <n v="0.5487134502923986"/>
    <n v="513"/>
    <n v="29182"/>
    <n v="56.884990253411303"/>
    <n v="513"/>
    <s v="9"/>
    <s v="8"/>
    <n v="2"/>
  </r>
  <r>
    <n v="98"/>
    <x v="98"/>
    <n v="0.18179999999999999"/>
    <x v="21"/>
    <n v="0.19400000000000001"/>
    <n v="1"/>
    <n v="87"/>
    <n v="88"/>
    <n v="95.98839999999997"/>
    <n v="0.18747734374999994"/>
    <n v="512"/>
    <n v="281.02000000000049"/>
    <n v="0.54886718750000096"/>
    <n v="512"/>
    <n v="29149"/>
    <n v="56.931640625"/>
    <n v="512"/>
    <s v="9"/>
    <s v="9"/>
    <n v="2"/>
  </r>
  <r>
    <n v="99"/>
    <x v="99"/>
    <n v="0.18179999999999999"/>
    <x v="22"/>
    <n v="0.29849999999999999"/>
    <n v="3"/>
    <n v="192"/>
    <n v="195"/>
    <n v="95.806599999999975"/>
    <n v="0.18748845401174163"/>
    <n v="511"/>
    <n v="280.59000000000049"/>
    <n v="0.54909980430528471"/>
    <n v="511"/>
    <n v="29061"/>
    <n v="56.87084148727984"/>
    <n v="511"/>
    <s v="1"/>
    <s v="0"/>
    <n v="3"/>
  </r>
  <r>
    <n v="100"/>
    <x v="100"/>
    <n v="0.19700000000000001"/>
    <x v="38"/>
    <n v="0.32840000000000003"/>
    <n v="6"/>
    <n v="109"/>
    <n v="115"/>
    <n v="95.624799999999979"/>
    <n v="0.18749960784313721"/>
    <n v="510"/>
    <n v="280.19000000000051"/>
    <n v="0.54939215686274612"/>
    <n v="510"/>
    <n v="28866"/>
    <n v="56.6"/>
    <n v="510"/>
    <s v="1"/>
    <s v="1"/>
    <n v="3"/>
  </r>
  <r>
    <n v="101"/>
    <x v="101"/>
    <n v="0.19700000000000001"/>
    <x v="38"/>
    <n v="0.32840000000000003"/>
    <n v="4"/>
    <n v="53"/>
    <n v="57"/>
    <n v="95.427799999999991"/>
    <n v="0.18748094302554025"/>
    <n v="509"/>
    <n v="279.8200000000005"/>
    <n v="0.54974459724950986"/>
    <n v="509"/>
    <n v="28751"/>
    <n v="56.485265225933205"/>
    <n v="509"/>
    <s v="1"/>
    <s v="2"/>
    <n v="3"/>
  </r>
  <r>
    <n v="102"/>
    <x v="102"/>
    <n v="0.2273"/>
    <x v="39"/>
    <n v="0.32840000000000003"/>
    <n v="12"/>
    <n v="34"/>
    <n v="46"/>
    <n v="95.230799999999988"/>
    <n v="0.18746220472440941"/>
    <n v="508"/>
    <n v="279.4500000000005"/>
    <n v="0.55009842519685137"/>
    <n v="508"/>
    <n v="28694"/>
    <n v="56.484251968503933"/>
    <n v="508"/>
    <s v="1"/>
    <s v="3"/>
    <n v="3"/>
  </r>
  <r>
    <n v="103"/>
    <x v="103"/>
    <n v="0.2273"/>
    <x v="39"/>
    <n v="0.32840000000000003"/>
    <n v="5"/>
    <n v="74"/>
    <n v="79"/>
    <n v="95.003499999999988"/>
    <n v="0.18738362919132148"/>
    <n v="507"/>
    <n v="279.12000000000052"/>
    <n v="0.55053254437869925"/>
    <n v="507"/>
    <n v="28648"/>
    <n v="56.504930966469431"/>
    <n v="507"/>
    <s v="1"/>
    <s v="4"/>
    <n v="3"/>
  </r>
  <r>
    <n v="104"/>
    <x v="104"/>
    <n v="0.2576"/>
    <x v="24"/>
    <n v="0.29849999999999999"/>
    <n v="6"/>
    <n v="65"/>
    <n v="71"/>
    <n v="94.776200000000003"/>
    <n v="0.18730474308300396"/>
    <n v="506"/>
    <n v="278.79000000000053"/>
    <n v="0.55096837944664134"/>
    <n v="506"/>
    <n v="28569"/>
    <n v="56.460474308300398"/>
    <n v="506"/>
    <s v="1"/>
    <s v="5"/>
    <n v="3"/>
  </r>
  <r>
    <n v="105"/>
    <x v="105"/>
    <n v="0.28789999999999999"/>
    <x v="40"/>
    <n v="0.19400000000000001"/>
    <n v="10"/>
    <n v="52"/>
    <n v="62"/>
    <n v="94.518599999999992"/>
    <n v="0.18716554455445544"/>
    <n v="505"/>
    <n v="278.49000000000052"/>
    <n v="0.55146534653465451"/>
    <n v="505"/>
    <n v="28498"/>
    <n v="56.43168316831683"/>
    <n v="505"/>
    <s v="1"/>
    <s v="6"/>
    <n v="3"/>
  </r>
  <r>
    <n v="106"/>
    <x v="106"/>
    <n v="0.28789999999999999"/>
    <x v="40"/>
    <n v="0.19400000000000001"/>
    <n v="7"/>
    <n v="55"/>
    <n v="62"/>
    <n v="94.230699999999999"/>
    <n v="0.18696567460317459"/>
    <n v="504"/>
    <n v="278.21000000000055"/>
    <n v="0.55200396825396936"/>
    <n v="504"/>
    <n v="28436"/>
    <n v="56.420634920634917"/>
    <n v="504"/>
    <s v="1"/>
    <s v="7"/>
    <n v="3"/>
  </r>
  <r>
    <n v="107"/>
    <x v="107"/>
    <n v="0.31819999999999998"/>
    <x v="40"/>
    <n v="8.9599999999999999E-2"/>
    <n v="4"/>
    <n v="85"/>
    <n v="89"/>
    <n v="93.942799999999977"/>
    <n v="0.1867650099403578"/>
    <n v="503"/>
    <n v="277.93000000000052"/>
    <n v="0.55254473161033901"/>
    <n v="503"/>
    <n v="28374"/>
    <n v="56.409542743538765"/>
    <n v="503"/>
    <s v="1"/>
    <s v="8"/>
    <n v="3"/>
  </r>
  <r>
    <n v="108"/>
    <x v="108"/>
    <n v="0.2273"/>
    <x v="41"/>
    <n v="0.19400000000000001"/>
    <n v="4"/>
    <n v="186"/>
    <n v="190"/>
    <n v="93.624599999999973"/>
    <n v="0.18650318725099596"/>
    <n v="502"/>
    <n v="277.65000000000049"/>
    <n v="0.55308764940239141"/>
    <n v="502"/>
    <n v="28285"/>
    <n v="56.344621513944226"/>
    <n v="502"/>
    <s v="1"/>
    <s v="9"/>
    <n v="3"/>
  </r>
  <r>
    <n v="109"/>
    <x v="109"/>
    <n v="0.2424"/>
    <x v="41"/>
    <n v="0.1343"/>
    <n v="3"/>
    <n v="166"/>
    <n v="169"/>
    <n v="93.397299999999973"/>
    <n v="0.18642175648702589"/>
    <n v="501"/>
    <n v="277.27000000000049"/>
    <n v="0.55343313373253589"/>
    <n v="501"/>
    <n v="28095"/>
    <n v="56.077844311377248"/>
    <n v="501"/>
    <s v="1"/>
    <s v="0"/>
    <n v="3"/>
  </r>
  <r>
    <n v="110"/>
    <x v="110"/>
    <n v="0.2576"/>
    <x v="41"/>
    <n v="0.1045"/>
    <n v="5"/>
    <n v="127"/>
    <n v="132"/>
    <n v="93.154899999999969"/>
    <n v="0.18630979999999994"/>
    <n v="500"/>
    <n v="276.8900000000005"/>
    <n v="0.55378000000000105"/>
    <n v="500"/>
    <n v="27926"/>
    <n v="55.851999999999997"/>
    <n v="500"/>
    <s v="1"/>
    <s v="1"/>
    <n v="3"/>
  </r>
  <r>
    <n v="111"/>
    <x v="111"/>
    <n v="0.2273"/>
    <x v="19"/>
    <n v="0.16420000000000001"/>
    <n v="7"/>
    <n v="82"/>
    <n v="89"/>
    <n v="92.897299999999959"/>
    <n v="0.18616693386773539"/>
    <n v="499"/>
    <n v="276.5100000000005"/>
    <n v="0.55412825651302711"/>
    <n v="499"/>
    <n v="27794"/>
    <n v="55.699398797595194"/>
    <n v="499"/>
    <s v="1"/>
    <s v="2"/>
    <n v="3"/>
  </r>
  <r>
    <n v="112"/>
    <x v="112"/>
    <n v="0.19700000000000001"/>
    <x v="33"/>
    <n v="0.19400000000000001"/>
    <n v="3"/>
    <n v="40"/>
    <n v="43"/>
    <n v="92.669999999999959"/>
    <n v="0.1860843373493975"/>
    <n v="498"/>
    <n v="276.04000000000048"/>
    <n v="0.55429718875502099"/>
    <n v="498"/>
    <n v="27705"/>
    <n v="55.632530120481931"/>
    <n v="498"/>
    <s v="1"/>
    <s v="3"/>
    <n v="3"/>
  </r>
  <r>
    <n v="113"/>
    <x v="113"/>
    <n v="0.19700000000000001"/>
    <x v="28"/>
    <n v="0.1343"/>
    <n v="1"/>
    <n v="41"/>
    <n v="42"/>
    <n v="92.472999999999956"/>
    <n v="0.18606237424547276"/>
    <n v="497"/>
    <n v="275.53000000000048"/>
    <n v="0.55438631790744564"/>
    <n v="497"/>
    <n v="27662"/>
    <n v="55.6579476861167"/>
    <n v="497"/>
    <s v="1"/>
    <s v="4"/>
    <n v="3"/>
  </r>
  <r>
    <n v="114"/>
    <x v="114"/>
    <n v="0.2576"/>
    <x v="19"/>
    <n v="0"/>
    <n v="1"/>
    <n v="18"/>
    <n v="19"/>
    <n v="92.275999999999939"/>
    <n v="0.18604032258064504"/>
    <n v="496"/>
    <n v="274.98000000000047"/>
    <n v="0.55439516129032351"/>
    <n v="496"/>
    <n v="27620"/>
    <n v="55.685483870967744"/>
    <n v="496"/>
    <s v="1"/>
    <s v="5"/>
    <n v="3"/>
  </r>
  <r>
    <n v="115"/>
    <x v="115"/>
    <n v="0.2424"/>
    <x v="28"/>
    <n v="0"/>
    <n v="0"/>
    <n v="11"/>
    <n v="11"/>
    <n v="92.018399999999943"/>
    <n v="0.18589575757575746"/>
    <n v="495"/>
    <n v="274.5100000000005"/>
    <n v="0.55456565656565759"/>
    <n v="495"/>
    <n v="27601"/>
    <n v="55.759595959595963"/>
    <n v="495"/>
    <s v="1"/>
    <s v="6"/>
    <n v="3"/>
  </r>
  <r>
    <n v="116"/>
    <x v="116"/>
    <n v="0.2273"/>
    <x v="26"/>
    <n v="0"/>
    <n v="0"/>
    <n v="4"/>
    <n v="4"/>
    <n v="91.775999999999939"/>
    <n v="0.18578137651821849"/>
    <n v="494"/>
    <n v="273.96000000000049"/>
    <n v="0.5545748987854261"/>
    <n v="494"/>
    <n v="27590"/>
    <n v="55.850202429149796"/>
    <n v="494"/>
    <s v="1"/>
    <s v="7"/>
    <n v="3"/>
  </r>
  <r>
    <n v="117"/>
    <x v="117"/>
    <n v="0.2273"/>
    <x v="26"/>
    <n v="0"/>
    <n v="0"/>
    <n v="2"/>
    <n v="2"/>
    <n v="91.54869999999994"/>
    <n v="0.1856971602434076"/>
    <n v="493"/>
    <n v="273.3200000000005"/>
    <n v="0.55440162271805371"/>
    <n v="493"/>
    <n v="27586"/>
    <n v="55.955375253549697"/>
    <n v="493"/>
    <s v="1"/>
    <s v="8"/>
    <n v="3"/>
  </r>
  <r>
    <n v="118"/>
    <x v="118"/>
    <n v="0.19700000000000001"/>
    <x v="26"/>
    <n v="8.9599999999999999E-2"/>
    <n v="0"/>
    <n v="1"/>
    <n v="1"/>
    <n v="91.321399999999926"/>
    <n v="0.18561260162601612"/>
    <n v="492"/>
    <n v="272.68000000000052"/>
    <n v="0.55422764227642385"/>
    <n v="492"/>
    <n v="27584"/>
    <n v="56.065040650406502"/>
    <n v="492"/>
    <s v="1"/>
    <s v="9"/>
    <n v="3"/>
  </r>
  <r>
    <n v="119"/>
    <x v="119"/>
    <n v="0.18179999999999999"/>
    <x v="27"/>
    <n v="8.9599999999999999E-2"/>
    <n v="0"/>
    <n v="4"/>
    <n v="4"/>
    <n v="91.124399999999937"/>
    <n v="0.1855894093686353"/>
    <n v="491"/>
    <n v="272.04000000000053"/>
    <n v="0.5540529531568239"/>
    <n v="491"/>
    <n v="27583"/>
    <n v="56.177189409368637"/>
    <n v="491"/>
    <s v="1"/>
    <s v="0"/>
    <n v="3"/>
  </r>
  <r>
    <n v="120"/>
    <x v="120"/>
    <n v="0.16669999999999999"/>
    <x v="30"/>
    <n v="0.1045"/>
    <n v="0"/>
    <n v="36"/>
    <n v="36"/>
    <n v="90.942599999999942"/>
    <n v="0.18559714285714274"/>
    <n v="490"/>
    <n v="271.35000000000048"/>
    <n v="0.55377551020408255"/>
    <n v="490"/>
    <n v="27579"/>
    <n v="56.283673469387757"/>
    <n v="490"/>
    <s v="1"/>
    <s v="1"/>
    <n v="3"/>
  </r>
  <r>
    <n v="121"/>
    <x v="121"/>
    <n v="0.2273"/>
    <x v="29"/>
    <n v="0"/>
    <n v="0"/>
    <n v="95"/>
    <n v="95"/>
    <n v="90.775899999999936"/>
    <n v="0.18563578732106326"/>
    <n v="489"/>
    <n v="270.72000000000048"/>
    <n v="0.55361963190184149"/>
    <n v="489"/>
    <n v="27543"/>
    <n v="56.325153374233132"/>
    <n v="489"/>
    <s v="1"/>
    <s v="2"/>
    <n v="3"/>
  </r>
  <r>
    <n v="122"/>
    <x v="122"/>
    <n v="0.2273"/>
    <x v="29"/>
    <n v="0"/>
    <n v="3"/>
    <n v="216"/>
    <n v="219"/>
    <n v="90.548599999999922"/>
    <n v="0.18555040983606541"/>
    <n v="488"/>
    <n v="270.13000000000051"/>
    <n v="0.55354508196721419"/>
    <n v="488"/>
    <n v="27448"/>
    <n v="56.245901639344261"/>
    <n v="488"/>
    <s v="1"/>
    <s v="3"/>
    <n v="3"/>
  </r>
  <r>
    <n v="123"/>
    <x v="123"/>
    <n v="0.2424"/>
    <x v="33"/>
    <n v="0"/>
    <n v="6"/>
    <n v="116"/>
    <n v="122"/>
    <n v="90.321299999999923"/>
    <n v="0.18546468172484584"/>
    <n v="487"/>
    <n v="269.54000000000048"/>
    <n v="0.5534702258726909"/>
    <n v="487"/>
    <n v="27229"/>
    <n v="55.911704312114992"/>
    <n v="487"/>
    <s v="1"/>
    <s v="4"/>
    <n v="3"/>
  </r>
  <r>
    <n v="124"/>
    <x v="124"/>
    <n v="0.2576"/>
    <x v="19"/>
    <n v="0"/>
    <n v="3"/>
    <n v="42"/>
    <n v="45"/>
    <n v="90.078899999999919"/>
    <n v="0.18534753086419736"/>
    <n v="486"/>
    <n v="269.03000000000048"/>
    <n v="0.55355967078189405"/>
    <n v="486"/>
    <n v="27107"/>
    <n v="55.775720164609055"/>
    <n v="486"/>
    <s v="1"/>
    <s v="5"/>
    <n v="3"/>
  </r>
  <r>
    <n v="125"/>
    <x v="125"/>
    <n v="0.2576"/>
    <x v="18"/>
    <n v="8.9599999999999999E-2"/>
    <n v="2"/>
    <n v="57"/>
    <n v="59"/>
    <n v="89.821299999999908"/>
    <n v="0.18519855670103075"/>
    <n v="485"/>
    <n v="268.56000000000046"/>
    <n v="0.5537319587628875"/>
    <n v="485"/>
    <n v="27062"/>
    <n v="55.797938144329898"/>
    <n v="485"/>
    <s v="1"/>
    <s v="6"/>
    <n v="3"/>
  </r>
  <r>
    <n v="126"/>
    <x v="126"/>
    <n v="0.28789999999999999"/>
    <x v="23"/>
    <n v="0"/>
    <n v="6"/>
    <n v="78"/>
    <n v="84"/>
    <n v="89.563699999999898"/>
    <n v="0.18504896694214856"/>
    <n v="484"/>
    <n v="268.12000000000046"/>
    <n v="0.5539669421487613"/>
    <n v="484"/>
    <n v="27003"/>
    <n v="55.791322314049587"/>
    <n v="484"/>
    <s v="1"/>
    <s v="7"/>
    <n v="3"/>
  </r>
  <r>
    <n v="127"/>
    <x v="127"/>
    <n v="0.2727"/>
    <x v="23"/>
    <n v="0.1045"/>
    <n v="12"/>
    <n v="55"/>
    <n v="67"/>
    <n v="89.275799999999904"/>
    <n v="0.18483602484472031"/>
    <n v="483"/>
    <n v="267.77000000000044"/>
    <n v="0.55438923395445228"/>
    <n v="483"/>
    <n v="26919"/>
    <n v="55.732919254658384"/>
    <n v="483"/>
    <s v="1"/>
    <s v="8"/>
    <n v="3"/>
  </r>
  <r>
    <n v="128"/>
    <x v="128"/>
    <n v="0.2727"/>
    <x v="42"/>
    <n v="0.16420000000000001"/>
    <n v="11"/>
    <n v="59"/>
    <n v="70"/>
    <n v="89.003099999999904"/>
    <n v="0.18465373443983382"/>
    <n v="482"/>
    <n v="267.42000000000047"/>
    <n v="0.55481327800829972"/>
    <n v="482"/>
    <n v="26852"/>
    <n v="55.709543568464731"/>
    <n v="482"/>
    <s v="1"/>
    <s v="9"/>
    <n v="3"/>
  </r>
  <r>
    <n v="129"/>
    <x v="129"/>
    <n v="0.2727"/>
    <x v="42"/>
    <n v="0"/>
    <n v="8"/>
    <n v="54"/>
    <n v="62"/>
    <n v="88.730399999999904"/>
    <n v="0.18447068607068587"/>
    <n v="481"/>
    <n v="267.06000000000046"/>
    <n v="0.55521829521829613"/>
    <n v="481"/>
    <n v="26782"/>
    <n v="55.679833679833678"/>
    <n v="481"/>
    <s v="1"/>
    <s v="0"/>
    <n v="3"/>
  </r>
  <r>
    <n v="130"/>
    <x v="130"/>
    <n v="0.2576"/>
    <x v="41"/>
    <n v="0.16420000000000001"/>
    <n v="12"/>
    <n v="74"/>
    <n v="86"/>
    <n v="88.457699999999889"/>
    <n v="0.18428687499999977"/>
    <n v="480"/>
    <n v="266.70000000000044"/>
    <n v="0.55562500000000092"/>
    <n v="480"/>
    <n v="26720"/>
    <n v="55.666666666666664"/>
    <n v="480"/>
    <s v="1"/>
    <s v="1"/>
    <n v="3"/>
  </r>
  <r>
    <n v="131"/>
    <x v="131"/>
    <n v="0.2273"/>
    <x v="33"/>
    <n v="0.16420000000000001"/>
    <n v="9"/>
    <n v="163"/>
    <n v="172"/>
    <n v="88.200099999999892"/>
    <n v="0.18413382045928997"/>
    <n v="479"/>
    <n v="266.32000000000045"/>
    <n v="0.55599164926931199"/>
    <n v="479"/>
    <n v="26634"/>
    <n v="55.603340292275576"/>
    <n v="479"/>
    <s v="1"/>
    <s v="2"/>
    <n v="3"/>
  </r>
  <r>
    <n v="132"/>
    <x v="132"/>
    <n v="0.2273"/>
    <x v="33"/>
    <n v="0.1343"/>
    <n v="5"/>
    <n v="158"/>
    <n v="163"/>
    <n v="87.972799999999893"/>
    <n v="0.18404351464435123"/>
    <n v="478"/>
    <n v="265.81000000000046"/>
    <n v="0.55608786610878758"/>
    <n v="478"/>
    <n v="26462"/>
    <n v="55.359832635983267"/>
    <n v="478"/>
    <s v="1"/>
    <s v="3"/>
    <n v="3"/>
  </r>
  <r>
    <n v="133"/>
    <x v="133"/>
    <n v="0.2576"/>
    <x v="28"/>
    <n v="8.9599999999999999E-2"/>
    <n v="3"/>
    <n v="109"/>
    <n v="112"/>
    <n v="87.745499999999879"/>
    <n v="0.183952830188679"/>
    <n v="477"/>
    <n v="265.30000000000041"/>
    <n v="0.55618448637316653"/>
    <n v="477"/>
    <n v="26299"/>
    <n v="55.134171907756816"/>
    <n v="477"/>
    <s v="1"/>
    <s v="4"/>
    <n v="3"/>
  </r>
  <r>
    <n v="134"/>
    <x v="134"/>
    <n v="0.21210000000000001"/>
    <x v="33"/>
    <n v="0.16420000000000001"/>
    <n v="3"/>
    <n v="66"/>
    <n v="69"/>
    <n v="87.487899999999883"/>
    <n v="0.18379810924369724"/>
    <n v="476"/>
    <n v="264.75000000000045"/>
    <n v="0.55619747899159755"/>
    <n v="476"/>
    <n v="26187"/>
    <n v="55.014705882352942"/>
    <n v="476"/>
    <s v="1"/>
    <s v="5"/>
    <n v="3"/>
  </r>
  <r>
    <n v="135"/>
    <x v="135"/>
    <n v="0.21210000000000001"/>
    <x v="28"/>
    <n v="0.22389999999999999"/>
    <n v="0"/>
    <n v="48"/>
    <n v="48"/>
    <n v="87.275799999999876"/>
    <n v="0.18373852631578921"/>
    <n v="475"/>
    <n v="264.24000000000046"/>
    <n v="0.55629473684210629"/>
    <n v="475"/>
    <n v="26118"/>
    <n v="54.985263157894735"/>
    <n v="475"/>
    <s v="1"/>
    <s v="6"/>
    <n v="3"/>
  </r>
  <r>
    <n v="136"/>
    <x v="136"/>
    <n v="0.21210000000000001"/>
    <x v="33"/>
    <n v="0.28360000000000002"/>
    <n v="1"/>
    <n v="51"/>
    <n v="52"/>
    <n v="87.063699999999869"/>
    <n v="0.18367869198312209"/>
    <n v="474"/>
    <n v="263.69000000000045"/>
    <n v="0.55630801687763809"/>
    <n v="474"/>
    <n v="26070"/>
    <n v="55"/>
    <n v="474"/>
    <s v="1"/>
    <s v="7"/>
    <n v="3"/>
  </r>
  <r>
    <n v="137"/>
    <x v="137"/>
    <n v="0.19700000000000001"/>
    <x v="29"/>
    <n v="0.19400000000000001"/>
    <n v="4"/>
    <n v="19"/>
    <n v="23"/>
    <n v="86.851599999999877"/>
    <n v="0.18361860465116253"/>
    <n v="473"/>
    <n v="263.18000000000046"/>
    <n v="0.55640591966173458"/>
    <n v="473"/>
    <n v="26018"/>
    <n v="55.006342494714588"/>
    <n v="473"/>
    <s v="1"/>
    <s v="8"/>
    <n v="3"/>
  </r>
  <r>
    <n v="138"/>
    <x v="138"/>
    <n v="0.19700000000000001"/>
    <x v="26"/>
    <n v="0.19400000000000001"/>
    <n v="4"/>
    <n v="13"/>
    <n v="17"/>
    <n v="86.654599999999874"/>
    <n v="0.18359025423728786"/>
    <n v="472"/>
    <n v="262.59000000000043"/>
    <n v="0.5563347457627128"/>
    <n v="472"/>
    <n v="25995"/>
    <n v="55.074152542372879"/>
    <n v="472"/>
    <s v="1"/>
    <s v="9"/>
    <n v="3"/>
  </r>
  <r>
    <n v="139"/>
    <x v="139"/>
    <n v="0.19700000000000001"/>
    <x v="27"/>
    <n v="0.22389999999999999"/>
    <n v="2"/>
    <n v="5"/>
    <n v="7"/>
    <n v="86.457599999999886"/>
    <n v="0.1835617834394902"/>
    <n v="471"/>
    <n v="261.95000000000044"/>
    <n v="0.55615711252654021"/>
    <n v="471"/>
    <n v="25978"/>
    <n v="55.154989384288747"/>
    <n v="471"/>
    <s v="1"/>
    <s v="0"/>
    <n v="3"/>
  </r>
  <r>
    <n v="140"/>
    <x v="140"/>
    <n v="0.19700000000000001"/>
    <x v="27"/>
    <n v="0.22389999999999999"/>
    <n v="0"/>
    <n v="1"/>
    <n v="1"/>
    <n v="86.260599999999883"/>
    <n v="0.18353319148936145"/>
    <n v="470"/>
    <n v="261.26000000000045"/>
    <n v="0.55587234042553291"/>
    <n v="470"/>
    <n v="25971"/>
    <n v="55.257446808510636"/>
    <n v="470"/>
    <s v="1"/>
    <s v="1"/>
    <n v="3"/>
  </r>
  <r>
    <n v="141"/>
    <x v="141"/>
    <n v="0.21210000000000001"/>
    <x v="27"/>
    <n v="0.1343"/>
    <n v="0"/>
    <n v="1"/>
    <n v="1"/>
    <n v="86.06359999999988"/>
    <n v="0.18350447761194005"/>
    <n v="469"/>
    <n v="260.57000000000045"/>
    <n v="0.5555863539445639"/>
    <n v="469"/>
    <n v="25970"/>
    <n v="55.373134328358212"/>
    <n v="469"/>
    <s v="1"/>
    <s v="2"/>
    <n v="3"/>
  </r>
  <r>
    <n v="142"/>
    <x v="142"/>
    <n v="0.2727"/>
    <x v="28"/>
    <n v="0"/>
    <n v="0"/>
    <n v="5"/>
    <n v="5"/>
    <n v="85.851499999999888"/>
    <n v="0.18344337606837582"/>
    <n v="468"/>
    <n v="259.88000000000045"/>
    <n v="0.55529914529914626"/>
    <n v="468"/>
    <n v="25969"/>
    <n v="55.489316239316238"/>
    <n v="468"/>
    <s v="1"/>
    <s v="3"/>
    <n v="3"/>
  </r>
  <r>
    <n v="143"/>
    <x v="143"/>
    <n v="0.2576"/>
    <x v="27"/>
    <n v="0"/>
    <n v="8"/>
    <n v="26"/>
    <n v="34"/>
    <n v="85.578799999999887"/>
    <n v="0.18325224839400403"/>
    <n v="467"/>
    <n v="259.33000000000044"/>
    <n v="0.55531049250535425"/>
    <n v="467"/>
    <n v="25964"/>
    <n v="55.597430406852247"/>
    <n v="467"/>
    <s v="1"/>
    <s v="4"/>
    <n v="3"/>
  </r>
  <r>
    <n v="144"/>
    <x v="144"/>
    <n v="0.21210000000000001"/>
    <x v="27"/>
    <n v="0.1343"/>
    <n v="8"/>
    <n v="76"/>
    <n v="84"/>
    <n v="85.321199999999891"/>
    <n v="0.18309270386266072"/>
    <n v="466"/>
    <n v="258.64000000000044"/>
    <n v="0.55502145922746871"/>
    <n v="466"/>
    <n v="25930"/>
    <n v="55.643776824034333"/>
    <n v="466"/>
    <s v="1"/>
    <s v="5"/>
    <n v="3"/>
  </r>
  <r>
    <n v="145"/>
    <x v="145"/>
    <n v="0.19700000000000001"/>
    <x v="33"/>
    <n v="0.25369999999999998"/>
    <n v="20"/>
    <n v="190"/>
    <n v="210"/>
    <n v="85.109099999999899"/>
    <n v="0.18303032258064494"/>
    <n v="465"/>
    <n v="257.95000000000039"/>
    <n v="0.55473118279569977"/>
    <n v="465"/>
    <n v="25846"/>
    <n v="55.582795698924734"/>
    <n v="465"/>
    <s v="1"/>
    <s v="6"/>
    <n v="3"/>
  </r>
  <r>
    <n v="146"/>
    <x v="146"/>
    <n v="0.18179999999999999"/>
    <x v="19"/>
    <n v="0.29849999999999999"/>
    <n v="9"/>
    <n v="125"/>
    <n v="134"/>
    <n v="84.912099999999896"/>
    <n v="0.18300021551724116"/>
    <n v="464"/>
    <n v="257.4400000000004"/>
    <n v="0.55482758620689743"/>
    <n v="464"/>
    <n v="25636"/>
    <n v="55.25"/>
    <n v="464"/>
    <s v="1"/>
    <s v="7"/>
    <n v="3"/>
  </r>
  <r>
    <n v="147"/>
    <x v="147"/>
    <n v="0.19700000000000001"/>
    <x v="38"/>
    <n v="0.32840000000000003"/>
    <n v="16"/>
    <n v="47"/>
    <n v="63"/>
    <n v="84.7302999999999"/>
    <n v="0.18300280777537775"/>
    <n v="463"/>
    <n v="256.97000000000037"/>
    <n v="0.55501079913606988"/>
    <n v="463"/>
    <n v="25502"/>
    <n v="55.079913606911447"/>
    <n v="463"/>
    <s v="1"/>
    <s v="8"/>
    <n v="3"/>
  </r>
  <r>
    <n v="148"/>
    <x v="148"/>
    <n v="0.19700000000000001"/>
    <x v="22"/>
    <n v="0.22389999999999999"/>
    <n v="19"/>
    <n v="48"/>
    <n v="67"/>
    <n v="84.533299999999912"/>
    <n v="0.18297251082251062"/>
    <n v="462"/>
    <n v="256.60000000000036"/>
    <n v="0.55541125541125624"/>
    <n v="462"/>
    <n v="25439"/>
    <n v="55.062770562770559"/>
    <n v="462"/>
    <s v="1"/>
    <s v="9"/>
    <n v="3"/>
  </r>
  <r>
    <n v="149"/>
    <x v="149"/>
    <n v="0.19700000000000001"/>
    <x v="38"/>
    <n v="0.25369999999999998"/>
    <n v="9"/>
    <n v="50"/>
    <n v="59"/>
    <n v="84.336299999999909"/>
    <n v="0.18294208242950089"/>
    <n v="461"/>
    <n v="256.20000000000039"/>
    <n v="0.55574837310195313"/>
    <n v="461"/>
    <n v="25372"/>
    <n v="55.036876355748376"/>
    <n v="461"/>
    <s v="1"/>
    <s v="0"/>
    <n v="3"/>
  </r>
  <r>
    <n v="150"/>
    <x v="150"/>
    <n v="0.18179999999999999"/>
    <x v="38"/>
    <n v="0.28360000000000002"/>
    <n v="9"/>
    <n v="64"/>
    <n v="73"/>
    <n v="84.13929999999992"/>
    <n v="0.18291152173913025"/>
    <n v="460"/>
    <n v="255.83000000000038"/>
    <n v="0.55615217391304428"/>
    <n v="460"/>
    <n v="25313"/>
    <n v="55.028260869565216"/>
    <n v="460"/>
    <s v="1"/>
    <s v="1"/>
    <n v="3"/>
  </r>
  <r>
    <n v="151"/>
    <x v="151"/>
    <n v="0.19700000000000001"/>
    <x v="22"/>
    <n v="0.25369999999999998"/>
    <n v="7"/>
    <n v="43"/>
    <n v="50"/>
    <n v="83.957499999999925"/>
    <n v="0.18291394335511965"/>
    <n v="459"/>
    <n v="255.46000000000038"/>
    <n v="0.55655773420479382"/>
    <n v="459"/>
    <n v="25240"/>
    <n v="54.989106753812635"/>
    <n v="459"/>
    <s v="1"/>
    <s v="2"/>
    <n v="3"/>
  </r>
  <r>
    <n v="152"/>
    <x v="152"/>
    <n v="0.21210000000000001"/>
    <x v="38"/>
    <n v="0.16420000000000001"/>
    <n v="9"/>
    <n v="63"/>
    <n v="72"/>
    <n v="83.760499999999922"/>
    <n v="0.18288318777292559"/>
    <n v="458"/>
    <n v="255.06000000000037"/>
    <n v="0.5568995633187781"/>
    <n v="458"/>
    <n v="25190"/>
    <n v="55"/>
    <n v="458"/>
    <s v="1"/>
    <s v="3"/>
    <n v="3"/>
  </r>
  <r>
    <n v="153"/>
    <x v="153"/>
    <n v="0.21210000000000001"/>
    <x v="38"/>
    <n v="0.16420000000000001"/>
    <n v="5"/>
    <n v="82"/>
    <n v="87"/>
    <n v="83.54839999999993"/>
    <n v="0.18281925601750532"/>
    <n v="457"/>
    <n v="254.69000000000037"/>
    <n v="0.55730853391684987"/>
    <n v="457"/>
    <n v="25118"/>
    <n v="54.962800875273523"/>
    <n v="457"/>
    <s v="1"/>
    <s v="4"/>
    <n v="3"/>
  </r>
  <r>
    <n v="154"/>
    <x v="154"/>
    <n v="0.2576"/>
    <x v="38"/>
    <n v="0"/>
    <n v="9"/>
    <n v="178"/>
    <n v="187"/>
    <n v="83.336299999999937"/>
    <n v="0.182755043859649"/>
    <n v="456"/>
    <n v="254.32000000000036"/>
    <n v="0.55771929824561484"/>
    <n v="456"/>
    <n v="25031"/>
    <n v="54.892543859649123"/>
    <n v="456"/>
    <s v="1"/>
    <s v="5"/>
    <n v="3"/>
  </r>
  <r>
    <n v="155"/>
    <x v="155"/>
    <n v="0.2273"/>
    <x v="22"/>
    <n v="8.9599999999999999E-2"/>
    <n v="7"/>
    <n v="116"/>
    <n v="123"/>
    <n v="83.078699999999941"/>
    <n v="0.18259054945054931"/>
    <n v="455"/>
    <n v="253.95000000000036"/>
    <n v="0.55813186813186888"/>
    <n v="455"/>
    <n v="24844"/>
    <n v="54.6021978021978"/>
    <n v="455"/>
    <s v="1"/>
    <s v="6"/>
    <n v="3"/>
  </r>
  <r>
    <n v="156"/>
    <x v="156"/>
    <n v="0.19700000000000001"/>
    <x v="28"/>
    <n v="8.9599999999999999E-2"/>
    <n v="3"/>
    <n v="92"/>
    <n v="95"/>
    <n v="82.851399999999941"/>
    <n v="0.18249207048458138"/>
    <n v="454"/>
    <n v="253.55000000000035"/>
    <n v="0.55848017621145452"/>
    <n v="454"/>
    <n v="24721"/>
    <n v="54.451541850220266"/>
    <n v="454"/>
    <s v="1"/>
    <s v="7"/>
    <n v="3"/>
  </r>
  <r>
    <n v="157"/>
    <x v="157"/>
    <n v="0.21210000000000001"/>
    <x v="19"/>
    <n v="0.1045"/>
    <n v="1"/>
    <n v="50"/>
    <n v="51"/>
    <n v="82.654399999999939"/>
    <n v="0.18246004415011025"/>
    <n v="453"/>
    <n v="253.00000000000034"/>
    <n v="0.55849889624724136"/>
    <n v="453"/>
    <n v="24626"/>
    <n v="54.362030905077262"/>
    <n v="453"/>
    <s v="1"/>
    <s v="8"/>
    <n v="3"/>
  </r>
  <r>
    <n v="158"/>
    <x v="158"/>
    <n v="0.19700000000000001"/>
    <x v="19"/>
    <n v="0.1343"/>
    <n v="0"/>
    <n v="39"/>
    <n v="39"/>
    <n v="82.44229999999996"/>
    <n v="0.18239446902654857"/>
    <n v="452"/>
    <n v="252.53000000000031"/>
    <n v="0.55869469026548746"/>
    <n v="452"/>
    <n v="24575"/>
    <n v="54.369469026548671"/>
    <n v="452"/>
    <s v="1"/>
    <s v="9"/>
    <n v="3"/>
  </r>
  <r>
    <n v="159"/>
    <x v="159"/>
    <n v="0.19700000000000001"/>
    <x v="21"/>
    <n v="0.16420000000000001"/>
    <n v="2"/>
    <n v="34"/>
    <n v="36"/>
    <n v="82.245299999999958"/>
    <n v="0.18236208425720613"/>
    <n v="451"/>
    <n v="252.06000000000031"/>
    <n v="0.55889135254988986"/>
    <n v="451"/>
    <n v="24536"/>
    <n v="54.403547671840357"/>
    <n v="451"/>
    <s v="1"/>
    <s v="0"/>
    <n v="3"/>
  </r>
  <r>
    <n v="160"/>
    <x v="160"/>
    <n v="0.19700000000000001"/>
    <x v="33"/>
    <n v="0.16420000000000001"/>
    <n v="1"/>
    <n v="14"/>
    <n v="15"/>
    <n v="82.048299999999969"/>
    <n v="0.18232955555555549"/>
    <n v="450"/>
    <n v="251.63000000000031"/>
    <n v="0.55917777777777844"/>
    <n v="450"/>
    <n v="24500"/>
    <n v="54.444444444444443"/>
    <n v="450"/>
    <s v="1"/>
    <s v="1"/>
    <n v="3"/>
  </r>
  <r>
    <n v="161"/>
    <x v="161"/>
    <n v="0.19700000000000001"/>
    <x v="33"/>
    <n v="0.16420000000000001"/>
    <n v="1"/>
    <n v="24"/>
    <n v="25"/>
    <n v="81.851299999999981"/>
    <n v="0.18229688195991087"/>
    <n v="449"/>
    <n v="251.12000000000035"/>
    <n v="0.55928730512249525"/>
    <n v="449"/>
    <n v="24485"/>
    <n v="54.532293986636972"/>
    <n v="449"/>
    <s v="1"/>
    <s v="2"/>
    <n v="3"/>
  </r>
  <r>
    <n v="162"/>
    <x v="162"/>
    <n v="0.21210000000000001"/>
    <x v="28"/>
    <n v="8.9599999999999999E-2"/>
    <n v="1"/>
    <n v="15"/>
    <n v="16"/>
    <n v="81.654299999999978"/>
    <n v="0.18226406249999996"/>
    <n v="448"/>
    <n v="250.61000000000033"/>
    <n v="0.55939732142857213"/>
    <n v="448"/>
    <n v="24460"/>
    <n v="54.598214285714285"/>
    <n v="448"/>
    <s v="1"/>
    <s v="3"/>
    <n v="3"/>
  </r>
  <r>
    <n v="163"/>
    <x v="163"/>
    <n v="0.2424"/>
    <x v="28"/>
    <n v="0"/>
    <n v="3"/>
    <n v="13"/>
    <n v="16"/>
    <n v="81.442199999999985"/>
    <n v="0.18219731543624157"/>
    <n v="447"/>
    <n v="250.06000000000031"/>
    <n v="0.5594183445190164"/>
    <n v="447"/>
    <n v="24444"/>
    <n v="54.68456375838926"/>
    <n v="447"/>
    <s v="1"/>
    <s v="4"/>
    <n v="3"/>
  </r>
  <r>
    <n v="164"/>
    <x v="164"/>
    <n v="0.19700000000000001"/>
    <x v="28"/>
    <n v="0.16420000000000001"/>
    <n v="0"/>
    <n v="7"/>
    <n v="7"/>
    <n v="81.199799999999996"/>
    <n v="0.18206233183856502"/>
    <n v="446"/>
    <n v="249.5100000000003"/>
    <n v="0.55943946188340876"/>
    <n v="446"/>
    <n v="24428"/>
    <n v="54.771300448430495"/>
    <n v="446"/>
    <s v="1"/>
    <s v="5"/>
    <n v="3"/>
  </r>
  <r>
    <n v="165"/>
    <x v="165"/>
    <n v="0.19700000000000001"/>
    <x v="28"/>
    <n v="0.16420000000000001"/>
    <n v="0"/>
    <n v="1"/>
    <n v="1"/>
    <n v="81.002800000000008"/>
    <n v="0.18202876404494384"/>
    <n v="445"/>
    <n v="248.96000000000029"/>
    <n v="0.55946067415730405"/>
    <n v="445"/>
    <n v="24421"/>
    <n v="54.878651685393258"/>
    <n v="445"/>
    <s v="1"/>
    <s v="6"/>
    <n v="3"/>
  </r>
  <r>
    <n v="166"/>
    <x v="166"/>
    <n v="0.16669999999999999"/>
    <x v="32"/>
    <n v="0.16420000000000001"/>
    <n v="0"/>
    <n v="5"/>
    <n v="5"/>
    <n v="80.805800000000005"/>
    <n v="0.18199504504504505"/>
    <n v="444"/>
    <n v="248.41000000000028"/>
    <n v="0.55948198198198262"/>
    <n v="444"/>
    <n v="24420"/>
    <n v="55"/>
    <n v="444"/>
    <s v="1"/>
    <s v="7"/>
    <n v="3"/>
  </r>
  <r>
    <n v="167"/>
    <x v="167"/>
    <n v="0.16669999999999999"/>
    <x v="32"/>
    <n v="0.16420000000000001"/>
    <n v="0"/>
    <n v="2"/>
    <n v="2"/>
    <n v="80.639100000000013"/>
    <n v="0.18202957110609483"/>
    <n v="443"/>
    <n v="247.67000000000027"/>
    <n v="0.55907449209932336"/>
    <n v="443"/>
    <n v="24415"/>
    <n v="55.112866817155755"/>
    <n v="443"/>
    <s v="1"/>
    <s v="8"/>
    <n v="3"/>
  </r>
  <r>
    <n v="168"/>
    <x v="168"/>
    <n v="0.18179999999999999"/>
    <x v="32"/>
    <n v="0.1045"/>
    <n v="1"/>
    <n v="8"/>
    <n v="9"/>
    <n v="80.472400000000022"/>
    <n v="0.18206425339366522"/>
    <n v="442"/>
    <n v="246.93000000000026"/>
    <n v="0.55866515837104136"/>
    <n v="442"/>
    <n v="24413"/>
    <n v="55.233031674208142"/>
    <n v="442"/>
    <s v="1"/>
    <s v="9"/>
    <n v="3"/>
  </r>
  <r>
    <n v="169"/>
    <x v="169"/>
    <n v="0.18179999999999999"/>
    <x v="43"/>
    <n v="0.1045"/>
    <n v="0"/>
    <n v="15"/>
    <n v="15"/>
    <n v="80.290600000000026"/>
    <n v="0.1820648526077098"/>
    <n v="441"/>
    <n v="246.19000000000028"/>
    <n v="0.55825396825396889"/>
    <n v="441"/>
    <n v="24404"/>
    <n v="55.337868480725625"/>
    <n v="441"/>
    <s v="1"/>
    <s v="0"/>
    <n v="3"/>
  </r>
  <r>
    <n v="170"/>
    <x v="170"/>
    <n v="0.18179999999999999"/>
    <x v="43"/>
    <n v="0.1045"/>
    <n v="0"/>
    <n v="20"/>
    <n v="20"/>
    <n v="80.108800000000045"/>
    <n v="0.18206545454545464"/>
    <n v="440"/>
    <n v="245.26000000000028"/>
    <n v="0.55740909090909152"/>
    <n v="440"/>
    <n v="24389"/>
    <n v="55.429545454545455"/>
    <n v="440"/>
    <s v="1"/>
    <s v="1"/>
    <n v="3"/>
  </r>
  <r>
    <n v="171"/>
    <x v="171"/>
    <n v="0.19700000000000001"/>
    <x v="1"/>
    <n v="0.16420000000000001"/>
    <n v="5"/>
    <n v="56"/>
    <n v="61"/>
    <n v="79.927000000000035"/>
    <n v="0.18206605922551261"/>
    <n v="439"/>
    <n v="244.3300000000003"/>
    <n v="0.55656036446469315"/>
    <n v="439"/>
    <n v="24369"/>
    <n v="55.510250569476085"/>
    <n v="439"/>
    <s v="1"/>
    <s v="2"/>
    <n v="3"/>
  </r>
  <r>
    <n v="172"/>
    <x v="172"/>
    <n v="0.18179999999999999"/>
    <x v="27"/>
    <n v="0.3881"/>
    <n v="2"/>
    <n v="60"/>
    <n v="62"/>
    <n v="79.730000000000047"/>
    <n v="0.18203196347031975"/>
    <n v="438"/>
    <n v="243.53000000000029"/>
    <n v="0.55600456621004635"/>
    <n v="438"/>
    <n v="24308"/>
    <n v="55.497716894977167"/>
    <n v="438"/>
    <s v="1"/>
    <s v="3"/>
    <n v="3"/>
  </r>
  <r>
    <n v="173"/>
    <x v="173"/>
    <n v="0.18179999999999999"/>
    <x v="29"/>
    <n v="0.35820000000000002"/>
    <n v="8"/>
    <n v="90"/>
    <n v="98"/>
    <n v="79.548200000000051"/>
    <n v="0.18203249427917631"/>
    <n v="437"/>
    <n v="242.84000000000029"/>
    <n v="0.55569794050343313"/>
    <n v="437"/>
    <n v="24246"/>
    <n v="55.482837528604122"/>
    <n v="437"/>
    <s v="1"/>
    <s v="4"/>
    <n v="3"/>
  </r>
  <r>
    <n v="174"/>
    <x v="174"/>
    <n v="0.18179999999999999"/>
    <x v="18"/>
    <n v="0.32840000000000003"/>
    <n v="7"/>
    <n v="95"/>
    <n v="102"/>
    <n v="79.366400000000056"/>
    <n v="0.1820330275229359"/>
    <n v="436"/>
    <n v="242.25000000000028"/>
    <n v="0.55561926605504652"/>
    <n v="436"/>
    <n v="24148"/>
    <n v="55.38532110091743"/>
    <n v="436"/>
    <s v="1"/>
    <s v="5"/>
    <n v="3"/>
  </r>
  <r>
    <n v="175"/>
    <x v="175"/>
    <n v="0.16669999999999999"/>
    <x v="25"/>
    <n v="0.49249999999999999"/>
    <n v="12"/>
    <n v="83"/>
    <n v="95"/>
    <n v="79.18460000000006"/>
    <n v="0.18203356321839095"/>
    <n v="435"/>
    <n v="241.81000000000029"/>
    <n v="0.55588505747126504"/>
    <n v="435"/>
    <n v="24046"/>
    <n v="55.278160919540227"/>
    <n v="435"/>
    <s v="1"/>
    <s v="6"/>
    <n v="3"/>
  </r>
  <r>
    <n v="176"/>
    <x v="176"/>
    <n v="0.16669999999999999"/>
    <x v="25"/>
    <n v="0.44779999999999998"/>
    <n v="5"/>
    <n v="69"/>
    <n v="74"/>
    <n v="79.017900000000068"/>
    <n v="0.18206889400921675"/>
    <n v="434"/>
    <n v="241.49000000000029"/>
    <n v="0.55642857142857205"/>
    <n v="434"/>
    <n v="23951"/>
    <n v="55.186635944700463"/>
    <n v="434"/>
    <s v="1"/>
    <s v="7"/>
    <n v="3"/>
  </r>
  <r>
    <n v="177"/>
    <x v="177"/>
    <n v="0.13639999999999999"/>
    <x v="44"/>
    <n v="0.44779999999999998"/>
    <n v="8"/>
    <n v="68"/>
    <n v="76"/>
    <n v="78.851200000000063"/>
    <n v="0.18210438799076226"/>
    <n v="433"/>
    <n v="241.1700000000003"/>
    <n v="0.55697459584295683"/>
    <n v="433"/>
    <n v="23877"/>
    <n v="55.143187066974598"/>
    <n v="433"/>
    <s v="1"/>
    <s v="8"/>
    <n v="3"/>
  </r>
  <r>
    <n v="178"/>
    <x v="178"/>
    <n v="0.1212"/>
    <x v="38"/>
    <n v="0.55220000000000002"/>
    <n v="5"/>
    <n v="64"/>
    <n v="69"/>
    <n v="78.714800000000068"/>
    <n v="0.18221018518518534"/>
    <n v="432"/>
    <n v="240.88000000000031"/>
    <n v="0.55759259259259331"/>
    <n v="432"/>
    <n v="23801"/>
    <n v="55.094907407407405"/>
    <n v="432"/>
    <s v="1"/>
    <s v="9"/>
    <n v="3"/>
  </r>
  <r>
    <n v="179"/>
    <x v="179"/>
    <n v="0.1212"/>
    <x v="17"/>
    <n v="0.29849999999999999"/>
    <n v="3"/>
    <n v="52"/>
    <n v="55"/>
    <n v="78.593600000000052"/>
    <n v="0.18235174013921127"/>
    <n v="431"/>
    <n v="240.5100000000003"/>
    <n v="0.55802784222737889"/>
    <n v="431"/>
    <n v="23732"/>
    <n v="55.062645011600928"/>
    <n v="431"/>
    <s v="1"/>
    <s v="0"/>
    <n v="3"/>
  </r>
  <r>
    <n v="180"/>
    <x v="180"/>
    <n v="0.1212"/>
    <x v="42"/>
    <n v="0.25369999999999998"/>
    <n v="4"/>
    <n v="26"/>
    <n v="30"/>
    <n v="78.472400000000064"/>
    <n v="0.18249395348837225"/>
    <n v="430"/>
    <n v="240.12000000000032"/>
    <n v="0.55841860465116355"/>
    <n v="430"/>
    <n v="23677"/>
    <n v="55.062790697674416"/>
    <n v="430"/>
    <s v="1"/>
    <s v="1"/>
    <n v="3"/>
  </r>
  <r>
    <n v="181"/>
    <x v="181"/>
    <n v="0.1212"/>
    <x v="42"/>
    <n v="0.25369999999999998"/>
    <n v="0"/>
    <n v="28"/>
    <n v="28"/>
    <n v="78.351200000000077"/>
    <n v="0.18263682983683002"/>
    <n v="429"/>
    <n v="239.7600000000003"/>
    <n v="0.55888111888111958"/>
    <n v="429"/>
    <n v="23647"/>
    <n v="55.121212121212125"/>
    <n v="429"/>
    <s v="1"/>
    <s v="2"/>
    <n v="3"/>
  </r>
  <r>
    <n v="182"/>
    <x v="182"/>
    <n v="0.1061"/>
    <x v="17"/>
    <n v="0.35820000000000002"/>
    <n v="2"/>
    <n v="35"/>
    <n v="37"/>
    <n v="78.230000000000075"/>
    <n v="0.18278037383177587"/>
    <n v="428"/>
    <n v="239.40000000000032"/>
    <n v="0.55934579439252408"/>
    <n v="428"/>
    <n v="23619"/>
    <n v="55.184579439252339"/>
    <n v="428"/>
    <s v="1"/>
    <s v="3"/>
    <n v="3"/>
  </r>
  <r>
    <n v="183"/>
    <x v="183"/>
    <n v="0.1061"/>
    <x v="42"/>
    <n v="0.3881"/>
    <n v="1"/>
    <n v="33"/>
    <n v="34"/>
    <n v="78.123900000000077"/>
    <n v="0.18295995316159269"/>
    <n v="427"/>
    <n v="239.0100000000003"/>
    <n v="0.55974238875878291"/>
    <n v="427"/>
    <n v="23582"/>
    <n v="55.227166276346601"/>
    <n v="427"/>
    <s v="1"/>
    <s v="4"/>
    <n v="3"/>
  </r>
  <r>
    <n v="184"/>
    <x v="184"/>
    <n v="6.0600000000000001E-2"/>
    <x v="17"/>
    <n v="0.44779999999999998"/>
    <n v="0"/>
    <n v="22"/>
    <n v="22"/>
    <n v="78.017800000000079"/>
    <n v="0.18314037558685464"/>
    <n v="426"/>
    <n v="238.65000000000029"/>
    <n v="0.56021126760563444"/>
    <n v="426"/>
    <n v="23548"/>
    <n v="55.27699530516432"/>
    <n v="426"/>
    <s v="1"/>
    <s v="5"/>
    <n v="3"/>
  </r>
  <r>
    <n v="185"/>
    <x v="185"/>
    <n v="7.5800000000000006E-2"/>
    <x v="16"/>
    <n v="0.3881"/>
    <n v="1"/>
    <n v="24"/>
    <n v="25"/>
    <n v="77.957200000000086"/>
    <n v="0.18342870588235313"/>
    <n v="425"/>
    <n v="238.2600000000003"/>
    <n v="0.56061176470588303"/>
    <n v="425"/>
    <n v="23526"/>
    <n v="55.355294117647055"/>
    <n v="425"/>
    <s v="1"/>
    <s v="6"/>
    <n v="3"/>
  </r>
  <r>
    <n v="186"/>
    <x v="186"/>
    <n v="6.0600000000000001E-2"/>
    <x v="16"/>
    <n v="0.4627"/>
    <n v="0"/>
    <n v="12"/>
    <n v="12"/>
    <n v="77.881400000000085"/>
    <n v="0.18368254716981153"/>
    <n v="424"/>
    <n v="237.84000000000029"/>
    <n v="0.56094339622641576"/>
    <n v="424"/>
    <n v="23501"/>
    <n v="55.426886792452834"/>
    <n v="424"/>
    <s v="1"/>
    <s v="7"/>
    <n v="3"/>
  </r>
  <r>
    <n v="187"/>
    <x v="187"/>
    <n v="6.0600000000000001E-2"/>
    <x v="15"/>
    <n v="0.4627"/>
    <n v="0"/>
    <n v="11"/>
    <n v="11"/>
    <n v="77.820800000000091"/>
    <n v="0.18397352245862905"/>
    <n v="423"/>
    <n v="237.4200000000003"/>
    <n v="0.56127659574468158"/>
    <n v="423"/>
    <n v="23489"/>
    <n v="55.529550827423165"/>
    <n v="423"/>
    <s v="1"/>
    <s v="8"/>
    <n v="3"/>
  </r>
  <r>
    <n v="188"/>
    <x v="188"/>
    <n v="7.5800000000000006E-2"/>
    <x v="15"/>
    <n v="0.41789999999999999"/>
    <n v="0"/>
    <n v="4"/>
    <n v="4"/>
    <n v="77.760200000000097"/>
    <n v="0.18426587677725143"/>
    <n v="422"/>
    <n v="236.96000000000029"/>
    <n v="0.56151658767772583"/>
    <n v="422"/>
    <n v="23478"/>
    <n v="55.63507109004739"/>
    <n v="422"/>
    <s v="1"/>
    <s v="9"/>
    <n v="3"/>
  </r>
  <r>
    <n v="189"/>
    <x v="189"/>
    <n v="9.0899999999999995E-2"/>
    <x v="45"/>
    <n v="0.19400000000000001"/>
    <n v="0"/>
    <n v="1"/>
    <n v="1"/>
    <n v="77.684400000000096"/>
    <n v="0.18452351543943016"/>
    <n v="421"/>
    <n v="236.50000000000028"/>
    <n v="0.56175771971496502"/>
    <n v="421"/>
    <n v="23474"/>
    <n v="55.757719714964374"/>
    <n v="421"/>
    <s v="1"/>
    <s v="0"/>
    <n v="3"/>
  </r>
  <r>
    <n v="190"/>
    <x v="190"/>
    <n v="9.0899999999999995E-2"/>
    <x v="45"/>
    <n v="0.19400000000000001"/>
    <n v="0"/>
    <n v="1"/>
    <n v="1"/>
    <n v="77.593500000000091"/>
    <n v="0.18474642857142878"/>
    <n v="420"/>
    <n v="235.97000000000028"/>
    <n v="0.56183333333333396"/>
    <n v="420"/>
    <n v="23473"/>
    <n v="55.888095238095239"/>
    <n v="420"/>
    <s v="1"/>
    <s v="1"/>
    <n v="3"/>
  </r>
  <r>
    <n v="191"/>
    <x v="191"/>
    <n v="9.0899999999999995E-2"/>
    <x v="36"/>
    <n v="0.28360000000000002"/>
    <n v="0"/>
    <n v="1"/>
    <n v="1"/>
    <n v="77.502600000000086"/>
    <n v="0.18497040572792384"/>
    <n v="419"/>
    <n v="235.44000000000031"/>
    <n v="0.56190930787589577"/>
    <n v="419"/>
    <n v="23472"/>
    <n v="56.019093078758949"/>
    <n v="419"/>
    <s v="1"/>
    <s v="2"/>
    <n v="3"/>
  </r>
  <r>
    <n v="192"/>
    <x v="192"/>
    <n v="9.0899999999999995E-2"/>
    <x v="45"/>
    <n v="0.19400000000000001"/>
    <n v="1"/>
    <n v="5"/>
    <n v="6"/>
    <n v="77.411700000000096"/>
    <n v="0.18519545454545477"/>
    <n v="418"/>
    <n v="234.9500000000003"/>
    <n v="0.5620813397129194"/>
    <n v="418"/>
    <n v="23471"/>
    <n v="56.150717703349279"/>
    <n v="418"/>
    <s v="1"/>
    <s v="3"/>
    <n v="3"/>
  </r>
  <r>
    <n v="193"/>
    <x v="193"/>
    <n v="9.0899999999999995E-2"/>
    <x v="36"/>
    <n v="0.28360000000000002"/>
    <n v="0"/>
    <n v="10"/>
    <n v="10"/>
    <n v="77.320800000000091"/>
    <n v="0.18542158273381318"/>
    <n v="417"/>
    <n v="234.4200000000003"/>
    <n v="0.56215827338129565"/>
    <n v="417"/>
    <n v="23465"/>
    <n v="56.270983213429254"/>
    <n v="417"/>
    <s v="1"/>
    <s v="4"/>
    <n v="3"/>
  </r>
  <r>
    <n v="194"/>
    <x v="194"/>
    <n v="7.5800000000000006E-2"/>
    <x v="15"/>
    <n v="0.52239999999999998"/>
    <n v="0"/>
    <n v="19"/>
    <n v="19"/>
    <n v="77.229900000000086"/>
    <n v="0.18564879807692328"/>
    <n v="416"/>
    <n v="233.93000000000029"/>
    <n v="0.56233173076923149"/>
    <n v="416"/>
    <n v="23455"/>
    <n v="56.38221153846154"/>
    <n v="416"/>
    <s v="1"/>
    <s v="5"/>
    <n v="3"/>
  </r>
  <r>
    <n v="195"/>
    <x v="195"/>
    <n v="0.1061"/>
    <x v="21"/>
    <n v="0.3881"/>
    <n v="0"/>
    <n v="49"/>
    <n v="49"/>
    <n v="77.154100000000085"/>
    <n v="0.18591349397590382"/>
    <n v="415"/>
    <n v="233.47000000000028"/>
    <n v="0.56257831325301277"/>
    <n v="415"/>
    <n v="23436"/>
    <n v="56.472289156626509"/>
    <n v="415"/>
    <s v="1"/>
    <s v="6"/>
    <n v="3"/>
  </r>
  <r>
    <n v="196"/>
    <x v="196"/>
    <n v="0.1212"/>
    <x v="22"/>
    <n v="0.52239999999999998"/>
    <n v="2"/>
    <n v="47"/>
    <n v="49"/>
    <n v="77.048000000000073"/>
    <n v="0.18610628019323688"/>
    <n v="414"/>
    <n v="233.0400000000003"/>
    <n v="0.56289855072463846"/>
    <n v="414"/>
    <n v="23387"/>
    <n v="56.490338164251206"/>
    <n v="414"/>
    <s v="1"/>
    <s v="7"/>
    <n v="3"/>
  </r>
  <r>
    <n v="197"/>
    <x v="197"/>
    <n v="0.13639999999999999"/>
    <x v="38"/>
    <n v="0.44779999999999998"/>
    <n v="4"/>
    <n v="79"/>
    <n v="83"/>
    <n v="76.926800000000085"/>
    <n v="0.18626343825665881"/>
    <n v="413"/>
    <n v="232.6400000000003"/>
    <n v="0.56329297820823321"/>
    <n v="413"/>
    <n v="23338"/>
    <n v="56.508474576271183"/>
    <n v="413"/>
    <s v="1"/>
    <s v="8"/>
    <n v="3"/>
  </r>
  <r>
    <n v="198"/>
    <x v="198"/>
    <n v="0.16669999999999999"/>
    <x v="46"/>
    <n v="0.44779999999999998"/>
    <n v="6"/>
    <n v="69"/>
    <n v="75"/>
    <n v="76.790400000000091"/>
    <n v="0.18638446601941769"/>
    <n v="412"/>
    <n v="232.27000000000029"/>
    <n v="0.56376213592233082"/>
    <n v="412"/>
    <n v="23255"/>
    <n v="56.444174757281552"/>
    <n v="412"/>
    <s v="1"/>
    <s v="9"/>
    <n v="3"/>
  </r>
  <r>
    <n v="199"/>
    <x v="199"/>
    <n v="0.18179999999999999"/>
    <x v="25"/>
    <n v="0.4627"/>
    <n v="8"/>
    <n v="64"/>
    <n v="72"/>
    <n v="76.623700000000099"/>
    <n v="0.18643236009732383"/>
    <n v="411"/>
    <n v="231.93000000000029"/>
    <n v="0.56430656934306644"/>
    <n v="411"/>
    <n v="23180"/>
    <n v="56.399026763990271"/>
    <n v="411"/>
    <s v="2"/>
    <s v="0"/>
    <n v="3"/>
  </r>
  <r>
    <n v="200"/>
    <x v="200"/>
    <n v="0.19700000000000001"/>
    <x v="23"/>
    <n v="0.35820000000000002"/>
    <n v="5"/>
    <n v="77"/>
    <n v="82"/>
    <n v="76.441900000000089"/>
    <n v="0.18644365853658559"/>
    <n v="410"/>
    <n v="231.61000000000027"/>
    <n v="0.56490243902439086"/>
    <n v="410"/>
    <n v="23108"/>
    <n v="56.360975609756096"/>
    <n v="410"/>
    <s v="2"/>
    <s v="1"/>
    <n v="3"/>
  </r>
  <r>
    <n v="201"/>
    <x v="201"/>
    <n v="0.16669999999999999"/>
    <x v="46"/>
    <n v="0.44779999999999998"/>
    <n v="13"/>
    <n v="79"/>
    <n v="92"/>
    <n v="76.244900000000101"/>
    <n v="0.1864178484107582"/>
    <n v="409"/>
    <n v="231.26000000000028"/>
    <n v="0.56542787286063634"/>
    <n v="409"/>
    <n v="23026"/>
    <n v="56.298288508557455"/>
    <n v="409"/>
    <s v="2"/>
    <s v="2"/>
    <n v="3"/>
  </r>
  <r>
    <n v="202"/>
    <x v="202"/>
    <n v="0.1515"/>
    <x v="38"/>
    <n v="0.3881"/>
    <n v="3"/>
    <n v="59"/>
    <n v="62"/>
    <n v="76.078200000000095"/>
    <n v="0.18646617647058847"/>
    <n v="408"/>
    <n v="230.92000000000027"/>
    <n v="0.56598039215686347"/>
    <n v="408"/>
    <n v="22934"/>
    <n v="56.21078431372549"/>
    <n v="408"/>
    <s v="2"/>
    <s v="3"/>
    <n v="3"/>
  </r>
  <r>
    <n v="203"/>
    <x v="203"/>
    <n v="0.13639999999999999"/>
    <x v="22"/>
    <n v="0.32840000000000003"/>
    <n v="4"/>
    <n v="44"/>
    <n v="48"/>
    <n v="75.926700000000082"/>
    <n v="0.18655208845208865"/>
    <n v="407"/>
    <n v="230.55000000000027"/>
    <n v="0.56646191646191713"/>
    <n v="407"/>
    <n v="22872"/>
    <n v="56.196560196560199"/>
    <n v="407"/>
    <s v="2"/>
    <s v="4"/>
    <n v="3"/>
  </r>
  <r>
    <n v="204"/>
    <x v="204"/>
    <n v="0.13639999999999999"/>
    <x v="21"/>
    <n v="0.32840000000000003"/>
    <n v="1"/>
    <n v="40"/>
    <n v="41"/>
    <n v="75.790300000000087"/>
    <n v="0.18667561576354702"/>
    <n v="406"/>
    <n v="230.15000000000026"/>
    <n v="0.5668719211822667"/>
    <n v="406"/>
    <n v="22824"/>
    <n v="56.216748768472904"/>
    <n v="406"/>
    <s v="2"/>
    <s v="5"/>
    <n v="3"/>
  </r>
  <r>
    <n v="205"/>
    <x v="205"/>
    <n v="0.1212"/>
    <x v="15"/>
    <n v="0.25369999999999998"/>
    <n v="0"/>
    <n v="38"/>
    <n v="38"/>
    <n v="75.653900000000093"/>
    <n v="0.18679975308642"/>
    <n v="405"/>
    <n v="229.72000000000025"/>
    <n v="0.56720987654321053"/>
    <n v="405"/>
    <n v="22783"/>
    <n v="56.254320987654324"/>
    <n v="405"/>
    <s v="2"/>
    <s v="6"/>
    <n v="3"/>
  </r>
  <r>
    <n v="206"/>
    <x v="206"/>
    <n v="0.1061"/>
    <x v="15"/>
    <n v="0.41789999999999999"/>
    <n v="1"/>
    <n v="19"/>
    <n v="20"/>
    <n v="75.532700000000091"/>
    <n v="0.18696212871287152"/>
    <n v="404"/>
    <n v="229.26000000000025"/>
    <n v="0.56747524752475309"/>
    <n v="404"/>
    <n v="22745"/>
    <n v="56.299504950495049"/>
    <n v="404"/>
    <s v="2"/>
    <s v="7"/>
    <n v="3"/>
  </r>
  <r>
    <n v="207"/>
    <x v="207"/>
    <n v="0.1212"/>
    <x v="15"/>
    <n v="0.29849999999999999"/>
    <n v="5"/>
    <n v="10"/>
    <n v="15"/>
    <n v="75.426600000000093"/>
    <n v="0.18716277915632779"/>
    <n v="403"/>
    <n v="228.80000000000021"/>
    <n v="0.56774193548387153"/>
    <n v="403"/>
    <n v="22725"/>
    <n v="56.389578163771709"/>
    <n v="403"/>
    <s v="2"/>
    <s v="8"/>
    <n v="3"/>
  </r>
  <r>
    <n v="208"/>
    <x v="208"/>
    <n v="0.13639999999999999"/>
    <x v="20"/>
    <n v="0.19400000000000001"/>
    <n v="0"/>
    <n v="6"/>
    <n v="6"/>
    <n v="75.305400000000091"/>
    <n v="0.18732686567164203"/>
    <n v="402"/>
    <n v="228.3400000000002"/>
    <n v="0.56800995024875667"/>
    <n v="402"/>
    <n v="22710"/>
    <n v="56.492537313432834"/>
    <n v="402"/>
    <s v="2"/>
    <s v="9"/>
    <n v="3"/>
  </r>
  <r>
    <n v="209"/>
    <x v="209"/>
    <n v="0.1212"/>
    <x v="20"/>
    <n v="0.28360000000000002"/>
    <n v="2"/>
    <n v="3"/>
    <n v="5"/>
    <n v="75.169000000000082"/>
    <n v="0.18745386533665856"/>
    <n v="401"/>
    <n v="227.8400000000002"/>
    <n v="0.56817955112219498"/>
    <n v="401"/>
    <n v="22704"/>
    <n v="56.618453865336662"/>
    <n v="401"/>
    <s v="2"/>
    <s v="0"/>
    <n v="3"/>
  </r>
  <r>
    <n v="210"/>
    <x v="210"/>
    <n v="0.1212"/>
    <x v="20"/>
    <n v="0.28360000000000002"/>
    <n v="1"/>
    <n v="0"/>
    <n v="1"/>
    <n v="75.047800000000095"/>
    <n v="0.18761950000000024"/>
    <n v="400"/>
    <n v="227.3400000000002"/>
    <n v="0.56835000000000047"/>
    <n v="400"/>
    <n v="22699"/>
    <n v="56.747500000000002"/>
    <n v="400"/>
    <s v="2"/>
    <s v="1"/>
    <n v="3"/>
  </r>
  <r>
    <n v="211"/>
    <x v="211"/>
    <n v="0.1212"/>
    <x v="20"/>
    <n v="0.22389999999999999"/>
    <n v="0"/>
    <n v="3"/>
    <n v="3"/>
    <n v="74.926600000000093"/>
    <n v="0.18778596491228094"/>
    <n v="399"/>
    <n v="226.8400000000002"/>
    <n v="0.56852130325814587"/>
    <n v="399"/>
    <n v="22698"/>
    <n v="56.887218045112782"/>
    <n v="399"/>
    <s v="2"/>
    <s v="2"/>
    <n v="3"/>
  </r>
  <r>
    <n v="212"/>
    <x v="212"/>
    <n v="0.1212"/>
    <x v="20"/>
    <n v="0.22389999999999999"/>
    <n v="0"/>
    <n v="1"/>
    <n v="1"/>
    <n v="74.805400000000091"/>
    <n v="0.18795326633165851"/>
    <n v="398"/>
    <n v="226.3400000000002"/>
    <n v="0.56869346733668391"/>
    <n v="398"/>
    <n v="22695"/>
    <n v="57.022613065326631"/>
    <n v="398"/>
    <s v="2"/>
    <s v="3"/>
    <n v="3"/>
  </r>
  <r>
    <n v="213"/>
    <x v="213"/>
    <n v="0.1212"/>
    <x v="47"/>
    <n v="0.1343"/>
    <n v="1"/>
    <n v="2"/>
    <n v="3"/>
    <n v="74.684200000000089"/>
    <n v="0.18812141057934531"/>
    <n v="397"/>
    <n v="225.8400000000002"/>
    <n v="0.56886649874055462"/>
    <n v="397"/>
    <n v="22694"/>
    <n v="57.163727959697731"/>
    <n v="397"/>
    <s v="2"/>
    <s v="4"/>
    <n v="3"/>
  </r>
  <r>
    <n v="214"/>
    <x v="214"/>
    <n v="0.1061"/>
    <x v="47"/>
    <n v="0.25369999999999998"/>
    <n v="0"/>
    <n v="3"/>
    <n v="3"/>
    <n v="74.563000000000088"/>
    <n v="0.18829040404040426"/>
    <n v="396"/>
    <n v="225.30000000000021"/>
    <n v="0.56893939393939452"/>
    <n v="396"/>
    <n v="22691"/>
    <n v="57.300505050505052"/>
    <n v="396"/>
    <s v="2"/>
    <s v="5"/>
    <n v="3"/>
  </r>
  <r>
    <n v="215"/>
    <x v="215"/>
    <n v="0.1212"/>
    <x v="20"/>
    <n v="0.28360000000000002"/>
    <n v="0"/>
    <n v="31"/>
    <n v="31"/>
    <n v="74.45690000000009"/>
    <n v="0.18849848101265845"/>
    <n v="395"/>
    <n v="224.76000000000022"/>
    <n v="0.56901265822784863"/>
    <n v="395"/>
    <n v="22688"/>
    <n v="57.437974683544304"/>
    <n v="395"/>
    <s v="2"/>
    <s v="6"/>
    <n v="3"/>
  </r>
  <r>
    <n v="216"/>
    <x v="216"/>
    <n v="0.1212"/>
    <x v="20"/>
    <n v="0.22389999999999999"/>
    <n v="2"/>
    <n v="75"/>
    <n v="77"/>
    <n v="74.335700000000088"/>
    <n v="0.18866928934010174"/>
    <n v="394"/>
    <n v="224.26000000000022"/>
    <n v="0.56918781725888379"/>
    <n v="394"/>
    <n v="22657"/>
    <n v="57.505076142131976"/>
    <n v="394"/>
    <s v="2"/>
    <s v="7"/>
    <n v="3"/>
  </r>
  <r>
    <n v="217"/>
    <x v="217"/>
    <n v="0.1212"/>
    <x v="20"/>
    <n v="0.28360000000000002"/>
    <n v="4"/>
    <n v="184"/>
    <n v="188"/>
    <n v="74.214500000000086"/>
    <n v="0.18884096692111982"/>
    <n v="393"/>
    <n v="223.76000000000019"/>
    <n v="0.56936386768447889"/>
    <n v="393"/>
    <n v="22580"/>
    <n v="57.455470737913487"/>
    <n v="393"/>
    <s v="2"/>
    <s v="8"/>
    <n v="3"/>
  </r>
  <r>
    <n v="218"/>
    <x v="218"/>
    <n v="0.1212"/>
    <x v="20"/>
    <n v="0.25369999999999998"/>
    <n v="2"/>
    <n v="92"/>
    <n v="94"/>
    <n v="74.093300000000085"/>
    <n v="0.18901352040816349"/>
    <n v="392"/>
    <n v="223.26000000000019"/>
    <n v="0.56954081632653109"/>
    <n v="392"/>
    <n v="22392"/>
    <n v="57.122448979591837"/>
    <n v="392"/>
    <s v="2"/>
    <s v="9"/>
    <n v="3"/>
  </r>
  <r>
    <n v="219"/>
    <x v="219"/>
    <n v="0.1212"/>
    <x v="20"/>
    <n v="0.29849999999999999"/>
    <n v="0"/>
    <n v="31"/>
    <n v="31"/>
    <n v="73.972100000000097"/>
    <n v="0.18918695652173939"/>
    <n v="391"/>
    <n v="222.76000000000019"/>
    <n v="0.56971867007672683"/>
    <n v="391"/>
    <n v="22298"/>
    <n v="57.028132992327365"/>
    <n v="391"/>
    <s v="2"/>
    <s v="0"/>
    <n v="3"/>
  </r>
  <r>
    <n v="220"/>
    <x v="220"/>
    <n v="0.13639999999999999"/>
    <x v="19"/>
    <n v="0.28360000000000002"/>
    <n v="2"/>
    <n v="28"/>
    <n v="30"/>
    <n v="73.850900000000095"/>
    <n v="0.1893612820512823"/>
    <n v="390"/>
    <n v="222.26000000000022"/>
    <n v="0.56989743589743647"/>
    <n v="390"/>
    <n v="22267"/>
    <n v="57.094871794871793"/>
    <n v="390"/>
    <s v="2"/>
    <s v="1"/>
    <n v="3"/>
  </r>
  <r>
    <n v="221"/>
    <x v="221"/>
    <n v="0.18179999999999999"/>
    <x v="22"/>
    <n v="0.28360000000000002"/>
    <n v="5"/>
    <n v="47"/>
    <n v="52"/>
    <n v="73.714500000000086"/>
    <n v="0.18949742930591282"/>
    <n v="389"/>
    <n v="221.79000000000022"/>
    <n v="0.57015424164524475"/>
    <n v="389"/>
    <n v="22237"/>
    <n v="57.164524421593832"/>
    <n v="389"/>
    <s v="2"/>
    <s v="2"/>
    <n v="3"/>
  </r>
  <r>
    <n v="222"/>
    <x v="222"/>
    <n v="0.18179999999999999"/>
    <x v="22"/>
    <n v="0.28360000000000002"/>
    <n v="4"/>
    <n v="50"/>
    <n v="54"/>
    <n v="73.532700000000091"/>
    <n v="0.18951726804123734"/>
    <n v="388"/>
    <n v="221.39000000000024"/>
    <n v="0.5705927835051553"/>
    <n v="388"/>
    <n v="22185"/>
    <n v="57.177835051546388"/>
    <n v="388"/>
    <s v="2"/>
    <s v="3"/>
    <n v="3"/>
  </r>
  <r>
    <n v="223"/>
    <x v="223"/>
    <n v="0.19700000000000001"/>
    <x v="22"/>
    <n v="0.22389999999999999"/>
    <n v="0"/>
    <n v="47"/>
    <n v="47"/>
    <n v="73.350900000000095"/>
    <n v="0.18953720930232582"/>
    <n v="387"/>
    <n v="220.99000000000026"/>
    <n v="0.57103359173126689"/>
    <n v="387"/>
    <n v="22131"/>
    <n v="57.186046511627907"/>
    <n v="387"/>
    <s v="2"/>
    <s v="4"/>
    <n v="3"/>
  </r>
  <r>
    <n v="224"/>
    <x v="224"/>
    <n v="0.19700000000000001"/>
    <x v="22"/>
    <n v="0.22389999999999999"/>
    <n v="2"/>
    <n v="43"/>
    <n v="45"/>
    <n v="73.153900000000093"/>
    <n v="0.18951787564766864"/>
    <n v="386"/>
    <n v="220.59000000000026"/>
    <n v="0.57147668393782447"/>
    <n v="386"/>
    <n v="22084"/>
    <n v="57.212435233160619"/>
    <n v="386"/>
    <s v="2"/>
    <s v="5"/>
    <n v="3"/>
  </r>
  <r>
    <n v="225"/>
    <x v="225"/>
    <n v="0.21210000000000001"/>
    <x v="22"/>
    <n v="0.1343"/>
    <n v="4"/>
    <n v="70"/>
    <n v="74"/>
    <n v="72.95690000000009"/>
    <n v="0.18949844155844178"/>
    <n v="385"/>
    <n v="220.19000000000028"/>
    <n v="0.57192207792207861"/>
    <n v="385"/>
    <n v="22039"/>
    <n v="57.244155844155841"/>
    <n v="385"/>
    <s v="2"/>
    <s v="6"/>
    <n v="3"/>
  </r>
  <r>
    <n v="226"/>
    <x v="226"/>
    <n v="0.2273"/>
    <x v="22"/>
    <n v="0.1045"/>
    <n v="4"/>
    <n v="174"/>
    <n v="178"/>
    <n v="72.744800000000083"/>
    <n v="0.18943958333333355"/>
    <n v="384"/>
    <n v="219.79000000000028"/>
    <n v="0.57236979166666735"/>
    <n v="384"/>
    <n v="21965"/>
    <n v="57.200520833333336"/>
    <n v="384"/>
    <s v="2"/>
    <s v="7"/>
    <n v="3"/>
  </r>
  <r>
    <n v="227"/>
    <x v="227"/>
    <n v="0.19700000000000001"/>
    <x v="22"/>
    <n v="0.22389999999999999"/>
    <n v="1"/>
    <n v="154"/>
    <n v="155"/>
    <n v="72.517500000000084"/>
    <n v="0.18934073107049632"/>
    <n v="383"/>
    <n v="219.39000000000024"/>
    <n v="0.57281984334203717"/>
    <n v="383"/>
    <n v="21787"/>
    <n v="56.885117493472585"/>
    <n v="383"/>
    <s v="2"/>
    <s v="8"/>
    <n v="3"/>
  </r>
  <r>
    <n v="228"/>
    <x v="228"/>
    <n v="0.16669999999999999"/>
    <x v="19"/>
    <n v="0.16420000000000001"/>
    <n v="3"/>
    <n v="92"/>
    <n v="95"/>
    <n v="72.320500000000081"/>
    <n v="0.18932068062827245"/>
    <n v="382"/>
    <n v="218.99000000000024"/>
    <n v="0.57327225130890114"/>
    <n v="382"/>
    <n v="21632"/>
    <n v="56.6282722513089"/>
    <n v="382"/>
    <s v="2"/>
    <s v="9"/>
    <n v="3"/>
  </r>
  <r>
    <n v="229"/>
    <x v="229"/>
    <n v="0.16669999999999999"/>
    <x v="20"/>
    <n v="0.16420000000000001"/>
    <n v="1"/>
    <n v="73"/>
    <n v="74"/>
    <n v="72.153800000000075"/>
    <n v="0.18938005249343851"/>
    <n v="381"/>
    <n v="218.52000000000024"/>
    <n v="0.57354330708661483"/>
    <n v="381"/>
    <n v="21537"/>
    <n v="56.527559055118111"/>
    <n v="381"/>
    <s v="2"/>
    <s v="0"/>
    <n v="3"/>
  </r>
  <r>
    <n v="230"/>
    <x v="230"/>
    <n v="0.13639999999999999"/>
    <x v="29"/>
    <n v="0.19400000000000001"/>
    <n v="1"/>
    <n v="37"/>
    <n v="38"/>
    <n v="71.987100000000069"/>
    <n v="0.18943973684210544"/>
    <n v="380"/>
    <n v="218.02000000000024"/>
    <n v="0.57373684210526377"/>
    <n v="380"/>
    <n v="21463"/>
    <n v="56.481578947368419"/>
    <n v="380"/>
    <s v="2"/>
    <s v="1"/>
    <n v="3"/>
  </r>
  <r>
    <n v="231"/>
    <x v="231"/>
    <n v="0.1515"/>
    <x v="29"/>
    <n v="0.16420000000000001"/>
    <n v="2"/>
    <n v="22"/>
    <n v="24"/>
    <n v="71.85070000000006"/>
    <n v="0.18957968337730888"/>
    <n v="379"/>
    <n v="217.43000000000026"/>
    <n v="0.57369393139841762"/>
    <n v="379"/>
    <n v="21425"/>
    <n v="56.530343007915569"/>
    <n v="379"/>
    <s v="2"/>
    <s v="2"/>
    <n v="3"/>
  </r>
  <r>
    <n v="232"/>
    <x v="232"/>
    <n v="0.1515"/>
    <x v="29"/>
    <n v="0.16420000000000001"/>
    <n v="0"/>
    <n v="18"/>
    <n v="18"/>
    <n v="71.699200000000076"/>
    <n v="0.18968042328042348"/>
    <n v="378"/>
    <n v="216.84000000000026"/>
    <n v="0.5736507936507943"/>
    <n v="378"/>
    <n v="21401"/>
    <n v="56.616402116402114"/>
    <n v="378"/>
    <s v="2"/>
    <s v="3"/>
    <n v="3"/>
  </r>
  <r>
    <n v="233"/>
    <x v="233"/>
    <n v="0.16669999999999999"/>
    <x v="29"/>
    <n v="0.1045"/>
    <n v="2"/>
    <n v="10"/>
    <n v="12"/>
    <n v="71.547700000000077"/>
    <n v="0.18978169761273231"/>
    <n v="377"/>
    <n v="216.25000000000023"/>
    <n v="0.57360742705570356"/>
    <n v="377"/>
    <n v="21383"/>
    <n v="56.718832891246684"/>
    <n v="377"/>
    <s v="2"/>
    <s v="4"/>
    <n v="3"/>
  </r>
  <r>
    <n v="234"/>
    <x v="234"/>
    <n v="0.1515"/>
    <x v="29"/>
    <n v="0.16420000000000001"/>
    <n v="0"/>
    <n v="3"/>
    <n v="3"/>
    <n v="71.381000000000071"/>
    <n v="0.18984308510638317"/>
    <n v="376"/>
    <n v="215.66000000000022"/>
    <n v="0.57356382978723464"/>
    <n v="376"/>
    <n v="21371"/>
    <n v="56.837765957446805"/>
    <n v="376"/>
    <s v="2"/>
    <s v="5"/>
    <n v="3"/>
  </r>
  <r>
    <n v="235"/>
    <x v="235"/>
    <n v="0.1515"/>
    <x v="28"/>
    <n v="0.19400000000000001"/>
    <n v="0"/>
    <n v="3"/>
    <n v="3"/>
    <n v="71.229500000000073"/>
    <n v="0.18994533333333352"/>
    <n v="375"/>
    <n v="215.07000000000025"/>
    <n v="0.5735200000000007"/>
    <n v="375"/>
    <n v="21368"/>
    <n v="56.981333333333332"/>
    <n v="375"/>
    <s v="2"/>
    <s v="6"/>
    <n v="3"/>
  </r>
  <r>
    <n v="236"/>
    <x v="236"/>
    <n v="0.18179999999999999"/>
    <x v="28"/>
    <n v="0.1343"/>
    <n v="0"/>
    <n v="6"/>
    <n v="6"/>
    <n v="71.078000000000074"/>
    <n v="0.19004812834224619"/>
    <n v="374"/>
    <n v="214.52000000000027"/>
    <n v="0.57358288770053545"/>
    <n v="374"/>
    <n v="21365"/>
    <n v="57.12566844919786"/>
    <n v="374"/>
    <s v="2"/>
    <s v="7"/>
    <n v="3"/>
  </r>
  <r>
    <n v="237"/>
    <x v="237"/>
    <n v="0.18179999999999999"/>
    <x v="28"/>
    <n v="0.1343"/>
    <n v="0"/>
    <n v="27"/>
    <n v="27"/>
    <n v="70.896200000000064"/>
    <n v="0.19007024128686345"/>
    <n v="373"/>
    <n v="213.97000000000028"/>
    <n v="0.57364611260053699"/>
    <n v="373"/>
    <n v="21359"/>
    <n v="57.262734584450399"/>
    <n v="373"/>
    <s v="2"/>
    <s v="8"/>
    <n v="3"/>
  </r>
  <r>
    <n v="238"/>
    <x v="238"/>
    <n v="0.2273"/>
    <x v="28"/>
    <n v="0"/>
    <n v="2"/>
    <n v="97"/>
    <n v="99"/>
    <n v="70.714400000000069"/>
    <n v="0.19009247311827976"/>
    <n v="372"/>
    <n v="213.42000000000027"/>
    <n v="0.57370967741935552"/>
    <n v="372"/>
    <n v="21332"/>
    <n v="57.344086021505376"/>
    <n v="372"/>
    <s v="2"/>
    <s v="9"/>
    <n v="3"/>
  </r>
  <r>
    <n v="239"/>
    <x v="239"/>
    <n v="0.21210000000000001"/>
    <x v="33"/>
    <n v="8.9599999999999999E-2"/>
    <n v="3"/>
    <n v="214"/>
    <n v="217"/>
    <n v="70.487100000000055"/>
    <n v="0.18999218328840986"/>
    <n v="371"/>
    <n v="212.87000000000029"/>
    <n v="0.5737735849056611"/>
    <n v="371"/>
    <n v="21233"/>
    <n v="57.23180592991914"/>
    <n v="371"/>
    <s v="2"/>
    <s v="0"/>
    <n v="3"/>
  </r>
  <r>
    <n v="240"/>
    <x v="240"/>
    <n v="0.19700000000000001"/>
    <x v="33"/>
    <n v="0.16420000000000001"/>
    <n v="3"/>
    <n v="127"/>
    <n v="130"/>
    <n v="70.275000000000048"/>
    <n v="0.18993243243243257"/>
    <n v="370"/>
    <n v="212.36000000000027"/>
    <n v="0.57394594594594672"/>
    <n v="370"/>
    <n v="21016"/>
    <n v="56.8"/>
    <n v="370"/>
    <s v="2"/>
    <s v="1"/>
    <n v="3"/>
  </r>
  <r>
    <n v="241"/>
    <x v="241"/>
    <n v="0.21210000000000001"/>
    <x v="33"/>
    <n v="0.16420000000000001"/>
    <n v="3"/>
    <n v="51"/>
    <n v="54"/>
    <n v="70.078000000000046"/>
    <n v="0.18991327913279146"/>
    <n v="369"/>
    <n v="211.85000000000025"/>
    <n v="0.57411924119241264"/>
    <n v="369"/>
    <n v="20886"/>
    <n v="56.601626016260163"/>
    <n v="369"/>
    <s v="2"/>
    <s v="2"/>
    <n v="3"/>
  </r>
  <r>
    <n v="242"/>
    <x v="242"/>
    <n v="0.21210000000000001"/>
    <x v="19"/>
    <n v="0.1343"/>
    <n v="4"/>
    <n v="31"/>
    <n v="35"/>
    <n v="69.865900000000053"/>
    <n v="0.18985298913043494"/>
    <n v="368"/>
    <n v="211.34000000000029"/>
    <n v="0.57429347826087029"/>
    <n v="368"/>
    <n v="20832"/>
    <n v="56.608695652173914"/>
    <n v="368"/>
    <s v="2"/>
    <s v="3"/>
    <n v="3"/>
  </r>
  <r>
    <n v="243"/>
    <x v="243"/>
    <n v="0.2273"/>
    <x v="33"/>
    <n v="0.1045"/>
    <n v="2"/>
    <n v="55"/>
    <n v="57"/>
    <n v="69.653800000000047"/>
    <n v="0.18979237057220721"/>
    <n v="367"/>
    <n v="210.87000000000026"/>
    <n v="0.57457765667575"/>
    <n v="367"/>
    <n v="20797"/>
    <n v="56.667574931880111"/>
    <n v="367"/>
    <s v="2"/>
    <s v="4"/>
    <n v="3"/>
  </r>
  <r>
    <n v="244"/>
    <x v="244"/>
    <n v="0.2273"/>
    <x v="29"/>
    <n v="8.9599999999999999E-2"/>
    <n v="6"/>
    <n v="46"/>
    <n v="52"/>
    <n v="69.426500000000061"/>
    <n v="0.18968989071038267"/>
    <n v="366"/>
    <n v="210.36000000000024"/>
    <n v="0.57475409836065638"/>
    <n v="366"/>
    <n v="20740"/>
    <n v="56.666666666666664"/>
    <n v="366"/>
    <s v="2"/>
    <s v="5"/>
    <n v="3"/>
  </r>
  <r>
    <n v="245"/>
    <x v="245"/>
    <n v="0.2273"/>
    <x v="29"/>
    <n v="8.9599999999999999E-2"/>
    <n v="3"/>
    <n v="60"/>
    <n v="63"/>
    <n v="69.199200000000062"/>
    <n v="0.18958684931506867"/>
    <n v="365"/>
    <n v="209.77000000000027"/>
    <n v="0.57471232876712397"/>
    <n v="365"/>
    <n v="20688"/>
    <n v="56.679452054794524"/>
    <n v="365"/>
    <s v="2"/>
    <s v="6"/>
    <n v="3"/>
  </r>
  <r>
    <n v="246"/>
    <x v="246"/>
    <n v="0.19700000000000001"/>
    <x v="1"/>
    <n v="8.9599999999999999E-2"/>
    <n v="2"/>
    <n v="45"/>
    <n v="47"/>
    <n v="68.971900000000062"/>
    <n v="0.18948324175824194"/>
    <n v="364"/>
    <n v="209.18000000000026"/>
    <n v="0.57467032967033038"/>
    <n v="364"/>
    <n v="20625"/>
    <n v="56.662087912087912"/>
    <n v="364"/>
    <s v="2"/>
    <s v="7"/>
    <n v="3"/>
  </r>
  <r>
    <n v="247"/>
    <x v="247"/>
    <n v="0.1515"/>
    <x v="3"/>
    <n v="0.22389999999999999"/>
    <n v="4"/>
    <n v="72"/>
    <n v="76"/>
    <n v="68.774900000000059"/>
    <n v="0.18946253443526187"/>
    <n v="363"/>
    <n v="208.38000000000028"/>
    <n v="0.57404958677686024"/>
    <n v="363"/>
    <n v="20578"/>
    <n v="56.688705234159777"/>
    <n v="363"/>
    <s v="2"/>
    <s v="8"/>
    <n v="3"/>
  </r>
  <r>
    <n v="248"/>
    <x v="248"/>
    <n v="0.1515"/>
    <x v="3"/>
    <n v="0.22389999999999999"/>
    <n v="6"/>
    <n v="130"/>
    <n v="136"/>
    <n v="68.623400000000061"/>
    <n v="0.18956740331491728"/>
    <n v="362"/>
    <n v="207.52000000000027"/>
    <n v="0.57325966850828802"/>
    <n v="362"/>
    <n v="20502"/>
    <n v="56.635359116022101"/>
    <n v="362"/>
    <s v="2"/>
    <s v="9"/>
    <n v="3"/>
  </r>
  <r>
    <n v="249"/>
    <x v="249"/>
    <n v="0.18179999999999999"/>
    <x v="43"/>
    <n v="0.1045"/>
    <n v="1"/>
    <n v="94"/>
    <n v="95"/>
    <n v="68.471900000000076"/>
    <n v="0.18967285318559579"/>
    <n v="361"/>
    <n v="206.66000000000028"/>
    <n v="0.57246537396121966"/>
    <n v="361"/>
    <n v="20366"/>
    <n v="56.415512465373958"/>
    <n v="361"/>
    <s v="2"/>
    <s v="0"/>
    <n v="3"/>
  </r>
  <r>
    <n v="250"/>
    <x v="250"/>
    <n v="0.2273"/>
    <x v="43"/>
    <n v="0"/>
    <n v="0"/>
    <n v="51"/>
    <n v="51"/>
    <n v="68.290100000000066"/>
    <n v="0.18969472222222242"/>
    <n v="360"/>
    <n v="205.73000000000025"/>
    <n v="0.57147222222222294"/>
    <n v="360"/>
    <n v="20271"/>
    <n v="56.30833333333333"/>
    <n v="360"/>
    <s v="2"/>
    <s v="1"/>
    <n v="3"/>
  </r>
  <r>
    <n v="251"/>
    <x v="251"/>
    <n v="0.1515"/>
    <x v="43"/>
    <n v="0.19400000000000001"/>
    <n v="0"/>
    <n v="32"/>
    <n v="32"/>
    <n v="68.062800000000067"/>
    <n v="0.18958997214484699"/>
    <n v="359"/>
    <n v="204.80000000000024"/>
    <n v="0.57047353760445751"/>
    <n v="359"/>
    <n v="20220"/>
    <n v="56.323119777158773"/>
    <n v="359"/>
    <s v="2"/>
    <s v="2"/>
    <n v="3"/>
  </r>
  <r>
    <n v="252"/>
    <x v="252"/>
    <n v="0.19700000000000001"/>
    <x v="3"/>
    <n v="8.9599999999999999E-2"/>
    <n v="0"/>
    <n v="20"/>
    <n v="20"/>
    <n v="67.911300000000068"/>
    <n v="0.189696368715084"/>
    <n v="358"/>
    <n v="203.87000000000026"/>
    <n v="0.56946927374301748"/>
    <n v="358"/>
    <n v="20188"/>
    <n v="56.391061452513966"/>
    <n v="358"/>
    <s v="2"/>
    <s v="3"/>
    <n v="3"/>
  </r>
  <r>
    <n v="253"/>
    <x v="253"/>
    <n v="0.18179999999999999"/>
    <x v="43"/>
    <n v="0.1045"/>
    <n v="1"/>
    <n v="28"/>
    <n v="29"/>
    <n v="67.714300000000065"/>
    <n v="0.18967591036414583"/>
    <n v="357"/>
    <n v="203.01000000000025"/>
    <n v="0.56865546218487462"/>
    <n v="357"/>
    <n v="20168"/>
    <n v="56.49299719887955"/>
    <n v="357"/>
    <s v="2"/>
    <s v="4"/>
    <n v="3"/>
  </r>
  <r>
    <n v="254"/>
    <x v="254"/>
    <n v="0.19700000000000001"/>
    <x v="43"/>
    <n v="8.9599999999999999E-2"/>
    <n v="1"/>
    <n v="18"/>
    <n v="19"/>
    <n v="67.532500000000056"/>
    <n v="0.18969803370786534"/>
    <n v="356"/>
    <n v="202.08000000000024"/>
    <n v="0.56764044943820291"/>
    <n v="356"/>
    <n v="20139"/>
    <n v="56.570224719101127"/>
    <n v="356"/>
    <s v="2"/>
    <s v="5"/>
    <n v="3"/>
  </r>
  <r>
    <n v="255"/>
    <x v="255"/>
    <n v="0.19700000000000001"/>
    <x v="3"/>
    <n v="8.9599999999999999E-2"/>
    <n v="0"/>
    <n v="7"/>
    <n v="7"/>
    <n v="67.335500000000053"/>
    <n v="0.18967746478873254"/>
    <n v="355"/>
    <n v="201.15000000000026"/>
    <n v="0.56661971830985991"/>
    <n v="355"/>
    <n v="20120"/>
    <n v="56.676056338028168"/>
    <n v="355"/>
    <s v="2"/>
    <s v="6"/>
    <n v="3"/>
  </r>
  <r>
    <n v="256"/>
    <x v="256"/>
    <n v="0.18179999999999999"/>
    <x v="3"/>
    <n v="0.1045"/>
    <n v="0"/>
    <n v="6"/>
    <n v="6"/>
    <n v="67.13850000000005"/>
    <n v="0.1896567796610171"/>
    <n v="354"/>
    <n v="200.29000000000025"/>
    <n v="0.56579096045197808"/>
    <n v="354"/>
    <n v="20113"/>
    <n v="56.816384180790962"/>
    <n v="354"/>
    <s v="2"/>
    <s v="7"/>
    <n v="3"/>
  </r>
  <r>
    <n v="257"/>
    <x v="257"/>
    <n v="0.1515"/>
    <x v="3"/>
    <n v="0.1343"/>
    <n v="0"/>
    <n v="1"/>
    <n v="1"/>
    <n v="66.956700000000041"/>
    <n v="0.18967903682719559"/>
    <n v="353"/>
    <n v="199.43000000000026"/>
    <n v="0.56495750708215375"/>
    <n v="353"/>
    <n v="20107"/>
    <n v="56.960339943342774"/>
    <n v="353"/>
    <s v="2"/>
    <s v="8"/>
    <n v="3"/>
  </r>
  <r>
    <n v="258"/>
    <x v="258"/>
    <n v="0.1515"/>
    <x v="3"/>
    <n v="0.16420000000000001"/>
    <n v="0"/>
    <n v="5"/>
    <n v="5"/>
    <n v="66.805200000000042"/>
    <n v="0.18978750000000011"/>
    <n v="352"/>
    <n v="198.57000000000022"/>
    <n v="0.56411931818181882"/>
    <n v="352"/>
    <n v="20106"/>
    <n v="57.11931818181818"/>
    <n v="352"/>
    <s v="2"/>
    <s v="9"/>
    <n v="3"/>
  </r>
  <r>
    <n v="259"/>
    <x v="259"/>
    <n v="0.1515"/>
    <x v="43"/>
    <n v="0.1343"/>
    <n v="0"/>
    <n v="16"/>
    <n v="16"/>
    <n v="66.653700000000043"/>
    <n v="0.18989658119658132"/>
    <n v="351"/>
    <n v="197.71000000000024"/>
    <n v="0.56327635327635395"/>
    <n v="351"/>
    <n v="20101"/>
    <n v="57.267806267806264"/>
    <n v="351"/>
    <s v="2"/>
    <s v="0"/>
    <n v="3"/>
  </r>
  <r>
    <n v="260"/>
    <x v="260"/>
    <n v="0.1515"/>
    <x v="27"/>
    <n v="0.1343"/>
    <n v="0"/>
    <n v="54"/>
    <n v="54"/>
    <n v="66.502200000000045"/>
    <n v="0.19000628571428585"/>
    <n v="350"/>
    <n v="196.78000000000023"/>
    <n v="0.56222857142857208"/>
    <n v="350"/>
    <n v="20085"/>
    <n v="57.385714285714286"/>
    <n v="350"/>
    <s v="2"/>
    <s v="1"/>
    <n v="3"/>
  </r>
  <r>
    <n v="261"/>
    <x v="261"/>
    <n v="0.16669999999999999"/>
    <x v="29"/>
    <n v="0.16420000000000001"/>
    <n v="3"/>
    <n v="125"/>
    <n v="128"/>
    <n v="66.350700000000032"/>
    <n v="0.19011661891117487"/>
    <n v="349"/>
    <n v="196.09000000000023"/>
    <n v="0.5618624641833817"/>
    <n v="349"/>
    <n v="20031"/>
    <n v="57.395415472779369"/>
    <n v="349"/>
    <s v="2"/>
    <s v="2"/>
    <n v="3"/>
  </r>
  <r>
    <n v="262"/>
    <x v="262"/>
    <n v="0.13639999999999999"/>
    <x v="29"/>
    <n v="0.32840000000000003"/>
    <n v="3"/>
    <n v="78"/>
    <n v="81"/>
    <n v="66.18400000000004"/>
    <n v="0.19018390804597712"/>
    <n v="348"/>
    <n v="195.50000000000023"/>
    <n v="0.56178160919540299"/>
    <n v="348"/>
    <n v="19903"/>
    <n v="57.192528735632187"/>
    <n v="348"/>
    <s v="2"/>
    <s v="3"/>
    <n v="3"/>
  </r>
  <r>
    <n v="263"/>
    <x v="263"/>
    <n v="0.18179999999999999"/>
    <x v="28"/>
    <n v="0.22389999999999999"/>
    <n v="0"/>
    <n v="39"/>
    <n v="39"/>
    <n v="66.047600000000031"/>
    <n v="0.19033890489913555"/>
    <n v="347"/>
    <n v="194.91000000000022"/>
    <n v="0.56170028818443873"/>
    <n v="347"/>
    <n v="19822"/>
    <n v="57.123919308357351"/>
    <n v="347"/>
    <s v="2"/>
    <s v="4"/>
    <n v="3"/>
  </r>
  <r>
    <n v="264"/>
    <x v="264"/>
    <n v="0.18179999999999999"/>
    <x v="33"/>
    <n v="0.3881"/>
    <n v="3"/>
    <n v="32"/>
    <n v="35"/>
    <n v="65.865800000000036"/>
    <n v="0.19036358381502899"/>
    <n v="346"/>
    <n v="194.36000000000024"/>
    <n v="0.56173410404624347"/>
    <n v="346"/>
    <n v="19783"/>
    <n v="57.176300578034684"/>
    <n v="346"/>
    <s v="2"/>
    <s v="5"/>
    <n v="3"/>
  </r>
  <r>
    <n v="265"/>
    <x v="265"/>
    <n v="0.1515"/>
    <x v="19"/>
    <n v="0.58209999999999995"/>
    <n v="3"/>
    <n v="52"/>
    <n v="55"/>
    <n v="65.684000000000026"/>
    <n v="0.19038840579710153"/>
    <n v="345"/>
    <n v="193.85000000000022"/>
    <n v="0.56188405797101515"/>
    <n v="345"/>
    <n v="19748"/>
    <n v="57.240579710144928"/>
    <n v="345"/>
    <s v="2"/>
    <s v="6"/>
    <n v="3"/>
  </r>
  <r>
    <n v="266"/>
    <x v="266"/>
    <n v="0.19700000000000001"/>
    <x v="18"/>
    <n v="0.35820000000000002"/>
    <n v="0"/>
    <n v="49"/>
    <n v="49"/>
    <n v="65.532500000000027"/>
    <n v="0.19050145348837216"/>
    <n v="344"/>
    <n v="193.38000000000019"/>
    <n v="0.56215116279069821"/>
    <n v="344"/>
    <n v="19693"/>
    <n v="57.247093023255815"/>
    <n v="344"/>
    <s v="2"/>
    <s v="7"/>
    <n v="3"/>
  </r>
  <r>
    <n v="267"/>
    <x v="267"/>
    <n v="0.18179999999999999"/>
    <x v="19"/>
    <n v="0.32840000000000003"/>
    <n v="0"/>
    <n v="44"/>
    <n v="44"/>
    <n v="65.335500000000025"/>
    <n v="0.19048250728862981"/>
    <n v="343"/>
    <n v="192.94000000000023"/>
    <n v="0.56250728862973831"/>
    <n v="343"/>
    <n v="19644"/>
    <n v="57.271137026239067"/>
    <n v="343"/>
    <s v="2"/>
    <s v="8"/>
    <n v="3"/>
  </r>
  <r>
    <n v="268"/>
    <x v="268"/>
    <n v="0.16669999999999999"/>
    <x v="19"/>
    <n v="0.41789999999999999"/>
    <n v="1"/>
    <n v="48"/>
    <n v="49"/>
    <n v="65.153700000000001"/>
    <n v="0.1905078947368421"/>
    <n v="342"/>
    <n v="192.47000000000023"/>
    <n v="0.56277777777777849"/>
    <n v="342"/>
    <n v="19600"/>
    <n v="57.309941520467838"/>
    <n v="342"/>
    <s v="2"/>
    <s v="9"/>
    <n v="3"/>
  </r>
  <r>
    <n v="269"/>
    <x v="269"/>
    <n v="0.19700000000000001"/>
    <x v="18"/>
    <n v="0.32840000000000003"/>
    <n v="5"/>
    <n v="63"/>
    <n v="68"/>
    <n v="64.987000000000009"/>
    <n v="0.1905777126099707"/>
    <n v="341"/>
    <n v="192.00000000000023"/>
    <n v="0.56304985337243474"/>
    <n v="341"/>
    <n v="19551"/>
    <n v="57.334310850439884"/>
    <n v="341"/>
    <s v="2"/>
    <s v="0"/>
    <n v="3"/>
  </r>
  <r>
    <n v="270"/>
    <x v="270"/>
    <n v="0.18179999999999999"/>
    <x v="19"/>
    <n v="0.35820000000000002"/>
    <n v="0"/>
    <n v="139"/>
    <n v="139"/>
    <n v="64.789999999999992"/>
    <n v="0.19055882352941175"/>
    <n v="340"/>
    <n v="191.5600000000002"/>
    <n v="0.56341176470588294"/>
    <n v="340"/>
    <n v="19483"/>
    <n v="57.30294117647059"/>
    <n v="340"/>
    <s v="2"/>
    <s v="1"/>
    <n v="3"/>
  </r>
  <r>
    <n v="271"/>
    <x v="271"/>
    <n v="0.1515"/>
    <x v="19"/>
    <n v="0.52239999999999998"/>
    <n v="2"/>
    <n v="135"/>
    <n v="137"/>
    <n v="64.608199999999997"/>
    <n v="0.19058466076696165"/>
    <n v="339"/>
    <n v="191.09000000000017"/>
    <n v="0.56368731563421881"/>
    <n v="339"/>
    <n v="19344"/>
    <n v="57.061946902654867"/>
    <n v="339"/>
    <s v="2"/>
    <s v="2"/>
    <n v="3"/>
  </r>
  <r>
    <n v="272"/>
    <x v="272"/>
    <n v="0.1515"/>
    <x v="19"/>
    <n v="0.41789999999999999"/>
    <n v="1"/>
    <n v="82"/>
    <n v="83"/>
    <n v="64.456699999999984"/>
    <n v="0.19070029585798812"/>
    <n v="338"/>
    <n v="190.62000000000018"/>
    <n v="0.5639644970414206"/>
    <n v="338"/>
    <n v="19207"/>
    <n v="56.825443786982248"/>
    <n v="338"/>
    <s v="2"/>
    <s v="3"/>
    <n v="3"/>
  </r>
  <r>
    <n v="273"/>
    <x v="273"/>
    <n v="0.13639999999999999"/>
    <x v="20"/>
    <n v="0.32840000000000003"/>
    <n v="2"/>
    <n v="54"/>
    <n v="56"/>
    <n v="64.305199999999985"/>
    <n v="0.19081661721068244"/>
    <n v="337"/>
    <n v="190.1500000000002"/>
    <n v="0.56424332344213712"/>
    <n v="337"/>
    <n v="19124"/>
    <n v="56.747774480712167"/>
    <n v="337"/>
    <s v="2"/>
    <s v="4"/>
    <n v="3"/>
  </r>
  <r>
    <n v="274"/>
    <x v="274"/>
    <n v="0.13639999999999999"/>
    <x v="28"/>
    <n v="0.32840000000000003"/>
    <n v="0"/>
    <n v="57"/>
    <n v="57"/>
    <n v="64.16879999999999"/>
    <n v="0.19097857142857139"/>
    <n v="336"/>
    <n v="189.6500000000002"/>
    <n v="0.56443452380952441"/>
    <n v="336"/>
    <n v="19068"/>
    <n v="56.75"/>
    <n v="336"/>
    <s v="2"/>
    <s v="5"/>
    <n v="3"/>
  </r>
  <r>
    <n v="275"/>
    <x v="275"/>
    <n v="0.1212"/>
    <x v="28"/>
    <n v="0.44779999999999998"/>
    <n v="1"/>
    <n v="32"/>
    <n v="33"/>
    <n v="64.032399999999996"/>
    <n v="0.19114149253731341"/>
    <n v="335"/>
    <n v="189.10000000000016"/>
    <n v="0.564477611940299"/>
    <n v="335"/>
    <n v="19011"/>
    <n v="56.749253731343281"/>
    <n v="335"/>
    <s v="2"/>
    <s v="6"/>
    <n v="3"/>
  </r>
  <r>
    <n v="276"/>
    <x v="276"/>
    <n v="0.1061"/>
    <x v="29"/>
    <n v="0.41789999999999999"/>
    <n v="1"/>
    <n v="19"/>
    <n v="20"/>
    <n v="63.911199999999987"/>
    <n v="0.19135089820359277"/>
    <n v="334"/>
    <n v="188.55000000000018"/>
    <n v="0.56452095808383285"/>
    <n v="334"/>
    <n v="18978"/>
    <n v="56.820359281437128"/>
    <n v="334"/>
    <s v="2"/>
    <s v="7"/>
    <n v="3"/>
  </r>
  <r>
    <n v="277"/>
    <x v="277"/>
    <n v="0.1212"/>
    <x v="29"/>
    <n v="0.28360000000000002"/>
    <n v="1"/>
    <n v="6"/>
    <n v="7"/>
    <n v="63.805099999999989"/>
    <n v="0.19160690690690688"/>
    <n v="333"/>
    <n v="187.96000000000015"/>
    <n v="0.56444444444444486"/>
    <n v="333"/>
    <n v="18958"/>
    <n v="56.930930930930934"/>
    <n v="333"/>
    <s v="2"/>
    <s v="8"/>
    <n v="3"/>
  </r>
  <r>
    <n v="278"/>
    <x v="278"/>
    <n v="0.1212"/>
    <x v="20"/>
    <n v="0.28360000000000002"/>
    <n v="0"/>
    <n v="2"/>
    <n v="2"/>
    <n v="63.683899999999987"/>
    <n v="0.19181897590361441"/>
    <n v="332"/>
    <n v="187.37000000000018"/>
    <n v="0.56436746987951858"/>
    <n v="332"/>
    <n v="18951"/>
    <n v="57.081325301204821"/>
    <n v="332"/>
    <s v="2"/>
    <s v="9"/>
    <n v="3"/>
  </r>
  <r>
    <n v="279"/>
    <x v="279"/>
    <n v="0.1212"/>
    <x v="20"/>
    <n v="0.35820000000000002"/>
    <n v="0"/>
    <n v="2"/>
    <n v="2"/>
    <n v="63.562699999999985"/>
    <n v="0.19203232628398786"/>
    <n v="331"/>
    <n v="186.87000000000018"/>
    <n v="0.56456193353474371"/>
    <n v="331"/>
    <n v="18949"/>
    <n v="57.24773413897281"/>
    <n v="331"/>
    <s v="2"/>
    <s v="0"/>
    <n v="3"/>
  </r>
  <r>
    <n v="280"/>
    <x v="280"/>
    <n v="0.1212"/>
    <x v="20"/>
    <n v="0.32840000000000003"/>
    <n v="0"/>
    <n v="3"/>
    <n v="3"/>
    <n v="63.441499999999991"/>
    <n v="0.19224696969696967"/>
    <n v="330"/>
    <n v="186.37000000000015"/>
    <n v="0.56475757575757624"/>
    <n v="330"/>
    <n v="18947"/>
    <n v="57.415151515151514"/>
    <n v="330"/>
    <s v="2"/>
    <s v="1"/>
    <n v="3"/>
  </r>
  <r>
    <n v="281"/>
    <x v="281"/>
    <n v="0.1212"/>
    <x v="20"/>
    <n v="0.25369999999999998"/>
    <n v="0"/>
    <n v="4"/>
    <n v="4"/>
    <n v="63.320299999999996"/>
    <n v="0.19246291793313069"/>
    <n v="329"/>
    <n v="185.87000000000012"/>
    <n v="0.56495440729483315"/>
    <n v="329"/>
    <n v="18944"/>
    <n v="57.580547112462007"/>
    <n v="329"/>
    <s v="2"/>
    <s v="2"/>
    <n v="3"/>
  </r>
  <r>
    <n v="282"/>
    <x v="282"/>
    <n v="0.1212"/>
    <x v="20"/>
    <n v="0.29849999999999999"/>
    <n v="0"/>
    <n v="3"/>
    <n v="3"/>
    <n v="63.199099999999994"/>
    <n v="0.19268018292682926"/>
    <n v="328"/>
    <n v="185.37000000000012"/>
    <n v="0.56515243902439061"/>
    <n v="328"/>
    <n v="18940"/>
    <n v="57.743902439024389"/>
    <n v="328"/>
    <s v="2"/>
    <s v="3"/>
    <n v="3"/>
  </r>
  <r>
    <n v="283"/>
    <x v="283"/>
    <n v="0.1515"/>
    <x v="47"/>
    <n v="0.1343"/>
    <n v="0"/>
    <n v="28"/>
    <n v="28"/>
    <n v="63.077899999999993"/>
    <n v="0.19289877675840977"/>
    <n v="327"/>
    <n v="184.87000000000012"/>
    <n v="0.56535168195718688"/>
    <n v="327"/>
    <n v="18937"/>
    <n v="57.911314984709477"/>
    <n v="327"/>
    <s v="2"/>
    <s v="4"/>
    <n v="3"/>
  </r>
  <r>
    <n v="284"/>
    <x v="284"/>
    <n v="0.1515"/>
    <x v="47"/>
    <n v="0.1343"/>
    <n v="0"/>
    <n v="72"/>
    <n v="72"/>
    <n v="62.926399999999994"/>
    <n v="0.19302576687116563"/>
    <n v="326"/>
    <n v="184.33000000000013"/>
    <n v="0.56542944785276117"/>
    <n v="326"/>
    <n v="18909"/>
    <n v="58.00306748466258"/>
    <n v="326"/>
    <s v="2"/>
    <s v="5"/>
    <n v="3"/>
  </r>
  <r>
    <n v="285"/>
    <x v="285"/>
    <n v="0.13639999999999999"/>
    <x v="20"/>
    <n v="0.19400000000000001"/>
    <n v="5"/>
    <n v="197"/>
    <n v="202"/>
    <n v="62.774899999999995"/>
    <n v="0.19315353846153846"/>
    <n v="325"/>
    <n v="183.79000000000013"/>
    <n v="0.56550769230769271"/>
    <n v="325"/>
    <n v="18837"/>
    <n v="57.96"/>
    <n v="325"/>
    <s v="2"/>
    <s v="6"/>
    <n v="3"/>
  </r>
  <r>
    <n v="286"/>
    <x v="286"/>
    <n v="0.1212"/>
    <x v="20"/>
    <n v="0.32840000000000003"/>
    <n v="2"/>
    <n v="137"/>
    <n v="139"/>
    <n v="62.638500000000001"/>
    <n v="0.1933287037037037"/>
    <n v="324"/>
    <n v="183.29000000000013"/>
    <n v="0.56570987654321025"/>
    <n v="324"/>
    <n v="18635"/>
    <n v="57.51543209876543"/>
    <n v="324"/>
    <s v="2"/>
    <s v="7"/>
    <n v="3"/>
  </r>
  <r>
    <n v="287"/>
    <x v="287"/>
    <n v="0.13639999999999999"/>
    <x v="20"/>
    <n v="0.35820000000000002"/>
    <n v="2"/>
    <n v="36"/>
    <n v="38"/>
    <n v="62.517299999999999"/>
    <n v="0.19355201238390093"/>
    <n v="323"/>
    <n v="182.79000000000016"/>
    <n v="0.56591331269349898"/>
    <n v="323"/>
    <n v="18496"/>
    <n v="57.263157894736842"/>
    <n v="323"/>
    <s v="2"/>
    <s v="8"/>
    <n v="3"/>
  </r>
  <r>
    <n v="288"/>
    <x v="288"/>
    <n v="0.16669999999999999"/>
    <x v="18"/>
    <n v="0.44779999999999998"/>
    <n v="4"/>
    <n v="33"/>
    <n v="37"/>
    <n v="62.380899999999997"/>
    <n v="0.19372950310559006"/>
    <n v="322"/>
    <n v="182.29000000000016"/>
    <n v="0.56611801242236071"/>
    <n v="322"/>
    <n v="18458"/>
    <n v="57.322981366459629"/>
    <n v="322"/>
    <s v="2"/>
    <s v="9"/>
    <n v="3"/>
  </r>
  <r>
    <n v="289"/>
    <x v="289"/>
    <n v="0.16669999999999999"/>
    <x v="18"/>
    <n v="0.41789999999999999"/>
    <n v="3"/>
    <n v="49"/>
    <n v="52"/>
    <n v="62.214199999999998"/>
    <n v="0.19381370716510904"/>
    <n v="321"/>
    <n v="181.85000000000016"/>
    <n v="0.56651090342679178"/>
    <n v="321"/>
    <n v="18421"/>
    <n v="57.386292834890966"/>
    <n v="321"/>
    <s v="2"/>
    <s v="0"/>
    <n v="3"/>
  </r>
  <r>
    <n v="290"/>
    <x v="290"/>
    <n v="0.19700000000000001"/>
    <x v="48"/>
    <n v="0.44779999999999998"/>
    <n v="2"/>
    <n v="81"/>
    <n v="83"/>
    <n v="62.047499999999999"/>
    <n v="0.19389843749999999"/>
    <n v="320"/>
    <n v="181.41000000000017"/>
    <n v="0.5669062500000005"/>
    <n v="320"/>
    <n v="18369"/>
    <n v="57.403125000000003"/>
    <n v="320"/>
    <s v="2"/>
    <s v="1"/>
    <n v="3"/>
  </r>
  <r>
    <n v="291"/>
    <x v="291"/>
    <n v="0.19700000000000001"/>
    <x v="48"/>
    <n v="0.3881"/>
    <n v="3"/>
    <n v="39"/>
    <n v="42"/>
    <n v="61.850499999999997"/>
    <n v="0.1938887147335423"/>
    <n v="319"/>
    <n v="181.00000000000014"/>
    <n v="0.56739811912225746"/>
    <n v="319"/>
    <n v="18286"/>
    <n v="57.322884012539184"/>
    <n v="319"/>
    <s v="2"/>
    <s v="2"/>
    <n v="3"/>
  </r>
  <r>
    <n v="292"/>
    <x v="292"/>
    <n v="0.21210000000000001"/>
    <x v="41"/>
    <n v="0.29849999999999999"/>
    <n v="5"/>
    <n v="55"/>
    <n v="60"/>
    <n v="61.653499999999994"/>
    <n v="0.19387893081761004"/>
    <n v="318"/>
    <n v="180.59000000000015"/>
    <n v="0.56789308176100672"/>
    <n v="318"/>
    <n v="18244"/>
    <n v="57.371069182389938"/>
    <n v="318"/>
    <s v="2"/>
    <s v="3"/>
    <n v="3"/>
  </r>
  <r>
    <n v="293"/>
    <x v="293"/>
    <n v="0.21210000000000001"/>
    <x v="41"/>
    <n v="0.35820000000000002"/>
    <n v="2"/>
    <n v="76"/>
    <n v="78"/>
    <n v="61.441400000000002"/>
    <n v="0.19382145110410096"/>
    <n v="317"/>
    <n v="180.21000000000015"/>
    <n v="0.56848580441640428"/>
    <n v="317"/>
    <n v="18184"/>
    <n v="57.362776025236592"/>
    <n v="317"/>
    <s v="2"/>
    <s v="4"/>
    <n v="3"/>
  </r>
  <r>
    <n v="294"/>
    <x v="294"/>
    <n v="0.18179999999999999"/>
    <x v="22"/>
    <n v="0.28360000000000002"/>
    <n v="4"/>
    <n v="158"/>
    <n v="162"/>
    <n v="61.229300000000002"/>
    <n v="0.19376360759493672"/>
    <n v="316"/>
    <n v="179.83000000000013"/>
    <n v="0.569082278481013"/>
    <n v="316"/>
    <n v="18106"/>
    <n v="57.297468354430379"/>
    <n v="316"/>
    <s v="2"/>
    <s v="5"/>
    <n v="3"/>
  </r>
  <r>
    <n v="295"/>
    <x v="295"/>
    <n v="0.18179999999999999"/>
    <x v="22"/>
    <n v="0.32840000000000003"/>
    <n v="3"/>
    <n v="141"/>
    <n v="144"/>
    <n v="61.047500000000007"/>
    <n v="0.19380158730158734"/>
    <n v="315"/>
    <n v="179.43000000000012"/>
    <n v="0.56961904761904802"/>
    <n v="315"/>
    <n v="17944"/>
    <n v="56.965079365079362"/>
    <n v="315"/>
    <s v="2"/>
    <s v="6"/>
    <n v="3"/>
  </r>
  <r>
    <n v="296"/>
    <x v="296"/>
    <n v="0.1515"/>
    <x v="19"/>
    <n v="0.25369999999999998"/>
    <n v="1"/>
    <n v="98"/>
    <n v="99"/>
    <n v="60.865700000000011"/>
    <n v="0.19383980891719749"/>
    <n v="314"/>
    <n v="179.03000000000014"/>
    <n v="0.57015923566879023"/>
    <n v="314"/>
    <n v="17800"/>
    <n v="56.687898089171973"/>
    <n v="314"/>
    <s v="2"/>
    <s v="7"/>
    <n v="3"/>
  </r>
  <r>
    <n v="297"/>
    <x v="297"/>
    <n v="0.1515"/>
    <x v="19"/>
    <n v="0.22389999999999999"/>
    <n v="0"/>
    <n v="64"/>
    <n v="64"/>
    <n v="60.714200000000005"/>
    <n v="0.1939750798722045"/>
    <n v="313"/>
    <n v="178.56000000000014"/>
    <n v="0.57047923322683747"/>
    <n v="313"/>
    <n v="17701"/>
    <n v="56.552715654952074"/>
    <n v="313"/>
    <s v="2"/>
    <s v="8"/>
    <n v="3"/>
  </r>
  <r>
    <n v="298"/>
    <x v="298"/>
    <n v="0.1212"/>
    <x v="15"/>
    <n v="0.29849999999999999"/>
    <n v="0"/>
    <n v="40"/>
    <n v="40"/>
    <n v="60.562700000000007"/>
    <n v="0.19411121794871797"/>
    <n v="312"/>
    <n v="178.09000000000012"/>
    <n v="0.57080128205128244"/>
    <n v="312"/>
    <n v="17637"/>
    <n v="56.528846153846153"/>
    <n v="312"/>
    <s v="2"/>
    <s v="9"/>
    <n v="3"/>
  </r>
  <r>
    <n v="299"/>
    <x v="299"/>
    <n v="0.1212"/>
    <x v="15"/>
    <n v="0.32840000000000003"/>
    <n v="0"/>
    <n v="30"/>
    <n v="30"/>
    <n v="60.441500000000005"/>
    <n v="0.19434565916398716"/>
    <n v="311"/>
    <n v="177.63000000000014"/>
    <n v="0.5711575562700969"/>
    <n v="311"/>
    <n v="17597"/>
    <n v="56.581993569131832"/>
    <n v="311"/>
    <s v="3"/>
    <s v="0"/>
    <n v="3"/>
  </r>
  <r>
    <n v="300"/>
    <x v="300"/>
    <n v="0.13639999999999999"/>
    <x v="20"/>
    <n v="0.19400000000000001"/>
    <n v="1"/>
    <n v="14"/>
    <n v="15"/>
    <n v="60.32030000000001"/>
    <n v="0.19458161290322584"/>
    <n v="310"/>
    <n v="177.17000000000013"/>
    <n v="0.57151612903225846"/>
    <n v="310"/>
    <n v="17567"/>
    <n v="56.667741935483868"/>
    <n v="310"/>
    <s v="3"/>
    <s v="1"/>
    <n v="3"/>
  </r>
  <r>
    <n v="301"/>
    <x v="301"/>
    <n v="0.13639999999999999"/>
    <x v="20"/>
    <n v="0.19400000000000001"/>
    <n v="0"/>
    <n v="14"/>
    <n v="14"/>
    <n v="60.183900000000008"/>
    <n v="0.19476990291262139"/>
    <n v="309"/>
    <n v="176.67000000000013"/>
    <n v="0.57174757281553445"/>
    <n v="309"/>
    <n v="17552"/>
    <n v="56.802588996763753"/>
    <n v="309"/>
    <s v="3"/>
    <s v="2"/>
    <n v="3"/>
  </r>
  <r>
    <n v="302"/>
    <x v="302"/>
    <n v="0.1212"/>
    <x v="47"/>
    <n v="0.16420000000000001"/>
    <n v="0"/>
    <n v="5"/>
    <n v="5"/>
    <n v="60.047500000000014"/>
    <n v="0.19495941558441562"/>
    <n v="308"/>
    <n v="176.17000000000013"/>
    <n v="0.57198051948051987"/>
    <n v="308"/>
    <n v="17538"/>
    <n v="56.941558441558442"/>
    <n v="308"/>
    <s v="3"/>
    <s v="3"/>
    <n v="3"/>
  </r>
  <r>
    <n v="303"/>
    <x v="303"/>
    <n v="0.1212"/>
    <x v="47"/>
    <n v="0.1343"/>
    <n v="0"/>
    <n v="1"/>
    <n v="1"/>
    <n v="59.926300000000012"/>
    <n v="0.19519967426710103"/>
    <n v="307"/>
    <n v="175.63000000000014"/>
    <n v="0.57208469055374633"/>
    <n v="307"/>
    <n v="17533"/>
    <n v="57.11074918566775"/>
    <n v="307"/>
    <s v="3"/>
    <s v="4"/>
    <n v="3"/>
  </r>
  <r>
    <n v="304"/>
    <x v="304"/>
    <n v="0.13639999999999999"/>
    <x v="47"/>
    <n v="0.1045"/>
    <n v="0"/>
    <n v="1"/>
    <n v="1"/>
    <n v="59.80510000000001"/>
    <n v="0.19544150326797388"/>
    <n v="306"/>
    <n v="175.09000000000015"/>
    <n v="0.57218954248366061"/>
    <n v="306"/>
    <n v="17532"/>
    <n v="57.294117647058826"/>
    <n v="306"/>
    <s v="3"/>
    <s v="5"/>
    <n v="3"/>
  </r>
  <r>
    <n v="305"/>
    <x v="305"/>
    <n v="0.13639999999999999"/>
    <x v="47"/>
    <n v="8.9599999999999999E-2"/>
    <n v="0"/>
    <n v="8"/>
    <n v="8"/>
    <n v="59.668700000000008"/>
    <n v="0.19563508196721313"/>
    <n v="305"/>
    <n v="174.55000000000013"/>
    <n v="0.57229508196721357"/>
    <n v="305"/>
    <n v="17531"/>
    <n v="57.478688524590162"/>
    <n v="305"/>
    <s v="3"/>
    <s v="6"/>
    <n v="3"/>
  </r>
  <r>
    <n v="306"/>
    <x v="306"/>
    <n v="0.18179999999999999"/>
    <x v="47"/>
    <n v="0"/>
    <n v="0"/>
    <n v="17"/>
    <n v="17"/>
    <n v="59.532300000000006"/>
    <n v="0.19582993421052633"/>
    <n v="304"/>
    <n v="174.01000000000013"/>
    <n v="0.57240131578947417"/>
    <n v="304"/>
    <n v="17523"/>
    <n v="57.641447368421055"/>
    <n v="304"/>
    <s v="3"/>
    <s v="7"/>
    <n v="3"/>
  </r>
  <r>
    <n v="307"/>
    <x v="307"/>
    <n v="0.1212"/>
    <x v="32"/>
    <n v="0.16420000000000001"/>
    <n v="0"/>
    <n v="70"/>
    <n v="70"/>
    <n v="59.350500000000011"/>
    <n v="0.19587623762376241"/>
    <n v="303"/>
    <n v="173.47000000000014"/>
    <n v="0.57250825082508294"/>
    <n v="303"/>
    <n v="17506"/>
    <n v="57.775577557755774"/>
    <n v="303"/>
    <s v="3"/>
    <s v="8"/>
    <n v="3"/>
  </r>
  <r>
    <n v="308"/>
    <x v="308"/>
    <n v="0.16669999999999999"/>
    <x v="31"/>
    <n v="0"/>
    <n v="2"/>
    <n v="156"/>
    <n v="158"/>
    <n v="59.229300000000009"/>
    <n v="0.19612350993377486"/>
    <n v="302"/>
    <n v="172.73000000000013"/>
    <n v="0.5719536423841064"/>
    <n v="302"/>
    <n v="17436"/>
    <n v="57.735099337748345"/>
    <n v="302"/>
    <s v="3"/>
    <s v="9"/>
    <n v="3"/>
  </r>
  <r>
    <n v="309"/>
    <x v="309"/>
    <n v="0.1515"/>
    <x v="27"/>
    <n v="0.1343"/>
    <n v="0"/>
    <n v="117"/>
    <n v="117"/>
    <n v="59.06260000000001"/>
    <n v="0.1962212624584718"/>
    <n v="301"/>
    <n v="172.05000000000013"/>
    <n v="0.57159468438538252"/>
    <n v="301"/>
    <n v="17278"/>
    <n v="57.401993355481729"/>
    <n v="301"/>
    <s v="3"/>
    <s v="0"/>
    <n v="3"/>
  </r>
  <r>
    <n v="310"/>
    <x v="310"/>
    <n v="0.18179999999999999"/>
    <x v="28"/>
    <n v="0.19400000000000001"/>
    <n v="4"/>
    <n v="40"/>
    <n v="44"/>
    <n v="58.911100000000012"/>
    <n v="0.19637033333333337"/>
    <n v="300"/>
    <n v="171.36000000000013"/>
    <n v="0.57120000000000037"/>
    <n v="300"/>
    <n v="17161"/>
    <n v="57.203333333333333"/>
    <n v="300"/>
    <s v="3"/>
    <s v="1"/>
    <n v="3"/>
  </r>
  <r>
    <n v="311"/>
    <x v="311"/>
    <n v="0.16669999999999999"/>
    <x v="33"/>
    <n v="0.28360000000000002"/>
    <n v="6"/>
    <n v="47"/>
    <n v="53"/>
    <n v="58.729300000000016"/>
    <n v="0.19641906354515057"/>
    <n v="299"/>
    <n v="170.81000000000009"/>
    <n v="0.57127090301003369"/>
    <n v="299"/>
    <n v="17117"/>
    <n v="57.247491638795985"/>
    <n v="299"/>
    <s v="3"/>
    <s v="2"/>
    <n v="3"/>
  </r>
  <r>
    <n v="312"/>
    <x v="312"/>
    <n v="0.19700000000000001"/>
    <x v="18"/>
    <n v="0.25369999999999998"/>
    <n v="2"/>
    <n v="59"/>
    <n v="61"/>
    <n v="58.562600000000018"/>
    <n v="0.19651879194630878"/>
    <n v="298"/>
    <n v="170.30000000000007"/>
    <n v="0.57147651006711431"/>
    <n v="298"/>
    <n v="17064"/>
    <n v="57.261744966442954"/>
    <n v="298"/>
    <s v="3"/>
    <s v="3"/>
    <n v="3"/>
  </r>
  <r>
    <n v="313"/>
    <x v="313"/>
    <n v="0.19700000000000001"/>
    <x v="38"/>
    <n v="0.3881"/>
    <n v="4"/>
    <n v="73"/>
    <n v="77"/>
    <n v="58.365600000000022"/>
    <n v="0.19651717171717178"/>
    <n v="297"/>
    <n v="169.86000000000007"/>
    <n v="0.57191919191919216"/>
    <n v="297"/>
    <n v="17003"/>
    <n v="57.249158249158249"/>
    <n v="297"/>
    <s v="3"/>
    <s v="4"/>
    <n v="3"/>
  </r>
  <r>
    <n v="314"/>
    <x v="314"/>
    <n v="0.21210000000000001"/>
    <x v="48"/>
    <n v="0.28360000000000002"/>
    <n v="5"/>
    <n v="59"/>
    <n v="64"/>
    <n v="58.168600000000026"/>
    <n v="0.19651554054054063"/>
    <n v="296"/>
    <n v="169.49000000000007"/>
    <n v="0.5726013513513516"/>
    <n v="296"/>
    <n v="16926"/>
    <n v="57.182432432432435"/>
    <n v="296"/>
    <s v="3"/>
    <s v="5"/>
    <n v="3"/>
  </r>
  <r>
    <n v="315"/>
    <x v="315"/>
    <n v="0.2424"/>
    <x v="41"/>
    <n v="0.16420000000000001"/>
    <n v="9"/>
    <n v="59"/>
    <n v="68"/>
    <n v="57.956500000000027"/>
    <n v="0.19646271186440686"/>
    <n v="295"/>
    <n v="169.08000000000007"/>
    <n v="0.5731525423728816"/>
    <n v="295"/>
    <n v="16862"/>
    <n v="57.159322033898306"/>
    <n v="295"/>
    <s v="3"/>
    <s v="6"/>
    <n v="3"/>
  </r>
  <r>
    <n v="316"/>
    <x v="316"/>
    <n v="0.2424"/>
    <x v="48"/>
    <n v="0.1045"/>
    <n v="3"/>
    <n v="87"/>
    <n v="90"/>
    <n v="57.71410000000003"/>
    <n v="0.19630646258503412"/>
    <n v="294"/>
    <n v="168.70000000000005"/>
    <n v="0.57380952380952399"/>
    <n v="294"/>
    <n v="16794"/>
    <n v="57.122448979591837"/>
    <n v="294"/>
    <s v="3"/>
    <s v="7"/>
    <n v="3"/>
  </r>
  <r>
    <n v="317"/>
    <x v="317"/>
    <n v="0.2273"/>
    <x v="48"/>
    <n v="0.16420000000000001"/>
    <n v="4"/>
    <n v="155"/>
    <n v="159"/>
    <n v="57.471700000000034"/>
    <n v="0.1961491467576793"/>
    <n v="293"/>
    <n v="168.29000000000005"/>
    <n v="0.57436860068259399"/>
    <n v="293"/>
    <n v="16704"/>
    <n v="57.010238907849832"/>
    <n v="293"/>
    <s v="3"/>
    <s v="8"/>
    <n v="3"/>
  </r>
  <r>
    <n v="318"/>
    <x v="318"/>
    <n v="0.2576"/>
    <x v="19"/>
    <n v="0"/>
    <n v="5"/>
    <n v="134"/>
    <n v="139"/>
    <n v="57.244400000000034"/>
    <n v="0.19604246575342477"/>
    <n v="292"/>
    <n v="167.88000000000005"/>
    <n v="0.57493150684931527"/>
    <n v="292"/>
    <n v="16545"/>
    <n v="56.660958904109592"/>
    <n v="292"/>
    <s v="3"/>
    <s v="9"/>
    <n v="3"/>
  </r>
  <r>
    <n v="319"/>
    <x v="319"/>
    <n v="0.19700000000000001"/>
    <x v="29"/>
    <n v="8.9599999999999999E-2"/>
    <n v="3"/>
    <n v="89"/>
    <n v="92"/>
    <n v="56.986800000000031"/>
    <n v="0.19583092783505165"/>
    <n v="291"/>
    <n v="167.41000000000005"/>
    <n v="0.57529209621993149"/>
    <n v="291"/>
    <n v="16406"/>
    <n v="56.378006872852232"/>
    <n v="291"/>
    <s v="3"/>
    <s v="0"/>
    <n v="3"/>
  </r>
  <r>
    <n v="320"/>
    <x v="320"/>
    <n v="0.2424"/>
    <x v="29"/>
    <n v="0"/>
    <n v="0"/>
    <n v="68"/>
    <n v="68"/>
    <n v="56.789800000000035"/>
    <n v="0.19582689655172425"/>
    <n v="290"/>
    <n v="166.82000000000008"/>
    <n v="0.57524137931034514"/>
    <n v="290"/>
    <n v="16314"/>
    <n v="56.255172413793105"/>
    <n v="290"/>
    <s v="3"/>
    <s v="1"/>
    <n v="3"/>
  </r>
  <r>
    <n v="321"/>
    <x v="321"/>
    <n v="0.2273"/>
    <x v="27"/>
    <n v="0"/>
    <n v="4"/>
    <n v="48"/>
    <n v="52"/>
    <n v="56.547400000000039"/>
    <n v="0.19566574394463682"/>
    <n v="289"/>
    <n v="166.23000000000008"/>
    <n v="0.57519031141868537"/>
    <n v="289"/>
    <n v="16246"/>
    <n v="56.214532871972317"/>
    <n v="289"/>
    <s v="3"/>
    <s v="2"/>
    <n v="3"/>
  </r>
  <r>
    <n v="322"/>
    <x v="322"/>
    <n v="0.2273"/>
    <x v="27"/>
    <n v="0"/>
    <n v="2"/>
    <n v="34"/>
    <n v="36"/>
    <n v="56.320100000000039"/>
    <n v="0.1955559027777779"/>
    <n v="288"/>
    <n v="165.54000000000008"/>
    <n v="0.57479166666666692"/>
    <n v="288"/>
    <n v="16194"/>
    <n v="56.229166666666664"/>
    <n v="288"/>
    <s v="3"/>
    <s v="3"/>
    <n v="3"/>
  </r>
  <r>
    <n v="323"/>
    <x v="323"/>
    <n v="0.2424"/>
    <x v="28"/>
    <n v="0"/>
    <n v="1"/>
    <n v="26"/>
    <n v="27"/>
    <n v="56.09280000000004"/>
    <n v="0.19544529616724751"/>
    <n v="287"/>
    <n v="164.85000000000011"/>
    <n v="0.57439024390243942"/>
    <n v="287"/>
    <n v="16158"/>
    <n v="56.299651567944252"/>
    <n v="287"/>
    <s v="3"/>
    <s v="4"/>
    <n v="3"/>
  </r>
  <r>
    <n v="324"/>
    <x v="324"/>
    <n v="0.2424"/>
    <x v="28"/>
    <n v="0"/>
    <n v="3"/>
    <n v="25"/>
    <n v="28"/>
    <n v="55.850400000000043"/>
    <n v="0.19528111888111904"/>
    <n v="286"/>
    <n v="164.30000000000013"/>
    <n v="0.57447552447552497"/>
    <n v="286"/>
    <n v="16131"/>
    <n v="56.4020979020979"/>
    <n v="286"/>
    <s v="3"/>
    <s v="5"/>
    <n v="3"/>
  </r>
  <r>
    <n v="325"/>
    <x v="325"/>
    <n v="0.19700000000000001"/>
    <x v="29"/>
    <n v="8.9599999999999999E-2"/>
    <n v="2"/>
    <n v="18"/>
    <n v="20"/>
    <n v="55.60800000000004"/>
    <n v="0.19511578947368435"/>
    <n v="285"/>
    <n v="163.75000000000014"/>
    <n v="0.57456140350877238"/>
    <n v="285"/>
    <n v="16103"/>
    <n v="56.501754385964915"/>
    <n v="285"/>
    <s v="3"/>
    <s v="6"/>
    <n v="3"/>
  </r>
  <r>
    <n v="326"/>
    <x v="326"/>
    <n v="0.19700000000000001"/>
    <x v="29"/>
    <n v="8.9599999999999999E-2"/>
    <n v="0"/>
    <n v="12"/>
    <n v="12"/>
    <n v="55.411000000000044"/>
    <n v="0.19510915492957762"/>
    <n v="284"/>
    <n v="163.16000000000014"/>
    <n v="0.57450704225352156"/>
    <n v="284"/>
    <n v="16083"/>
    <n v="56.630281690140848"/>
    <n v="284"/>
    <s v="3"/>
    <s v="7"/>
    <n v="3"/>
  </r>
  <r>
    <n v="327"/>
    <x v="327"/>
    <n v="0.2273"/>
    <x v="29"/>
    <n v="0"/>
    <n v="1"/>
    <n v="7"/>
    <n v="8"/>
    <n v="55.214000000000041"/>
    <n v="0.19510247349823337"/>
    <n v="283"/>
    <n v="162.57000000000014"/>
    <n v="0.57445229681978849"/>
    <n v="283"/>
    <n v="16071"/>
    <n v="56.78798586572438"/>
    <n v="283"/>
    <s v="3"/>
    <s v="8"/>
    <n v="3"/>
  </r>
  <r>
    <n v="328"/>
    <x v="328"/>
    <n v="0.2273"/>
    <x v="29"/>
    <n v="0"/>
    <n v="0"/>
    <n v="5"/>
    <n v="5"/>
    <n v="54.986700000000042"/>
    <n v="0.19498829787234057"/>
    <n v="282"/>
    <n v="161.98000000000013"/>
    <n v="0.57439716312056788"/>
    <n v="282"/>
    <n v="16063"/>
    <n v="56.960992907801419"/>
    <n v="282"/>
    <s v="3"/>
    <s v="9"/>
    <n v="3"/>
  </r>
  <r>
    <n v="329"/>
    <x v="329"/>
    <n v="0.2273"/>
    <x v="29"/>
    <n v="0"/>
    <n v="0"/>
    <n v="1"/>
    <n v="1"/>
    <n v="54.759400000000042"/>
    <n v="0.19487330960854107"/>
    <n v="281"/>
    <n v="161.39000000000016"/>
    <n v="0.57434163701067675"/>
    <n v="281"/>
    <n v="16058"/>
    <n v="57.145907473309606"/>
    <n v="281"/>
    <s v="3"/>
    <s v="0"/>
    <n v="3"/>
  </r>
  <r>
    <n v="330"/>
    <x v="330"/>
    <n v="0.16669999999999999"/>
    <x v="30"/>
    <n v="0.1045"/>
    <n v="1"/>
    <n v="2"/>
    <n v="3"/>
    <n v="54.532100000000042"/>
    <n v="0.19475750000000014"/>
    <n v="280"/>
    <n v="160.80000000000015"/>
    <n v="0.57428571428571484"/>
    <n v="280"/>
    <n v="16057"/>
    <n v="57.346428571428568"/>
    <n v="280"/>
    <s v="3"/>
    <s v="1"/>
    <n v="3"/>
  </r>
  <r>
    <n v="331"/>
    <x v="331"/>
    <n v="0.21210000000000001"/>
    <x v="30"/>
    <n v="0"/>
    <n v="1"/>
    <n v="9"/>
    <n v="10"/>
    <n v="54.365400000000037"/>
    <n v="0.19485806451612916"/>
    <n v="279"/>
    <n v="160.17000000000019"/>
    <n v="0.57408602150537702"/>
    <n v="279"/>
    <n v="16054"/>
    <n v="57.541218637992834"/>
    <n v="279"/>
    <s v="3"/>
    <s v="2"/>
    <n v="3"/>
  </r>
  <r>
    <n v="332"/>
    <x v="332"/>
    <n v="0.1515"/>
    <x v="30"/>
    <n v="0.1343"/>
    <n v="1"/>
    <n v="22"/>
    <n v="23"/>
    <n v="54.15330000000003"/>
    <n v="0.19479604316546772"/>
    <n v="278"/>
    <n v="159.54000000000019"/>
    <n v="0.57388489208633164"/>
    <n v="278"/>
    <n v="16044"/>
    <n v="57.71223021582734"/>
    <n v="278"/>
    <s v="3"/>
    <s v="3"/>
    <n v="3"/>
  </r>
  <r>
    <n v="333"/>
    <x v="333"/>
    <n v="0.18179999999999999"/>
    <x v="26"/>
    <n v="0.1343"/>
    <n v="2"/>
    <n v="31"/>
    <n v="33"/>
    <n v="54.001800000000031"/>
    <n v="0.19495234657039723"/>
    <n v="277"/>
    <n v="158.9100000000002"/>
    <n v="0.57368231046931484"/>
    <n v="277"/>
    <n v="16021"/>
    <n v="57.837545126353788"/>
    <n v="277"/>
    <s v="3"/>
    <s v="4"/>
    <n v="3"/>
  </r>
  <r>
    <n v="334"/>
    <x v="334"/>
    <n v="0.19700000000000001"/>
    <x v="29"/>
    <n v="0.16420000000000001"/>
    <n v="2"/>
    <n v="57"/>
    <n v="59"/>
    <n v="53.820000000000029"/>
    <n v="0.19500000000000012"/>
    <n v="276"/>
    <n v="158.27000000000021"/>
    <n v="0.573442028985508"/>
    <n v="276"/>
    <n v="15988"/>
    <n v="57.927536231884055"/>
    <n v="276"/>
    <s v="3"/>
    <s v="5"/>
    <n v="3"/>
  </r>
  <r>
    <n v="335"/>
    <x v="335"/>
    <n v="0.19700000000000001"/>
    <x v="28"/>
    <n v="0.22389999999999999"/>
    <n v="18"/>
    <n v="54"/>
    <n v="72"/>
    <n v="53.623000000000026"/>
    <n v="0.19499272727272737"/>
    <n v="275"/>
    <n v="157.68000000000018"/>
    <n v="0.57338181818181888"/>
    <n v="275"/>
    <n v="15929"/>
    <n v="57.923636363636362"/>
    <n v="275"/>
    <s v="3"/>
    <s v="6"/>
    <n v="3"/>
  </r>
  <r>
    <n v="336"/>
    <x v="336"/>
    <n v="0.2273"/>
    <x v="37"/>
    <n v="0.22389999999999999"/>
    <n v="15"/>
    <n v="74"/>
    <n v="89"/>
    <n v="53.426000000000023"/>
    <n v="0.1949854014598541"/>
    <n v="274"/>
    <n v="157.13000000000019"/>
    <n v="0.57346715328467224"/>
    <n v="274"/>
    <n v="15857"/>
    <n v="57.872262773722625"/>
    <n v="274"/>
    <s v="3"/>
    <s v="7"/>
    <n v="3"/>
  </r>
  <r>
    <n v="337"/>
    <x v="337"/>
    <n v="0.2576"/>
    <x v="41"/>
    <n v="0.29849999999999999"/>
    <n v="21"/>
    <n v="80"/>
    <n v="101"/>
    <n v="53.198700000000024"/>
    <n v="0.19486703296703306"/>
    <n v="273"/>
    <n v="156.65000000000018"/>
    <n v="0.57380952380952444"/>
    <n v="273"/>
    <n v="15768"/>
    <n v="57.758241758241759"/>
    <n v="273"/>
    <s v="3"/>
    <s v="8"/>
    <n v="3"/>
  </r>
  <r>
    <n v="338"/>
    <x v="338"/>
    <n v="0.28789999999999999"/>
    <x v="17"/>
    <n v="0.28360000000000002"/>
    <n v="26"/>
    <n v="92"/>
    <n v="118"/>
    <n v="52.94110000000002"/>
    <n v="0.1946363970588236"/>
    <n v="272"/>
    <n v="156.27000000000018"/>
    <n v="0.57452205882353002"/>
    <n v="272"/>
    <n v="15667"/>
    <n v="57.599264705882355"/>
    <n v="272"/>
    <s v="3"/>
    <s v="9"/>
    <n v="3"/>
  </r>
  <r>
    <n v="339"/>
    <x v="339"/>
    <n v="0.31819999999999998"/>
    <x v="42"/>
    <n v="0.19400000000000001"/>
    <n v="21"/>
    <n v="108"/>
    <n v="129"/>
    <n v="52.653200000000027"/>
    <n v="0.19429225092250932"/>
    <n v="271"/>
    <n v="155.88000000000017"/>
    <n v="0.57520295202952088"/>
    <n v="271"/>
    <n v="15549"/>
    <n v="57.376383763837637"/>
    <n v="271"/>
    <s v="3"/>
    <s v="0"/>
    <n v="3"/>
  </r>
  <r>
    <n v="340"/>
    <x v="340"/>
    <n v="0.33329999999999999"/>
    <x v="46"/>
    <n v="0.19400000000000001"/>
    <n v="33"/>
    <n v="95"/>
    <n v="128"/>
    <n v="52.335000000000051"/>
    <n v="0.19383333333333352"/>
    <n v="270"/>
    <n v="155.52000000000018"/>
    <n v="0.57600000000000062"/>
    <n v="270"/>
    <n v="15420"/>
    <n v="57.111111111111114"/>
    <n v="270"/>
    <s v="3"/>
    <s v="1"/>
    <n v="3"/>
  </r>
  <r>
    <n v="341"/>
    <x v="341"/>
    <n v="0.30299999999999999"/>
    <x v="42"/>
    <n v="0.28360000000000002"/>
    <n v="29"/>
    <n v="54"/>
    <n v="83"/>
    <n v="52.001700000000056"/>
    <n v="0.19331486988847604"/>
    <n v="269"/>
    <n v="155.18000000000018"/>
    <n v="0.57687732342007503"/>
    <n v="269"/>
    <n v="15292"/>
    <n v="56.847583643122675"/>
    <n v="269"/>
    <s v="3"/>
    <s v="2"/>
    <n v="3"/>
  </r>
  <r>
    <n v="342"/>
    <x v="342"/>
    <n v="0.28789999999999999"/>
    <x v="49"/>
    <n v="0.25369999999999998"/>
    <n v="15"/>
    <n v="69"/>
    <n v="84"/>
    <n v="51.698700000000052"/>
    <n v="0.19290559701492557"/>
    <n v="268"/>
    <n v="154.82000000000019"/>
    <n v="0.57768656716417988"/>
    <n v="268"/>
    <n v="15209"/>
    <n v="56.75"/>
    <n v="268"/>
    <s v="3"/>
    <s v="3"/>
    <n v="3"/>
  </r>
  <r>
    <n v="343"/>
    <x v="343"/>
    <n v="0.30299999999999999"/>
    <x v="17"/>
    <n v="0.25369999999999998"/>
    <n v="14"/>
    <n v="60"/>
    <n v="74"/>
    <n v="51.410800000000044"/>
    <n v="0.19254981273408256"/>
    <n v="267"/>
    <n v="154.37000000000018"/>
    <n v="0.57816479400749132"/>
    <n v="267"/>
    <n v="15125"/>
    <n v="56.647940074906366"/>
    <n v="267"/>
    <s v="3"/>
    <s v="4"/>
    <n v="3"/>
  </r>
  <r>
    <n v="344"/>
    <x v="344"/>
    <n v="0.30299999999999999"/>
    <x v="17"/>
    <n v="0.25369999999999998"/>
    <n v="6"/>
    <n v="35"/>
    <n v="41"/>
    <n v="51.107800000000047"/>
    <n v="0.1921345864661656"/>
    <n v="266"/>
    <n v="153.98000000000019"/>
    <n v="0.57887218045112854"/>
    <n v="266"/>
    <n v="15051"/>
    <n v="56.582706766917291"/>
    <n v="266"/>
    <s v="3"/>
    <s v="5"/>
    <n v="3"/>
  </r>
  <r>
    <n v="345"/>
    <x v="345"/>
    <n v="0.30299999999999999"/>
    <x v="17"/>
    <n v="0.22389999999999999"/>
    <n v="6"/>
    <n v="51"/>
    <n v="57"/>
    <n v="50.804800000000057"/>
    <n v="0.19171622641509456"/>
    <n v="265"/>
    <n v="153.5900000000002"/>
    <n v="0.57958490566037812"/>
    <n v="265"/>
    <n v="15010"/>
    <n v="56.641509433962263"/>
    <n v="265"/>
    <s v="3"/>
    <s v="6"/>
    <n v="3"/>
  </r>
  <r>
    <n v="346"/>
    <x v="346"/>
    <n v="0.31819999999999998"/>
    <x v="16"/>
    <n v="0.1045"/>
    <n v="0"/>
    <n v="26"/>
    <n v="26"/>
    <n v="50.501800000000053"/>
    <n v="0.19129469696969717"/>
    <n v="264"/>
    <n v="153.20000000000019"/>
    <n v="0.58030303030303099"/>
    <n v="264"/>
    <n v="14953"/>
    <n v="56.640151515151516"/>
    <n v="264"/>
    <s v="3"/>
    <s v="7"/>
    <n v="3"/>
  </r>
  <r>
    <n v="347"/>
    <x v="347"/>
    <n v="0.28789999999999999"/>
    <x v="49"/>
    <n v="0.28360000000000002"/>
    <n v="5"/>
    <n v="39"/>
    <n v="44"/>
    <n v="50.183600000000055"/>
    <n v="0.19081216730038045"/>
    <n v="263"/>
    <n v="152.7800000000002"/>
    <n v="0.58091254752851784"/>
    <n v="263"/>
    <n v="14927"/>
    <n v="56.756653992395435"/>
    <n v="263"/>
    <s v="3"/>
    <s v="8"/>
    <n v="3"/>
  </r>
  <r>
    <n v="348"/>
    <x v="348"/>
    <n v="0.30299999999999999"/>
    <x v="34"/>
    <n v="0"/>
    <n v="6"/>
    <n v="33"/>
    <n v="39"/>
    <n v="49.895700000000062"/>
    <n v="0.19044160305343535"/>
    <n v="262"/>
    <n v="152.33000000000021"/>
    <n v="0.58141221374045882"/>
    <n v="262"/>
    <n v="14883"/>
    <n v="56.805343511450381"/>
    <n v="262"/>
    <s v="3"/>
    <s v="9"/>
    <n v="3"/>
  </r>
  <r>
    <n v="349"/>
    <x v="349"/>
    <n v="0.2727"/>
    <x v="34"/>
    <n v="0.1343"/>
    <n v="4"/>
    <n v="19"/>
    <n v="23"/>
    <n v="49.592700000000065"/>
    <n v="0.19001034482758644"/>
    <n v="261"/>
    <n v="151.77000000000021"/>
    <n v="0.58149425287356404"/>
    <n v="261"/>
    <n v="14844"/>
    <n v="56.873563218390807"/>
    <n v="261"/>
    <s v="3"/>
    <s v="0"/>
    <n v="3"/>
  </r>
  <r>
    <n v="350"/>
    <x v="350"/>
    <n v="0.28789999999999999"/>
    <x v="34"/>
    <n v="8.9599999999999999E-2"/>
    <n v="3"/>
    <n v="13"/>
    <n v="16"/>
    <n v="49.320000000000064"/>
    <n v="0.18969230769230794"/>
    <n v="260"/>
    <n v="151.21000000000021"/>
    <n v="0.58157692307692388"/>
    <n v="260"/>
    <n v="14821"/>
    <n v="57.003846153846155"/>
    <n v="260"/>
    <s v="3"/>
    <s v="1"/>
    <n v="3"/>
  </r>
  <r>
    <n v="351"/>
    <x v="351"/>
    <n v="0.2727"/>
    <x v="27"/>
    <n v="0"/>
    <n v="9"/>
    <n v="6"/>
    <n v="15"/>
    <n v="49.032100000000064"/>
    <n v="0.18931312741312767"/>
    <n v="259"/>
    <n v="150.6500000000002"/>
    <n v="0.5816602316602324"/>
    <n v="259"/>
    <n v="14805"/>
    <n v="57.162162162162161"/>
    <n v="259"/>
    <s v="3"/>
    <s v="2"/>
    <n v="3"/>
  </r>
  <r>
    <n v="352"/>
    <x v="352"/>
    <n v="0.2576"/>
    <x v="34"/>
    <n v="0.16420000000000001"/>
    <n v="0"/>
    <n v="1"/>
    <n v="1"/>
    <n v="48.759400000000063"/>
    <n v="0.18898992248062041"/>
    <n v="258"/>
    <n v="149.96000000000021"/>
    <n v="0.58124031007752019"/>
    <n v="258"/>
    <n v="14790"/>
    <n v="57.325581395348834"/>
    <n v="258"/>
    <s v="3"/>
    <s v="3"/>
    <n v="3"/>
  </r>
  <r>
    <n v="353"/>
    <x v="353"/>
    <n v="0.2576"/>
    <x v="34"/>
    <n v="0.16420000000000001"/>
    <n v="1"/>
    <n v="1"/>
    <n v="2"/>
    <n v="48.501800000000074"/>
    <n v="0.18872295719844387"/>
    <n v="257"/>
    <n v="149.4000000000002"/>
    <n v="0.5813229571984444"/>
    <n v="257"/>
    <n v="14789"/>
    <n v="57.54474708171206"/>
    <n v="257"/>
    <s v="3"/>
    <s v="4"/>
    <n v="3"/>
  </r>
  <r>
    <n v="354"/>
    <x v="354"/>
    <n v="0.2576"/>
    <x v="34"/>
    <n v="0.16420000000000001"/>
    <n v="0"/>
    <n v="1"/>
    <n v="1"/>
    <n v="48.244200000000077"/>
    <n v="0.1884539062500003"/>
    <n v="256"/>
    <n v="148.8400000000002"/>
    <n v="0.58140625000000079"/>
    <n v="256"/>
    <n v="14787"/>
    <n v="57.76171875"/>
    <n v="256"/>
    <s v="3"/>
    <s v="5"/>
    <n v="3"/>
  </r>
  <r>
    <n v="355"/>
    <x v="355"/>
    <n v="0.21210000000000001"/>
    <x v="34"/>
    <n v="0.29849999999999999"/>
    <n v="0"/>
    <n v="3"/>
    <n v="3"/>
    <n v="47.986600000000074"/>
    <n v="0.18818274509803951"/>
    <n v="255"/>
    <n v="148.2800000000002"/>
    <n v="0.58149019607843211"/>
    <n v="255"/>
    <n v="14786"/>
    <n v="57.984313725490196"/>
    <n v="255"/>
    <s v="3"/>
    <s v="6"/>
    <n v="3"/>
  </r>
  <r>
    <n v="356"/>
    <x v="356"/>
    <n v="0.21210000000000001"/>
    <x v="28"/>
    <n v="0.28360000000000002"/>
    <n v="0"/>
    <n v="18"/>
    <n v="18"/>
    <n v="47.774500000000074"/>
    <n v="0.18808858267716563"/>
    <n v="254"/>
    <n v="147.7200000000002"/>
    <n v="0.58157480314960708"/>
    <n v="254"/>
    <n v="14783"/>
    <n v="58.2007874015748"/>
    <n v="254"/>
    <s v="3"/>
    <s v="7"/>
    <n v="3"/>
  </r>
  <r>
    <n v="357"/>
    <x v="357"/>
    <n v="0.21210000000000001"/>
    <x v="33"/>
    <n v="0.25369999999999998"/>
    <n v="3"/>
    <n v="29"/>
    <n v="32"/>
    <n v="47.562400000000075"/>
    <n v="0.18799367588932836"/>
    <n v="253"/>
    <n v="147.17000000000019"/>
    <n v="0.58169960474308369"/>
    <n v="253"/>
    <n v="14765"/>
    <n v="58.359683794466406"/>
    <n v="253"/>
    <s v="3"/>
    <s v="8"/>
    <n v="3"/>
  </r>
  <r>
    <n v="358"/>
    <x v="358"/>
    <n v="0.21210000000000001"/>
    <x v="33"/>
    <n v="0.28360000000000002"/>
    <n v="8"/>
    <n v="71"/>
    <n v="79"/>
    <n v="47.350300000000068"/>
    <n v="0.18789801587301613"/>
    <n v="252"/>
    <n v="146.6600000000002"/>
    <n v="0.58198412698412771"/>
    <n v="252"/>
    <n v="14733"/>
    <n v="58.464285714285715"/>
    <n v="252"/>
    <s v="3"/>
    <s v="9"/>
    <n v="3"/>
  </r>
  <r>
    <n v="359"/>
    <x v="359"/>
    <n v="0.2273"/>
    <x v="18"/>
    <n v="0.25369999999999998"/>
    <n v="23"/>
    <n v="70"/>
    <n v="93"/>
    <n v="47.138200000000069"/>
    <n v="0.18780159362549828"/>
    <n v="251"/>
    <n v="146.1500000000002"/>
    <n v="0.58227091633466221"/>
    <n v="251"/>
    <n v="14654"/>
    <n v="58.382470119521912"/>
    <n v="251"/>
    <s v="3"/>
    <s v="0"/>
    <n v="3"/>
  </r>
  <r>
    <n v="360"/>
    <x v="360"/>
    <n v="0.21210000000000001"/>
    <x v="48"/>
    <n v="0.28360000000000002"/>
    <n v="29"/>
    <n v="75"/>
    <n v="104"/>
    <n v="46.910900000000062"/>
    <n v="0.18764360000000024"/>
    <n v="250"/>
    <n v="145.71000000000021"/>
    <n v="0.5828400000000008"/>
    <n v="250"/>
    <n v="14561"/>
    <n v="58.244"/>
    <n v="250"/>
    <s v="3"/>
    <s v="1"/>
    <n v="3"/>
  </r>
  <r>
    <n v="361"/>
    <x v="361"/>
    <n v="0.2273"/>
    <x v="23"/>
    <n v="0.29849999999999999"/>
    <n v="23"/>
    <n v="95"/>
    <n v="118"/>
    <n v="46.698800000000062"/>
    <n v="0.18754538152610467"/>
    <n v="249"/>
    <n v="145.30000000000018"/>
    <n v="0.58353413654618547"/>
    <n v="249"/>
    <n v="14457"/>
    <n v="58.060240963855421"/>
    <n v="249"/>
    <s v="3"/>
    <s v="2"/>
    <n v="3"/>
  </r>
  <r>
    <n v="362"/>
    <x v="362"/>
    <n v="0.2727"/>
    <x v="42"/>
    <n v="0.25369999999999998"/>
    <n v="22"/>
    <n v="69"/>
    <n v="91"/>
    <n v="46.471500000000056"/>
    <n v="0.18738508064516152"/>
    <n v="248"/>
    <n v="144.95000000000019"/>
    <n v="0.58447580645161368"/>
    <n v="248"/>
    <n v="14339"/>
    <n v="57.818548387096776"/>
    <n v="248"/>
    <s v="3"/>
    <s v="3"/>
    <n v="3"/>
  </r>
  <r>
    <n v="363"/>
    <x v="363"/>
    <n v="0.2424"/>
    <x v="41"/>
    <n v="0.25369999999999998"/>
    <n v="35"/>
    <n v="78"/>
    <n v="113"/>
    <n v="46.198800000000055"/>
    <n v="0.18703967611336056"/>
    <n v="247"/>
    <n v="144.59000000000017"/>
    <n v="0.58538461538461606"/>
    <n v="247"/>
    <n v="14248"/>
    <n v="57.684210526315788"/>
    <n v="247"/>
    <s v="3"/>
    <s v="4"/>
    <n v="3"/>
  </r>
  <r>
    <n v="364"/>
    <x v="364"/>
    <n v="0.2273"/>
    <x v="41"/>
    <n v="0.22389999999999999"/>
    <n v="22"/>
    <n v="77"/>
    <n v="99"/>
    <n v="45.956400000000052"/>
    <n v="0.18681463414634167"/>
    <n v="246"/>
    <n v="144.21000000000018"/>
    <n v="0.58621951219512269"/>
    <n v="246"/>
    <n v="14135"/>
    <n v="57.459349593495936"/>
    <n v="246"/>
    <s v="3"/>
    <s v="5"/>
    <n v="3"/>
  </r>
  <r>
    <n v="365"/>
    <x v="365"/>
    <n v="0.21210000000000001"/>
    <x v="38"/>
    <n v="0.25369999999999998"/>
    <n v="23"/>
    <n v="82"/>
    <n v="105"/>
    <n v="45.729100000000045"/>
    <n v="0.18664938775510223"/>
    <n v="245"/>
    <n v="143.83000000000018"/>
    <n v="0.5870612244897967"/>
    <n v="245"/>
    <n v="14036"/>
    <n v="57.289795918367346"/>
    <n v="245"/>
    <s v="3"/>
    <s v="6"/>
    <n v="3"/>
  </r>
  <r>
    <n v="366"/>
    <x v="366"/>
    <n v="0.21210000000000001"/>
    <x v="22"/>
    <n v="0.16420000000000001"/>
    <n v="11"/>
    <n v="56"/>
    <n v="67"/>
    <n v="45.517000000000046"/>
    <n v="0.18654508196721331"/>
    <n v="244"/>
    <n v="143.46000000000018"/>
    <n v="0.58795081967213192"/>
    <n v="244"/>
    <n v="13931"/>
    <n v="57.094262295081968"/>
    <n v="244"/>
    <s v="3"/>
    <s v="7"/>
    <n v="3"/>
  </r>
  <r>
    <n v="367"/>
    <x v="367"/>
    <n v="0.19700000000000001"/>
    <x v="19"/>
    <n v="0.1343"/>
    <n v="14"/>
    <n v="47"/>
    <n v="61"/>
    <n v="45.304900000000046"/>
    <n v="0.18643991769547344"/>
    <n v="243"/>
    <n v="143.06000000000017"/>
    <n v="0.58872427983539166"/>
    <n v="243"/>
    <n v="13864"/>
    <n v="57.053497942386834"/>
    <n v="243"/>
    <s v="3"/>
    <s v="8"/>
    <n v="3"/>
  </r>
  <r>
    <n v="368"/>
    <x v="368"/>
    <n v="0.19700000000000001"/>
    <x v="19"/>
    <n v="0.16420000000000001"/>
    <n v="7"/>
    <n v="50"/>
    <n v="57"/>
    <n v="45.107900000000043"/>
    <n v="0.18639628099173572"/>
    <n v="242"/>
    <n v="142.59000000000015"/>
    <n v="0.58921487603305844"/>
    <n v="242"/>
    <n v="13803"/>
    <n v="57.037190082644628"/>
    <n v="242"/>
    <s v="3"/>
    <s v="9"/>
    <n v="3"/>
  </r>
  <r>
    <n v="369"/>
    <x v="369"/>
    <n v="0.19700000000000001"/>
    <x v="33"/>
    <n v="0.16420000000000001"/>
    <n v="6"/>
    <n v="22"/>
    <n v="28"/>
    <n v="44.910900000000041"/>
    <n v="0.18635228215767652"/>
    <n v="241"/>
    <n v="142.12000000000015"/>
    <n v="0.58970954356846539"/>
    <n v="241"/>
    <n v="13746"/>
    <n v="57.037344398340252"/>
    <n v="241"/>
    <s v="3"/>
    <s v="0"/>
    <n v="3"/>
  </r>
  <r>
    <n v="370"/>
    <x v="370"/>
    <n v="0.21210000000000001"/>
    <x v="36"/>
    <n v="0.1343"/>
    <n v="2"/>
    <n v="19"/>
    <n v="21"/>
    <n v="44.713900000000038"/>
    <n v="0.18630791666666682"/>
    <n v="240"/>
    <n v="141.61000000000013"/>
    <n v="0.59004166666666724"/>
    <n v="240"/>
    <n v="13718"/>
    <n v="57.158333333333331"/>
    <n v="240"/>
    <s v="3"/>
    <s v="1"/>
    <n v="3"/>
  </r>
  <r>
    <n v="371"/>
    <x v="371"/>
    <n v="0.2273"/>
    <x v="22"/>
    <n v="0.1045"/>
    <n v="0"/>
    <n v="18"/>
    <n v="18"/>
    <n v="44.501800000000038"/>
    <n v="0.18620000000000017"/>
    <n v="239"/>
    <n v="141.12000000000012"/>
    <n v="0.59046025104602562"/>
    <n v="239"/>
    <n v="13697"/>
    <n v="57.30962343096234"/>
    <n v="239"/>
    <s v="3"/>
    <s v="2"/>
    <n v="3"/>
  </r>
  <r>
    <n v="372"/>
    <x v="372"/>
    <n v="0.19700000000000001"/>
    <x v="19"/>
    <n v="0.22389999999999999"/>
    <n v="1"/>
    <n v="16"/>
    <n v="17"/>
    <n v="44.274500000000032"/>
    <n v="0.18602731092436989"/>
    <n v="238"/>
    <n v="140.72000000000011"/>
    <n v="0.59126050420168119"/>
    <n v="238"/>
    <n v="13679"/>
    <n v="57.474789915966383"/>
    <n v="238"/>
    <s v="3"/>
    <s v="3"/>
    <n v="3"/>
  </r>
  <r>
    <n v="373"/>
    <x v="373"/>
    <n v="0.19700000000000001"/>
    <x v="18"/>
    <n v="0.19400000000000001"/>
    <n v="1"/>
    <n v="15"/>
    <n v="16"/>
    <n v="44.077500000000029"/>
    <n v="0.18598101265822797"/>
    <n v="237"/>
    <n v="140.25000000000011"/>
    <n v="0.59177215189873467"/>
    <n v="237"/>
    <n v="13662"/>
    <n v="57.645569620253163"/>
    <n v="237"/>
    <s v="3"/>
    <s v="4"/>
    <n v="3"/>
  </r>
  <r>
    <n v="374"/>
    <x v="374"/>
    <n v="0.16669999999999999"/>
    <x v="21"/>
    <n v="0.25369999999999998"/>
    <n v="0"/>
    <n v="8"/>
    <n v="8"/>
    <n v="43.880500000000026"/>
    <n v="0.18593432203389842"/>
    <n v="236"/>
    <n v="139.81000000000012"/>
    <n v="0.59241525423728858"/>
    <n v="236"/>
    <n v="13646"/>
    <n v="57.822033898305087"/>
    <n v="236"/>
    <s v="3"/>
    <s v="5"/>
    <n v="3"/>
  </r>
  <r>
    <n v="375"/>
    <x v="375"/>
    <n v="0.18179999999999999"/>
    <x v="21"/>
    <n v="0.19400000000000001"/>
    <n v="0"/>
    <n v="2"/>
    <n v="2"/>
    <n v="43.713800000000028"/>
    <n v="0.18601617021276606"/>
    <n v="235"/>
    <n v="139.38000000000011"/>
    <n v="0.59310638297872387"/>
    <n v="235"/>
    <n v="13638"/>
    <n v="58.03404255319149"/>
    <n v="235"/>
    <s v="3"/>
    <s v="6"/>
    <n v="3"/>
  </r>
  <r>
    <n v="376"/>
    <x v="376"/>
    <n v="0.19700000000000001"/>
    <x v="21"/>
    <n v="0.1343"/>
    <n v="1"/>
    <n v="2"/>
    <n v="3"/>
    <n v="43.532000000000025"/>
    <n v="0.18603418803418814"/>
    <n v="234"/>
    <n v="138.9500000000001"/>
    <n v="0.59380341880341925"/>
    <n v="234"/>
    <n v="13636"/>
    <n v="58.273504273504273"/>
    <n v="234"/>
    <s v="3"/>
    <s v="7"/>
    <n v="3"/>
  </r>
  <r>
    <n v="377"/>
    <x v="377"/>
    <n v="0.19700000000000001"/>
    <x v="21"/>
    <n v="0.16420000000000001"/>
    <n v="0"/>
    <n v="1"/>
    <n v="1"/>
    <n v="43.335000000000022"/>
    <n v="0.18598712446351942"/>
    <n v="233"/>
    <n v="138.5200000000001"/>
    <n v="0.59450643776824075"/>
    <n v="233"/>
    <n v="13633"/>
    <n v="58.510729613733908"/>
    <n v="233"/>
    <s v="3"/>
    <s v="8"/>
    <n v="3"/>
  </r>
  <r>
    <n v="378"/>
    <x v="378"/>
    <n v="0.18179999999999999"/>
    <x v="21"/>
    <n v="0.19400000000000001"/>
    <n v="0"/>
    <n v="5"/>
    <n v="5"/>
    <n v="43.138000000000019"/>
    <n v="0.18593965517241387"/>
    <n v="232"/>
    <n v="138.09000000000012"/>
    <n v="0.59521551724137978"/>
    <n v="232"/>
    <n v="13632"/>
    <n v="58.758620689655174"/>
    <n v="232"/>
    <s v="3"/>
    <s v="9"/>
    <n v="3"/>
  </r>
  <r>
    <n v="379"/>
    <x v="379"/>
    <n v="0.18179999999999999"/>
    <x v="20"/>
    <n v="0.1343"/>
    <n v="4"/>
    <n v="9"/>
    <n v="13"/>
    <n v="42.956200000000024"/>
    <n v="0.18595757575757585"/>
    <n v="231"/>
    <n v="137.66000000000011"/>
    <n v="0.59593073593073642"/>
    <n v="231"/>
    <n v="13627"/>
    <n v="58.99134199134199"/>
    <n v="231"/>
    <s v="3"/>
    <s v="0"/>
    <n v="3"/>
  </r>
  <r>
    <n v="380"/>
    <x v="380"/>
    <n v="0.1515"/>
    <x v="19"/>
    <n v="0.22389999999999999"/>
    <n v="3"/>
    <n v="30"/>
    <n v="33"/>
    <n v="42.774400000000021"/>
    <n v="0.18597565217391313"/>
    <n v="230"/>
    <n v="137.16000000000011"/>
    <n v="0.59634782608695702"/>
    <n v="230"/>
    <n v="13614"/>
    <n v="59.19130434782609"/>
    <n v="230"/>
    <s v="3"/>
    <s v="1"/>
    <n v="3"/>
  </r>
  <r>
    <n v="381"/>
    <x v="381"/>
    <n v="0.1515"/>
    <x v="19"/>
    <n v="0.22389999999999999"/>
    <n v="8"/>
    <n v="39"/>
    <n v="47"/>
    <n v="42.622900000000023"/>
    <n v="0.18612620087336254"/>
    <n v="229"/>
    <n v="136.69000000000008"/>
    <n v="0.59689956331877769"/>
    <n v="229"/>
    <n v="13581"/>
    <n v="59.305676855895193"/>
    <n v="229"/>
    <s v="3"/>
    <s v="2"/>
    <n v="3"/>
  </r>
  <r>
    <n v="382"/>
    <x v="382"/>
    <n v="0.1515"/>
    <x v="20"/>
    <n v="0.25369999999999998"/>
    <n v="7"/>
    <n v="50"/>
    <n v="57"/>
    <n v="42.471400000000024"/>
    <n v="0.18627807017543871"/>
    <n v="228"/>
    <n v="136.22000000000008"/>
    <n v="0.59745614035087757"/>
    <n v="228"/>
    <n v="13534"/>
    <n v="59.359649122807021"/>
    <n v="228"/>
    <s v="3"/>
    <s v="3"/>
    <n v="3"/>
  </r>
  <r>
    <n v="383"/>
    <x v="383"/>
    <n v="0.1515"/>
    <x v="28"/>
    <n v="0.19400000000000001"/>
    <n v="9"/>
    <n v="55"/>
    <n v="64"/>
    <n v="42.319900000000025"/>
    <n v="0.18643127753303976"/>
    <n v="227"/>
    <n v="135.72000000000008"/>
    <n v="0.59788546255506647"/>
    <n v="227"/>
    <n v="13477"/>
    <n v="59.370044052863435"/>
    <n v="227"/>
    <s v="3"/>
    <s v="4"/>
    <n v="3"/>
  </r>
  <r>
    <n v="384"/>
    <x v="384"/>
    <n v="0.19700000000000001"/>
    <x v="19"/>
    <n v="0.1343"/>
    <n v="10"/>
    <n v="70"/>
    <n v="80"/>
    <n v="42.16840000000002"/>
    <n v="0.18658584070796469"/>
    <n v="226"/>
    <n v="135.1700000000001"/>
    <n v="0.59809734513274382"/>
    <n v="226"/>
    <n v="13413"/>
    <n v="59.349557522123895"/>
    <n v="226"/>
    <s v="3"/>
    <s v="5"/>
    <n v="3"/>
  </r>
  <r>
    <n v="385"/>
    <x v="385"/>
    <n v="0.19700000000000001"/>
    <x v="19"/>
    <n v="0.1343"/>
    <n v="13"/>
    <n v="80"/>
    <n v="93"/>
    <n v="41.971400000000024"/>
    <n v="0.18653955555555565"/>
    <n v="225"/>
    <n v="134.70000000000007"/>
    <n v="0.59866666666666701"/>
    <n v="225"/>
    <n v="13333"/>
    <n v="59.257777777777775"/>
    <n v="225"/>
    <s v="3"/>
    <s v="6"/>
    <n v="3"/>
  </r>
  <r>
    <n v="386"/>
    <x v="386"/>
    <n v="0.21210000000000001"/>
    <x v="21"/>
    <n v="0.1045"/>
    <n v="12"/>
    <n v="74"/>
    <n v="86"/>
    <n v="41.774400000000021"/>
    <n v="0.18649285714285724"/>
    <n v="224"/>
    <n v="134.23000000000008"/>
    <n v="0.59924107142857175"/>
    <n v="224"/>
    <n v="13240"/>
    <n v="59.107142857142854"/>
    <n v="224"/>
    <s v="3"/>
    <s v="7"/>
    <n v="3"/>
  </r>
  <r>
    <n v="387"/>
    <x v="387"/>
    <n v="0.21210000000000001"/>
    <x v="19"/>
    <n v="0.16420000000000001"/>
    <n v="21"/>
    <n v="72"/>
    <n v="93"/>
    <n v="41.562300000000022"/>
    <n v="0.18637802690582969"/>
    <n v="223"/>
    <n v="133.80000000000007"/>
    <n v="0.60000000000000031"/>
    <n v="223"/>
    <n v="13154"/>
    <n v="58.986547085201792"/>
    <n v="223"/>
    <s v="3"/>
    <s v="8"/>
    <n v="3"/>
  </r>
  <r>
    <n v="388"/>
    <x v="388"/>
    <n v="0.21210000000000001"/>
    <x v="19"/>
    <n v="0.16420000000000001"/>
    <n v="6"/>
    <n v="76"/>
    <n v="82"/>
    <n v="41.350200000000029"/>
    <n v="0.18626216216216229"/>
    <n v="222"/>
    <n v="133.33000000000007"/>
    <n v="0.60058558558558595"/>
    <n v="222"/>
    <n v="13061"/>
    <n v="58.833333333333336"/>
    <n v="222"/>
    <s v="3"/>
    <s v="9"/>
    <n v="3"/>
  </r>
  <r>
    <n v="389"/>
    <x v="389"/>
    <n v="0.19700000000000001"/>
    <x v="33"/>
    <n v="0.19400000000000001"/>
    <n v="4"/>
    <n v="67"/>
    <n v="71"/>
    <n v="41.13810000000003"/>
    <n v="0.18614524886877842"/>
    <n v="221"/>
    <n v="132.86000000000004"/>
    <n v="0.60117647058823553"/>
    <n v="221"/>
    <n v="12979"/>
    <n v="58.728506787330318"/>
    <n v="221"/>
    <s v="3"/>
    <s v="0"/>
    <n v="3"/>
  </r>
  <r>
    <n v="390"/>
    <x v="390"/>
    <n v="0.16669999999999999"/>
    <x v="28"/>
    <n v="0.25369999999999998"/>
    <n v="7"/>
    <n v="85"/>
    <n v="92"/>
    <n v="40.941100000000027"/>
    <n v="0.1860959090909092"/>
    <n v="220"/>
    <n v="132.35000000000005"/>
    <n v="0.60159090909090929"/>
    <n v="220"/>
    <n v="12908"/>
    <n v="58.672727272727272"/>
    <n v="220"/>
    <s v="3"/>
    <s v="1"/>
    <n v="3"/>
  </r>
  <r>
    <n v="391"/>
    <x v="391"/>
    <n v="0.18179999999999999"/>
    <x v="29"/>
    <n v="0.19400000000000001"/>
    <n v="2"/>
    <n v="58"/>
    <n v="60"/>
    <n v="40.774400000000028"/>
    <n v="0.18618447488584489"/>
    <n v="219"/>
    <n v="131.80000000000004"/>
    <n v="0.601826484018265"/>
    <n v="219"/>
    <n v="12816"/>
    <n v="58.520547945205479"/>
    <n v="219"/>
    <s v="3"/>
    <s v="2"/>
    <n v="3"/>
  </r>
  <r>
    <n v="392"/>
    <x v="392"/>
    <n v="0.1515"/>
    <x v="1"/>
    <n v="0.19400000000000001"/>
    <n v="4"/>
    <n v="29"/>
    <n v="33"/>
    <n v="40.592600000000033"/>
    <n v="0.18620458715596344"/>
    <n v="218"/>
    <n v="131.21000000000006"/>
    <n v="0.60188073394495445"/>
    <n v="218"/>
    <n v="12756"/>
    <n v="58.513761467889907"/>
    <n v="218"/>
    <s v="3"/>
    <s v="3"/>
    <n v="3"/>
  </r>
  <r>
    <n v="393"/>
    <x v="393"/>
    <n v="0.1515"/>
    <x v="1"/>
    <n v="0.19400000000000001"/>
    <n v="3"/>
    <n v="24"/>
    <n v="27"/>
    <n v="40.441100000000034"/>
    <n v="0.1863645161290324"/>
    <n v="217"/>
    <n v="130.41000000000005"/>
    <n v="0.60096774193548408"/>
    <n v="217"/>
    <n v="12723"/>
    <n v="58.631336405529957"/>
    <n v="217"/>
    <s v="3"/>
    <s v="4"/>
    <n v="3"/>
  </r>
  <r>
    <n v="394"/>
    <x v="394"/>
    <n v="0.1212"/>
    <x v="43"/>
    <n v="0.25369999999999998"/>
    <n v="0"/>
    <n v="13"/>
    <n v="13"/>
    <n v="40.289600000000029"/>
    <n v="0.18652592592592607"/>
    <n v="216"/>
    <n v="129.61000000000004"/>
    <n v="0.60004629629629647"/>
    <n v="216"/>
    <n v="12696"/>
    <n v="58.777777777777779"/>
    <n v="216"/>
    <s v="3"/>
    <s v="5"/>
    <n v="3"/>
  </r>
  <r>
    <n v="395"/>
    <x v="395"/>
    <n v="0.13639999999999999"/>
    <x v="3"/>
    <n v="0.28360000000000002"/>
    <n v="1"/>
    <n v="3"/>
    <n v="4"/>
    <n v="40.168400000000034"/>
    <n v="0.18682976744186061"/>
    <n v="215"/>
    <n v="128.68000000000004"/>
    <n v="0.59851162790697687"/>
    <n v="215"/>
    <n v="12683"/>
    <n v="58.990697674418605"/>
    <n v="215"/>
    <s v="3"/>
    <s v="6"/>
    <n v="3"/>
  </r>
  <r>
    <n v="396"/>
    <x v="396"/>
    <n v="0.18179999999999999"/>
    <x v="3"/>
    <n v="0.32840000000000003"/>
    <n v="0"/>
    <n v="3"/>
    <n v="3"/>
    <n v="40.032000000000032"/>
    <n v="0.18706542056074782"/>
    <n v="214"/>
    <n v="127.82000000000004"/>
    <n v="0.59728971962616839"/>
    <n v="214"/>
    <n v="12679"/>
    <n v="59.247663551401871"/>
    <n v="214"/>
    <s v="3"/>
    <s v="7"/>
    <n v="3"/>
  </r>
  <r>
    <n v="397"/>
    <x v="397"/>
    <n v="0.19700000000000001"/>
    <x v="3"/>
    <n v="0.22389999999999999"/>
    <n v="0"/>
    <n v="22"/>
    <n v="22"/>
    <n v="39.850200000000029"/>
    <n v="0.18709014084507056"/>
    <n v="213"/>
    <n v="126.96000000000004"/>
    <n v="0.59605633802816915"/>
    <n v="213"/>
    <n v="12676"/>
    <n v="59.51173708920188"/>
    <n v="213"/>
    <s v="3"/>
    <s v="8"/>
    <n v="3"/>
  </r>
  <r>
    <n v="398"/>
    <x v="398"/>
    <n v="0.2273"/>
    <x v="1"/>
    <n v="0.16420000000000001"/>
    <n v="2"/>
    <n v="26"/>
    <n v="28"/>
    <n v="39.653200000000027"/>
    <n v="0.18704339622641522"/>
    <n v="212"/>
    <n v="126.10000000000002"/>
    <n v="0.5948113207547171"/>
    <n v="212"/>
    <n v="12654"/>
    <n v="59.688679245283019"/>
    <n v="212"/>
    <s v="3"/>
    <s v="9"/>
    <n v="3"/>
  </r>
  <r>
    <n v="399"/>
    <x v="399"/>
    <n v="0.2273"/>
    <x v="9"/>
    <n v="0.16420000000000001"/>
    <n v="3"/>
    <n v="32"/>
    <n v="35"/>
    <n v="39.425900000000027"/>
    <n v="0.18685260663507122"/>
    <n v="211"/>
    <n v="125.30000000000003"/>
    <n v="0.59383886255924179"/>
    <n v="211"/>
    <n v="12626"/>
    <n v="59.838862559241704"/>
    <n v="211"/>
    <s v="4"/>
    <s v="0"/>
    <n v="3"/>
  </r>
  <r>
    <n v="400"/>
    <x v="400"/>
    <n v="0.2273"/>
    <x v="9"/>
    <n v="0.19400000000000001"/>
    <n v="0"/>
    <n v="61"/>
    <n v="61"/>
    <n v="39.19860000000002"/>
    <n v="0.1866600000000001"/>
    <n v="210"/>
    <n v="124.43"/>
    <n v="0.59252380952380956"/>
    <n v="210"/>
    <n v="12591"/>
    <n v="59.957142857142856"/>
    <n v="210"/>
    <s v="4"/>
    <s v="1"/>
    <n v="3"/>
  </r>
  <r>
    <n v="401"/>
    <x v="401"/>
    <n v="0.2273"/>
    <x v="7"/>
    <n v="0.19400000000000001"/>
    <n v="1"/>
    <n v="124"/>
    <n v="125"/>
    <n v="38.971300000000021"/>
    <n v="0.18646555023923456"/>
    <n v="209"/>
    <n v="123.55999999999999"/>
    <n v="0.59119617224880372"/>
    <n v="209"/>
    <n v="12530"/>
    <n v="59.952153110047846"/>
    <n v="209"/>
    <s v="4"/>
    <s v="2"/>
    <n v="3"/>
  </r>
  <r>
    <n v="402"/>
    <x v="402"/>
    <n v="0.2273"/>
    <x v="1"/>
    <n v="0.16420000000000001"/>
    <n v="1"/>
    <n v="132"/>
    <n v="133"/>
    <n v="38.744000000000021"/>
    <n v="0.18626923076923088"/>
    <n v="208"/>
    <n v="122.73999999999998"/>
    <n v="0.59009615384615377"/>
    <n v="208"/>
    <n v="12405"/>
    <n v="59.63942307692308"/>
    <n v="208"/>
    <s v="4"/>
    <s v="3"/>
    <n v="3"/>
  </r>
  <r>
    <n v="403"/>
    <x v="403"/>
    <n v="0.2273"/>
    <x v="1"/>
    <n v="0.1343"/>
    <n v="1"/>
    <n v="98"/>
    <n v="99"/>
    <n v="38.516700000000021"/>
    <n v="0.18607101449275373"/>
    <n v="207"/>
    <n v="121.93999999999997"/>
    <n v="0.58908212560386464"/>
    <n v="207"/>
    <n v="12272"/>
    <n v="59.285024154589372"/>
    <n v="207"/>
    <s v="4"/>
    <s v="4"/>
    <n v="3"/>
  </r>
  <r>
    <n v="404"/>
    <x v="404"/>
    <n v="0.2727"/>
    <x v="9"/>
    <n v="0"/>
    <n v="0"/>
    <n v="83"/>
    <n v="83"/>
    <n v="38.289400000000015"/>
    <n v="0.18587087378640785"/>
    <n v="206"/>
    <n v="121.13999999999999"/>
    <n v="0.58805825242718435"/>
    <n v="206"/>
    <n v="12173"/>
    <n v="59.092233009708735"/>
    <n v="206"/>
    <s v="4"/>
    <s v="5"/>
    <n v="3"/>
  </r>
  <r>
    <n v="405"/>
    <x v="405"/>
    <n v="0.2424"/>
    <x v="43"/>
    <n v="0.1045"/>
    <n v="0"/>
    <n v="41"/>
    <n v="41"/>
    <n v="38.016700000000014"/>
    <n v="0.1854473170731708"/>
    <n v="205"/>
    <n v="120.26999999999998"/>
    <n v="0.58668292682926826"/>
    <n v="205"/>
    <n v="12090"/>
    <n v="58.975609756097562"/>
    <n v="205"/>
    <s v="4"/>
    <s v="6"/>
    <n v="3"/>
  </r>
  <r>
    <n v="406"/>
    <x v="406"/>
    <n v="0.2576"/>
    <x v="43"/>
    <n v="8.9599999999999999E-2"/>
    <n v="0"/>
    <n v="33"/>
    <n v="33"/>
    <n v="37.774300000000018"/>
    <n v="0.18516813725490205"/>
    <n v="204"/>
    <n v="119.33999999999997"/>
    <n v="0.58499999999999985"/>
    <n v="204"/>
    <n v="12049"/>
    <n v="59.063725490196077"/>
    <n v="204"/>
    <s v="4"/>
    <s v="7"/>
    <n v="3"/>
  </r>
  <r>
    <n v="407"/>
    <x v="407"/>
    <n v="0.2727"/>
    <x v="43"/>
    <n v="0"/>
    <n v="1"/>
    <n v="19"/>
    <n v="20"/>
    <n v="37.516700000000007"/>
    <n v="0.18481133004926112"/>
    <n v="203"/>
    <n v="118.40999999999995"/>
    <n v="0.58330049261083716"/>
    <n v="203"/>
    <n v="12016"/>
    <n v="59.192118226600982"/>
    <n v="203"/>
    <s v="4"/>
    <s v="8"/>
    <n v="3"/>
  </r>
  <r>
    <n v="408"/>
    <x v="408"/>
    <n v="0.2727"/>
    <x v="43"/>
    <n v="0"/>
    <n v="0"/>
    <n v="3"/>
    <n v="3"/>
    <n v="37.244000000000007"/>
    <n v="0.1843762376237624"/>
    <n v="202"/>
    <n v="117.47999999999996"/>
    <n v="0.58158415841584143"/>
    <n v="202"/>
    <n v="11996"/>
    <n v="59.386138613861384"/>
    <n v="202"/>
    <s v="4"/>
    <s v="9"/>
    <n v="3"/>
  </r>
  <r>
    <n v="409"/>
    <x v="409"/>
    <n v="0.2273"/>
    <x v="43"/>
    <n v="0.1343"/>
    <n v="1"/>
    <n v="6"/>
    <n v="7"/>
    <n v="36.971300000000006"/>
    <n v="0.18393681592039804"/>
    <n v="201"/>
    <n v="116.54999999999997"/>
    <n v="0.57985074626865651"/>
    <n v="201"/>
    <n v="11993"/>
    <n v="59.666666666666664"/>
    <n v="201"/>
    <s v="4"/>
    <s v="0"/>
    <n v="3"/>
  </r>
  <r>
    <n v="410"/>
    <x v="410"/>
    <n v="0.2273"/>
    <x v="43"/>
    <n v="0.1343"/>
    <n v="0"/>
    <n v="3"/>
    <n v="3"/>
    <n v="36.744"/>
    <n v="0.18371999999999999"/>
    <n v="200"/>
    <n v="115.61999999999998"/>
    <n v="0.57809999999999984"/>
    <n v="200"/>
    <n v="11986"/>
    <n v="59.93"/>
    <n v="200"/>
    <s v="4"/>
    <s v="1"/>
    <n v="3"/>
  </r>
  <r>
    <n v="411"/>
    <x v="411"/>
    <n v="0.2273"/>
    <x v="43"/>
    <n v="0.1343"/>
    <n v="1"/>
    <n v="1"/>
    <n v="2"/>
    <n v="36.516699999999993"/>
    <n v="0.18350100502512559"/>
    <n v="199"/>
    <n v="114.68999999999998"/>
    <n v="0.57633165829145716"/>
    <n v="199"/>
    <n v="11983"/>
    <n v="60.21608040201005"/>
    <n v="199"/>
    <s v="4"/>
    <s v="2"/>
    <n v="3"/>
  </r>
  <r>
    <n v="412"/>
    <x v="412"/>
    <n v="0.2576"/>
    <x v="43"/>
    <n v="8.9599999999999999E-2"/>
    <n v="0"/>
    <n v="7"/>
    <n v="7"/>
    <n v="36.289399999999993"/>
    <n v="0.18327979797979796"/>
    <n v="198"/>
    <n v="113.75999999999998"/>
    <n v="0.57454545454545447"/>
    <n v="198"/>
    <n v="11981"/>
    <n v="60.51010101010101"/>
    <n v="198"/>
    <s v="4"/>
    <s v="3"/>
    <n v="3"/>
  </r>
  <r>
    <n v="413"/>
    <x v="413"/>
    <n v="0.2576"/>
    <x v="43"/>
    <n v="8.9599999999999999E-2"/>
    <n v="0"/>
    <n v="32"/>
    <n v="32"/>
    <n v="36.03179999999999"/>
    <n v="0.18290253807106593"/>
    <n v="197"/>
    <n v="112.82999999999998"/>
    <n v="0.57274111675126893"/>
    <n v="197"/>
    <n v="11974"/>
    <n v="60.781725888324871"/>
    <n v="197"/>
    <s v="4"/>
    <s v="4"/>
    <n v="3"/>
  </r>
  <r>
    <n v="414"/>
    <x v="414"/>
    <n v="0.2576"/>
    <x v="50"/>
    <n v="0.1045"/>
    <n v="1"/>
    <n v="89"/>
    <n v="90"/>
    <n v="35.774199999999993"/>
    <n v="0.18252142857142853"/>
    <n v="196"/>
    <n v="111.89999999999998"/>
    <n v="0.57091836734693868"/>
    <n v="196"/>
    <n v="11942"/>
    <n v="60.928571428571431"/>
    <n v="196"/>
    <s v="4"/>
    <s v="5"/>
    <n v="3"/>
  </r>
  <r>
    <n v="415"/>
    <x v="415"/>
    <n v="0.2576"/>
    <x v="43"/>
    <n v="0.1045"/>
    <n v="1"/>
    <n v="196"/>
    <n v="197"/>
    <n v="35.516599999999997"/>
    <n v="0.18213641025641025"/>
    <n v="195"/>
    <n v="110.97999999999999"/>
    <n v="0.56912820512820506"/>
    <n v="195"/>
    <n v="11852"/>
    <n v="60.779487179487177"/>
    <n v="195"/>
    <s v="4"/>
    <s v="6"/>
    <n v="3"/>
  </r>
  <r>
    <n v="416"/>
    <x v="416"/>
    <n v="0.2576"/>
    <x v="43"/>
    <n v="0.1045"/>
    <n v="2"/>
    <n v="107"/>
    <n v="109"/>
    <n v="35.259"/>
    <n v="0.18174742268041238"/>
    <n v="194"/>
    <n v="110.05"/>
    <n v="0.56726804123711339"/>
    <n v="194"/>
    <n v="11655"/>
    <n v="60.077319587628864"/>
    <n v="194"/>
    <s v="4"/>
    <s v="7"/>
    <n v="3"/>
  </r>
  <r>
    <n v="417"/>
    <x v="417"/>
    <n v="0.2727"/>
    <x v="43"/>
    <n v="0.1343"/>
    <n v="1"/>
    <n v="46"/>
    <n v="47"/>
    <n v="35.00139999999999"/>
    <n v="0.18135440414507767"/>
    <n v="193"/>
    <n v="109.12"/>
    <n v="0.56538860103626942"/>
    <n v="193"/>
    <n v="11546"/>
    <n v="59.823834196891191"/>
    <n v="193"/>
    <s v="4"/>
    <s v="8"/>
    <n v="3"/>
  </r>
  <r>
    <n v="418"/>
    <x v="418"/>
    <n v="0.30299999999999999"/>
    <x v="9"/>
    <n v="8.9599999999999999E-2"/>
    <n v="5"/>
    <n v="47"/>
    <n v="52"/>
    <n v="34.728699999999989"/>
    <n v="0.18087864583333327"/>
    <n v="192"/>
    <n v="108.19000000000001"/>
    <n v="0.56348958333333343"/>
    <n v="192"/>
    <n v="11499"/>
    <n v="59.890625"/>
    <n v="192"/>
    <s v="4"/>
    <s v="9"/>
    <n v="3"/>
  </r>
  <r>
    <n v="419"/>
    <x v="419"/>
    <n v="0.31819999999999998"/>
    <x v="0"/>
    <n v="8.9599999999999999E-2"/>
    <n v="5"/>
    <n v="65"/>
    <n v="70"/>
    <n v="34.425699999999985"/>
    <n v="0.18023926701570672"/>
    <n v="191"/>
    <n v="107.32000000000001"/>
    <n v="0.56188481675392676"/>
    <n v="191"/>
    <n v="11447"/>
    <n v="59.931937172774866"/>
    <n v="191"/>
    <s v="4"/>
    <s v="0"/>
    <n v="3"/>
  </r>
  <r>
    <n v="420"/>
    <x v="420"/>
    <n v="0.40910000000000002"/>
    <x v="51"/>
    <n v="0.28360000000000002"/>
    <n v="11"/>
    <n v="67"/>
    <n v="78"/>
    <n v="34.107499999999973"/>
    <n v="0.17951315789473671"/>
    <n v="190"/>
    <n v="106.51000000000003"/>
    <n v="0.56057894736842118"/>
    <n v="190"/>
    <n v="11377"/>
    <n v="59.878947368421052"/>
    <n v="190"/>
    <s v="4"/>
    <s v="1"/>
    <n v="3"/>
  </r>
  <r>
    <n v="421"/>
    <x v="421"/>
    <n v="0.40910000000000002"/>
    <x v="52"/>
    <n v="0.25369999999999998"/>
    <n v="7"/>
    <n v="68"/>
    <n v="75"/>
    <n v="33.698399999999964"/>
    <n v="0.17829841269841251"/>
    <n v="189"/>
    <n v="105.89000000000004"/>
    <n v="0.56026455026455046"/>
    <n v="189"/>
    <n v="11299"/>
    <n v="59.783068783068785"/>
    <n v="189"/>
    <s v="4"/>
    <s v="2"/>
    <n v="3"/>
  </r>
  <r>
    <n v="422"/>
    <x v="422"/>
    <n v="0.40910000000000002"/>
    <x v="47"/>
    <n v="0.28360000000000002"/>
    <n v="4"/>
    <n v="78"/>
    <n v="82"/>
    <n v="33.289299999999962"/>
    <n v="0.17707074468085085"/>
    <n v="188"/>
    <n v="105.31000000000004"/>
    <n v="0.5601595744680854"/>
    <n v="188"/>
    <n v="11224"/>
    <n v="59.702127659574465"/>
    <n v="188"/>
    <s v="4"/>
    <s v="3"/>
    <n v="3"/>
  </r>
  <r>
    <n v="423"/>
    <x v="423"/>
    <n v="0.39389999999999997"/>
    <x v="52"/>
    <n v="0.3881"/>
    <n v="10"/>
    <n v="94"/>
    <n v="104"/>
    <n v="32.880199999999967"/>
    <n v="0.175829946524064"/>
    <n v="187"/>
    <n v="104.77000000000007"/>
    <n v="0.56026737967914475"/>
    <n v="187"/>
    <n v="11142"/>
    <n v="59.582887700534762"/>
    <n v="187"/>
    <s v="4"/>
    <s v="4"/>
    <n v="3"/>
  </r>
  <r>
    <n v="424"/>
    <x v="424"/>
    <n v="0.33329999999999999"/>
    <x v="14"/>
    <n v="0.32840000000000003"/>
    <n v="7"/>
    <n v="190"/>
    <n v="197"/>
    <n v="32.48629999999995"/>
    <n v="0.17465752688172015"/>
    <n v="186"/>
    <n v="104.19000000000007"/>
    <n v="0.560161290322581"/>
    <n v="186"/>
    <n v="11038"/>
    <n v="59.344086021505376"/>
    <n v="186"/>
    <s v="4"/>
    <s v="5"/>
    <n v="3"/>
  </r>
  <r>
    <n v="425"/>
    <x v="425"/>
    <n v="0.31819999999999998"/>
    <x v="53"/>
    <n v="0.28360000000000002"/>
    <n v="5"/>
    <n v="156"/>
    <n v="161"/>
    <n v="32.152999999999956"/>
    <n v="0.17379999999999976"/>
    <n v="185"/>
    <n v="103.62000000000006"/>
    <n v="0.5601081081081084"/>
    <n v="185"/>
    <n v="10841"/>
    <n v="58.6"/>
    <n v="185"/>
    <s v="4"/>
    <s v="6"/>
    <n v="3"/>
  </r>
  <r>
    <n v="426"/>
    <x v="426"/>
    <n v="0.28789999999999999"/>
    <x v="14"/>
    <n v="0.41789999999999999"/>
    <n v="4"/>
    <n v="108"/>
    <n v="112"/>
    <n v="31.834799999999959"/>
    <n v="0.17301521739130413"/>
    <n v="184"/>
    <n v="103.01000000000006"/>
    <n v="0.55983695652173948"/>
    <n v="184"/>
    <n v="10680"/>
    <n v="58.043478260869563"/>
    <n v="184"/>
    <s v="4"/>
    <s v="7"/>
    <n v="3"/>
  </r>
  <r>
    <n v="427"/>
    <x v="427"/>
    <n v="0.30299999999999999"/>
    <x v="36"/>
    <n v="0.29849999999999999"/>
    <n v="2"/>
    <n v="74"/>
    <n v="76"/>
    <n v="31.546899999999962"/>
    <n v="0.17238743169398887"/>
    <n v="183"/>
    <n v="102.44000000000007"/>
    <n v="0.55978142076502768"/>
    <n v="183"/>
    <n v="10568"/>
    <n v="57.748633879781423"/>
    <n v="183"/>
    <s v="4"/>
    <s v="8"/>
    <n v="3"/>
  </r>
  <r>
    <n v="428"/>
    <x v="428"/>
    <n v="0.28789999999999999"/>
    <x v="36"/>
    <n v="0.41789999999999999"/>
    <n v="4"/>
    <n v="55"/>
    <n v="59"/>
    <n v="31.243899999999961"/>
    <n v="0.17166978021977999"/>
    <n v="182"/>
    <n v="101.95000000000007"/>
    <n v="0.56016483516483562"/>
    <n v="182"/>
    <n v="10492"/>
    <n v="57.64835164835165"/>
    <n v="182"/>
    <s v="4"/>
    <s v="9"/>
    <n v="3"/>
  </r>
  <r>
    <n v="429"/>
    <x v="429"/>
    <n v="0.30299999999999999"/>
    <x v="35"/>
    <n v="0.16420000000000001"/>
    <n v="6"/>
    <n v="53"/>
    <n v="59"/>
    <n v="30.955999999999968"/>
    <n v="0.17102762430939208"/>
    <n v="181"/>
    <n v="101.46000000000008"/>
    <n v="0.5605524861878457"/>
    <n v="181"/>
    <n v="10433"/>
    <n v="57.64088397790055"/>
    <n v="181"/>
    <s v="4"/>
    <s v="0"/>
    <n v="3"/>
  </r>
  <r>
    <n v="430"/>
    <x v="430"/>
    <n v="0.2727"/>
    <x v="35"/>
    <n v="0.4627"/>
    <n v="1"/>
    <n v="27"/>
    <n v="28"/>
    <n v="30.65299999999997"/>
    <n v="0.17029444444444428"/>
    <n v="180"/>
    <n v="100.94000000000007"/>
    <n v="0.56077777777777815"/>
    <n v="180"/>
    <n v="10374"/>
    <n v="57.633333333333333"/>
    <n v="180"/>
    <s v="4"/>
    <s v="1"/>
    <n v="3"/>
  </r>
  <r>
    <n v="431"/>
    <x v="431"/>
    <n v="0.2273"/>
    <x v="34"/>
    <n v="0.3881"/>
    <n v="5"/>
    <n v="8"/>
    <n v="13"/>
    <n v="30.38029999999997"/>
    <n v="0.16972234636871492"/>
    <n v="179"/>
    <n v="100.42000000000007"/>
    <n v="0.56100558659217914"/>
    <n v="179"/>
    <n v="10346"/>
    <n v="57.798882681564244"/>
    <n v="179"/>
    <s v="4"/>
    <s v="2"/>
    <n v="3"/>
  </r>
  <r>
    <n v="432"/>
    <x v="432"/>
    <n v="0.2727"/>
    <x v="34"/>
    <n v="0"/>
    <n v="2"/>
    <n v="3"/>
    <n v="5"/>
    <n v="30.15299999999997"/>
    <n v="0.16939887640449422"/>
    <n v="178"/>
    <n v="99.86000000000007"/>
    <n v="0.56101123595505653"/>
    <n v="178"/>
    <n v="10333"/>
    <n v="58.050561797752806"/>
    <n v="178"/>
    <s v="4"/>
    <s v="3"/>
    <n v="3"/>
  </r>
  <r>
    <n v="433"/>
    <x v="433"/>
    <n v="0.2727"/>
    <x v="34"/>
    <n v="0"/>
    <n v="0"/>
    <n v="2"/>
    <n v="2"/>
    <n v="29.880299999999973"/>
    <n v="0.16881525423728799"/>
    <n v="177"/>
    <n v="99.300000000000082"/>
    <n v="0.56101694915254285"/>
    <n v="177"/>
    <n v="10328"/>
    <n v="58.350282485875709"/>
    <n v="177"/>
    <s v="4"/>
    <s v="4"/>
    <n v="3"/>
  </r>
  <r>
    <n v="434"/>
    <x v="434"/>
    <n v="0.2576"/>
    <x v="34"/>
    <n v="0.16420000000000001"/>
    <n v="0"/>
    <n v="1"/>
    <n v="1"/>
    <n v="29.607599999999973"/>
    <n v="0.16822499999999985"/>
    <n v="176"/>
    <n v="98.74000000000008"/>
    <n v="0.56102272727272773"/>
    <n v="176"/>
    <n v="10326"/>
    <n v="58.670454545454547"/>
    <n v="176"/>
    <s v="4"/>
    <s v="5"/>
    <n v="3"/>
  </r>
  <r>
    <n v="435"/>
    <x v="435"/>
    <n v="0.2576"/>
    <x v="34"/>
    <n v="0.16420000000000001"/>
    <n v="0"/>
    <n v="1"/>
    <n v="1"/>
    <n v="29.34999999999998"/>
    <n v="0.16771428571428559"/>
    <n v="175"/>
    <n v="98.180000000000064"/>
    <n v="0.56102857142857177"/>
    <n v="175"/>
    <n v="10325"/>
    <n v="59"/>
    <n v="175"/>
    <s v="4"/>
    <s v="6"/>
    <n v="3"/>
  </r>
  <r>
    <n v="436"/>
    <x v="436"/>
    <n v="0.2273"/>
    <x v="54"/>
    <n v="0.22389999999999999"/>
    <n v="0"/>
    <n v="6"/>
    <n v="6"/>
    <n v="29.09239999999998"/>
    <n v="0.16719770114942517"/>
    <n v="174"/>
    <n v="97.620000000000061"/>
    <n v="0.561034482758621"/>
    <n v="174"/>
    <n v="10324"/>
    <n v="59.333333333333336"/>
    <n v="174"/>
    <s v="4"/>
    <s v="7"/>
    <n v="3"/>
  </r>
  <r>
    <n v="437"/>
    <x v="437"/>
    <n v="0.21210000000000001"/>
    <x v="54"/>
    <n v="0.22389999999999999"/>
    <n v="0"/>
    <n v="35"/>
    <n v="35"/>
    <n v="28.865099999999984"/>
    <n v="0.16685028901734095"/>
    <n v="173"/>
    <n v="97.020000000000053"/>
    <n v="0.56080924855491365"/>
    <n v="173"/>
    <n v="10318"/>
    <n v="59.641618497109825"/>
    <n v="173"/>
    <s v="4"/>
    <s v="8"/>
    <n v="3"/>
  </r>
  <r>
    <n v="438"/>
    <x v="438"/>
    <n v="0.21210000000000001"/>
    <x v="28"/>
    <n v="0.22389999999999999"/>
    <n v="1"/>
    <n v="100"/>
    <n v="101"/>
    <n v="28.652999999999988"/>
    <n v="0.16658720930232551"/>
    <n v="172"/>
    <n v="96.420000000000059"/>
    <n v="0.56058139534883755"/>
    <n v="172"/>
    <n v="10283"/>
    <n v="59.784883720930232"/>
    <n v="172"/>
    <s v="4"/>
    <s v="9"/>
    <n v="3"/>
  </r>
  <r>
    <n v="439"/>
    <x v="439"/>
    <n v="0.21210000000000001"/>
    <x v="28"/>
    <n v="0.28360000000000002"/>
    <n v="2"/>
    <n v="247"/>
    <n v="249"/>
    <n v="28.440899999999989"/>
    <n v="0.16632105263157887"/>
    <n v="171"/>
    <n v="95.870000000000061"/>
    <n v="0.5606432748538015"/>
    <n v="171"/>
    <n v="10182"/>
    <n v="59.543859649122808"/>
    <n v="171"/>
    <s v="4"/>
    <s v="0"/>
    <n v="3"/>
  </r>
  <r>
    <n v="440"/>
    <x v="440"/>
    <n v="0.2273"/>
    <x v="35"/>
    <n v="0.22389999999999999"/>
    <n v="3"/>
    <n v="140"/>
    <n v="143"/>
    <n v="28.228799999999989"/>
    <n v="0.16605176470588229"/>
    <n v="170"/>
    <n v="95.320000000000064"/>
    <n v="0.56070588235294161"/>
    <n v="170"/>
    <n v="9933"/>
    <n v="58.429411764705883"/>
    <n v="170"/>
    <s v="4"/>
    <s v="1"/>
    <n v="3"/>
  </r>
  <r>
    <n v="441"/>
    <x v="441"/>
    <n v="0.2273"/>
    <x v="37"/>
    <n v="0.29849999999999999"/>
    <n v="1"/>
    <n v="56"/>
    <n v="57"/>
    <n v="28.001499999999989"/>
    <n v="0.16568934911242597"/>
    <n v="169"/>
    <n v="94.800000000000054"/>
    <n v="0.56094674556213053"/>
    <n v="169"/>
    <n v="9790"/>
    <n v="57.928994082840234"/>
    <n v="169"/>
    <s v="4"/>
    <s v="2"/>
    <n v="3"/>
  </r>
  <r>
    <n v="442"/>
    <x v="442"/>
    <n v="0.2727"/>
    <x v="49"/>
    <n v="0.16420000000000001"/>
    <n v="5"/>
    <n v="63"/>
    <n v="68"/>
    <n v="27.77419999999999"/>
    <n v="0.165322619047619"/>
    <n v="168"/>
    <n v="94.320000000000064"/>
    <n v="0.56142857142857183"/>
    <n v="168"/>
    <n v="9733"/>
    <n v="57.93452380952381"/>
    <n v="168"/>
    <s v="4"/>
    <s v="3"/>
    <n v="3"/>
  </r>
  <r>
    <n v="443"/>
    <x v="443"/>
    <n v="0.33329999999999999"/>
    <x v="16"/>
    <n v="0"/>
    <n v="7"/>
    <n v="77"/>
    <n v="84"/>
    <n v="27.501499999999989"/>
    <n v="0.16467964071856281"/>
    <n v="167"/>
    <n v="93.870000000000061"/>
    <n v="0.56209580838323392"/>
    <n v="167"/>
    <n v="9665"/>
    <n v="57.874251497005986"/>
    <n v="167"/>
    <s v="4"/>
    <s v="4"/>
    <n v="3"/>
  </r>
  <r>
    <n v="444"/>
    <x v="444"/>
    <n v="0.28789999999999999"/>
    <x v="49"/>
    <n v="0.1045"/>
    <n v="12"/>
    <n v="86"/>
    <n v="98"/>
    <n v="27.168199999999988"/>
    <n v="0.16366385542168668"/>
    <n v="166"/>
    <n v="93.45000000000006"/>
    <n v="0.56295180722891602"/>
    <n v="166"/>
    <n v="9581"/>
    <n v="57.716867469879517"/>
    <n v="166"/>
    <s v="4"/>
    <s v="5"/>
    <n v="3"/>
  </r>
  <r>
    <n v="445"/>
    <x v="445"/>
    <n v="0.30299999999999999"/>
    <x v="49"/>
    <n v="0.1343"/>
    <n v="6"/>
    <n v="75"/>
    <n v="81"/>
    <n v="26.880299999999991"/>
    <n v="0.16291090909090905"/>
    <n v="165"/>
    <n v="93.000000000000071"/>
    <n v="0.56363636363636405"/>
    <n v="165"/>
    <n v="9483"/>
    <n v="57.472727272727276"/>
    <n v="165"/>
    <s v="4"/>
    <s v="6"/>
    <n v="3"/>
  </r>
  <r>
    <n v="446"/>
    <x v="446"/>
    <n v="0.31819999999999998"/>
    <x v="49"/>
    <n v="0.19400000000000001"/>
    <n v="8"/>
    <n v="62"/>
    <n v="70"/>
    <n v="26.57729999999999"/>
    <n v="0.16205670731707311"/>
    <n v="164"/>
    <n v="92.550000000000068"/>
    <n v="0.56432926829268337"/>
    <n v="164"/>
    <n v="9402"/>
    <n v="57.329268292682926"/>
    <n v="164"/>
    <s v="4"/>
    <s v="7"/>
    <n v="3"/>
  </r>
  <r>
    <n v="447"/>
    <x v="447"/>
    <n v="0.30299999999999999"/>
    <x v="36"/>
    <n v="0.1343"/>
    <n v="8"/>
    <n v="83"/>
    <n v="91"/>
    <n v="26.259099999999989"/>
    <n v="0.1610987730061349"/>
    <n v="163"/>
    <n v="92.100000000000065"/>
    <n v="0.56503067484662617"/>
    <n v="163"/>
    <n v="9332"/>
    <n v="57.25153374233129"/>
    <n v="163"/>
    <s v="4"/>
    <s v="8"/>
    <n v="3"/>
  </r>
  <r>
    <n v="448"/>
    <x v="448"/>
    <n v="0.31819999999999998"/>
    <x v="36"/>
    <n v="0.1045"/>
    <n v="8"/>
    <n v="207"/>
    <n v="215"/>
    <n v="25.956099999999989"/>
    <n v="0.16022283950617278"/>
    <n v="162"/>
    <n v="91.61000000000007"/>
    <n v="0.56549382716049423"/>
    <n v="162"/>
    <n v="9241"/>
    <n v="57.043209876543209"/>
    <n v="162"/>
    <s v="4"/>
    <s v="9"/>
    <n v="3"/>
  </r>
  <r>
    <n v="449"/>
    <x v="449"/>
    <n v="0.2576"/>
    <x v="34"/>
    <n v="0.19400000000000001"/>
    <n v="1"/>
    <n v="184"/>
    <n v="185"/>
    <n v="25.637899999999988"/>
    <n v="0.15924161490683222"/>
    <n v="161"/>
    <n v="91.120000000000061"/>
    <n v="0.56596273291925503"/>
    <n v="161"/>
    <n v="9026"/>
    <n v="56.062111801242239"/>
    <n v="161"/>
    <s v="4"/>
    <s v="0"/>
    <n v="3"/>
  </r>
  <r>
    <n v="450"/>
    <x v="450"/>
    <n v="0.2273"/>
    <x v="34"/>
    <n v="0.32840000000000003"/>
    <n v="6"/>
    <n v="146"/>
    <n v="152"/>
    <n v="25.380299999999984"/>
    <n v="0.15862687499999989"/>
    <n v="160"/>
    <n v="90.560000000000073"/>
    <n v="0.5660000000000005"/>
    <n v="160"/>
    <n v="8841"/>
    <n v="55.256250000000001"/>
    <n v="160"/>
    <s v="4"/>
    <s v="1"/>
    <n v="3"/>
  </r>
  <r>
    <n v="451"/>
    <x v="451"/>
    <n v="0.2424"/>
    <x v="54"/>
    <n v="0.28360000000000002"/>
    <n v="2"/>
    <n v="124"/>
    <n v="126"/>
    <n v="25.152999999999988"/>
    <n v="0.15819496855345905"/>
    <n v="159"/>
    <n v="90.000000000000057"/>
    <n v="0.56603773584905692"/>
    <n v="159"/>
    <n v="8689"/>
    <n v="54.647798742138363"/>
    <n v="159"/>
    <s v="4"/>
    <s v="2"/>
    <n v="3"/>
  </r>
  <r>
    <n v="452"/>
    <x v="452"/>
    <n v="0.2273"/>
    <x v="54"/>
    <n v="0.25369999999999998"/>
    <n v="3"/>
    <n v="54"/>
    <n v="57"/>
    <n v="24.910599999999988"/>
    <n v="0.15766202531645562"/>
    <n v="158"/>
    <n v="89.400000000000048"/>
    <n v="0.56582278481012693"/>
    <n v="158"/>
    <n v="8563"/>
    <n v="54.196202531645568"/>
    <n v="158"/>
    <s v="4"/>
    <s v="3"/>
    <n v="3"/>
  </r>
  <r>
    <n v="453"/>
    <x v="453"/>
    <n v="0.21210000000000001"/>
    <x v="55"/>
    <n v="0.28360000000000002"/>
    <n v="0"/>
    <n v="56"/>
    <n v="56"/>
    <n v="24.683299999999988"/>
    <n v="0.15721847133757955"/>
    <n v="157"/>
    <n v="88.800000000000054"/>
    <n v="0.56560509554140159"/>
    <n v="157"/>
    <n v="8506"/>
    <n v="54.178343949044589"/>
    <n v="157"/>
    <s v="4"/>
    <s v="4"/>
    <n v="3"/>
  </r>
  <r>
    <n v="454"/>
    <x v="454"/>
    <n v="0.21210000000000001"/>
    <x v="55"/>
    <n v="0.32840000000000003"/>
    <n v="3"/>
    <n v="28"/>
    <n v="31"/>
    <n v="24.471199999999989"/>
    <n v="0.1568666666666666"/>
    <n v="156"/>
    <n v="88.150000000000034"/>
    <n v="0.56506410256410278"/>
    <n v="156"/>
    <n v="8450"/>
    <n v="54.166666666666664"/>
    <n v="156"/>
    <s v="4"/>
    <s v="5"/>
    <n v="3"/>
  </r>
  <r>
    <n v="455"/>
    <x v="455"/>
    <n v="0.2273"/>
    <x v="56"/>
    <n v="0.25369999999999998"/>
    <n v="1"/>
    <n v="20"/>
    <n v="21"/>
    <n v="24.259099999999982"/>
    <n v="0.15651032258064504"/>
    <n v="155"/>
    <n v="87.500000000000028"/>
    <n v="0.56451612903225823"/>
    <n v="155"/>
    <n v="8419"/>
    <n v="54.316129032258061"/>
    <n v="155"/>
    <s v="4"/>
    <s v="6"/>
    <n v="3"/>
  </r>
  <r>
    <n v="456"/>
    <x v="456"/>
    <n v="0.2273"/>
    <x v="56"/>
    <n v="0.25369999999999998"/>
    <n v="0"/>
    <n v="6"/>
    <n v="6"/>
    <n v="24.031799999999983"/>
    <n v="0.15605064935064925"/>
    <n v="154"/>
    <n v="86.80000000000004"/>
    <n v="0.56363636363636394"/>
    <n v="154"/>
    <n v="8398"/>
    <n v="54.532467532467535"/>
    <n v="154"/>
    <s v="4"/>
    <s v="7"/>
    <n v="3"/>
  </r>
  <r>
    <n v="457"/>
    <x v="457"/>
    <n v="0.2424"/>
    <x v="2"/>
    <n v="0.16420000000000001"/>
    <n v="0"/>
    <n v="2"/>
    <n v="2"/>
    <n v="23.804499999999983"/>
    <n v="0.15558496732026134"/>
    <n v="153"/>
    <n v="86.100000000000037"/>
    <n v="0.56274509803921591"/>
    <n v="153"/>
    <n v="8392"/>
    <n v="54.849673202614376"/>
    <n v="153"/>
    <s v="4"/>
    <s v="8"/>
    <n v="3"/>
  </r>
  <r>
    <n v="458"/>
    <x v="458"/>
    <n v="0.21210000000000001"/>
    <x v="1"/>
    <n v="0.29849999999999999"/>
    <n v="0"/>
    <n v="1"/>
    <n v="1"/>
    <n v="23.562099999999983"/>
    <n v="0.15501381578947357"/>
    <n v="152"/>
    <n v="85.350000000000023"/>
    <n v="0.56151315789473699"/>
    <n v="152"/>
    <n v="8390"/>
    <n v="55.19736842105263"/>
    <n v="152"/>
    <s v="4"/>
    <s v="9"/>
    <n v="3"/>
  </r>
  <r>
    <n v="459"/>
    <x v="459"/>
    <n v="0.2576"/>
    <x v="9"/>
    <n v="8.9599999999999999E-2"/>
    <n v="0"/>
    <n v="1"/>
    <n v="1"/>
    <n v="23.349999999999984"/>
    <n v="0.15463576158940387"/>
    <n v="151"/>
    <n v="84.550000000000011"/>
    <n v="0.55993377483443718"/>
    <n v="151"/>
    <n v="8389"/>
    <n v="55.556291390728475"/>
    <n v="151"/>
    <s v="4"/>
    <s v="0"/>
    <n v="3"/>
  </r>
  <r>
    <n v="460"/>
    <x v="460"/>
    <n v="0.19700000000000001"/>
    <x v="54"/>
    <n v="0.41789999999999999"/>
    <n v="1"/>
    <n v="4"/>
    <n v="5"/>
    <n v="23.092399999999987"/>
    <n v="0.15394933333333324"/>
    <n v="150"/>
    <n v="83.68"/>
    <n v="0.55786666666666673"/>
    <n v="150"/>
    <n v="8388"/>
    <n v="55.92"/>
    <n v="150"/>
    <s v="4"/>
    <s v="1"/>
    <n v="3"/>
  </r>
  <r>
    <n v="461"/>
    <x v="461"/>
    <n v="0.21210000000000001"/>
    <x v="28"/>
    <n v="0.25369999999999998"/>
    <n v="0"/>
    <n v="27"/>
    <n v="27"/>
    <n v="22.895399999999988"/>
    <n v="0.15366040268456369"/>
    <n v="149"/>
    <n v="83.080000000000013"/>
    <n v="0.55758389261744978"/>
    <n v="149"/>
    <n v="8383"/>
    <n v="56.261744966442954"/>
    <n v="149"/>
    <s v="4"/>
    <s v="2"/>
    <n v="3"/>
  </r>
  <r>
    <n v="462"/>
    <x v="462"/>
    <n v="0.18179999999999999"/>
    <x v="33"/>
    <n v="0.28360000000000002"/>
    <n v="2"/>
    <n v="66"/>
    <n v="68"/>
    <n v="22.683299999999985"/>
    <n v="0.15326554054054045"/>
    <n v="148"/>
    <n v="82.53"/>
    <n v="0.55763513513513518"/>
    <n v="148"/>
    <n v="8356"/>
    <n v="56.45945945945946"/>
    <n v="148"/>
    <s v="4"/>
    <s v="3"/>
    <n v="3"/>
  </r>
  <r>
    <n v="463"/>
    <x v="463"/>
    <n v="0.18179999999999999"/>
    <x v="19"/>
    <n v="0.32840000000000003"/>
    <n v="7"/>
    <n v="210"/>
    <n v="217"/>
    <n v="22.501499999999986"/>
    <n v="0.15307142857142847"/>
    <n v="147"/>
    <n v="82.02"/>
    <n v="0.55795918367346931"/>
    <n v="147"/>
    <n v="8288"/>
    <n v="56.38095238095238"/>
    <n v="147"/>
    <s v="4"/>
    <s v="4"/>
    <n v="3"/>
  </r>
  <r>
    <n v="464"/>
    <x v="464"/>
    <n v="0.18179999999999999"/>
    <x v="33"/>
    <n v="0.35820000000000002"/>
    <n v="7"/>
    <n v="159"/>
    <n v="166"/>
    <n v="22.319699999999987"/>
    <n v="0.15287465753424648"/>
    <n v="146"/>
    <n v="81.55"/>
    <n v="0.55856164383561646"/>
    <n v="146"/>
    <n v="8071"/>
    <n v="55.280821917808218"/>
    <n v="146"/>
    <s v="4"/>
    <s v="5"/>
    <n v="3"/>
  </r>
  <r>
    <n v="465"/>
    <x v="465"/>
    <n v="0.16669999999999999"/>
    <x v="19"/>
    <n v="0.4627"/>
    <n v="6"/>
    <n v="57"/>
    <n v="63"/>
    <n v="22.137899999999984"/>
    <n v="0.152675172413793"/>
    <n v="145"/>
    <n v="81.040000000000006"/>
    <n v="0.55889655172413799"/>
    <n v="145"/>
    <n v="7905"/>
    <n v="54.517241379310342"/>
    <n v="145"/>
    <s v="4"/>
    <s v="6"/>
    <n v="3"/>
  </r>
  <r>
    <n v="466"/>
    <x v="466"/>
    <n v="0.18179999999999999"/>
    <x v="48"/>
    <n v="0.4627"/>
    <n v="6"/>
    <n v="53"/>
    <n v="59"/>
    <n v="21.971199999999985"/>
    <n v="0.15257777777777767"/>
    <n v="144"/>
    <n v="80.569999999999993"/>
    <n v="0.55951388888888887"/>
    <n v="144"/>
    <n v="7842"/>
    <n v="54.458333333333336"/>
    <n v="144"/>
    <s v="4"/>
    <s v="7"/>
    <n v="3"/>
  </r>
  <r>
    <n v="467"/>
    <x v="467"/>
    <n v="0.18179999999999999"/>
    <x v="57"/>
    <n v="0.58209999999999995"/>
    <n v="11"/>
    <n v="67"/>
    <n v="78"/>
    <n v="21.789399999999986"/>
    <n v="0.15237342657342648"/>
    <n v="143"/>
    <n v="80.16"/>
    <n v="0.56055944055944051"/>
    <n v="143"/>
    <n v="7783"/>
    <n v="54.426573426573427"/>
    <n v="143"/>
    <s v="4"/>
    <s v="8"/>
    <n v="3"/>
  </r>
  <r>
    <n v="468"/>
    <x v="468"/>
    <n v="0.1515"/>
    <x v="58"/>
    <n v="0.58209999999999995"/>
    <n v="8"/>
    <n v="65"/>
    <n v="73"/>
    <n v="21.607599999999987"/>
    <n v="0.15216619718309851"/>
    <n v="142"/>
    <n v="79.89"/>
    <n v="0.56260563380281692"/>
    <n v="142"/>
    <n v="7705"/>
    <n v="54.260563380281688"/>
    <n v="142"/>
    <s v="4"/>
    <s v="9"/>
    <n v="3"/>
  </r>
  <r>
    <n v="469"/>
    <x v="469"/>
    <n v="0.1515"/>
    <x v="59"/>
    <n v="0.52239999999999998"/>
    <n v="6"/>
    <n v="56"/>
    <n v="62"/>
    <n v="21.456099999999985"/>
    <n v="0.1521709219858155"/>
    <n v="141"/>
    <n v="79.679999999999993"/>
    <n v="0.5651063829787234"/>
    <n v="141"/>
    <n v="7632"/>
    <n v="54.127659574468083"/>
    <n v="141"/>
    <s v="4"/>
    <s v="0"/>
    <n v="3"/>
  </r>
  <r>
    <n v="470"/>
    <x v="470"/>
    <n v="0.1212"/>
    <x v="60"/>
    <n v="0.44779999999999998"/>
    <n v="4"/>
    <n v="61"/>
    <n v="65"/>
    <n v="21.304599999999986"/>
    <n v="0.15217571428571419"/>
    <n v="140"/>
    <n v="79.429999999999993"/>
    <n v="0.56735714285714278"/>
    <n v="140"/>
    <n v="7570"/>
    <n v="54.071428571428569"/>
    <n v="140"/>
    <s v="4"/>
    <s v="1"/>
    <n v="3"/>
  </r>
  <r>
    <n v="471"/>
    <x v="471"/>
    <n v="0.13639999999999999"/>
    <x v="60"/>
    <n v="0.35820000000000002"/>
    <n v="0"/>
    <n v="97"/>
    <n v="97"/>
    <n v="21.183399999999988"/>
    <n v="0.15239856115107905"/>
    <n v="139"/>
    <n v="79.169999999999987"/>
    <n v="0.5695683453237409"/>
    <n v="139"/>
    <n v="7505"/>
    <n v="53.992805755395686"/>
    <n v="139"/>
    <s v="4"/>
    <s v="2"/>
    <n v="3"/>
  </r>
  <r>
    <n v="472"/>
    <x v="472"/>
    <n v="0.1212"/>
    <x v="40"/>
    <n v="0.35820000000000002"/>
    <n v="10"/>
    <n v="151"/>
    <n v="161"/>
    <n v="21.046999999999986"/>
    <n v="0.15251449275362308"/>
    <n v="138"/>
    <n v="78.909999999999982"/>
    <n v="0.5718115942028984"/>
    <n v="138"/>
    <n v="7408"/>
    <n v="53.681159420289852"/>
    <n v="138"/>
    <s v="4"/>
    <s v="3"/>
    <n v="3"/>
  </r>
  <r>
    <n v="473"/>
    <x v="473"/>
    <n v="0.1212"/>
    <x v="24"/>
    <n v="0.25369999999999998"/>
    <n v="1"/>
    <n v="119"/>
    <n v="120"/>
    <n v="20.925799999999988"/>
    <n v="0.15274306569343057"/>
    <n v="137"/>
    <n v="78.63"/>
    <n v="0.573941605839416"/>
    <n v="137"/>
    <n v="7247"/>
    <n v="52.897810218978101"/>
    <n v="137"/>
    <s v="4"/>
    <s v="4"/>
    <n v="3"/>
  </r>
  <r>
    <n v="474"/>
    <x v="474"/>
    <n v="0.1061"/>
    <x v="24"/>
    <n v="0.32840000000000003"/>
    <n v="3"/>
    <n v="93"/>
    <n v="96"/>
    <n v="20.80459999999999"/>
    <n v="0.15297499999999992"/>
    <n v="136"/>
    <n v="78.33"/>
    <n v="0.57595588235294115"/>
    <n v="136"/>
    <n v="7127"/>
    <n v="52.404411764705884"/>
    <n v="136"/>
    <s v="4"/>
    <s v="5"/>
    <n v="3"/>
  </r>
  <r>
    <n v="475"/>
    <x v="475"/>
    <n v="7.5800000000000006E-2"/>
    <x v="39"/>
    <n v="0.41789999999999999"/>
    <n v="1"/>
    <n v="52"/>
    <n v="53"/>
    <n v="20.698499999999989"/>
    <n v="0.15332222222222214"/>
    <n v="135"/>
    <n v="78.03"/>
    <n v="0.57799999999999996"/>
    <n v="135"/>
    <n v="7031"/>
    <n v="52.081481481481482"/>
    <n v="135"/>
    <s v="4"/>
    <s v="6"/>
    <n v="3"/>
  </r>
  <r>
    <n v="476"/>
    <x v="476"/>
    <n v="7.5800000000000006E-2"/>
    <x v="41"/>
    <n v="0.28360000000000002"/>
    <n v="0"/>
    <n v="41"/>
    <n v="41"/>
    <n v="20.622699999999988"/>
    <n v="0.15390074626865663"/>
    <n v="134"/>
    <n v="77.7"/>
    <n v="0.57985074626865674"/>
    <n v="134"/>
    <n v="6978"/>
    <n v="52.07462686567164"/>
    <n v="134"/>
    <s v="4"/>
    <s v="7"/>
    <n v="3"/>
  </r>
  <r>
    <n v="477"/>
    <x v="477"/>
    <n v="3.0300000000000001E-2"/>
    <x v="48"/>
    <n v="0.3881"/>
    <n v="1"/>
    <n v="33"/>
    <n v="34"/>
    <n v="20.546899999999987"/>
    <n v="0.15448796992481192"/>
    <n v="133"/>
    <n v="77.320000000000007"/>
    <n v="0.58135338345864662"/>
    <n v="133"/>
    <n v="6937"/>
    <n v="52.157894736842103"/>
    <n v="133"/>
    <s v="4"/>
    <s v="8"/>
    <n v="3"/>
  </r>
  <r>
    <n v="478"/>
    <x v="478"/>
    <n v="4.5499999999999999E-2"/>
    <x v="41"/>
    <n v="0.32840000000000003"/>
    <n v="0"/>
    <n v="27"/>
    <n v="27"/>
    <n v="20.516599999999986"/>
    <n v="0.15542878787878778"/>
    <n v="132"/>
    <n v="76.910000000000011"/>
    <n v="0.58265151515151525"/>
    <n v="132"/>
    <n v="6903"/>
    <n v="52.295454545454547"/>
    <n v="132"/>
    <s v="4"/>
    <s v="9"/>
    <n v="3"/>
  </r>
  <r>
    <n v="479"/>
    <x v="479"/>
    <n v="3.0300000000000001E-2"/>
    <x v="49"/>
    <n v="0.25369999999999998"/>
    <n v="0"/>
    <n v="13"/>
    <n v="13"/>
    <n v="20.471099999999989"/>
    <n v="0.15626793893129762"/>
    <n v="131"/>
    <n v="76.530000000000015"/>
    <n v="0.5841984732824429"/>
    <n v="131"/>
    <n v="6876"/>
    <n v="52.488549618320612"/>
    <n v="131"/>
    <s v="4"/>
    <s v="0"/>
    <n v="3"/>
  </r>
  <r>
    <n v="480"/>
    <x v="480"/>
    <n v="0"/>
    <x v="48"/>
    <n v="0.3881"/>
    <n v="3"/>
    <n v="9"/>
    <n v="12"/>
    <n v="20.440799999999989"/>
    <n v="0.157236923076923"/>
    <n v="130"/>
    <n v="76.080000000000013"/>
    <n v="0.58523076923076933"/>
    <n v="130"/>
    <n v="6863"/>
    <n v="52.792307692307695"/>
    <n v="130"/>
    <s v="4"/>
    <s v="1"/>
    <n v="3"/>
  </r>
  <r>
    <n v="481"/>
    <x v="481"/>
    <n v="3.0300000000000001E-2"/>
    <x v="48"/>
    <n v="0.25369999999999998"/>
    <n v="0"/>
    <n v="11"/>
    <n v="11"/>
    <n v="20.440799999999989"/>
    <n v="0.15845581395348829"/>
    <n v="129"/>
    <n v="75.670000000000016"/>
    <n v="0.58658914728682188"/>
    <n v="129"/>
    <n v="6851"/>
    <n v="53.108527131782942"/>
    <n v="129"/>
    <s v="4"/>
    <s v="2"/>
    <n v="3"/>
  </r>
  <r>
    <n v="482"/>
    <x v="482"/>
    <n v="3.0300000000000001E-2"/>
    <x v="48"/>
    <n v="0.28360000000000002"/>
    <n v="1"/>
    <n v="6"/>
    <n v="7"/>
    <n v="20.410499999999988"/>
    <n v="0.15945703124999991"/>
    <n v="128"/>
    <n v="75.260000000000005"/>
    <n v="0.58796875000000004"/>
    <n v="128"/>
    <n v="6840"/>
    <n v="53.4375"/>
    <n v="128"/>
    <s v="4"/>
    <s v="3"/>
    <n v="3"/>
  </r>
  <r>
    <n v="483"/>
    <x v="483"/>
    <n v="1.52E-2"/>
    <x v="37"/>
    <n v="0.29849999999999999"/>
    <n v="0"/>
    <n v="3"/>
    <n v="3"/>
    <n v="20.380199999999988"/>
    <n v="0.16047401574803141"/>
    <n v="127"/>
    <n v="74.849999999999994"/>
    <n v="0.58937007874015745"/>
    <n v="127"/>
    <n v="6833"/>
    <n v="53.803149606299215"/>
    <n v="127"/>
    <s v="4"/>
    <s v="4"/>
    <n v="3"/>
  </r>
  <r>
    <n v="484"/>
    <x v="484"/>
    <n v="3.0300000000000001E-2"/>
    <x v="18"/>
    <n v="0.22389999999999999"/>
    <n v="0"/>
    <n v="2"/>
    <n v="2"/>
    <n v="20.364999999999988"/>
    <n v="0.16162698412698404"/>
    <n v="126"/>
    <n v="74.37"/>
    <n v="0.59023809523809523"/>
    <n v="126"/>
    <n v="6830"/>
    <n v="54.206349206349209"/>
    <n v="126"/>
    <s v="4"/>
    <s v="5"/>
    <n v="3"/>
  </r>
  <r>
    <n v="485"/>
    <x v="485"/>
    <n v="1.52E-2"/>
    <x v="18"/>
    <n v="0.28360000000000002"/>
    <n v="0"/>
    <n v="8"/>
    <n v="8"/>
    <n v="20.334699999999987"/>
    <n v="0.16267759999999989"/>
    <n v="125"/>
    <n v="73.930000000000007"/>
    <n v="0.59144000000000008"/>
    <n v="125"/>
    <n v="6828"/>
    <n v="54.624000000000002"/>
    <n v="125"/>
    <s v="4"/>
    <s v="6"/>
    <n v="3"/>
  </r>
  <r>
    <n v="486"/>
    <x v="486"/>
    <n v="0"/>
    <x v="18"/>
    <n v="0.32840000000000003"/>
    <n v="1"/>
    <n v="26"/>
    <n v="27"/>
    <n v="20.319499999999987"/>
    <n v="0.16386693548387085"/>
    <n v="124"/>
    <n v="73.490000000000009"/>
    <n v="0.59266129032258075"/>
    <n v="124"/>
    <n v="6820"/>
    <n v="55"/>
    <n v="124"/>
    <s v="4"/>
    <s v="7"/>
    <n v="3"/>
  </r>
  <r>
    <n v="487"/>
    <x v="487"/>
    <n v="3.0300000000000001E-2"/>
    <x v="48"/>
    <n v="0.25369999999999998"/>
    <n v="3"/>
    <n v="37"/>
    <n v="40"/>
    <n v="20.319499999999987"/>
    <n v="0.16519918699186981"/>
    <n v="123"/>
    <n v="73.05"/>
    <n v="0.59390243902439022"/>
    <n v="123"/>
    <n v="6793"/>
    <n v="55.227642276422763"/>
    <n v="123"/>
    <s v="4"/>
    <s v="8"/>
    <n v="3"/>
  </r>
  <r>
    <n v="488"/>
    <x v="488"/>
    <n v="6.0600000000000001E-2"/>
    <x v="48"/>
    <n v="0.16420000000000001"/>
    <n v="3"/>
    <n v="50"/>
    <n v="53"/>
    <n v="20.289199999999987"/>
    <n v="0.16630491803278677"/>
    <n v="122"/>
    <n v="72.64"/>
    <n v="0.59540983606557374"/>
    <n v="122"/>
    <n v="6753"/>
    <n v="55.352459016393439"/>
    <n v="122"/>
    <s v="4"/>
    <s v="9"/>
    <n v="3"/>
  </r>
  <r>
    <n v="489"/>
    <x v="489"/>
    <n v="7.5800000000000006E-2"/>
    <x v="41"/>
    <n v="0.1343"/>
    <n v="4"/>
    <n v="59"/>
    <n v="63"/>
    <n v="20.228599999999989"/>
    <n v="0.16717851239669412"/>
    <n v="121"/>
    <n v="72.23"/>
    <n v="0.59694214876033058"/>
    <n v="121"/>
    <n v="6700"/>
    <n v="55.371900826446279"/>
    <n v="121"/>
    <s v="4"/>
    <s v="0"/>
    <n v="3"/>
  </r>
  <r>
    <n v="490"/>
    <x v="490"/>
    <n v="0.1061"/>
    <x v="41"/>
    <n v="0.1045"/>
    <n v="10"/>
    <n v="60"/>
    <n v="70"/>
    <n v="20.152799999999989"/>
    <n v="0.16793999999999989"/>
    <n v="120"/>
    <n v="71.849999999999994"/>
    <n v="0.59875"/>
    <n v="120"/>
    <n v="6637"/>
    <n v="55.30833333333333"/>
    <n v="120"/>
    <s v="4"/>
    <s v="1"/>
    <n v="3"/>
  </r>
  <r>
    <n v="491"/>
    <x v="491"/>
    <n v="0.16669999999999999"/>
    <x v="23"/>
    <n v="0"/>
    <n v="12"/>
    <n v="72"/>
    <n v="84"/>
    <n v="20.046699999999987"/>
    <n v="0.16845966386554612"/>
    <n v="119"/>
    <n v="71.47"/>
    <n v="0.60058823529411764"/>
    <n v="119"/>
    <n v="6567"/>
    <n v="55.184873949579831"/>
    <n v="119"/>
    <s v="4"/>
    <s v="2"/>
    <n v="3"/>
  </r>
  <r>
    <n v="492"/>
    <x v="492"/>
    <n v="0.13639999999999999"/>
    <x v="39"/>
    <n v="0.1045"/>
    <n v="11"/>
    <n v="64"/>
    <n v="75"/>
    <n v="19.879999999999988"/>
    <n v="0.16847457627118634"/>
    <n v="118"/>
    <n v="71.11999999999999"/>
    <n v="0.6027118644067796"/>
    <n v="118"/>
    <n v="6483"/>
    <n v="54.940677966101696"/>
    <n v="118"/>
    <s v="4"/>
    <s v="3"/>
    <n v="3"/>
  </r>
  <r>
    <n v="493"/>
    <x v="493"/>
    <n v="0.1515"/>
    <x v="40"/>
    <n v="0"/>
    <n v="10"/>
    <n v="93"/>
    <n v="103"/>
    <n v="19.743599999999986"/>
    <n v="0.16874871794871785"/>
    <n v="117"/>
    <n v="70.789999999999992"/>
    <n v="0.60504273504273498"/>
    <n v="117"/>
    <n v="6408"/>
    <n v="54.769230769230766"/>
    <n v="117"/>
    <s v="4"/>
    <s v="4"/>
    <n v="3"/>
  </r>
  <r>
    <n v="494"/>
    <x v="494"/>
    <n v="0.13639999999999999"/>
    <x v="40"/>
    <n v="0.19400000000000001"/>
    <n v="11"/>
    <n v="72"/>
    <n v="83"/>
    <n v="19.592099999999984"/>
    <n v="0.1688974137931033"/>
    <n v="116"/>
    <n v="70.509999999999991"/>
    <n v="0.60784482758620684"/>
    <n v="116"/>
    <n v="6305"/>
    <n v="54.353448275862071"/>
    <n v="116"/>
    <s v="4"/>
    <s v="5"/>
    <n v="3"/>
  </r>
  <r>
    <n v="495"/>
    <x v="495"/>
    <n v="0.19700000000000001"/>
    <x v="40"/>
    <n v="0"/>
    <n v="8"/>
    <n v="59"/>
    <n v="67"/>
    <n v="19.455699999999986"/>
    <n v="0.16917999999999989"/>
    <n v="115"/>
    <n v="70.22999999999999"/>
    <n v="0.61069565217391297"/>
    <n v="115"/>
    <n v="6222"/>
    <n v="54.104347826086958"/>
    <n v="115"/>
    <s v="4"/>
    <s v="6"/>
    <n v="3"/>
  </r>
  <r>
    <n v="496"/>
    <x v="496"/>
    <n v="9.0899999999999995E-2"/>
    <x v="23"/>
    <n v="0.19400000000000001"/>
    <n v="0"/>
    <n v="54"/>
    <n v="54"/>
    <n v="19.258699999999983"/>
    <n v="0.16893596491228055"/>
    <n v="114"/>
    <n v="69.95"/>
    <n v="0.61359649122807025"/>
    <n v="114"/>
    <n v="6155"/>
    <n v="53.991228070175438"/>
    <n v="114"/>
    <s v="4"/>
    <s v="7"/>
    <n v="3"/>
  </r>
  <r>
    <n v="497"/>
    <x v="497"/>
    <n v="0.1061"/>
    <x v="23"/>
    <n v="0.1343"/>
    <n v="6"/>
    <n v="53"/>
    <n v="59"/>
    <n v="19.167799999999986"/>
    <n v="0.16962654867256624"/>
    <n v="113"/>
    <n v="69.599999999999994"/>
    <n v="0.61592920353982294"/>
    <n v="113"/>
    <n v="6101"/>
    <n v="53.991150442477874"/>
    <n v="113"/>
    <s v="4"/>
    <s v="8"/>
    <n v="3"/>
  </r>
  <r>
    <n v="498"/>
    <x v="498"/>
    <n v="7.5800000000000006E-2"/>
    <x v="49"/>
    <n v="0.16420000000000001"/>
    <n v="1"/>
    <n v="44"/>
    <n v="45"/>
    <n v="19.061699999999984"/>
    <n v="0.17019374999999987"/>
    <n v="112"/>
    <n v="69.249999999999986"/>
    <n v="0.61830357142857129"/>
    <n v="112"/>
    <n v="6042"/>
    <n v="53.946428571428569"/>
    <n v="112"/>
    <s v="4"/>
    <s v="9"/>
    <n v="3"/>
  </r>
  <r>
    <n v="499"/>
    <x v="499"/>
    <n v="0.1061"/>
    <x v="48"/>
    <n v="8.9599999999999999E-2"/>
    <n v="0"/>
    <n v="39"/>
    <n v="39"/>
    <n v="18.985899999999987"/>
    <n v="0.17104414414414401"/>
    <n v="111"/>
    <n v="68.799999999999983"/>
    <n v="0.61981981981981971"/>
    <n v="111"/>
    <n v="5997"/>
    <n v="54.027027027027025"/>
    <n v="111"/>
    <s v="5"/>
    <s v="0"/>
    <n v="3"/>
  </r>
  <r>
    <n v="500"/>
    <x v="500"/>
    <n v="0.1515"/>
    <x v="36"/>
    <n v="0"/>
    <n v="7"/>
    <n v="23"/>
    <n v="30"/>
    <n v="18.879799999999985"/>
    <n v="0.17163454545454532"/>
    <n v="110"/>
    <n v="68.389999999999972"/>
    <n v="0.62172727272727246"/>
    <n v="110"/>
    <n v="5958"/>
    <n v="54.163636363636364"/>
    <n v="110"/>
    <s v="5"/>
    <s v="1"/>
    <n v="3"/>
  </r>
  <r>
    <n v="501"/>
    <x v="501"/>
    <n v="7.5800000000000006E-2"/>
    <x v="14"/>
    <n v="0.1045"/>
    <n v="2"/>
    <n v="31"/>
    <n v="33"/>
    <n v="18.728299999999987"/>
    <n v="0.17181926605504574"/>
    <n v="109"/>
    <n v="67.899999999999977"/>
    <n v="0.6229357798165136"/>
    <n v="109"/>
    <n v="5928"/>
    <n v="54.38532110091743"/>
    <n v="109"/>
    <s v="5"/>
    <s v="2"/>
    <n v="3"/>
  </r>
  <r>
    <n v="502"/>
    <x v="502"/>
    <n v="7.5800000000000006E-2"/>
    <x v="14"/>
    <n v="0.1045"/>
    <n v="2"/>
    <n v="20"/>
    <n v="22"/>
    <n v="18.652499999999986"/>
    <n v="0.17270833333333321"/>
    <n v="108"/>
    <n v="67.32999999999997"/>
    <n v="0.62342592592592561"/>
    <n v="108"/>
    <n v="5895"/>
    <n v="54.583333333333336"/>
    <n v="108"/>
    <s v="5"/>
    <s v="3"/>
    <n v="3"/>
  </r>
  <r>
    <n v="503"/>
    <x v="503"/>
    <n v="7.5800000000000006E-2"/>
    <x v="14"/>
    <n v="0.1045"/>
    <n v="1"/>
    <n v="12"/>
    <n v="13"/>
    <n v="18.576699999999985"/>
    <n v="0.17361401869158863"/>
    <n v="107"/>
    <n v="66.759999999999962"/>
    <n v="0.62392523364485941"/>
    <n v="107"/>
    <n v="5873"/>
    <n v="54.887850467289717"/>
    <n v="107"/>
    <s v="5"/>
    <s v="4"/>
    <n v="3"/>
  </r>
  <r>
    <n v="504"/>
    <x v="504"/>
    <n v="6.0600000000000001E-2"/>
    <x v="51"/>
    <n v="0.1343"/>
    <n v="3"/>
    <n v="15"/>
    <n v="18"/>
    <n v="18.500899999999987"/>
    <n v="0.17453679245283008"/>
    <n v="106"/>
    <n v="66.189999999999969"/>
    <n v="0.6244339622641506"/>
    <n v="106"/>
    <n v="5860"/>
    <n v="55.283018867924525"/>
    <n v="106"/>
    <s v="5"/>
    <s v="5"/>
    <n v="3"/>
  </r>
  <r>
    <n v="505"/>
    <x v="505"/>
    <n v="6.0600000000000001E-2"/>
    <x v="51"/>
    <n v="0.1343"/>
    <n v="1"/>
    <n v="4"/>
    <n v="5"/>
    <n v="18.440299999999986"/>
    <n v="0.17562190476190465"/>
    <n v="105"/>
    <n v="65.569999999999965"/>
    <n v="0.62447619047619018"/>
    <n v="105"/>
    <n v="5842"/>
    <n v="55.638095238095239"/>
    <n v="105"/>
    <s v="5"/>
    <s v="6"/>
    <n v="3"/>
  </r>
  <r>
    <n v="506"/>
    <x v="506"/>
    <n v="7.5800000000000006E-2"/>
    <x v="14"/>
    <n v="0.1045"/>
    <n v="0"/>
    <n v="3"/>
    <n v="3"/>
    <n v="18.379699999999985"/>
    <n v="0.17672788461538447"/>
    <n v="104"/>
    <n v="64.94999999999996"/>
    <n v="0.62451923076923044"/>
    <n v="104"/>
    <n v="5837"/>
    <n v="56.125"/>
    <n v="104"/>
    <s v="5"/>
    <s v="7"/>
    <n v="3"/>
  </r>
  <r>
    <n v="507"/>
    <x v="507"/>
    <n v="7.5800000000000006E-2"/>
    <x v="14"/>
    <n v="0.1045"/>
    <n v="0"/>
    <n v="1"/>
    <n v="1"/>
    <n v="18.303899999999985"/>
    <n v="0.17770776699029112"/>
    <n v="103"/>
    <n v="64.379999999999967"/>
    <n v="0.62504854368932006"/>
    <n v="103"/>
    <n v="5834"/>
    <n v="56.640776699029125"/>
    <n v="103"/>
    <s v="5"/>
    <s v="8"/>
    <n v="3"/>
  </r>
  <r>
    <n v="508"/>
    <x v="508"/>
    <n v="0.1061"/>
    <x v="52"/>
    <n v="0.16420000000000001"/>
    <n v="1"/>
    <n v="1"/>
    <n v="2"/>
    <n v="18.228099999999987"/>
    <n v="0.17870686274509792"/>
    <n v="102"/>
    <n v="63.80999999999996"/>
    <n v="0.62558823529411722"/>
    <n v="102"/>
    <n v="5833"/>
    <n v="57.186274509803923"/>
    <n v="102"/>
    <s v="5"/>
    <s v="9"/>
    <n v="3"/>
  </r>
  <r>
    <n v="509"/>
    <x v="509"/>
    <n v="7.5800000000000006E-2"/>
    <x v="51"/>
    <n v="0.16420000000000001"/>
    <n v="2"/>
    <n v="17"/>
    <n v="19"/>
    <n v="18.121999999999986"/>
    <n v="0.17942574257425728"/>
    <n v="101"/>
    <n v="63.229999999999968"/>
    <n v="0.62603960396039571"/>
    <n v="101"/>
    <n v="5831"/>
    <n v="57.732673267326732"/>
    <n v="101"/>
    <s v="5"/>
    <s v="0"/>
    <n v="3"/>
  </r>
  <r>
    <n v="510"/>
    <x v="510"/>
    <n v="7.5800000000000006E-2"/>
    <x v="47"/>
    <n v="0.35820000000000002"/>
    <n v="3"/>
    <n v="25"/>
    <n v="28"/>
    <n v="18.046199999999985"/>
    <n v="0.18046199999999984"/>
    <n v="100"/>
    <n v="62.609999999999971"/>
    <n v="0.62609999999999966"/>
    <n v="100"/>
    <n v="5812"/>
    <n v="58.12"/>
    <n v="100"/>
    <s v="5"/>
    <s v="1"/>
    <n v="3"/>
  </r>
  <r>
    <n v="511"/>
    <x v="511"/>
    <n v="0.1061"/>
    <x v="15"/>
    <n v="0.3881"/>
    <n v="7"/>
    <n v="51"/>
    <n v="58"/>
    <n v="17.970399999999984"/>
    <n v="0.18151919191919175"/>
    <n v="99"/>
    <n v="62.069999999999972"/>
    <n v="0.62696969696969673"/>
    <n v="99"/>
    <n v="5784"/>
    <n v="58.424242424242422"/>
    <n v="99"/>
    <s v="5"/>
    <s v="2"/>
    <n v="3"/>
  </r>
  <r>
    <n v="512"/>
    <x v="512"/>
    <n v="0.13639999999999999"/>
    <x v="21"/>
    <n v="0.22389999999999999"/>
    <n v="22"/>
    <n v="77"/>
    <n v="99"/>
    <n v="17.864299999999986"/>
    <n v="0.18228877551020395"/>
    <n v="98"/>
    <n v="61.609999999999971"/>
    <n v="0.62867346938775481"/>
    <n v="98"/>
    <n v="5726"/>
    <n v="58.428571428571431"/>
    <n v="98"/>
    <s v="5"/>
    <s v="3"/>
    <n v="3"/>
  </r>
  <r>
    <n v="513"/>
    <x v="513"/>
    <n v="0.1212"/>
    <x v="38"/>
    <n v="0.4627"/>
    <n v="24"/>
    <n v="92"/>
    <n v="116"/>
    <n v="17.727899999999984"/>
    <n v="0.18276185567010292"/>
    <n v="97"/>
    <n v="61.179999999999971"/>
    <n v="0.6307216494845358"/>
    <n v="97"/>
    <n v="5627"/>
    <n v="58.010309278350519"/>
    <n v="97"/>
    <s v="5"/>
    <s v="4"/>
    <n v="3"/>
  </r>
  <r>
    <n v="514"/>
    <x v="514"/>
    <n v="0.1061"/>
    <x v="39"/>
    <n v="0.3881"/>
    <n v="12"/>
    <n v="75"/>
    <n v="87"/>
    <n v="17.606699999999986"/>
    <n v="0.18340312499999986"/>
    <n v="96"/>
    <n v="60.809999999999967"/>
    <n v="0.63343749999999965"/>
    <n v="96"/>
    <n v="5511"/>
    <n v="57.40625"/>
    <n v="96"/>
    <s v="5"/>
    <s v="5"/>
    <n v="3"/>
  </r>
  <r>
    <n v="515"/>
    <x v="515"/>
    <n v="0.13639999999999999"/>
    <x v="40"/>
    <n v="0.35820000000000002"/>
    <n v="17"/>
    <n v="93"/>
    <n v="110"/>
    <n v="17.500599999999984"/>
    <n v="0.18421684210526298"/>
    <n v="95"/>
    <n v="60.479999999999968"/>
    <n v="0.6366315789473681"/>
    <n v="95"/>
    <n v="5424"/>
    <n v="57.094736842105263"/>
    <n v="95"/>
    <s v="5"/>
    <s v="6"/>
    <n v="3"/>
  </r>
  <r>
    <n v="516"/>
    <x v="516"/>
    <n v="0.13639999999999999"/>
    <x v="40"/>
    <n v="0.35820000000000002"/>
    <n v="13"/>
    <n v="64"/>
    <n v="77"/>
    <n v="17.364199999999986"/>
    <n v="0.18472553191489346"/>
    <n v="94"/>
    <n v="60.199999999999967"/>
    <n v="0.64042553191489326"/>
    <n v="94"/>
    <n v="5314"/>
    <n v="56.531914893617021"/>
    <n v="94"/>
    <s v="5"/>
    <s v="7"/>
    <n v="3"/>
  </r>
  <r>
    <n v="517"/>
    <x v="517"/>
    <n v="0.13639999999999999"/>
    <x v="60"/>
    <n v="0.32840000000000003"/>
    <n v="9"/>
    <n v="56"/>
    <n v="65"/>
    <n v="17.227799999999984"/>
    <n v="0.18524516129032242"/>
    <n v="93"/>
    <n v="59.919999999999966"/>
    <n v="0.64430107526881686"/>
    <n v="93"/>
    <n v="5237"/>
    <n v="56.311827956989248"/>
    <n v="93"/>
    <s v="5"/>
    <s v="8"/>
    <n v="3"/>
  </r>
  <r>
    <n v="518"/>
    <x v="518"/>
    <n v="0.1061"/>
    <x v="60"/>
    <n v="0.3881"/>
    <n v="5"/>
    <n v="50"/>
    <n v="55"/>
    <n v="17.091399999999986"/>
    <n v="0.18577608695652159"/>
    <n v="92"/>
    <n v="59.659999999999968"/>
    <n v="0.64847826086956484"/>
    <n v="92"/>
    <n v="5172"/>
    <n v="56.217391304347828"/>
    <n v="92"/>
    <s v="5"/>
    <s v="9"/>
    <n v="3"/>
  </r>
  <r>
    <n v="519"/>
    <x v="519"/>
    <n v="0.1212"/>
    <x v="24"/>
    <n v="0.25369999999999998"/>
    <n v="5"/>
    <n v="44"/>
    <n v="49"/>
    <n v="16.985299999999985"/>
    <n v="0.18665164835164819"/>
    <n v="91"/>
    <n v="59.39999999999997"/>
    <n v="0.65274725274725243"/>
    <n v="91"/>
    <n v="5117"/>
    <n v="56.230769230769234"/>
    <n v="91"/>
    <s v="5"/>
    <s v="0"/>
    <n v="3"/>
  </r>
  <r>
    <n v="520"/>
    <x v="520"/>
    <n v="0.1212"/>
    <x v="24"/>
    <n v="0.28360000000000002"/>
    <n v="5"/>
    <n v="45"/>
    <n v="50"/>
    <n v="16.864099999999986"/>
    <n v="0.18737888888888873"/>
    <n v="90"/>
    <n v="59.099999999999973"/>
    <n v="0.6566666666666664"/>
    <n v="90"/>
    <n v="5068"/>
    <n v="56.31111111111111"/>
    <n v="90"/>
    <s v="5"/>
    <s v="1"/>
    <n v="3"/>
  </r>
  <r>
    <n v="521"/>
    <x v="521"/>
    <n v="0.1061"/>
    <x v="42"/>
    <n v="0.25369999999999998"/>
    <n v="4"/>
    <n v="31"/>
    <n v="35"/>
    <n v="16.742899999999988"/>
    <n v="0.18812247191011222"/>
    <n v="89"/>
    <n v="58.799999999999969"/>
    <n v="0.66067415730337042"/>
    <n v="89"/>
    <n v="5018"/>
    <n v="56.382022471910112"/>
    <n v="89"/>
    <s v="5"/>
    <s v="2"/>
    <n v="3"/>
  </r>
  <r>
    <n v="522"/>
    <x v="522"/>
    <n v="0.1061"/>
    <x v="42"/>
    <n v="0.19400000000000001"/>
    <n v="5"/>
    <n v="20"/>
    <n v="25"/>
    <n v="16.636799999999987"/>
    <n v="0.18905454545454531"/>
    <n v="88"/>
    <n v="58.439999999999969"/>
    <n v="0.66409090909090873"/>
    <n v="88"/>
    <n v="4983"/>
    <n v="56.625"/>
    <n v="88"/>
    <s v="5"/>
    <s v="3"/>
    <n v="3"/>
  </r>
  <r>
    <n v="523"/>
    <x v="523"/>
    <n v="9.0899999999999995E-2"/>
    <x v="41"/>
    <n v="0.19400000000000001"/>
    <n v="5"/>
    <n v="23"/>
    <n v="28"/>
    <n v="16.530699999999985"/>
    <n v="0.19000804597701132"/>
    <n v="87"/>
    <n v="58.079999999999977"/>
    <n v="0.66758620689655146"/>
    <n v="87"/>
    <n v="4958"/>
    <n v="56.988505747126439"/>
    <n v="87"/>
    <s v="5"/>
    <s v="4"/>
    <n v="3"/>
  </r>
  <r>
    <n v="524"/>
    <x v="524"/>
    <n v="6.0600000000000001E-2"/>
    <x v="48"/>
    <n v="0.22389999999999999"/>
    <n v="4"/>
    <n v="17"/>
    <n v="21"/>
    <n v="16.439799999999984"/>
    <n v="0.19116046511627888"/>
    <n v="86"/>
    <n v="57.699999999999974"/>
    <n v="0.67093023255813922"/>
    <n v="86"/>
    <n v="4930"/>
    <n v="57.325581395348834"/>
    <n v="86"/>
    <s v="5"/>
    <s v="5"/>
    <n v="3"/>
  </r>
  <r>
    <n v="525"/>
    <x v="525"/>
    <n v="6.0600000000000001E-2"/>
    <x v="48"/>
    <n v="0.19400000000000001"/>
    <n v="0"/>
    <n v="7"/>
    <n v="7"/>
    <n v="16.379199999999983"/>
    <n v="0.19269647058823511"/>
    <n v="85"/>
    <n v="57.289999999999978"/>
    <n v="0.67399999999999971"/>
    <n v="85"/>
    <n v="4909"/>
    <n v="57.752941176470586"/>
    <n v="85"/>
    <s v="5"/>
    <s v="6"/>
    <n v="3"/>
  </r>
  <r>
    <n v="526"/>
    <x v="526"/>
    <n v="4.5499999999999999E-2"/>
    <x v="49"/>
    <n v="0.19400000000000001"/>
    <n v="0"/>
    <n v="1"/>
    <n v="1"/>
    <n v="16.318599999999986"/>
    <n v="0.19426904761904745"/>
    <n v="84"/>
    <n v="56.879999999999981"/>
    <n v="0.67714285714285694"/>
    <n v="84"/>
    <n v="4902"/>
    <n v="58.357142857142854"/>
    <n v="84"/>
    <s v="5"/>
    <s v="7"/>
    <n v="3"/>
  </r>
  <r>
    <n v="527"/>
    <x v="527"/>
    <n v="3.0300000000000001E-2"/>
    <x v="49"/>
    <n v="0.25369999999999998"/>
    <n v="0"/>
    <n v="1"/>
    <n v="1"/>
    <n v="16.273099999999985"/>
    <n v="0.19606144578313237"/>
    <n v="83"/>
    <n v="56.429999999999986"/>
    <n v="0.67987951807228897"/>
    <n v="83"/>
    <n v="4901"/>
    <n v="59.048192771084338"/>
    <n v="83"/>
    <s v="5"/>
    <s v="8"/>
    <n v="3"/>
  </r>
  <r>
    <n v="528"/>
    <x v="528"/>
    <n v="6.0600000000000001E-2"/>
    <x v="37"/>
    <n v="0.1343"/>
    <n v="0"/>
    <n v="1"/>
    <n v="1"/>
    <n v="16.242799999999985"/>
    <n v="0.19808292682926812"/>
    <n v="82"/>
    <n v="55.979999999999983"/>
    <n v="0.68268292682926812"/>
    <n v="82"/>
    <n v="4900"/>
    <n v="59.756097560975611"/>
    <n v="82"/>
    <s v="5"/>
    <s v="9"/>
    <n v="3"/>
  </r>
  <r>
    <n v="529"/>
    <x v="529"/>
    <n v="6.0600000000000001E-2"/>
    <x v="37"/>
    <n v="0.1343"/>
    <n v="0"/>
    <n v="5"/>
    <n v="5"/>
    <n v="16.182199999999984"/>
    <n v="0.19978024691358004"/>
    <n v="81"/>
    <n v="55.499999999999979"/>
    <n v="0.6851851851851849"/>
    <n v="81"/>
    <n v="4899"/>
    <n v="60.481481481481481"/>
    <n v="81"/>
    <s v="5"/>
    <s v="0"/>
    <n v="3"/>
  </r>
  <r>
    <n v="530"/>
    <x v="530"/>
    <n v="7.5800000000000006E-2"/>
    <x v="37"/>
    <n v="8.9599999999999999E-2"/>
    <n v="0"/>
    <n v="15"/>
    <n v="15"/>
    <n v="16.121599999999983"/>
    <n v="0.20151999999999978"/>
    <n v="80"/>
    <n v="55.019999999999982"/>
    <n v="0.68774999999999975"/>
    <n v="80"/>
    <n v="4894"/>
    <n v="61.174999999999997"/>
    <n v="80"/>
    <s v="5"/>
    <s v="1"/>
    <n v="3"/>
  </r>
  <r>
    <n v="531"/>
    <x v="531"/>
    <n v="0.1212"/>
    <x v="37"/>
    <n v="0"/>
    <n v="5"/>
    <n v="79"/>
    <n v="84"/>
    <n v="16.045799999999986"/>
    <n v="0.2031113924050631"/>
    <n v="79"/>
    <n v="54.539999999999978"/>
    <n v="0.69037974683544279"/>
    <n v="79"/>
    <n v="4879"/>
    <n v="61.759493670886073"/>
    <n v="79"/>
    <s v="5"/>
    <s v="2"/>
    <n v="3"/>
  </r>
  <r>
    <n v="532"/>
    <x v="532"/>
    <n v="0.13639999999999999"/>
    <x v="36"/>
    <n v="0"/>
    <n v="6"/>
    <n v="171"/>
    <n v="177"/>
    <n v="15.924599999999986"/>
    <n v="0.20416153846153828"/>
    <n v="78"/>
    <n v="54.059999999999981"/>
    <n v="0.69307692307692281"/>
    <n v="78"/>
    <n v="4795"/>
    <n v="61.474358974358971"/>
    <n v="78"/>
    <s v="5"/>
    <s v="3"/>
    <n v="3"/>
  </r>
  <r>
    <n v="533"/>
    <x v="533"/>
    <n v="0.1515"/>
    <x v="48"/>
    <n v="0"/>
    <n v="4"/>
    <n v="98"/>
    <n v="102"/>
    <n v="15.788199999999986"/>
    <n v="0.20504155844155825"/>
    <n v="77"/>
    <n v="53.569999999999979"/>
    <n v="0.6957142857142854"/>
    <n v="77"/>
    <n v="4618"/>
    <n v="59.974025974025977"/>
    <n v="77"/>
    <s v="5"/>
    <s v="4"/>
    <n v="3"/>
  </r>
  <r>
    <n v="534"/>
    <x v="534"/>
    <n v="0.13639999999999999"/>
    <x v="16"/>
    <n v="0"/>
    <n v="6"/>
    <n v="34"/>
    <n v="40"/>
    <n v="15.636699999999985"/>
    <n v="0.20574605263157875"/>
    <n v="76"/>
    <n v="53.159999999999982"/>
    <n v="0.69947368421052614"/>
    <n v="76"/>
    <n v="4516"/>
    <n v="59.421052631578945"/>
    <n v="76"/>
    <s v="5"/>
    <s v="5"/>
    <n v="3"/>
  </r>
  <r>
    <n v="535"/>
    <x v="535"/>
    <n v="0.1212"/>
    <x v="15"/>
    <n v="0.1343"/>
    <n v="3"/>
    <n v="43"/>
    <n v="46"/>
    <n v="15.500299999999985"/>
    <n v="0.20667066666666647"/>
    <n v="75"/>
    <n v="52.739999999999981"/>
    <n v="0.70319999999999971"/>
    <n v="75"/>
    <n v="4476"/>
    <n v="59.68"/>
    <n v="75"/>
    <s v="5"/>
    <s v="6"/>
    <n v="3"/>
  </r>
  <r>
    <n v="536"/>
    <x v="536"/>
    <n v="0.13639999999999999"/>
    <x v="16"/>
    <n v="0.19400000000000001"/>
    <n v="11"/>
    <n v="52"/>
    <n v="63"/>
    <n v="15.379099999999983"/>
    <n v="0.20782567567567545"/>
    <n v="74"/>
    <n v="52.27999999999998"/>
    <n v="0.70648648648648626"/>
    <n v="74"/>
    <n v="4430"/>
    <n v="59.864864864864863"/>
    <n v="74"/>
    <s v="5"/>
    <s v="7"/>
    <n v="3"/>
  </r>
  <r>
    <n v="537"/>
    <x v="537"/>
    <n v="0.13639999999999999"/>
    <x v="21"/>
    <n v="0.22389999999999999"/>
    <n v="6"/>
    <n v="54"/>
    <n v="60"/>
    <n v="15.242699999999983"/>
    <n v="0.20880410958904086"/>
    <n v="73"/>
    <n v="51.859999999999978"/>
    <n v="0.71041095890410932"/>
    <n v="73"/>
    <n v="4367"/>
    <n v="59.821917808219176"/>
    <n v="73"/>
    <s v="5"/>
    <s v="8"/>
    <n v="3"/>
  </r>
  <r>
    <n v="538"/>
    <x v="538"/>
    <n v="0.13639999999999999"/>
    <x v="15"/>
    <n v="0.22389999999999999"/>
    <n v="2"/>
    <n v="43"/>
    <n v="45"/>
    <n v="15.106299999999983"/>
    <n v="0.20980972222222199"/>
    <n v="72"/>
    <n v="51.429999999999978"/>
    <n v="0.7143055555555553"/>
    <n v="72"/>
    <n v="4307"/>
    <n v="59.819444444444443"/>
    <n v="72"/>
    <s v="5"/>
    <s v="9"/>
    <n v="3"/>
  </r>
  <r>
    <n v="539"/>
    <x v="539"/>
    <n v="0.16669999999999999"/>
    <x v="22"/>
    <n v="0.16420000000000001"/>
    <n v="7"/>
    <n v="50"/>
    <n v="57"/>
    <n v="14.969899999999983"/>
    <n v="0.21084366197183074"/>
    <n v="71"/>
    <n v="50.969999999999978"/>
    <n v="0.71788732394366161"/>
    <n v="71"/>
    <n v="4262"/>
    <n v="60.028169014084504"/>
    <n v="71"/>
    <s v="5"/>
    <s v="0"/>
    <n v="3"/>
  </r>
  <r>
    <n v="540"/>
    <x v="540"/>
    <n v="0.1515"/>
    <x v="19"/>
    <n v="0.25369999999999998"/>
    <n v="4"/>
    <n v="66"/>
    <n v="70"/>
    <n v="14.803199999999984"/>
    <n v="0.2114742857142855"/>
    <n v="70"/>
    <n v="50.569999999999979"/>
    <n v="0.72242857142857109"/>
    <n v="70"/>
    <n v="4205"/>
    <n v="60.071428571428569"/>
    <n v="70"/>
    <s v="5"/>
    <s v="1"/>
    <n v="3"/>
  </r>
  <r>
    <n v="541"/>
    <x v="541"/>
    <n v="0.1212"/>
    <x v="20"/>
    <n v="0.25369999999999998"/>
    <n v="6"/>
    <n v="178"/>
    <n v="184"/>
    <n v="14.651699999999986"/>
    <n v="0.21234347826086936"/>
    <n v="69"/>
    <n v="50.09999999999998"/>
    <n v="0.72608695652173882"/>
    <n v="69"/>
    <n v="4135"/>
    <n v="59.927536231884055"/>
    <n v="69"/>
    <s v="5"/>
    <s v="2"/>
    <n v="3"/>
  </r>
  <r>
    <n v="542"/>
    <x v="542"/>
    <n v="0.13639999999999999"/>
    <x v="29"/>
    <n v="0.19400000000000001"/>
    <n v="8"/>
    <n v="145"/>
    <n v="153"/>
    <n v="14.530499999999986"/>
    <n v="0.21368382352941157"/>
    <n v="68"/>
    <n v="49.599999999999987"/>
    <n v="0.7294117647058822"/>
    <n v="68"/>
    <n v="3951"/>
    <n v="58.102941176470587"/>
    <n v="68"/>
    <s v="5"/>
    <s v="3"/>
    <n v="3"/>
  </r>
  <r>
    <n v="543"/>
    <x v="543"/>
    <n v="0.1515"/>
    <x v="47"/>
    <n v="0.16420000000000001"/>
    <n v="5"/>
    <n v="101"/>
    <n v="106"/>
    <n v="14.394099999999986"/>
    <n v="0.2148373134328356"/>
    <n v="67"/>
    <n v="49.009999999999991"/>
    <n v="0.73149253731343267"/>
    <n v="67"/>
    <n v="3798"/>
    <n v="56.686567164179102"/>
    <n v="67"/>
    <s v="5"/>
    <s v="4"/>
    <n v="3"/>
  </r>
  <r>
    <n v="544"/>
    <x v="544"/>
    <n v="0.13639999999999999"/>
    <x v="29"/>
    <n v="0.19400000000000001"/>
    <n v="1"/>
    <n v="80"/>
    <n v="81"/>
    <n v="14.242599999999987"/>
    <n v="0.21579696969696949"/>
    <n v="66"/>
    <n v="48.469999999999992"/>
    <n v="0.73439393939393927"/>
    <n v="66"/>
    <n v="3692"/>
    <n v="55.939393939393938"/>
    <n v="66"/>
    <s v="5"/>
    <s v="5"/>
    <n v="3"/>
  </r>
  <r>
    <n v="545"/>
    <x v="545"/>
    <n v="0.1515"/>
    <x v="30"/>
    <n v="0.16420000000000001"/>
    <n v="6"/>
    <n v="53"/>
    <n v="59"/>
    <n v="14.106199999999989"/>
    <n v="0.21701846153846135"/>
    <n v="65"/>
    <n v="47.879999999999995"/>
    <n v="0.73661538461538456"/>
    <n v="65"/>
    <n v="3611"/>
    <n v="55.553846153846152"/>
    <n v="65"/>
    <s v="5"/>
    <s v="6"/>
    <n v="3"/>
  </r>
  <r>
    <n v="546"/>
    <x v="546"/>
    <n v="0.13639999999999999"/>
    <x v="30"/>
    <n v="0.22389999999999999"/>
    <n v="3"/>
    <n v="32"/>
    <n v="35"/>
    <n v="13.954699999999988"/>
    <n v="0.21804218749999982"/>
    <n v="64"/>
    <n v="47.249999999999993"/>
    <n v="0.73828124999999989"/>
    <n v="64"/>
    <n v="3552"/>
    <n v="55.5"/>
    <n v="64"/>
    <s v="5"/>
    <s v="7"/>
    <n v="3"/>
  </r>
  <r>
    <n v="547"/>
    <x v="547"/>
    <n v="0.1515"/>
    <x v="26"/>
    <n v="0.25369999999999998"/>
    <n v="3"/>
    <n v="21"/>
    <n v="24"/>
    <n v="13.818299999999988"/>
    <n v="0.21933809523809505"/>
    <n v="63"/>
    <n v="46.61999999999999"/>
    <n v="0.73999999999999988"/>
    <n v="63"/>
    <n v="3517"/>
    <n v="55.825396825396822"/>
    <n v="63"/>
    <s v="5"/>
    <s v="8"/>
    <n v="3"/>
  </r>
  <r>
    <n v="548"/>
    <x v="548"/>
    <n v="0.13639999999999999"/>
    <x v="27"/>
    <n v="0.28360000000000002"/>
    <n v="3"/>
    <n v="6"/>
    <n v="9"/>
    <n v="13.66679999999999"/>
    <n v="0.22043225806451597"/>
    <n v="62"/>
    <n v="45.97999999999999"/>
    <n v="0.74161290322580631"/>
    <n v="62"/>
    <n v="3493"/>
    <n v="56.338709677419352"/>
    <n v="62"/>
    <s v="5"/>
    <s v="9"/>
    <n v="3"/>
  </r>
  <r>
    <n v="549"/>
    <x v="549"/>
    <n v="0.16669999999999999"/>
    <x v="27"/>
    <n v="0.16420000000000001"/>
    <n v="0"/>
    <n v="5"/>
    <n v="5"/>
    <n v="13.53039999999999"/>
    <n v="0.22180983606557361"/>
    <n v="61"/>
    <n v="45.289999999999985"/>
    <n v="0.74245901639344236"/>
    <n v="61"/>
    <n v="3484"/>
    <n v="57.114754098360656"/>
    <n v="61"/>
    <s v="5"/>
    <s v="0"/>
    <n v="3"/>
  </r>
  <r>
    <n v="550"/>
    <x v="550"/>
    <n v="0.1515"/>
    <x v="27"/>
    <n v="0.22389999999999999"/>
    <n v="0"/>
    <n v="2"/>
    <n v="2"/>
    <n v="13.363699999999989"/>
    <n v="0.22272833333333314"/>
    <n v="60"/>
    <n v="44.599999999999987"/>
    <n v="0.74333333333333307"/>
    <n v="60"/>
    <n v="3479"/>
    <n v="57.983333333333334"/>
    <n v="60"/>
    <s v="5"/>
    <s v="1"/>
    <n v="3"/>
  </r>
  <r>
    <n v="551"/>
    <x v="551"/>
    <n v="0.16669999999999999"/>
    <x v="32"/>
    <n v="0.1045"/>
    <n v="0"/>
    <n v="1"/>
    <n v="1"/>
    <n v="13.212199999999989"/>
    <n v="0.22393559322033879"/>
    <n v="59"/>
    <n v="43.909999999999989"/>
    <n v="0.74423728813559309"/>
    <n v="59"/>
    <n v="3477"/>
    <n v="58.932203389830505"/>
    <n v="59"/>
    <s v="5"/>
    <s v="2"/>
    <n v="3"/>
  </r>
  <r>
    <n v="552"/>
    <x v="552"/>
    <n v="0.13639999999999999"/>
    <x v="32"/>
    <n v="0.22389999999999999"/>
    <n v="0"/>
    <n v="9"/>
    <n v="9"/>
    <n v="13.04549999999999"/>
    <n v="0.22492241379310327"/>
    <n v="58"/>
    <n v="43.169999999999987"/>
    <n v="0.74431034482758596"/>
    <n v="58"/>
    <n v="3476"/>
    <n v="59.931034482758619"/>
    <n v="58"/>
    <s v="5"/>
    <s v="3"/>
    <n v="3"/>
  </r>
  <r>
    <n v="553"/>
    <x v="553"/>
    <n v="0.18179999999999999"/>
    <x v="32"/>
    <n v="0.1045"/>
    <n v="1"/>
    <n v="35"/>
    <n v="36"/>
    <n v="12.90909999999999"/>
    <n v="0.22647543859649105"/>
    <n v="57"/>
    <n v="42.429999999999986"/>
    <n v="0.74438596491228048"/>
    <n v="57"/>
    <n v="3467"/>
    <n v="60.824561403508774"/>
    <n v="57"/>
    <s v="5"/>
    <s v="4"/>
    <n v="3"/>
  </r>
  <r>
    <n v="554"/>
    <x v="554"/>
    <n v="0.1515"/>
    <x v="32"/>
    <n v="0.22389999999999999"/>
    <n v="5"/>
    <n v="103"/>
    <n v="108"/>
    <n v="12.727299999999991"/>
    <n v="0.22727321428571412"/>
    <n v="56"/>
    <n v="41.689999999999984"/>
    <n v="0.74446428571428547"/>
    <n v="56"/>
    <n v="3431"/>
    <n v="61.267857142857146"/>
    <n v="56"/>
    <s v="5"/>
    <s v="5"/>
    <n v="3"/>
  </r>
  <r>
    <n v="555"/>
    <x v="555"/>
    <n v="0.18179999999999999"/>
    <x v="32"/>
    <n v="0.1343"/>
    <n v="5"/>
    <n v="233"/>
    <n v="238"/>
    <n v="12.57579999999999"/>
    <n v="0.2286509090909089"/>
    <n v="55"/>
    <n v="40.949999999999989"/>
    <n v="0.74454545454545429"/>
    <n v="55"/>
    <n v="3323"/>
    <n v="60.418181818181822"/>
    <n v="55"/>
    <s v="5"/>
    <s v="6"/>
    <n v="3"/>
  </r>
  <r>
    <n v="556"/>
    <x v="556"/>
    <n v="0.2273"/>
    <x v="26"/>
    <n v="8.9599999999999999E-2"/>
    <n v="10"/>
    <n v="134"/>
    <n v="144"/>
    <n v="12.393999999999991"/>
    <n v="0.22951851851851834"/>
    <n v="54"/>
    <n v="40.209999999999987"/>
    <n v="0.74462962962962942"/>
    <n v="54"/>
    <n v="3085"/>
    <n v="57.129629629629626"/>
    <n v="54"/>
    <s v="5"/>
    <s v="7"/>
    <n v="3"/>
  </r>
  <r>
    <n v="557"/>
    <x v="557"/>
    <n v="0.2424"/>
    <x v="54"/>
    <n v="0.1045"/>
    <n v="6"/>
    <n v="49"/>
    <n v="55"/>
    <n v="12.166699999999992"/>
    <n v="0.22956037735849041"/>
    <n v="53"/>
    <n v="39.569999999999993"/>
    <n v="0.74660377358490548"/>
    <n v="53"/>
    <n v="2941"/>
    <n v="55.490566037735846"/>
    <n v="53"/>
    <s v="5"/>
    <s v="8"/>
    <n v="3"/>
  </r>
  <r>
    <n v="558"/>
    <x v="558"/>
    <n v="0.2424"/>
    <x v="54"/>
    <n v="0.1343"/>
    <n v="6"/>
    <n v="55"/>
    <n v="61"/>
    <n v="11.924299999999992"/>
    <n v="0.22931346153846138"/>
    <n v="52"/>
    <n v="38.969999999999992"/>
    <n v="0.74942307692307675"/>
    <n v="52"/>
    <n v="2886"/>
    <n v="55.5"/>
    <n v="52"/>
    <s v="5"/>
    <s v="9"/>
    <n v="3"/>
  </r>
  <r>
    <n v="559"/>
    <x v="559"/>
    <n v="0.28789999999999999"/>
    <x v="34"/>
    <n v="8.9599999999999999E-2"/>
    <n v="21"/>
    <n v="85"/>
    <n v="106"/>
    <n v="11.681899999999994"/>
    <n v="0.2290568627450979"/>
    <n v="51"/>
    <n v="38.36999999999999"/>
    <n v="0.75235294117647045"/>
    <n v="51"/>
    <n v="2825"/>
    <n v="55.392156862745097"/>
    <n v="51"/>
    <s v="5"/>
    <s v="0"/>
    <n v="3"/>
  </r>
  <r>
    <n v="560"/>
    <x v="560"/>
    <n v="0.2727"/>
    <x v="34"/>
    <n v="0.1343"/>
    <n v="21"/>
    <n v="72"/>
    <n v="93"/>
    <n v="11.393999999999995"/>
    <n v="0.22787999999999989"/>
    <n v="50"/>
    <n v="37.809999999999988"/>
    <n v="0.75619999999999976"/>
    <n v="50"/>
    <n v="2719"/>
    <n v="54.38"/>
    <n v="50"/>
    <s v="5"/>
    <s v="1"/>
    <n v="3"/>
  </r>
  <r>
    <n v="561"/>
    <x v="561"/>
    <n v="0.33329999999999999"/>
    <x v="49"/>
    <n v="0"/>
    <n v="11"/>
    <n v="57"/>
    <n v="68"/>
    <n v="11.121299999999996"/>
    <n v="0.22696530612244889"/>
    <n v="49"/>
    <n v="37.249999999999993"/>
    <n v="0.76020408163265296"/>
    <n v="49"/>
    <n v="2626"/>
    <n v="53.591836734693878"/>
    <n v="49"/>
    <s v="5"/>
    <s v="2"/>
    <n v="3"/>
  </r>
  <r>
    <n v="562"/>
    <x v="562"/>
    <n v="0.34849999999999998"/>
    <x v="16"/>
    <n v="0"/>
    <n v="21"/>
    <n v="63"/>
    <n v="84"/>
    <n v="10.787999999999997"/>
    <n v="0.22474999999999992"/>
    <n v="48"/>
    <n v="36.79999999999999"/>
    <n v="0.7666666666666665"/>
    <n v="48"/>
    <n v="2558"/>
    <n v="53.291666666666664"/>
    <n v="48"/>
    <s v="5"/>
    <s v="3"/>
    <n v="3"/>
  </r>
  <r>
    <n v="563"/>
    <x v="563"/>
    <n v="0.34849999999999998"/>
    <x v="16"/>
    <n v="0"/>
    <n v="14"/>
    <n v="102"/>
    <n v="116"/>
    <n v="10.439499999999997"/>
    <n v="0.22211702127659569"/>
    <n v="47"/>
    <n v="36.379999999999995"/>
    <n v="0.77404255319148929"/>
    <n v="47"/>
    <n v="2474"/>
    <n v="52.638297872340424"/>
    <n v="47"/>
    <s v="5"/>
    <s v="4"/>
    <n v="3"/>
  </r>
  <r>
    <n v="564"/>
    <x v="564"/>
    <n v="0.33329999999999999"/>
    <x v="49"/>
    <n v="0"/>
    <n v="14"/>
    <n v="208"/>
    <n v="222"/>
    <n v="10.090999999999998"/>
    <n v="0.21936956521739126"/>
    <n v="46"/>
    <n v="35.959999999999994"/>
    <n v="0.78173913043478249"/>
    <n v="46"/>
    <n v="2358"/>
    <n v="51.260869565217391"/>
    <n v="46"/>
    <s v="5"/>
    <s v="5"/>
    <n v="3"/>
  </r>
  <r>
    <n v="565"/>
    <x v="565"/>
    <n v="0.31819999999999998"/>
    <x v="36"/>
    <n v="8.9599999999999999E-2"/>
    <n v="7"/>
    <n v="218"/>
    <n v="225"/>
    <n v="9.757699999999998"/>
    <n v="0.21683777777777774"/>
    <n v="45"/>
    <n v="35.509999999999991"/>
    <n v="0.78911111111111087"/>
    <n v="45"/>
    <n v="2136"/>
    <n v="47.466666666666669"/>
    <n v="45"/>
    <s v="5"/>
    <s v="6"/>
    <n v="3"/>
  </r>
  <r>
    <n v="566"/>
    <x v="566"/>
    <n v="0.2576"/>
    <x v="55"/>
    <n v="0.16420000000000001"/>
    <n v="13"/>
    <n v="133"/>
    <n v="146"/>
    <n v="9.4395000000000007"/>
    <n v="0.21453409090909092"/>
    <n v="44"/>
    <n v="35.019999999999996"/>
    <n v="0.79590909090909079"/>
    <n v="44"/>
    <n v="1911"/>
    <n v="43.43181818181818"/>
    <n v="44"/>
    <s v="5"/>
    <s v="7"/>
    <n v="3"/>
  </r>
  <r>
    <n v="567"/>
    <x v="567"/>
    <n v="0.2273"/>
    <x v="55"/>
    <n v="0.19400000000000001"/>
    <n v="16"/>
    <n v="103"/>
    <n v="119"/>
    <n v="9.1819000000000006"/>
    <n v="0.21353255813953489"/>
    <n v="43"/>
    <n v="34.369999999999997"/>
    <n v="0.79930232558139525"/>
    <n v="43"/>
    <n v="1765"/>
    <n v="41.046511627906973"/>
    <n v="43"/>
    <s v="5"/>
    <s v="8"/>
    <n v="3"/>
  </r>
  <r>
    <n v="568"/>
    <x v="568"/>
    <n v="0.2273"/>
    <x v="55"/>
    <n v="0.19400000000000001"/>
    <n v="5"/>
    <n v="40"/>
    <n v="45"/>
    <n v="8.9546000000000028"/>
    <n v="0.21320476190476198"/>
    <n v="42"/>
    <n v="33.719999999999992"/>
    <n v="0.80285714285714271"/>
    <n v="42"/>
    <n v="1646"/>
    <n v="39.19047619047619"/>
    <n v="42"/>
    <s v="5"/>
    <s v="9"/>
    <n v="3"/>
  </r>
  <r>
    <n v="569"/>
    <x v="569"/>
    <n v="0.2273"/>
    <x v="26"/>
    <n v="0.16420000000000001"/>
    <n v="4"/>
    <n v="49"/>
    <n v="53"/>
    <n v="8.7273000000000049"/>
    <n v="0.21286097560975623"/>
    <n v="41"/>
    <n v="33.069999999999993"/>
    <n v="0.80658536585365836"/>
    <n v="41"/>
    <n v="1601"/>
    <n v="39.048780487804876"/>
    <n v="41"/>
    <s v="5"/>
    <s v="0"/>
    <n v="3"/>
  </r>
  <r>
    <n v="570"/>
    <x v="570"/>
    <n v="0.2273"/>
    <x v="26"/>
    <n v="0.16420000000000001"/>
    <n v="3"/>
    <n v="37"/>
    <n v="40"/>
    <n v="8.5000000000000036"/>
    <n v="0.21250000000000008"/>
    <n v="40"/>
    <n v="32.43"/>
    <n v="0.81074999999999997"/>
    <n v="40"/>
    <n v="1548"/>
    <n v="38.700000000000003"/>
    <n v="40"/>
    <s v="5"/>
    <s v="1"/>
    <n v="3"/>
  </r>
  <r>
    <n v="571"/>
    <x v="571"/>
    <n v="0.2273"/>
    <x v="27"/>
    <n v="0.1343"/>
    <n v="3"/>
    <n v="14"/>
    <n v="17"/>
    <n v="8.2727000000000039"/>
    <n v="0.21212051282051292"/>
    <n v="39"/>
    <n v="31.789999999999992"/>
    <n v="0.81512820512820494"/>
    <n v="39"/>
    <n v="1508"/>
    <n v="38.666666666666664"/>
    <n v="39"/>
    <s v="5"/>
    <s v="2"/>
    <n v="3"/>
  </r>
  <r>
    <n v="572"/>
    <x v="572"/>
    <n v="0.2424"/>
    <x v="55"/>
    <n v="0.1343"/>
    <n v="0"/>
    <n v="5"/>
    <n v="5"/>
    <n v="8.0454000000000043"/>
    <n v="0.21172105263157906"/>
    <n v="38"/>
    <n v="31.099999999999994"/>
    <n v="0.81842105263157883"/>
    <n v="38"/>
    <n v="1491"/>
    <n v="39.236842105263158"/>
    <n v="38"/>
    <s v="5"/>
    <s v="3"/>
    <n v="3"/>
  </r>
  <r>
    <n v="573"/>
    <x v="573"/>
    <n v="0.2273"/>
    <x v="27"/>
    <n v="0.19400000000000001"/>
    <n v="3"/>
    <n v="7"/>
    <n v="10"/>
    <n v="7.8030000000000044"/>
    <n v="0.210891891891892"/>
    <n v="37"/>
    <n v="30.449999999999996"/>
    <n v="0.82297297297297289"/>
    <n v="37"/>
    <n v="1486"/>
    <n v="40.162162162162161"/>
    <n v="37"/>
    <s v="5"/>
    <s v="4"/>
    <n v="3"/>
  </r>
  <r>
    <n v="574"/>
    <x v="574"/>
    <n v="0.18179999999999999"/>
    <x v="3"/>
    <n v="0.28360000000000002"/>
    <n v="0"/>
    <n v="1"/>
    <n v="1"/>
    <n v="7.5757000000000039"/>
    <n v="0.21043611111111121"/>
    <n v="36"/>
    <n v="29.759999999999998"/>
    <n v="0.82666666666666666"/>
    <n v="36"/>
    <n v="1476"/>
    <n v="41"/>
    <n v="36"/>
    <s v="5"/>
    <s v="5"/>
    <n v="3"/>
  </r>
  <r>
    <n v="575"/>
    <x v="575"/>
    <n v="0.18179999999999999"/>
    <x v="3"/>
    <n v="0.28360000000000002"/>
    <n v="0"/>
    <n v="8"/>
    <n v="8"/>
    <n v="7.3939000000000039"/>
    <n v="0.21125428571428584"/>
    <n v="35"/>
    <n v="28.9"/>
    <n v="0.82571428571428562"/>
    <n v="35"/>
    <n v="1475"/>
    <n v="42.142857142857146"/>
    <n v="35"/>
    <s v="5"/>
    <s v="6"/>
    <n v="3"/>
  </r>
  <r>
    <n v="576"/>
    <x v="576"/>
    <n v="0.21210000000000001"/>
    <x v="9"/>
    <n v="0.29849999999999999"/>
    <n v="1"/>
    <n v="29"/>
    <n v="30"/>
    <n v="7.212100000000004"/>
    <n v="0.21212058823529423"/>
    <n v="34"/>
    <n v="28.04"/>
    <n v="0.82470588235294118"/>
    <n v="34"/>
    <n v="1467"/>
    <n v="43.147058823529413"/>
    <n v="34"/>
    <s v="5"/>
    <s v="7"/>
    <n v="3"/>
  </r>
  <r>
    <n v="577"/>
    <x v="577"/>
    <n v="0.21210000000000001"/>
    <x v="9"/>
    <n v="0.29849999999999999"/>
    <n v="3"/>
    <n v="69"/>
    <n v="72"/>
    <n v="7.0000000000000036"/>
    <n v="0.21212121212121224"/>
    <n v="33"/>
    <n v="27.169999999999998"/>
    <n v="0.82333333333333325"/>
    <n v="33"/>
    <n v="1437"/>
    <n v="43.545454545454547"/>
    <n v="33"/>
    <s v="5"/>
    <s v="8"/>
    <n v="3"/>
  </r>
  <r>
    <n v="578"/>
    <x v="578"/>
    <n v="0.21210000000000001"/>
    <x v="9"/>
    <n v="0.29849999999999999"/>
    <n v="3"/>
    <n v="55"/>
    <n v="58"/>
    <n v="6.7879000000000032"/>
    <n v="0.2121218750000001"/>
    <n v="32"/>
    <n v="26.3"/>
    <n v="0.82187500000000002"/>
    <n v="32"/>
    <n v="1365"/>
    <n v="42.65625"/>
    <n v="32"/>
    <s v="5"/>
    <s v="9"/>
    <n v="3"/>
  </r>
  <r>
    <n v="579"/>
    <x v="579"/>
    <n v="0.21210000000000001"/>
    <x v="43"/>
    <n v="0.28360000000000002"/>
    <n v="2"/>
    <n v="26"/>
    <n v="28"/>
    <n v="6.5758000000000028"/>
    <n v="0.21212258064516137"/>
    <n v="31"/>
    <n v="25.429999999999996"/>
    <n v="0.82032258064516117"/>
    <n v="31"/>
    <n v="1307"/>
    <n v="42.161290322580648"/>
    <n v="31"/>
    <s v="5"/>
    <s v="0"/>
    <n v="3"/>
  </r>
  <r>
    <n v="580"/>
    <x v="580"/>
    <n v="0.19700000000000001"/>
    <x v="43"/>
    <n v="0.32840000000000003"/>
    <n v="6"/>
    <n v="35"/>
    <n v="41"/>
    <n v="6.3637000000000024"/>
    <n v="0.21212333333333341"/>
    <n v="30"/>
    <n v="24.499999999999996"/>
    <n v="0.81666666666666654"/>
    <n v="30"/>
    <n v="1279"/>
    <n v="42.633333333333333"/>
    <n v="30"/>
    <s v="5"/>
    <s v="1"/>
    <n v="3"/>
  </r>
  <r>
    <n v="581"/>
    <x v="581"/>
    <n v="0.19700000000000001"/>
    <x v="43"/>
    <n v="0.32840000000000003"/>
    <n v="7"/>
    <n v="41"/>
    <n v="48"/>
    <n v="6.1667000000000023"/>
    <n v="0.21264482758620698"/>
    <n v="29"/>
    <n v="23.57"/>
    <n v="0.81275862068965521"/>
    <n v="29"/>
    <n v="1238"/>
    <n v="42.689655172413794"/>
    <n v="29"/>
    <s v="5"/>
    <s v="2"/>
    <n v="3"/>
  </r>
  <r>
    <n v="582"/>
    <x v="582"/>
    <n v="0.19700000000000001"/>
    <x v="43"/>
    <n v="0.32840000000000003"/>
    <n v="4"/>
    <n v="43"/>
    <n v="47"/>
    <n v="5.9697000000000022"/>
    <n v="0.21320357142857152"/>
    <n v="28"/>
    <n v="22.64"/>
    <n v="0.80857142857142861"/>
    <n v="28"/>
    <n v="1190"/>
    <n v="42.5"/>
    <n v="28"/>
    <s v="5"/>
    <s v="3"/>
    <n v="3"/>
  </r>
  <r>
    <n v="583"/>
    <x v="583"/>
    <n v="0.19700000000000001"/>
    <x v="43"/>
    <n v="0.35820000000000002"/>
    <n v="0"/>
    <n v="36"/>
    <n v="36"/>
    <n v="5.7727000000000022"/>
    <n v="0.21380370370370377"/>
    <n v="27"/>
    <n v="21.71"/>
    <n v="0.80407407407407405"/>
    <n v="27"/>
    <n v="1143"/>
    <n v="42.333333333333336"/>
    <n v="27"/>
    <s v="5"/>
    <s v="4"/>
    <n v="3"/>
  </r>
  <r>
    <n v="584"/>
    <x v="584"/>
    <n v="0.18179999999999999"/>
    <x v="43"/>
    <n v="0.4627"/>
    <n v="1"/>
    <n v="42"/>
    <n v="43"/>
    <n v="5.5757000000000021"/>
    <n v="0.21445000000000008"/>
    <n v="26"/>
    <n v="20.78"/>
    <n v="0.7992307692307693"/>
    <n v="26"/>
    <n v="1107"/>
    <n v="42.57692307692308"/>
    <n v="26"/>
    <s v="5"/>
    <s v="5"/>
    <n v="3"/>
  </r>
  <r>
    <n v="585"/>
    <x v="585"/>
    <n v="0.19700000000000001"/>
    <x v="43"/>
    <n v="0.32840000000000003"/>
    <n v="1"/>
    <n v="35"/>
    <n v="36"/>
    <n v="5.3939000000000021"/>
    <n v="0.21575600000000009"/>
    <n v="25"/>
    <n v="19.849999999999998"/>
    <n v="0.79399999999999993"/>
    <n v="25"/>
    <n v="1064"/>
    <n v="42.56"/>
    <n v="25"/>
    <s v="5"/>
    <s v="6"/>
    <n v="3"/>
  </r>
  <r>
    <n v="586"/>
    <x v="586"/>
    <n v="0.18179999999999999"/>
    <x v="43"/>
    <n v="0.35820000000000002"/>
    <n v="0"/>
    <n v="26"/>
    <n v="26"/>
    <n v="5.1969000000000021"/>
    <n v="0.21653750000000008"/>
    <n v="24"/>
    <n v="18.919999999999998"/>
    <n v="0.78833333333333322"/>
    <n v="24"/>
    <n v="1028"/>
    <n v="42.833333333333336"/>
    <n v="24"/>
    <s v="5"/>
    <s v="7"/>
    <n v="3"/>
  </r>
  <r>
    <n v="587"/>
    <x v="587"/>
    <n v="0.2273"/>
    <x v="28"/>
    <n v="0.19400000000000001"/>
    <n v="1"/>
    <n v="23"/>
    <n v="24"/>
    <n v="5.0151000000000012"/>
    <n v="0.21804782608695658"/>
    <n v="23"/>
    <n v="17.989999999999998"/>
    <n v="0.78217391304347816"/>
    <n v="23"/>
    <n v="1002"/>
    <n v="43.565217391304351"/>
    <n v="23"/>
    <s v="5"/>
    <s v="8"/>
    <n v="3"/>
  </r>
  <r>
    <n v="588"/>
    <x v="588"/>
    <n v="0.2424"/>
    <x v="28"/>
    <n v="0.1045"/>
    <n v="2"/>
    <n v="82"/>
    <n v="84"/>
    <n v="4.7878000000000007"/>
    <n v="0.21762727272727275"/>
    <n v="22"/>
    <n v="17.439999999999998"/>
    <n v="0.79272727272727261"/>
    <n v="22"/>
    <n v="978"/>
    <n v="44.454545454545453"/>
    <n v="22"/>
    <s v="5"/>
    <s v="9"/>
    <n v="3"/>
  </r>
  <r>
    <n v="589"/>
    <x v="589"/>
    <n v="0.2273"/>
    <x v="27"/>
    <n v="8.9599999999999999E-2"/>
    <n v="3"/>
    <n v="101"/>
    <n v="104"/>
    <n v="4.5454000000000008"/>
    <n v="0.21644761904761908"/>
    <n v="21"/>
    <n v="16.889999999999997"/>
    <n v="0.80428571428571416"/>
    <n v="21"/>
    <n v="894"/>
    <n v="42.571428571428569"/>
    <n v="21"/>
    <s v="5"/>
    <s v="0"/>
    <n v="3"/>
  </r>
  <r>
    <n v="590"/>
    <x v="590"/>
    <n v="0.2273"/>
    <x v="27"/>
    <n v="8.9599999999999999E-2"/>
    <n v="3"/>
    <n v="76"/>
    <n v="79"/>
    <n v="4.3181000000000003"/>
    <n v="0.21590500000000001"/>
    <n v="20"/>
    <n v="16.2"/>
    <n v="0.80999999999999994"/>
    <n v="20"/>
    <n v="790"/>
    <n v="39.5"/>
    <n v="20"/>
    <s v="5"/>
    <s v="1"/>
    <n v="3"/>
  </r>
  <r>
    <n v="591"/>
    <x v="591"/>
    <n v="0.21210000000000001"/>
    <x v="32"/>
    <n v="8.9599999999999999E-2"/>
    <n v="4"/>
    <n v="55"/>
    <n v="59"/>
    <n v="4.0907999999999998"/>
    <n v="0.21530526315789472"/>
    <n v="19"/>
    <n v="15.509999999999996"/>
    <n v="0.81631578947368399"/>
    <n v="19"/>
    <n v="711"/>
    <n v="37.421052631578945"/>
    <n v="19"/>
    <s v="5"/>
    <s v="2"/>
    <n v="3"/>
  </r>
  <r>
    <n v="592"/>
    <x v="592"/>
    <n v="0.21210000000000001"/>
    <x v="32"/>
    <n v="8.9599999999999999E-2"/>
    <n v="2"/>
    <n v="36"/>
    <n v="38"/>
    <n v="3.8786999999999998"/>
    <n v="0.21548333333333333"/>
    <n v="18"/>
    <n v="14.769999999999998"/>
    <n v="0.82055555555555548"/>
    <n v="18"/>
    <n v="652"/>
    <n v="36.222222222222221"/>
    <n v="18"/>
    <s v="5"/>
    <s v="3"/>
    <n v="3"/>
  </r>
  <r>
    <n v="593"/>
    <x v="593"/>
    <n v="0.21210000000000001"/>
    <x v="32"/>
    <n v="8.9599999999999999E-2"/>
    <n v="0"/>
    <n v="27"/>
    <n v="27"/>
    <n v="3.6665999999999999"/>
    <n v="0.21568235294117646"/>
    <n v="17"/>
    <n v="14.03"/>
    <n v="0.82529411764705873"/>
    <n v="17"/>
    <n v="614"/>
    <n v="36.117647058823529"/>
    <n v="17"/>
    <s v="5"/>
    <s v="4"/>
    <n v="3"/>
  </r>
  <r>
    <n v="594"/>
    <x v="594"/>
    <n v="0.19700000000000001"/>
    <x v="1"/>
    <n v="0.16420000000000001"/>
    <n v="0"/>
    <n v="16"/>
    <n v="16"/>
    <n v="3.4544999999999999"/>
    <n v="0.21590624999999999"/>
    <n v="16"/>
    <n v="13.29"/>
    <n v="0.83062499999999995"/>
    <n v="16"/>
    <n v="587"/>
    <n v="36.6875"/>
    <n v="16"/>
    <s v="5"/>
    <s v="5"/>
    <n v="3"/>
  </r>
  <r>
    <n v="595"/>
    <x v="595"/>
    <n v="0.21210000000000001"/>
    <x v="2"/>
    <n v="0.1343"/>
    <n v="0"/>
    <n v="9"/>
    <n v="9"/>
    <n v="3.2575000000000003"/>
    <n v="0.21716666666666667"/>
    <n v="15"/>
    <n v="12.49"/>
    <n v="0.83266666666666667"/>
    <n v="15"/>
    <n v="571"/>
    <n v="38.06666666666667"/>
    <n v="15"/>
    <s v="5"/>
    <s v="6"/>
    <n v="3"/>
  </r>
  <r>
    <n v="596"/>
    <x v="596"/>
    <n v="0.21210000000000001"/>
    <x v="2"/>
    <n v="0.1343"/>
    <n v="1"/>
    <n v="2"/>
    <n v="3"/>
    <n v="3.0453999999999999"/>
    <n v="0.21752857142857143"/>
    <n v="14"/>
    <n v="11.74"/>
    <n v="0.83857142857142863"/>
    <n v="14"/>
    <n v="562"/>
    <n v="40.142857142857146"/>
    <n v="14"/>
    <s v="5"/>
    <s v="7"/>
    <n v="3"/>
  </r>
  <r>
    <n v="597"/>
    <x v="597"/>
    <n v="0.21210000000000001"/>
    <x v="2"/>
    <n v="0.16420000000000001"/>
    <n v="0"/>
    <n v="2"/>
    <n v="2"/>
    <n v="2.8332999999999999"/>
    <n v="0.21794615384615385"/>
    <n v="13"/>
    <n v="10.99"/>
    <n v="0.8453846153846154"/>
    <n v="13"/>
    <n v="559"/>
    <n v="43"/>
    <n v="13"/>
    <s v="5"/>
    <s v="8"/>
    <n v="3"/>
  </r>
  <r>
    <n v="598"/>
    <x v="598"/>
    <n v="0.2273"/>
    <x v="2"/>
    <n v="0.1045"/>
    <n v="1"/>
    <n v="0"/>
    <n v="1"/>
    <n v="2.6212"/>
    <n v="0.21843333333333334"/>
    <n v="12"/>
    <n v="10.24"/>
    <n v="0.85333333333333339"/>
    <n v="12"/>
    <n v="557"/>
    <n v="46.416666666666664"/>
    <n v="12"/>
    <s v="5"/>
    <s v="9"/>
    <n v="3"/>
  </r>
  <r>
    <n v="599"/>
    <x v="599"/>
    <n v="0.21210000000000001"/>
    <x v="1"/>
    <n v="0.1045"/>
    <n v="0"/>
    <n v="4"/>
    <n v="4"/>
    <n v="2.3938999999999999"/>
    <n v="0.21762727272727272"/>
    <n v="11"/>
    <n v="9.4899999999999984"/>
    <n v="0.86272727272727256"/>
    <n v="11"/>
    <n v="556"/>
    <n v="50.545454545454547"/>
    <n v="11"/>
    <s v="6"/>
    <s v="0"/>
    <n v="3"/>
  </r>
  <r>
    <n v="600"/>
    <x v="600"/>
    <n v="0.19700000000000001"/>
    <x v="1"/>
    <n v="0.1343"/>
    <n v="0"/>
    <n v="16"/>
    <n v="16"/>
    <n v="2.1817999999999995"/>
    <n v="0.21817999999999996"/>
    <n v="10"/>
    <n v="8.69"/>
    <n v="0.86899999999999999"/>
    <n v="10"/>
    <n v="552"/>
    <n v="55.2"/>
    <n v="10"/>
    <s v="6"/>
    <s v="1"/>
    <n v="3"/>
  </r>
  <r>
    <n v="601"/>
    <x v="601"/>
    <n v="0.19700000000000001"/>
    <x v="3"/>
    <n v="8.9599999999999999E-2"/>
    <n v="2"/>
    <n v="58"/>
    <n v="60"/>
    <n v="1.9847999999999999"/>
    <n v="0.22053333333333333"/>
    <n v="9"/>
    <n v="7.89"/>
    <n v="0.87666666666666659"/>
    <n v="9"/>
    <n v="536"/>
    <n v="59.555555555555557"/>
    <n v="9"/>
    <s v="6"/>
    <s v="2"/>
    <n v="3"/>
  </r>
  <r>
    <n v="602"/>
    <x v="602"/>
    <n v="0.19700000000000001"/>
    <x v="3"/>
    <n v="8.9599999999999999E-2"/>
    <n v="2"/>
    <n v="155"/>
    <n v="157"/>
    <n v="1.7877999999999998"/>
    <n v="0.22347499999999998"/>
    <n v="8"/>
    <n v="7.03"/>
    <n v="0.87875000000000003"/>
    <n v="8"/>
    <n v="476"/>
    <n v="59.5"/>
    <n v="8"/>
    <s v="6"/>
    <s v="3"/>
    <n v="3"/>
  </r>
  <r>
    <n v="603"/>
    <x v="603"/>
    <n v="0.21210000000000001"/>
    <x v="3"/>
    <n v="8.9599999999999999E-2"/>
    <n v="6"/>
    <n v="95"/>
    <n v="101"/>
    <n v="1.5908"/>
    <n v="0.22725714285714285"/>
    <n v="7"/>
    <n v="6.17"/>
    <n v="0.88142857142857145"/>
    <n v="7"/>
    <n v="319"/>
    <n v="45.571428571428569"/>
    <n v="7"/>
    <s v="6"/>
    <s v="4"/>
    <n v="3"/>
  </r>
  <r>
    <n v="604"/>
    <x v="604"/>
    <n v="0.21210000000000001"/>
    <x v="3"/>
    <n v="0.1045"/>
    <n v="0"/>
    <n v="49"/>
    <n v="49"/>
    <n v="1.3787"/>
    <n v="0.22978333333333334"/>
    <n v="6"/>
    <n v="5.3100000000000005"/>
    <n v="0.88500000000000012"/>
    <n v="6"/>
    <n v="218"/>
    <n v="36.333333333333336"/>
    <n v="6"/>
    <s v="6"/>
    <s v="5"/>
    <n v="3"/>
  </r>
  <r>
    <n v="605"/>
    <x v="605"/>
    <n v="0.21210000000000001"/>
    <x v="43"/>
    <n v="0.1045"/>
    <n v="0"/>
    <n v="30"/>
    <n v="30"/>
    <n v="1.1666000000000001"/>
    <n v="0.23332000000000003"/>
    <n v="5"/>
    <n v="4.45"/>
    <n v="0.89"/>
    <n v="5"/>
    <n v="169"/>
    <n v="33.799999999999997"/>
    <n v="5"/>
    <s v="6"/>
    <s v="6"/>
    <n v="3"/>
  </r>
  <r>
    <n v="606"/>
    <x v="606"/>
    <n v="0.21210000000000001"/>
    <x v="43"/>
    <n v="0.1045"/>
    <n v="1"/>
    <n v="28"/>
    <n v="29"/>
    <n v="0.95450000000000013"/>
    <n v="0.23862500000000003"/>
    <n v="4"/>
    <n v="3.52"/>
    <n v="0.88"/>
    <n v="4"/>
    <n v="139"/>
    <n v="34.75"/>
    <n v="4"/>
    <s v="6"/>
    <s v="7"/>
    <n v="3"/>
  </r>
  <r>
    <n v="607"/>
    <x v="607"/>
    <n v="0.21210000000000001"/>
    <x v="43"/>
    <n v="0.1045"/>
    <n v="0"/>
    <n v="31"/>
    <n v="31"/>
    <n v="0.74239999999999995"/>
    <n v="0.24746666666666664"/>
    <n v="3"/>
    <n v="2.59"/>
    <n v="0.86333333333333329"/>
    <n v="3"/>
    <n v="110"/>
    <n v="36.666666666666664"/>
    <n v="3"/>
    <s v="6"/>
    <s v="8"/>
    <n v="3"/>
  </r>
  <r>
    <n v="608"/>
    <x v="608"/>
    <n v="0.2727"/>
    <x v="1"/>
    <n v="0"/>
    <n v="2"/>
    <n v="36"/>
    <n v="38"/>
    <n v="0.53029999999999999"/>
    <n v="0.26515"/>
    <n v="2"/>
    <n v="1.6600000000000001"/>
    <n v="0.83000000000000007"/>
    <n v="2"/>
    <n v="79"/>
    <n v="39.5"/>
    <n v="2"/>
    <s v="6"/>
    <s v="9"/>
    <n v="3"/>
  </r>
  <r>
    <n v="609"/>
    <x v="609"/>
    <n v="0.2576"/>
    <x v="3"/>
    <n v="0"/>
    <n v="1"/>
    <n v="40"/>
    <n v="41"/>
    <n v="0.2576"/>
    <n v="0.2576"/>
    <n v="1"/>
    <n v="0.86"/>
    <n v="0.86"/>
    <n v="1"/>
    <n v="41"/>
    <n v="41"/>
    <n v="1"/>
    <s v="6"/>
    <s v="0"/>
    <n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620"/>
    <s v="29-01-2011"/>
    <n v="1"/>
    <n v="0"/>
    <n v="1"/>
    <x v="0"/>
    <b v="0"/>
    <n v="6"/>
    <x v="0"/>
    <n v="0.22"/>
    <n v="0.2273"/>
    <n v="0.64"/>
    <n v="0.19400000000000001"/>
    <n v="0"/>
    <n v="20"/>
    <n v="20"/>
    <x v="0"/>
    <n v="24406"/>
    <n v="124.8388746803069"/>
    <n v="391"/>
    <s v="Wee"/>
    <s v="kend"/>
    <n v="7"/>
    <n v="0.2273"/>
  </r>
  <r>
    <n v="621"/>
    <s v="29-01-2011"/>
    <n v="1"/>
    <n v="0"/>
    <n v="1"/>
    <x v="1"/>
    <b v="0"/>
    <n v="6"/>
    <x v="0"/>
    <n v="0.22"/>
    <n v="0.2273"/>
    <n v="0.64"/>
    <n v="0.16420000000000001"/>
    <n v="0"/>
    <n v="15"/>
    <n v="15"/>
    <x v="0"/>
    <n v="48792"/>
    <n v="124.8388746803069"/>
    <n v="390"/>
    <s v="Wee"/>
    <s v="kend"/>
    <n v="7"/>
    <n v="0.2273"/>
  </r>
  <r>
    <n v="622"/>
    <s v="29-01-2011"/>
    <n v="1"/>
    <n v="0"/>
    <n v="1"/>
    <x v="2"/>
    <b v="0"/>
    <n v="6"/>
    <x v="0"/>
    <n v="0.2"/>
    <n v="0.21210000000000001"/>
    <n v="0.64"/>
    <n v="0.1343"/>
    <n v="3"/>
    <n v="5"/>
    <n v="8"/>
    <x v="0"/>
    <n v="48777"/>
    <n v="124.8388746803069"/>
    <n v="389"/>
    <s v="Wee"/>
    <s v="kend"/>
    <n v="7"/>
    <n v="0.21210000000000001"/>
  </r>
  <r>
    <n v="623"/>
    <s v="29-01-2011"/>
    <n v="1"/>
    <n v="0"/>
    <n v="1"/>
    <x v="3"/>
    <b v="0"/>
    <n v="6"/>
    <x v="0"/>
    <n v="0.16"/>
    <n v="0.18179999999999999"/>
    <n v="0.69"/>
    <n v="0.1045"/>
    <n v="1"/>
    <n v="2"/>
    <n v="3"/>
    <x v="0"/>
    <n v="48769"/>
    <n v="124.8388746803069"/>
    <n v="388"/>
    <s v="Wee"/>
    <s v="kend"/>
    <n v="7"/>
    <n v="0.18179999999999999"/>
  </r>
  <r>
    <n v="624"/>
    <s v="29-01-2011"/>
    <n v="1"/>
    <n v="0"/>
    <n v="1"/>
    <x v="4"/>
    <b v="0"/>
    <n v="6"/>
    <x v="0"/>
    <n v="0.16"/>
    <n v="0.18179999999999999"/>
    <n v="0.64"/>
    <n v="0.1343"/>
    <n v="0"/>
    <n v="2"/>
    <n v="2"/>
    <x v="0"/>
    <n v="48766"/>
    <n v="124.8388746803069"/>
    <n v="387"/>
    <s v="Wee"/>
    <s v="kend"/>
    <n v="7"/>
    <n v="0.18179999999999999"/>
  </r>
  <r>
    <n v="625"/>
    <s v="29-01-2011"/>
    <n v="1"/>
    <n v="0"/>
    <n v="1"/>
    <x v="5"/>
    <b v="0"/>
    <n v="6"/>
    <x v="0"/>
    <n v="0.16"/>
    <n v="0.18179999999999999"/>
    <n v="0.59"/>
    <n v="0.1045"/>
    <n v="1"/>
    <n v="4"/>
    <n v="5"/>
    <x v="0"/>
    <n v="48764"/>
    <n v="124.8388746803069"/>
    <n v="386"/>
    <s v="Wee"/>
    <s v="kend"/>
    <n v="7"/>
    <n v="0.18179999999999999"/>
  </r>
  <r>
    <n v="626"/>
    <s v="29-01-2011"/>
    <n v="1"/>
    <n v="0"/>
    <n v="1"/>
    <x v="6"/>
    <b v="0"/>
    <n v="6"/>
    <x v="0"/>
    <n v="0.18"/>
    <n v="0.19700000000000001"/>
    <n v="0.55000000000000004"/>
    <n v="0.16420000000000001"/>
    <n v="3"/>
    <n v="31"/>
    <n v="34"/>
    <x v="0"/>
    <n v="48759"/>
    <n v="124.8388746803069"/>
    <n v="385"/>
    <s v="Wee"/>
    <s v="kend"/>
    <n v="7"/>
    <n v="0.19700000000000001"/>
  </r>
  <r>
    <n v="627"/>
    <s v="29-01-2011"/>
    <n v="1"/>
    <n v="0"/>
    <n v="1"/>
    <x v="7"/>
    <b v="0"/>
    <n v="6"/>
    <x v="0"/>
    <n v="0.18"/>
    <n v="0.21210000000000001"/>
    <n v="0.59"/>
    <n v="8.9599999999999999E-2"/>
    <n v="0"/>
    <n v="34"/>
    <n v="34"/>
    <x v="0"/>
    <n v="48725"/>
    <n v="124.8388746803069"/>
    <n v="384"/>
    <s v="Wee"/>
    <s v="kend"/>
    <n v="7"/>
    <n v="0.21210000000000001"/>
  </r>
  <r>
    <n v="628"/>
    <s v="29-01-2011"/>
    <n v="1"/>
    <n v="0"/>
    <n v="1"/>
    <x v="8"/>
    <b v="0"/>
    <n v="6"/>
    <x v="1"/>
    <n v="0.18"/>
    <n v="0.21210000000000001"/>
    <n v="0.64"/>
    <n v="0.1045"/>
    <n v="4"/>
    <n v="51"/>
    <n v="55"/>
    <x v="0"/>
    <n v="48691"/>
    <n v="124.8388746803069"/>
    <n v="383"/>
    <s v="Wee"/>
    <s v="kend"/>
    <n v="7"/>
    <n v="0.21210000000000001"/>
  </r>
  <r>
    <n v="629"/>
    <s v="29-01-2011"/>
    <n v="1"/>
    <n v="0"/>
    <n v="1"/>
    <x v="9"/>
    <b v="0"/>
    <n v="6"/>
    <x v="1"/>
    <n v="0.18"/>
    <n v="0.19700000000000001"/>
    <n v="0.64"/>
    <n v="0.1343"/>
    <n v="4"/>
    <n v="60"/>
    <n v="64"/>
    <x v="0"/>
    <n v="48636"/>
    <n v="124.8388746803069"/>
    <n v="382"/>
    <s v="Wee"/>
    <s v="kend"/>
    <n v="7"/>
    <n v="0.19700000000000001"/>
  </r>
  <r>
    <n v="630"/>
    <s v="29-01-2011"/>
    <n v="1"/>
    <n v="0"/>
    <n v="1"/>
    <x v="10"/>
    <b v="0"/>
    <n v="6"/>
    <x v="1"/>
    <n v="0.2"/>
    <n v="0.19700000000000001"/>
    <n v="0.59"/>
    <n v="0.19400000000000001"/>
    <n v="12"/>
    <n v="66"/>
    <n v="78"/>
    <x v="0"/>
    <n v="48572"/>
    <n v="124.8388746803069"/>
    <n v="381"/>
    <s v="Wee"/>
    <s v="kend"/>
    <n v="7"/>
    <n v="0.19700000000000001"/>
  </r>
  <r>
    <n v="631"/>
    <s v="29-01-2011"/>
    <n v="1"/>
    <n v="0"/>
    <n v="1"/>
    <x v="11"/>
    <b v="0"/>
    <n v="6"/>
    <x v="1"/>
    <n v="0.22"/>
    <n v="0.2273"/>
    <n v="0.55000000000000004"/>
    <n v="0.16420000000000001"/>
    <n v="9"/>
    <n v="56"/>
    <n v="65"/>
    <x v="0"/>
    <n v="48494"/>
    <n v="124.8388746803069"/>
    <n v="380"/>
    <s v="Wee"/>
    <s v="kend"/>
    <n v="7"/>
    <n v="0.2273"/>
  </r>
  <r>
    <n v="632"/>
    <s v="29-01-2011"/>
    <n v="1"/>
    <n v="0"/>
    <n v="1"/>
    <x v="12"/>
    <b v="0"/>
    <n v="6"/>
    <x v="1"/>
    <n v="0.22"/>
    <n v="0.2273"/>
    <n v="0.6"/>
    <n v="0.1343"/>
    <n v="10"/>
    <n v="89"/>
    <n v="99"/>
    <x v="0"/>
    <n v="48429"/>
    <n v="124.8388746803069"/>
    <n v="379"/>
    <s v="Wee"/>
    <s v="kend"/>
    <n v="7"/>
    <n v="0.2273"/>
  </r>
  <r>
    <n v="633"/>
    <s v="29-01-2011"/>
    <n v="1"/>
    <n v="0"/>
    <n v="1"/>
    <x v="13"/>
    <b v="0"/>
    <n v="6"/>
    <x v="0"/>
    <n v="0.22"/>
    <n v="0.21210000000000001"/>
    <n v="0.69"/>
    <n v="0.25369999999999998"/>
    <n v="22"/>
    <n v="98"/>
    <n v="120"/>
    <x v="0"/>
    <n v="48330"/>
    <n v="124.8388746803069"/>
    <n v="378"/>
    <s v="Wee"/>
    <s v="kend"/>
    <n v="7"/>
    <n v="0.21210000000000001"/>
  </r>
  <r>
    <n v="634"/>
    <s v="29-01-2011"/>
    <n v="1"/>
    <n v="0"/>
    <n v="1"/>
    <x v="14"/>
    <b v="0"/>
    <n v="6"/>
    <x v="0"/>
    <n v="0.24"/>
    <n v="0.2424"/>
    <n v="0.6"/>
    <n v="0.16420000000000001"/>
    <n v="19"/>
    <n v="88"/>
    <n v="107"/>
    <x v="0"/>
    <n v="48210"/>
    <n v="124.8388746803069"/>
    <n v="377"/>
    <s v="Wee"/>
    <s v="kend"/>
    <n v="7"/>
    <n v="0.2424"/>
  </r>
  <r>
    <n v="635"/>
    <s v="29-01-2011"/>
    <n v="1"/>
    <n v="0"/>
    <n v="1"/>
    <x v="15"/>
    <b v="0"/>
    <n v="6"/>
    <x v="0"/>
    <n v="0.24"/>
    <n v="0.28789999999999999"/>
    <n v="0.6"/>
    <n v="0"/>
    <n v="9"/>
    <n v="82"/>
    <n v="91"/>
    <x v="0"/>
    <n v="48103"/>
    <n v="124.8388746803069"/>
    <n v="376"/>
    <s v="Wee"/>
    <s v="kend"/>
    <n v="7"/>
    <n v="0.28789999999999999"/>
  </r>
  <r>
    <n v="636"/>
    <s v="29-01-2011"/>
    <n v="1"/>
    <n v="0"/>
    <n v="1"/>
    <x v="16"/>
    <b v="0"/>
    <n v="6"/>
    <x v="0"/>
    <n v="0.22"/>
    <n v="0.2273"/>
    <n v="0.69"/>
    <n v="0.1343"/>
    <n v="9"/>
    <n v="59"/>
    <n v="68"/>
    <x v="0"/>
    <n v="48012"/>
    <n v="124.8388746803069"/>
    <n v="375"/>
    <s v="Wee"/>
    <s v="kend"/>
    <n v="7"/>
    <n v="0.2273"/>
  </r>
  <r>
    <n v="637"/>
    <s v="29-01-2011"/>
    <n v="1"/>
    <n v="0"/>
    <n v="1"/>
    <x v="17"/>
    <b v="0"/>
    <n v="6"/>
    <x v="1"/>
    <n v="0.22"/>
    <n v="0.21210000000000001"/>
    <n v="0.69"/>
    <n v="0.25369999999999998"/>
    <n v="6"/>
    <n v="52"/>
    <n v="58"/>
    <x v="0"/>
    <n v="47944"/>
    <n v="124.8388746803069"/>
    <n v="374"/>
    <s v="Wee"/>
    <s v="kend"/>
    <n v="7"/>
    <n v="0.21210000000000001"/>
  </r>
  <r>
    <n v="638"/>
    <s v="29-01-2011"/>
    <n v="1"/>
    <n v="0"/>
    <n v="1"/>
    <x v="18"/>
    <b v="0"/>
    <n v="6"/>
    <x v="0"/>
    <n v="0.18"/>
    <n v="0.21210000000000001"/>
    <n v="0.74"/>
    <n v="8.9599999999999999E-2"/>
    <n v="1"/>
    <n v="42"/>
    <n v="43"/>
    <x v="0"/>
    <n v="47886"/>
    <n v="124.8388746803069"/>
    <n v="373"/>
    <s v="Wee"/>
    <s v="kend"/>
    <n v="7"/>
    <n v="0.21210000000000001"/>
  </r>
  <r>
    <n v="639"/>
    <s v="29-01-2011"/>
    <n v="1"/>
    <n v="0"/>
    <n v="1"/>
    <x v="19"/>
    <b v="0"/>
    <n v="6"/>
    <x v="0"/>
    <n v="0.18"/>
    <n v="0.21210000000000001"/>
    <n v="0.74"/>
    <n v="8.9599999999999999E-2"/>
    <n v="1"/>
    <n v="35"/>
    <n v="36"/>
    <x v="0"/>
    <n v="47843"/>
    <n v="124.8388746803069"/>
    <n v="372"/>
    <s v="Wee"/>
    <s v="kend"/>
    <n v="7"/>
    <n v="0.21210000000000001"/>
  </r>
  <r>
    <n v="640"/>
    <s v="29-01-2011"/>
    <n v="1"/>
    <n v="0"/>
    <n v="1"/>
    <x v="20"/>
    <b v="0"/>
    <n v="6"/>
    <x v="0"/>
    <n v="0.16"/>
    <n v="0.19700000000000001"/>
    <n v="0.8"/>
    <n v="8.9599999999999999E-2"/>
    <n v="4"/>
    <n v="28"/>
    <n v="32"/>
    <x v="0"/>
    <n v="47807"/>
    <n v="124.8388746803069"/>
    <n v="371"/>
    <s v="Wee"/>
    <s v="kend"/>
    <n v="7"/>
    <n v="0.19700000000000001"/>
  </r>
  <r>
    <n v="641"/>
    <s v="29-01-2011"/>
    <n v="1"/>
    <n v="0"/>
    <n v="1"/>
    <x v="21"/>
    <b v="0"/>
    <n v="6"/>
    <x v="0"/>
    <n v="0.16"/>
    <n v="0.19700000000000001"/>
    <n v="0.8"/>
    <n v="8.9599999999999999E-2"/>
    <n v="3"/>
    <n v="30"/>
    <n v="33"/>
    <x v="0"/>
    <n v="47775"/>
    <n v="124.8388746803069"/>
    <n v="370"/>
    <s v="Wee"/>
    <s v="kend"/>
    <n v="7"/>
    <n v="0.19700000000000001"/>
  </r>
  <r>
    <n v="642"/>
    <s v="30-01-2011"/>
    <n v="1"/>
    <n v="0"/>
    <n v="1"/>
    <x v="22"/>
    <b v="0"/>
    <n v="0"/>
    <x v="0"/>
    <n v="0.16"/>
    <n v="0.18179999999999999"/>
    <n v="0.8"/>
    <n v="0.1045"/>
    <n v="0"/>
    <n v="33"/>
    <n v="33"/>
    <x v="0"/>
    <n v="47742"/>
    <n v="124.8388746803069"/>
    <n v="369"/>
    <s v="Wee"/>
    <s v="kend"/>
    <n v="7"/>
    <n v="0.18179999999999999"/>
  </r>
  <r>
    <n v="643"/>
    <s v="30-01-2011"/>
    <n v="1"/>
    <n v="0"/>
    <n v="1"/>
    <x v="0"/>
    <b v="0"/>
    <n v="0"/>
    <x v="0"/>
    <n v="0.14000000000000001"/>
    <n v="0.21210000000000001"/>
    <n v="0.8"/>
    <n v="0"/>
    <n v="7"/>
    <n v="22"/>
    <n v="29"/>
    <x v="0"/>
    <n v="47709"/>
    <n v="124.8388746803069"/>
    <n v="368"/>
    <s v="Wee"/>
    <s v="kend"/>
    <n v="7"/>
    <n v="0.21210000000000001"/>
  </r>
  <r>
    <n v="644"/>
    <s v="30-01-2011"/>
    <n v="1"/>
    <n v="0"/>
    <n v="1"/>
    <x v="1"/>
    <b v="0"/>
    <n v="0"/>
    <x v="0"/>
    <n v="0.16"/>
    <n v="0.2273"/>
    <n v="0.8"/>
    <n v="0"/>
    <n v="1"/>
    <n v="10"/>
    <n v="11"/>
    <x v="0"/>
    <n v="47680"/>
    <n v="124.8388746803069"/>
    <n v="367"/>
    <s v="Wee"/>
    <s v="kend"/>
    <n v="7"/>
    <n v="0.2273"/>
  </r>
  <r>
    <n v="645"/>
    <s v="30-01-2011"/>
    <n v="1"/>
    <n v="0"/>
    <n v="1"/>
    <x v="2"/>
    <b v="0"/>
    <n v="0"/>
    <x v="0"/>
    <n v="0.14000000000000001"/>
    <n v="0.21210000000000001"/>
    <n v="0.93"/>
    <n v="0"/>
    <n v="1"/>
    <n v="7"/>
    <n v="8"/>
    <x v="0"/>
    <n v="47669"/>
    <n v="124.8388746803069"/>
    <n v="366"/>
    <s v="Wee"/>
    <s v="kend"/>
    <n v="7"/>
    <n v="0.21210000000000001"/>
  </r>
  <r>
    <n v="646"/>
    <s v="30-01-2011"/>
    <n v="1"/>
    <n v="0"/>
    <n v="1"/>
    <x v="3"/>
    <b v="0"/>
    <n v="0"/>
    <x v="0"/>
    <n v="0.14000000000000001"/>
    <n v="0.21210000000000001"/>
    <n v="0.93"/>
    <n v="0"/>
    <n v="0"/>
    <n v="1"/>
    <n v="1"/>
    <x v="0"/>
    <n v="47661"/>
    <n v="124.8388746803069"/>
    <n v="365"/>
    <s v="Wee"/>
    <s v="kend"/>
    <n v="7"/>
    <n v="0.21210000000000001"/>
  </r>
  <r>
    <n v="647"/>
    <s v="30-01-2011"/>
    <n v="1"/>
    <n v="0"/>
    <n v="1"/>
    <x v="23"/>
    <b v="0"/>
    <n v="0"/>
    <x v="0"/>
    <n v="0.14000000000000001"/>
    <n v="0.21210000000000001"/>
    <n v="0.86"/>
    <n v="0"/>
    <n v="0"/>
    <n v="3"/>
    <n v="3"/>
    <x v="0"/>
    <n v="47660"/>
    <n v="124.8388746803069"/>
    <n v="364"/>
    <s v="Wee"/>
    <s v="kend"/>
    <n v="7"/>
    <n v="0.21210000000000001"/>
  </r>
  <r>
    <n v="648"/>
    <s v="30-01-2011"/>
    <n v="1"/>
    <n v="0"/>
    <n v="1"/>
    <x v="5"/>
    <b v="0"/>
    <n v="0"/>
    <x v="0"/>
    <n v="0.14000000000000001"/>
    <n v="0.21210000000000001"/>
    <n v="0.86"/>
    <n v="0"/>
    <n v="0"/>
    <n v="3"/>
    <n v="3"/>
    <x v="0"/>
    <n v="47657"/>
    <n v="124.8388746803069"/>
    <n v="363"/>
    <s v="Wee"/>
    <s v="kend"/>
    <n v="7"/>
    <n v="0.21210000000000001"/>
  </r>
  <r>
    <n v="649"/>
    <s v="30-01-2011"/>
    <n v="1"/>
    <n v="0"/>
    <n v="1"/>
    <x v="6"/>
    <b v="0"/>
    <n v="0"/>
    <x v="1"/>
    <n v="0.14000000000000001"/>
    <n v="0.21210000000000001"/>
    <n v="0.86"/>
    <n v="0"/>
    <n v="1"/>
    <n v="11"/>
    <n v="12"/>
    <x v="0"/>
    <n v="47654"/>
    <n v="124.8388746803069"/>
    <n v="362"/>
    <s v="Wee"/>
    <s v="kend"/>
    <n v="7"/>
    <n v="0.21210000000000001"/>
  </r>
  <r>
    <n v="650"/>
    <s v="30-01-2011"/>
    <n v="1"/>
    <n v="0"/>
    <n v="1"/>
    <x v="7"/>
    <b v="0"/>
    <n v="0"/>
    <x v="1"/>
    <n v="0.16"/>
    <n v="0.2273"/>
    <n v="0.8"/>
    <n v="0"/>
    <n v="4"/>
    <n v="34"/>
    <n v="38"/>
    <x v="0"/>
    <n v="47642"/>
    <n v="124.8388746803069"/>
    <n v="361"/>
    <s v="Wee"/>
    <s v="kend"/>
    <n v="7"/>
    <n v="0.2273"/>
  </r>
  <r>
    <n v="651"/>
    <s v="30-01-2011"/>
    <n v="1"/>
    <n v="0"/>
    <n v="1"/>
    <x v="8"/>
    <b v="0"/>
    <n v="0"/>
    <x v="1"/>
    <n v="0.18"/>
    <n v="0.2424"/>
    <n v="0.8"/>
    <n v="0"/>
    <n v="7"/>
    <n v="57"/>
    <n v="64"/>
    <x v="0"/>
    <n v="47604"/>
    <n v="124.8388746803069"/>
    <n v="360"/>
    <s v="Wee"/>
    <s v="kend"/>
    <n v="7"/>
    <n v="0.2424"/>
  </r>
  <r>
    <n v="652"/>
    <s v="30-01-2011"/>
    <n v="1"/>
    <n v="0"/>
    <n v="1"/>
    <x v="9"/>
    <b v="0"/>
    <n v="0"/>
    <x v="0"/>
    <n v="0.22"/>
    <n v="0.2727"/>
    <n v="0.75"/>
    <n v="0"/>
    <n v="9"/>
    <n v="50"/>
    <n v="59"/>
    <x v="0"/>
    <n v="47540"/>
    <n v="124.8388746803069"/>
    <n v="359"/>
    <s v="Wee"/>
    <s v="kend"/>
    <n v="7"/>
    <n v="0.2727"/>
  </r>
  <r>
    <n v="653"/>
    <s v="30-01-2011"/>
    <n v="1"/>
    <n v="0"/>
    <n v="1"/>
    <x v="10"/>
    <b v="0"/>
    <n v="0"/>
    <x v="0"/>
    <n v="0.3"/>
    <n v="0.31819999999999998"/>
    <n v="0.52"/>
    <n v="0.1045"/>
    <n v="10"/>
    <n v="87"/>
    <n v="97"/>
    <x v="0"/>
    <n v="47481"/>
    <n v="124.8388746803069"/>
    <n v="358"/>
    <s v="Wee"/>
    <s v="kend"/>
    <n v="7"/>
    <n v="0.31819999999999998"/>
  </r>
  <r>
    <n v="654"/>
    <s v="30-01-2011"/>
    <n v="1"/>
    <n v="0"/>
    <n v="1"/>
    <x v="11"/>
    <b v="0"/>
    <n v="0"/>
    <x v="0"/>
    <n v="0.28000000000000003"/>
    <n v="0.28789999999999999"/>
    <n v="0.61"/>
    <n v="0.1045"/>
    <n v="13"/>
    <n v="71"/>
    <n v="84"/>
    <x v="0"/>
    <n v="47384"/>
    <n v="124.8388746803069"/>
    <n v="357"/>
    <s v="Wee"/>
    <s v="kend"/>
    <n v="7"/>
    <n v="0.28789999999999999"/>
  </r>
  <r>
    <n v="655"/>
    <s v="30-01-2011"/>
    <n v="1"/>
    <n v="0"/>
    <n v="1"/>
    <x v="12"/>
    <b v="0"/>
    <n v="0"/>
    <x v="0"/>
    <n v="0.28000000000000003"/>
    <n v="0.30299999999999999"/>
    <n v="0.61"/>
    <n v="8.9599999999999999E-2"/>
    <n v="18"/>
    <n v="104"/>
    <n v="122"/>
    <x v="0"/>
    <n v="47300"/>
    <n v="124.8388746803069"/>
    <n v="356"/>
    <s v="Wee"/>
    <s v="kend"/>
    <n v="7"/>
    <n v="0.30299999999999999"/>
  </r>
  <r>
    <n v="656"/>
    <s v="30-01-2011"/>
    <n v="1"/>
    <n v="0"/>
    <n v="1"/>
    <x v="13"/>
    <b v="0"/>
    <n v="0"/>
    <x v="0"/>
    <n v="0.3"/>
    <n v="0.33329999999999999"/>
    <n v="0.56000000000000005"/>
    <n v="0"/>
    <n v="14"/>
    <n v="95"/>
    <n v="109"/>
    <x v="0"/>
    <n v="47178"/>
    <n v="124.8388746803069"/>
    <n v="355"/>
    <s v="Wee"/>
    <s v="kend"/>
    <n v="7"/>
    <n v="0.33329999999999999"/>
  </r>
  <r>
    <n v="657"/>
    <s v="30-01-2011"/>
    <n v="1"/>
    <n v="0"/>
    <n v="1"/>
    <x v="14"/>
    <b v="0"/>
    <n v="0"/>
    <x v="0"/>
    <n v="0.3"/>
    <n v="0.33329999999999999"/>
    <n v="0.56000000000000005"/>
    <n v="0"/>
    <n v="19"/>
    <n v="104"/>
    <n v="123"/>
    <x v="0"/>
    <n v="47069"/>
    <n v="124.8388746803069"/>
    <n v="354"/>
    <s v="Wee"/>
    <s v="kend"/>
    <n v="7"/>
    <n v="0.33329999999999999"/>
  </r>
  <r>
    <n v="658"/>
    <s v="30-01-2011"/>
    <n v="1"/>
    <n v="0"/>
    <n v="1"/>
    <x v="15"/>
    <b v="0"/>
    <n v="0"/>
    <x v="0"/>
    <n v="0.3"/>
    <n v="0.28789999999999999"/>
    <n v="0.56000000000000005"/>
    <n v="0.19400000000000001"/>
    <n v="6"/>
    <n v="71"/>
    <n v="77"/>
    <x v="0"/>
    <n v="46946"/>
    <n v="124.8388746803069"/>
    <n v="353"/>
    <s v="Wee"/>
    <s v="kend"/>
    <n v="7"/>
    <n v="0.28789999999999999"/>
  </r>
  <r>
    <n v="659"/>
    <s v="30-01-2011"/>
    <n v="1"/>
    <n v="0"/>
    <n v="1"/>
    <x v="16"/>
    <b v="0"/>
    <n v="0"/>
    <x v="0"/>
    <n v="0.26"/>
    <n v="0.2576"/>
    <n v="0.65"/>
    <n v="0.16420000000000001"/>
    <n v="8"/>
    <n v="57"/>
    <n v="65"/>
    <x v="0"/>
    <n v="46869"/>
    <n v="124.8388746803069"/>
    <n v="352"/>
    <s v="Wee"/>
    <s v="kend"/>
    <n v="7"/>
    <n v="0.2576"/>
  </r>
  <r>
    <n v="660"/>
    <s v="30-01-2011"/>
    <n v="1"/>
    <n v="0"/>
    <n v="1"/>
    <x v="17"/>
    <b v="0"/>
    <n v="0"/>
    <x v="0"/>
    <n v="0.26"/>
    <n v="0.2576"/>
    <n v="0.65"/>
    <n v="0.19400000000000001"/>
    <n v="9"/>
    <n v="46"/>
    <n v="55"/>
    <x v="0"/>
    <n v="46804"/>
    <n v="124.8388746803069"/>
    <n v="351"/>
    <s v="Wee"/>
    <s v="kend"/>
    <n v="7"/>
    <n v="0.2576"/>
  </r>
  <r>
    <n v="661"/>
    <s v="30-01-2011"/>
    <n v="1"/>
    <n v="0"/>
    <n v="1"/>
    <x v="18"/>
    <b v="0"/>
    <n v="0"/>
    <x v="1"/>
    <n v="0.26"/>
    <n v="0.2727"/>
    <n v="0.65"/>
    <n v="0.1045"/>
    <n v="3"/>
    <n v="30"/>
    <n v="33"/>
    <x v="0"/>
    <n v="46749"/>
    <n v="124.8388746803069"/>
    <n v="350"/>
    <s v="Wee"/>
    <s v="kend"/>
    <n v="7"/>
    <n v="0.2727"/>
  </r>
  <r>
    <n v="662"/>
    <s v="30-01-2011"/>
    <n v="1"/>
    <n v="0"/>
    <n v="1"/>
    <x v="19"/>
    <b v="0"/>
    <n v="0"/>
    <x v="1"/>
    <n v="0.24"/>
    <n v="0.2424"/>
    <n v="0.7"/>
    <n v="0.16420000000000001"/>
    <n v="3"/>
    <n v="25"/>
    <n v="28"/>
    <x v="0"/>
    <n v="46716"/>
    <n v="124.8388746803069"/>
    <n v="349"/>
    <s v="Wee"/>
    <s v="kend"/>
    <n v="7"/>
    <n v="0.2424"/>
  </r>
  <r>
    <n v="663"/>
    <s v="30-01-2011"/>
    <n v="1"/>
    <n v="0"/>
    <n v="1"/>
    <x v="20"/>
    <b v="0"/>
    <n v="0"/>
    <x v="1"/>
    <n v="0.24"/>
    <n v="0.2273"/>
    <n v="0.7"/>
    <n v="0.19400000000000001"/>
    <n v="2"/>
    <n v="19"/>
    <n v="21"/>
    <x v="0"/>
    <n v="46688"/>
    <n v="124.8388746803069"/>
    <n v="348"/>
    <s v="Wee"/>
    <s v="kend"/>
    <n v="7"/>
    <n v="0.2273"/>
  </r>
  <r>
    <n v="664"/>
    <s v="30-01-2011"/>
    <n v="1"/>
    <n v="0"/>
    <n v="1"/>
    <x v="21"/>
    <b v="0"/>
    <n v="0"/>
    <x v="1"/>
    <n v="0.24"/>
    <n v="0.21210000000000001"/>
    <n v="0.65"/>
    <n v="0.28360000000000002"/>
    <n v="5"/>
    <n v="16"/>
    <n v="21"/>
    <x v="0"/>
    <n v="46667"/>
    <n v="124.8388746803069"/>
    <n v="347"/>
    <s v="Wee"/>
    <s v="kday"/>
    <n v="7"/>
    <n v="0.21210000000000001"/>
  </r>
  <r>
    <n v="665"/>
    <s v="31-01-2011"/>
    <n v="1"/>
    <n v="0"/>
    <n v="1"/>
    <x v="22"/>
    <b v="0"/>
    <n v="1"/>
    <x v="1"/>
    <n v="0.24"/>
    <n v="0.2273"/>
    <n v="0.65"/>
    <n v="0.22389999999999999"/>
    <n v="1"/>
    <n v="6"/>
    <n v="7"/>
    <x v="1"/>
    <n v="46646"/>
    <n v="124.8388746803069"/>
    <n v="346"/>
    <s v="Wee"/>
    <s v="kday"/>
    <n v="7"/>
    <n v="0.2273"/>
  </r>
  <r>
    <n v="666"/>
    <s v="31-01-2011"/>
    <n v="1"/>
    <n v="0"/>
    <n v="1"/>
    <x v="0"/>
    <b v="0"/>
    <n v="1"/>
    <x v="0"/>
    <n v="0.22"/>
    <n v="0.21210000000000001"/>
    <n v="0.64"/>
    <n v="0.25369999999999998"/>
    <n v="2"/>
    <n v="5"/>
    <n v="7"/>
    <x v="1"/>
    <n v="46639"/>
    <n v="124.8388746803069"/>
    <n v="345"/>
    <s v="Wee"/>
    <s v="kday"/>
    <n v="7"/>
    <n v="0.21210000000000001"/>
  </r>
  <r>
    <n v="667"/>
    <s v="31-01-2011"/>
    <n v="1"/>
    <n v="0"/>
    <n v="1"/>
    <x v="1"/>
    <b v="0"/>
    <n v="1"/>
    <x v="0"/>
    <n v="0.22"/>
    <n v="0.2273"/>
    <n v="0.64"/>
    <n v="0.19400000000000001"/>
    <n v="0"/>
    <n v="1"/>
    <n v="1"/>
    <x v="1"/>
    <n v="46632"/>
    <n v="124.8388746803069"/>
    <n v="344"/>
    <s v="Wee"/>
    <s v="kday"/>
    <n v="7"/>
    <n v="0.2273"/>
  </r>
  <r>
    <n v="668"/>
    <s v="31-01-2011"/>
    <n v="1"/>
    <n v="0"/>
    <n v="1"/>
    <x v="2"/>
    <b v="0"/>
    <n v="1"/>
    <x v="0"/>
    <n v="0.22"/>
    <n v="0.2273"/>
    <n v="0.64"/>
    <n v="0.19400000000000001"/>
    <n v="0"/>
    <n v="2"/>
    <n v="2"/>
    <x v="1"/>
    <n v="46631"/>
    <n v="124.8388746803069"/>
    <n v="343"/>
    <s v="Wee"/>
    <s v="kday"/>
    <n v="7"/>
    <n v="0.2273"/>
  </r>
  <r>
    <n v="669"/>
    <s v="31-01-2011"/>
    <n v="1"/>
    <n v="0"/>
    <n v="1"/>
    <x v="3"/>
    <b v="0"/>
    <n v="1"/>
    <x v="0"/>
    <n v="0.2"/>
    <n v="0.19700000000000001"/>
    <n v="0.59"/>
    <n v="0.22389999999999999"/>
    <n v="0"/>
    <n v="2"/>
    <n v="2"/>
    <x v="1"/>
    <n v="46629"/>
    <n v="124.8388746803069"/>
    <n v="342"/>
    <s v="Wee"/>
    <s v="kday"/>
    <n v="7"/>
    <n v="0.19700000000000001"/>
  </r>
  <r>
    <n v="670"/>
    <s v="31-01-2011"/>
    <n v="1"/>
    <n v="0"/>
    <n v="1"/>
    <x v="23"/>
    <b v="0"/>
    <n v="1"/>
    <x v="0"/>
    <n v="0.18"/>
    <n v="0.16669999999999999"/>
    <n v="0.64"/>
    <n v="0.28360000000000002"/>
    <n v="0"/>
    <n v="8"/>
    <n v="8"/>
    <x v="1"/>
    <n v="46627"/>
    <n v="124.8388746803069"/>
    <n v="341"/>
    <s v="Wee"/>
    <s v="kday"/>
    <n v="7"/>
    <n v="0.16669999999999999"/>
  </r>
  <r>
    <n v="671"/>
    <s v="31-01-2011"/>
    <n v="1"/>
    <n v="0"/>
    <n v="1"/>
    <x v="4"/>
    <b v="0"/>
    <n v="1"/>
    <x v="0"/>
    <n v="0.16"/>
    <n v="0.13639999999999999"/>
    <n v="0.69"/>
    <n v="0.32840000000000003"/>
    <n v="0"/>
    <n v="37"/>
    <n v="37"/>
    <x v="1"/>
    <n v="46619"/>
    <n v="124.8388746803069"/>
    <n v="340"/>
    <s v="Wee"/>
    <s v="kday"/>
    <n v="7"/>
    <n v="0.13639999999999999"/>
  </r>
  <r>
    <n v="672"/>
    <s v="31-01-2011"/>
    <n v="1"/>
    <n v="0"/>
    <n v="1"/>
    <x v="5"/>
    <b v="0"/>
    <n v="1"/>
    <x v="1"/>
    <n v="0.16"/>
    <n v="0.13639999999999999"/>
    <n v="0.64"/>
    <n v="0.28360000000000002"/>
    <n v="1"/>
    <n v="71"/>
    <n v="72"/>
    <x v="1"/>
    <n v="46582"/>
    <n v="124.8388746803069"/>
    <n v="339"/>
    <s v="Wee"/>
    <s v="kday"/>
    <n v="7"/>
    <n v="0.13639999999999999"/>
  </r>
  <r>
    <n v="673"/>
    <s v="31-01-2011"/>
    <n v="1"/>
    <n v="0"/>
    <n v="1"/>
    <x v="6"/>
    <b v="0"/>
    <n v="1"/>
    <x v="1"/>
    <n v="0.16"/>
    <n v="0.13639999999999999"/>
    <n v="0.59"/>
    <n v="0.28360000000000002"/>
    <n v="3"/>
    <n v="182"/>
    <n v="185"/>
    <x v="1"/>
    <n v="46510"/>
    <n v="124.8388746803069"/>
    <n v="338"/>
    <s v="Wee"/>
    <s v="kday"/>
    <n v="7"/>
    <n v="0.13639999999999999"/>
  </r>
  <r>
    <n v="674"/>
    <s v="31-01-2011"/>
    <n v="1"/>
    <n v="0"/>
    <n v="1"/>
    <x v="7"/>
    <b v="0"/>
    <n v="1"/>
    <x v="1"/>
    <n v="0.16"/>
    <n v="0.13639999999999999"/>
    <n v="0.59"/>
    <n v="0.29849999999999999"/>
    <n v="0"/>
    <n v="112"/>
    <n v="112"/>
    <x v="1"/>
    <n v="46325"/>
    <n v="124.8388746803069"/>
    <n v="337"/>
    <s v="Wee"/>
    <s v="kday"/>
    <n v="7"/>
    <n v="0.13639999999999999"/>
  </r>
  <r>
    <n v="675"/>
    <s v="31-01-2011"/>
    <n v="1"/>
    <n v="0"/>
    <n v="1"/>
    <x v="8"/>
    <b v="0"/>
    <n v="1"/>
    <x v="1"/>
    <n v="0.16"/>
    <n v="0.1515"/>
    <n v="0.59"/>
    <n v="0.19400000000000001"/>
    <n v="1"/>
    <n v="68"/>
    <n v="69"/>
    <x v="1"/>
    <n v="46213"/>
    <n v="124.8388746803069"/>
    <n v="336"/>
    <s v="Wee"/>
    <s v="kday"/>
    <n v="7"/>
    <n v="0.1515"/>
  </r>
  <r>
    <n v="676"/>
    <s v="31-01-2011"/>
    <n v="1"/>
    <n v="0"/>
    <n v="1"/>
    <x v="9"/>
    <b v="0"/>
    <n v="1"/>
    <x v="1"/>
    <n v="0.16"/>
    <n v="0.1515"/>
    <n v="0.59"/>
    <n v="0.19400000000000001"/>
    <n v="2"/>
    <n v="46"/>
    <n v="48"/>
    <x v="1"/>
    <n v="46144"/>
    <n v="124.8388746803069"/>
    <n v="335"/>
    <s v="Wee"/>
    <s v="kday"/>
    <n v="7"/>
    <n v="0.1515"/>
  </r>
  <r>
    <n v="677"/>
    <s v="31-01-2011"/>
    <n v="1"/>
    <n v="0"/>
    <n v="1"/>
    <x v="10"/>
    <b v="0"/>
    <n v="1"/>
    <x v="1"/>
    <n v="0.18"/>
    <n v="0.21210000000000001"/>
    <n v="0.55000000000000004"/>
    <n v="0.1045"/>
    <n v="6"/>
    <n v="62"/>
    <n v="68"/>
    <x v="1"/>
    <n v="46096"/>
    <n v="124.8388746803069"/>
    <n v="334"/>
    <s v="Wee"/>
    <s v="kday"/>
    <n v="7"/>
    <n v="0.21210000000000001"/>
  </r>
  <r>
    <n v="678"/>
    <s v="31-01-2011"/>
    <n v="1"/>
    <n v="0"/>
    <n v="1"/>
    <x v="11"/>
    <b v="0"/>
    <n v="1"/>
    <x v="1"/>
    <n v="0.16"/>
    <n v="0.2273"/>
    <n v="0.59"/>
    <n v="0"/>
    <n v="2"/>
    <n v="52"/>
    <n v="54"/>
    <x v="1"/>
    <n v="46028"/>
    <n v="124.8388746803069"/>
    <n v="333"/>
    <s v="Wee"/>
    <s v="kday"/>
    <n v="7"/>
    <n v="0.2273"/>
  </r>
  <r>
    <n v="679"/>
    <s v="31-01-2011"/>
    <n v="1"/>
    <n v="0"/>
    <n v="1"/>
    <x v="12"/>
    <b v="0"/>
    <n v="1"/>
    <x v="1"/>
    <n v="0.18"/>
    <n v="0.19700000000000001"/>
    <n v="0.55000000000000004"/>
    <n v="0.1343"/>
    <n v="1"/>
    <n v="85"/>
    <n v="86"/>
    <x v="1"/>
    <n v="45974"/>
    <n v="124.8388746803069"/>
    <n v="332"/>
    <s v="Wee"/>
    <s v="kday"/>
    <n v="7"/>
    <n v="0.19700000000000001"/>
  </r>
  <r>
    <n v="680"/>
    <s v="31-01-2011"/>
    <n v="1"/>
    <n v="0"/>
    <n v="1"/>
    <x v="13"/>
    <b v="0"/>
    <n v="1"/>
    <x v="1"/>
    <n v="0.16"/>
    <n v="0.18179999999999999"/>
    <n v="0.59"/>
    <n v="0.1343"/>
    <n v="3"/>
    <n v="41"/>
    <n v="44"/>
    <x v="1"/>
    <n v="45888"/>
    <n v="124.8388746803069"/>
    <n v="331"/>
    <s v="Wee"/>
    <s v="kday"/>
    <n v="7"/>
    <n v="0.18179999999999999"/>
  </r>
  <r>
    <n v="681"/>
    <s v="31-01-2011"/>
    <n v="1"/>
    <n v="0"/>
    <n v="1"/>
    <x v="14"/>
    <b v="0"/>
    <n v="1"/>
    <x v="1"/>
    <n v="0.16"/>
    <n v="0.18179999999999999"/>
    <n v="0.56000000000000005"/>
    <n v="0.19400000000000001"/>
    <n v="3"/>
    <n v="83"/>
    <n v="86"/>
    <x v="1"/>
    <n v="45844"/>
    <n v="124.8388746803069"/>
    <n v="330"/>
    <s v="Wee"/>
    <s v="kday"/>
    <n v="7"/>
    <n v="0.18179999999999999"/>
  </r>
  <r>
    <n v="682"/>
    <s v="31-01-2011"/>
    <n v="1"/>
    <n v="0"/>
    <n v="1"/>
    <x v="15"/>
    <b v="0"/>
    <n v="1"/>
    <x v="1"/>
    <n v="0.16"/>
    <n v="0.1515"/>
    <n v="0.59"/>
    <n v="0.19400000000000001"/>
    <n v="6"/>
    <n v="155"/>
    <n v="161"/>
    <x v="1"/>
    <n v="45758"/>
    <n v="124.8388746803069"/>
    <n v="329"/>
    <s v="Wee"/>
    <s v="kday"/>
    <n v="7"/>
    <n v="0.1515"/>
  </r>
  <r>
    <n v="683"/>
    <s v="31-01-2011"/>
    <n v="1"/>
    <n v="0"/>
    <n v="1"/>
    <x v="16"/>
    <b v="0"/>
    <n v="1"/>
    <x v="1"/>
    <n v="0.16"/>
    <n v="0.1515"/>
    <n v="0.55000000000000004"/>
    <n v="0.22389999999999999"/>
    <n v="3"/>
    <n v="153"/>
    <n v="156"/>
    <x v="1"/>
    <n v="45597"/>
    <n v="124.8388746803069"/>
    <n v="328"/>
    <s v="Wee"/>
    <s v="kday"/>
    <n v="7"/>
    <n v="0.1515"/>
  </r>
  <r>
    <n v="684"/>
    <s v="31-01-2011"/>
    <n v="1"/>
    <n v="0"/>
    <n v="1"/>
    <x v="17"/>
    <b v="0"/>
    <n v="1"/>
    <x v="0"/>
    <n v="0.3"/>
    <n v="0.31819999999999998"/>
    <n v="0.61"/>
    <n v="0.1045"/>
    <n v="3"/>
    <n v="108"/>
    <n v="111"/>
    <x v="1"/>
    <n v="45441"/>
    <n v="124.8388746803069"/>
    <n v="327"/>
    <s v="Wee"/>
    <s v="kday"/>
    <n v="7"/>
    <n v="0.31819999999999998"/>
  </r>
  <r>
    <n v="685"/>
    <s v="31-01-2011"/>
    <n v="1"/>
    <n v="0"/>
    <n v="1"/>
    <x v="18"/>
    <b v="0"/>
    <n v="1"/>
    <x v="2"/>
    <n v="0.16"/>
    <n v="0.16669999999999999"/>
    <n v="0.59"/>
    <n v="0.16420000000000001"/>
    <n v="0"/>
    <n v="78"/>
    <n v="78"/>
    <x v="1"/>
    <n v="45330"/>
    <n v="124.8388746803069"/>
    <n v="326"/>
    <s v="Wee"/>
    <s v="kday"/>
    <n v="7"/>
    <n v="0.16669999999999999"/>
  </r>
  <r>
    <n v="686"/>
    <s v="31-01-2011"/>
    <n v="1"/>
    <n v="0"/>
    <n v="1"/>
    <x v="19"/>
    <b v="0"/>
    <n v="1"/>
    <x v="2"/>
    <n v="0.16"/>
    <n v="0.19700000000000001"/>
    <n v="0.59"/>
    <n v="8.9599999999999999E-2"/>
    <n v="3"/>
    <n v="53"/>
    <n v="56"/>
    <x v="1"/>
    <n v="45252"/>
    <n v="124.8388746803069"/>
    <n v="325"/>
    <s v="Wee"/>
    <s v="kday"/>
    <n v="7"/>
    <n v="0.19700000000000001"/>
  </r>
  <r>
    <n v="687"/>
    <s v="31-01-2011"/>
    <n v="1"/>
    <n v="0"/>
    <n v="1"/>
    <x v="20"/>
    <b v="0"/>
    <n v="1"/>
    <x v="1"/>
    <n v="0.16"/>
    <n v="0.18179999999999999"/>
    <n v="0.59"/>
    <n v="0.1045"/>
    <n v="0"/>
    <n v="34"/>
    <n v="34"/>
    <x v="1"/>
    <n v="45196"/>
    <n v="124.8388746803069"/>
    <n v="324"/>
    <s v="Wee"/>
    <s v="kday"/>
    <n v="7"/>
    <n v="0.18179999999999999"/>
  </r>
  <r>
    <n v="688"/>
    <s v="31-01-2011"/>
    <n v="1"/>
    <n v="0"/>
    <n v="1"/>
    <x v="21"/>
    <b v="0"/>
    <n v="1"/>
    <x v="1"/>
    <n v="0.16"/>
    <n v="0.19700000000000001"/>
    <n v="0.64"/>
    <n v="8.9599999999999999E-2"/>
    <n v="2"/>
    <n v="15"/>
    <n v="17"/>
    <x v="1"/>
    <n v="45162"/>
    <n v="124.8388746803069"/>
    <n v="323"/>
    <s v="Wee"/>
    <s v="kday"/>
    <n v="7"/>
    <n v="0.19700000000000001"/>
  </r>
  <r>
    <n v="689"/>
    <d v="2011-01-02T00:00:00"/>
    <n v="1"/>
    <n v="0"/>
    <n v="2"/>
    <x v="22"/>
    <b v="0"/>
    <n v="2"/>
    <x v="1"/>
    <n v="0.16"/>
    <n v="0.18179999999999999"/>
    <n v="0.64"/>
    <n v="0.1045"/>
    <n v="2"/>
    <n v="6"/>
    <n v="8"/>
    <x v="1"/>
    <n v="45145"/>
    <n v="124.8388746803069"/>
    <n v="322"/>
    <s v="Wee"/>
    <s v="kday"/>
    <n v="7"/>
    <n v="0.18179999999999999"/>
  </r>
  <r>
    <n v="690"/>
    <d v="2011-01-02T00:00:00"/>
    <n v="1"/>
    <n v="0"/>
    <n v="2"/>
    <x v="0"/>
    <b v="0"/>
    <n v="2"/>
    <x v="1"/>
    <n v="0.16"/>
    <n v="0.18179999999999999"/>
    <n v="0.69"/>
    <n v="0.1045"/>
    <n v="0"/>
    <n v="3"/>
    <n v="3"/>
    <x v="1"/>
    <n v="45137"/>
    <n v="124.8388746803069"/>
    <n v="321"/>
    <s v="Wee"/>
    <s v="kday"/>
    <n v="7"/>
    <n v="0.18179999999999999"/>
  </r>
  <r>
    <n v="691"/>
    <d v="2011-01-02T00:00:00"/>
    <n v="1"/>
    <n v="0"/>
    <n v="2"/>
    <x v="1"/>
    <b v="0"/>
    <n v="2"/>
    <x v="1"/>
    <n v="0.16"/>
    <n v="0.2273"/>
    <n v="0.69"/>
    <n v="0"/>
    <n v="0"/>
    <n v="2"/>
    <n v="2"/>
    <x v="1"/>
    <n v="45134"/>
    <n v="124.8388746803069"/>
    <n v="320"/>
    <s v="Wee"/>
    <s v="kday"/>
    <n v="7"/>
    <n v="0.2273"/>
  </r>
  <r>
    <n v="692"/>
    <d v="2011-01-02T00:00:00"/>
    <n v="1"/>
    <n v="0"/>
    <n v="2"/>
    <x v="2"/>
    <b v="0"/>
    <n v="2"/>
    <x v="1"/>
    <n v="0.16"/>
    <n v="0.2273"/>
    <n v="0.69"/>
    <n v="0"/>
    <n v="0"/>
    <n v="2"/>
    <n v="2"/>
    <x v="1"/>
    <n v="45132"/>
    <n v="124.8388746803069"/>
    <n v="319"/>
    <s v="Wee"/>
    <s v="kday"/>
    <n v="7"/>
    <n v="0.2273"/>
  </r>
  <r>
    <n v="693"/>
    <d v="2011-01-02T00:00:00"/>
    <n v="1"/>
    <n v="0"/>
    <n v="2"/>
    <x v="23"/>
    <b v="0"/>
    <n v="2"/>
    <x v="2"/>
    <n v="0.14000000000000001"/>
    <n v="0.21210000000000001"/>
    <n v="0.93"/>
    <n v="0"/>
    <n v="0"/>
    <n v="3"/>
    <n v="3"/>
    <x v="1"/>
    <n v="45130"/>
    <n v="124.8388746803069"/>
    <n v="318"/>
    <s v="Wee"/>
    <s v="kday"/>
    <n v="7"/>
    <n v="0.21210000000000001"/>
  </r>
  <r>
    <n v="694"/>
    <d v="2011-01-02T00:00:00"/>
    <n v="1"/>
    <n v="0"/>
    <n v="2"/>
    <x v="4"/>
    <b v="0"/>
    <n v="2"/>
    <x v="2"/>
    <n v="0.14000000000000001"/>
    <n v="0.21210000000000001"/>
    <n v="0.93"/>
    <n v="0"/>
    <n v="0"/>
    <n v="22"/>
    <n v="22"/>
    <x v="1"/>
    <n v="45127"/>
    <n v="124.8388746803069"/>
    <n v="317"/>
    <s v="Wee"/>
    <s v="kday"/>
    <n v="7"/>
    <n v="0.21210000000000001"/>
  </r>
  <r>
    <n v="695"/>
    <d v="2011-01-02T00:00:00"/>
    <n v="1"/>
    <n v="0"/>
    <n v="2"/>
    <x v="5"/>
    <b v="0"/>
    <n v="2"/>
    <x v="2"/>
    <n v="0.16"/>
    <n v="0.2273"/>
    <n v="0.93"/>
    <n v="0"/>
    <n v="0"/>
    <n v="52"/>
    <n v="52"/>
    <x v="1"/>
    <n v="45105"/>
    <n v="124.8388746803069"/>
    <n v="316"/>
    <s v="Wee"/>
    <s v="kday"/>
    <n v="7"/>
    <n v="0.2273"/>
  </r>
  <r>
    <n v="696"/>
    <d v="2011-01-02T00:00:00"/>
    <n v="1"/>
    <n v="0"/>
    <n v="2"/>
    <x v="6"/>
    <b v="0"/>
    <n v="2"/>
    <x v="2"/>
    <n v="0.16"/>
    <n v="0.2273"/>
    <n v="0.93"/>
    <n v="0"/>
    <n v="3"/>
    <n v="132"/>
    <n v="135"/>
    <x v="1"/>
    <n v="45053"/>
    <n v="124.8388746803069"/>
    <n v="315"/>
    <s v="Wee"/>
    <s v="kday"/>
    <n v="7"/>
    <n v="0.2273"/>
  </r>
  <r>
    <n v="697"/>
    <d v="2011-01-02T00:00:00"/>
    <n v="1"/>
    <n v="0"/>
    <n v="2"/>
    <x v="7"/>
    <b v="0"/>
    <n v="2"/>
    <x v="1"/>
    <n v="0.16"/>
    <n v="0.2273"/>
    <n v="0.93"/>
    <n v="0"/>
    <n v="2"/>
    <n v="114"/>
    <n v="116"/>
    <x v="1"/>
    <n v="44918"/>
    <n v="124.8388746803069"/>
    <n v="314"/>
    <s v="Wee"/>
    <s v="kday"/>
    <n v="7"/>
    <n v="0.2273"/>
  </r>
  <r>
    <n v="698"/>
    <d v="2011-01-02T00:00:00"/>
    <n v="1"/>
    <n v="0"/>
    <n v="2"/>
    <x v="8"/>
    <b v="0"/>
    <n v="2"/>
    <x v="1"/>
    <n v="0.16"/>
    <n v="0.2273"/>
    <n v="0.93"/>
    <n v="0"/>
    <n v="0"/>
    <n v="47"/>
    <n v="47"/>
    <x v="1"/>
    <n v="44802"/>
    <n v="124.8388746803069"/>
    <n v="313"/>
    <s v="Wee"/>
    <s v="kday"/>
    <n v="7"/>
    <n v="0.2273"/>
  </r>
  <r>
    <n v="699"/>
    <d v="2011-01-02T00:00:00"/>
    <n v="1"/>
    <n v="0"/>
    <n v="2"/>
    <x v="9"/>
    <b v="0"/>
    <n v="2"/>
    <x v="1"/>
    <n v="0.18"/>
    <n v="0.2424"/>
    <n v="0.86"/>
    <n v="0"/>
    <n v="2"/>
    <n v="49"/>
    <n v="51"/>
    <x v="1"/>
    <n v="44755"/>
    <n v="124.8388746803069"/>
    <n v="312"/>
    <s v="Wee"/>
    <s v="kday"/>
    <n v="7"/>
    <n v="0.2424"/>
  </r>
  <r>
    <n v="700"/>
    <d v="2011-01-02T00:00:00"/>
    <n v="1"/>
    <n v="0"/>
    <n v="2"/>
    <x v="10"/>
    <b v="0"/>
    <n v="2"/>
    <x v="1"/>
    <n v="0.2"/>
    <n v="0.2576"/>
    <n v="0.86"/>
    <n v="0"/>
    <n v="2"/>
    <n v="53"/>
    <n v="55"/>
    <x v="1"/>
    <n v="44704"/>
    <n v="124.8388746803069"/>
    <n v="311"/>
    <s v="Wee"/>
    <s v="kday"/>
    <n v="7"/>
    <n v="0.2576"/>
  </r>
  <r>
    <n v="701"/>
    <d v="2011-01-02T00:00:00"/>
    <n v="1"/>
    <n v="0"/>
    <n v="2"/>
    <x v="11"/>
    <b v="0"/>
    <n v="2"/>
    <x v="1"/>
    <n v="0.2"/>
    <n v="0.2576"/>
    <n v="0.86"/>
    <n v="0"/>
    <n v="3"/>
    <n v="49"/>
    <n v="52"/>
    <x v="1"/>
    <n v="44649"/>
    <n v="124.8388746803069"/>
    <n v="310"/>
    <s v="Wee"/>
    <s v="kday"/>
    <n v="7"/>
    <n v="0.2576"/>
  </r>
  <r>
    <n v="702"/>
    <d v="2011-01-02T00:00:00"/>
    <n v="1"/>
    <n v="0"/>
    <n v="2"/>
    <x v="12"/>
    <b v="0"/>
    <n v="2"/>
    <x v="1"/>
    <n v="0.22"/>
    <n v="0.2576"/>
    <n v="0.8"/>
    <n v="8.9599999999999999E-2"/>
    <n v="5"/>
    <n v="49"/>
    <n v="54"/>
    <x v="1"/>
    <n v="44597"/>
    <n v="124.8388746803069"/>
    <n v="309"/>
    <s v="Wee"/>
    <s v="kday"/>
    <n v="7"/>
    <n v="0.2576"/>
  </r>
  <r>
    <n v="703"/>
    <d v="2011-01-02T00:00:00"/>
    <n v="1"/>
    <n v="0"/>
    <n v="2"/>
    <x v="13"/>
    <b v="0"/>
    <n v="2"/>
    <x v="1"/>
    <n v="0.24"/>
    <n v="0.28789999999999999"/>
    <n v="0.75"/>
    <n v="0"/>
    <n v="7"/>
    <n v="45"/>
    <n v="52"/>
    <x v="1"/>
    <n v="44543"/>
    <n v="124.8388746803069"/>
    <n v="308"/>
    <s v="Wee"/>
    <s v="kday"/>
    <n v="7"/>
    <n v="0.28789999999999999"/>
  </r>
  <r>
    <n v="704"/>
    <d v="2011-01-02T00:00:00"/>
    <n v="1"/>
    <n v="0"/>
    <n v="2"/>
    <x v="14"/>
    <b v="0"/>
    <n v="2"/>
    <x v="1"/>
    <n v="0.24"/>
    <n v="0.2424"/>
    <n v="0.75"/>
    <n v="0.1343"/>
    <n v="3"/>
    <n v="61"/>
    <n v="64"/>
    <x v="1"/>
    <n v="44491"/>
    <n v="124.8388746803069"/>
    <n v="307"/>
    <s v="Wee"/>
    <s v="kday"/>
    <n v="7"/>
    <n v="0.2424"/>
  </r>
  <r>
    <n v="705"/>
    <d v="2011-01-02T00:00:00"/>
    <n v="1"/>
    <n v="0"/>
    <n v="2"/>
    <x v="15"/>
    <b v="0"/>
    <n v="2"/>
    <x v="1"/>
    <n v="0.24"/>
    <n v="0.28789999999999999"/>
    <n v="0.75"/>
    <n v="0"/>
    <n v="4"/>
    <n v="172"/>
    <n v="176"/>
    <x v="1"/>
    <n v="44427"/>
    <n v="124.8388746803069"/>
    <n v="306"/>
    <s v="Wee"/>
    <s v="kday"/>
    <n v="7"/>
    <n v="0.28789999999999999"/>
  </r>
  <r>
    <n v="706"/>
    <d v="2011-01-02T00:00:00"/>
    <n v="1"/>
    <n v="0"/>
    <n v="2"/>
    <x v="16"/>
    <b v="0"/>
    <n v="2"/>
    <x v="1"/>
    <n v="0.24"/>
    <n v="0.2576"/>
    <n v="0.81"/>
    <n v="0.1045"/>
    <n v="3"/>
    <n v="165"/>
    <n v="168"/>
    <x v="1"/>
    <n v="44251"/>
    <n v="124.8388746803069"/>
    <n v="305"/>
    <s v="Wee"/>
    <s v="kday"/>
    <n v="7"/>
    <n v="0.2576"/>
  </r>
  <r>
    <n v="707"/>
    <d v="2011-01-02T00:00:00"/>
    <n v="1"/>
    <n v="0"/>
    <n v="2"/>
    <x v="17"/>
    <b v="0"/>
    <n v="2"/>
    <x v="1"/>
    <n v="0.24"/>
    <n v="0.2424"/>
    <n v="0.81"/>
    <n v="0.1343"/>
    <n v="3"/>
    <n v="105"/>
    <n v="108"/>
    <x v="1"/>
    <n v="44083"/>
    <n v="124.8388746803069"/>
    <n v="304"/>
    <s v="Wee"/>
    <s v="kday"/>
    <n v="7"/>
    <n v="0.2424"/>
  </r>
  <r>
    <n v="708"/>
    <d v="2011-01-02T00:00:00"/>
    <n v="1"/>
    <n v="0"/>
    <n v="2"/>
    <x v="18"/>
    <b v="0"/>
    <n v="2"/>
    <x v="1"/>
    <n v="0.22"/>
    <n v="0.2273"/>
    <n v="0.87"/>
    <n v="0.1343"/>
    <n v="5"/>
    <n v="69"/>
    <n v="74"/>
    <x v="1"/>
    <n v="43975"/>
    <n v="124.8388746803069"/>
    <n v="303"/>
    <s v="Wee"/>
    <s v="kday"/>
    <n v="7"/>
    <n v="0.2273"/>
  </r>
  <r>
    <n v="709"/>
    <d v="2011-01-02T00:00:00"/>
    <n v="1"/>
    <n v="0"/>
    <n v="2"/>
    <x v="19"/>
    <b v="0"/>
    <n v="2"/>
    <x v="1"/>
    <n v="0.22"/>
    <n v="0.2273"/>
    <n v="0.87"/>
    <n v="0.1343"/>
    <n v="0"/>
    <n v="64"/>
    <n v="64"/>
    <x v="1"/>
    <n v="43901"/>
    <n v="124.8388746803069"/>
    <n v="302"/>
    <s v="Wee"/>
    <s v="kday"/>
    <n v="7"/>
    <n v="0.2273"/>
  </r>
  <r>
    <n v="710"/>
    <d v="2011-01-02T00:00:00"/>
    <n v="1"/>
    <n v="0"/>
    <n v="2"/>
    <x v="20"/>
    <b v="0"/>
    <n v="2"/>
    <x v="1"/>
    <n v="0.22"/>
    <n v="0.2576"/>
    <n v="0.87"/>
    <n v="8.9599999999999999E-2"/>
    <n v="2"/>
    <n v="34"/>
    <n v="36"/>
    <x v="1"/>
    <n v="43837"/>
    <n v="124.8388746803069"/>
    <n v="301"/>
    <s v="Wee"/>
    <s v="kday"/>
    <n v="7"/>
    <n v="0.2576"/>
  </r>
  <r>
    <n v="711"/>
    <d v="2011-01-02T00:00:00"/>
    <n v="1"/>
    <n v="0"/>
    <n v="2"/>
    <x v="21"/>
    <b v="0"/>
    <n v="2"/>
    <x v="2"/>
    <n v="0.2"/>
    <n v="0.19700000000000001"/>
    <n v="0.93"/>
    <n v="0.19400000000000001"/>
    <n v="1"/>
    <n v="15"/>
    <n v="16"/>
    <x v="1"/>
    <n v="43801"/>
    <n v="124.8388746803069"/>
    <n v="300"/>
    <s v="Wee"/>
    <s v="kday"/>
    <n v="7"/>
    <n v="0.19700000000000001"/>
  </r>
  <r>
    <n v="712"/>
    <d v="2011-02-02T00:00:00"/>
    <n v="1"/>
    <n v="0"/>
    <n v="2"/>
    <x v="22"/>
    <b v="0"/>
    <n v="3"/>
    <x v="2"/>
    <n v="0.22"/>
    <n v="0.2424"/>
    <n v="0.93"/>
    <n v="0.1045"/>
    <n v="0"/>
    <n v="2"/>
    <n v="2"/>
    <x v="1"/>
    <n v="43785"/>
    <n v="124.8388746803069"/>
    <n v="299"/>
    <s v="Wee"/>
    <s v="kday"/>
    <n v="7"/>
    <n v="0.2424"/>
  </r>
  <r>
    <n v="713"/>
    <d v="2011-02-02T00:00:00"/>
    <n v="1"/>
    <n v="0"/>
    <n v="2"/>
    <x v="0"/>
    <b v="0"/>
    <n v="3"/>
    <x v="2"/>
    <n v="0.22"/>
    <n v="0.2273"/>
    <n v="0.93"/>
    <n v="0.19400000000000001"/>
    <n v="0"/>
    <n v="3"/>
    <n v="3"/>
    <x v="1"/>
    <n v="43783"/>
    <n v="124.8388746803069"/>
    <n v="298"/>
    <s v="Wee"/>
    <s v="kday"/>
    <n v="7"/>
    <n v="0.2273"/>
  </r>
  <r>
    <n v="714"/>
    <d v="2011-02-02T00:00:00"/>
    <n v="1"/>
    <n v="0"/>
    <n v="2"/>
    <x v="1"/>
    <b v="0"/>
    <n v="3"/>
    <x v="2"/>
    <n v="0.22"/>
    <n v="0.2273"/>
    <n v="0.93"/>
    <n v="0.1343"/>
    <n v="4"/>
    <n v="0"/>
    <n v="4"/>
    <x v="1"/>
    <n v="43780"/>
    <n v="124.8388746803069"/>
    <n v="297"/>
    <s v="Wee"/>
    <s v="kday"/>
    <n v="7"/>
    <n v="0.2273"/>
  </r>
  <r>
    <n v="715"/>
    <d v="2011-02-02T00:00:00"/>
    <n v="1"/>
    <n v="0"/>
    <n v="2"/>
    <x v="2"/>
    <b v="0"/>
    <n v="3"/>
    <x v="2"/>
    <n v="0.22"/>
    <n v="0.2273"/>
    <n v="0.93"/>
    <n v="0.1343"/>
    <n v="0"/>
    <n v="1"/>
    <n v="1"/>
    <x v="1"/>
    <n v="43776"/>
    <n v="124.8388746803069"/>
    <n v="296"/>
    <s v="Wee"/>
    <s v="kday"/>
    <n v="7"/>
    <n v="0.2273"/>
  </r>
  <r>
    <n v="716"/>
    <d v="2011-02-02T00:00:00"/>
    <n v="1"/>
    <n v="0"/>
    <n v="2"/>
    <x v="3"/>
    <b v="0"/>
    <n v="3"/>
    <x v="2"/>
    <n v="0.22"/>
    <n v="0.21210000000000001"/>
    <n v="0.93"/>
    <n v="0.28360000000000002"/>
    <n v="0"/>
    <n v="1"/>
    <n v="1"/>
    <x v="1"/>
    <n v="43775"/>
    <n v="124.8388746803069"/>
    <n v="295"/>
    <s v="Wee"/>
    <s v="kday"/>
    <n v="7"/>
    <n v="0.21210000000000001"/>
  </r>
  <r>
    <n v="717"/>
    <d v="2011-02-02T00:00:00"/>
    <n v="1"/>
    <n v="0"/>
    <n v="2"/>
    <x v="23"/>
    <b v="0"/>
    <n v="3"/>
    <x v="2"/>
    <n v="0.22"/>
    <n v="0.2424"/>
    <n v="0.93"/>
    <n v="0.1045"/>
    <n v="0"/>
    <n v="3"/>
    <n v="3"/>
    <x v="1"/>
    <n v="43774"/>
    <n v="124.8388746803069"/>
    <n v="294"/>
    <s v="Wee"/>
    <s v="kday"/>
    <n v="7"/>
    <n v="0.2424"/>
  </r>
  <r>
    <n v="718"/>
    <d v="2011-02-02T00:00:00"/>
    <n v="1"/>
    <n v="0"/>
    <n v="2"/>
    <x v="4"/>
    <b v="0"/>
    <n v="3"/>
    <x v="2"/>
    <n v="0.22"/>
    <n v="0.2424"/>
    <n v="0.93"/>
    <n v="0.1045"/>
    <n v="1"/>
    <n v="17"/>
    <n v="18"/>
    <x v="1"/>
    <n v="43771"/>
    <n v="124.8388746803069"/>
    <n v="293"/>
    <s v="Wee"/>
    <s v="kday"/>
    <n v="7"/>
    <n v="0.2424"/>
  </r>
  <r>
    <n v="719"/>
    <d v="2011-02-02T00:00:00"/>
    <n v="1"/>
    <n v="0"/>
    <n v="2"/>
    <x v="5"/>
    <b v="0"/>
    <n v="3"/>
    <x v="2"/>
    <n v="0.22"/>
    <n v="0.21210000000000001"/>
    <n v="0.93"/>
    <n v="0.22389999999999999"/>
    <n v="1"/>
    <n v="48"/>
    <n v="49"/>
    <x v="1"/>
    <n v="43753"/>
    <n v="124.8388746803069"/>
    <n v="292"/>
    <s v="Wee"/>
    <s v="kday"/>
    <n v="7"/>
    <n v="0.21210000000000001"/>
  </r>
  <r>
    <n v="720"/>
    <d v="2011-02-02T00:00:00"/>
    <n v="1"/>
    <n v="0"/>
    <n v="2"/>
    <x v="6"/>
    <b v="0"/>
    <n v="3"/>
    <x v="2"/>
    <n v="0.22"/>
    <n v="0.21210000000000001"/>
    <n v="0.93"/>
    <n v="0.22389999999999999"/>
    <n v="1"/>
    <n v="154"/>
    <n v="155"/>
    <x v="1"/>
    <n v="43704"/>
    <n v="124.8388746803069"/>
    <n v="291"/>
    <s v="Wee"/>
    <s v="kday"/>
    <n v="7"/>
    <n v="0.21210000000000001"/>
  </r>
  <r>
    <n v="721"/>
    <d v="2011-02-02T00:00:00"/>
    <n v="1"/>
    <n v="0"/>
    <n v="2"/>
    <x v="7"/>
    <b v="0"/>
    <n v="3"/>
    <x v="1"/>
    <n v="0.24"/>
    <n v="0.2576"/>
    <n v="0.93"/>
    <n v="8.9599999999999999E-2"/>
    <n v="4"/>
    <n v="119"/>
    <n v="123"/>
    <x v="1"/>
    <n v="43549"/>
    <n v="124.8388746803069"/>
    <n v="290"/>
    <s v="Wee"/>
    <s v="kday"/>
    <n v="7"/>
    <n v="0.2576"/>
  </r>
  <r>
    <n v="722"/>
    <d v="2011-02-02T00:00:00"/>
    <n v="1"/>
    <n v="0"/>
    <n v="2"/>
    <x v="8"/>
    <b v="0"/>
    <n v="3"/>
    <x v="1"/>
    <n v="0.22"/>
    <n v="0.2727"/>
    <n v="1"/>
    <n v="0"/>
    <n v="2"/>
    <n v="59"/>
    <n v="61"/>
    <x v="1"/>
    <n v="43426"/>
    <n v="124.8388746803069"/>
    <n v="289"/>
    <s v="Wee"/>
    <s v="kday"/>
    <n v="7"/>
    <n v="0.2727"/>
  </r>
  <r>
    <n v="723"/>
    <d v="2011-02-02T00:00:00"/>
    <n v="1"/>
    <n v="0"/>
    <n v="2"/>
    <x v="9"/>
    <b v="0"/>
    <n v="3"/>
    <x v="1"/>
    <n v="0.24"/>
    <n v="0.2273"/>
    <n v="0.93"/>
    <n v="0.19400000000000001"/>
    <n v="5"/>
    <n v="47"/>
    <n v="52"/>
    <x v="1"/>
    <n v="43365"/>
    <n v="124.8388746803069"/>
    <n v="288"/>
    <s v="Wee"/>
    <s v="kday"/>
    <n v="7"/>
    <n v="0.2273"/>
  </r>
  <r>
    <n v="724"/>
    <d v="2011-02-02T00:00:00"/>
    <n v="1"/>
    <n v="0"/>
    <n v="2"/>
    <x v="10"/>
    <b v="0"/>
    <n v="3"/>
    <x v="1"/>
    <n v="0.24"/>
    <n v="0.2273"/>
    <n v="0.93"/>
    <n v="0.22389999999999999"/>
    <n v="3"/>
    <n v="61"/>
    <n v="64"/>
    <x v="1"/>
    <n v="43313"/>
    <n v="124.8388746803069"/>
    <n v="287"/>
    <s v="Wee"/>
    <s v="kday"/>
    <n v="7"/>
    <n v="0.2273"/>
  </r>
  <r>
    <n v="725"/>
    <d v="2011-02-02T00:00:00"/>
    <n v="1"/>
    <n v="0"/>
    <n v="2"/>
    <x v="11"/>
    <b v="0"/>
    <n v="3"/>
    <x v="0"/>
    <n v="0.34"/>
    <n v="0.33329999999999999"/>
    <n v="0.93"/>
    <n v="0.16420000000000001"/>
    <n v="1"/>
    <n v="74"/>
    <n v="75"/>
    <x v="1"/>
    <n v="43249"/>
    <n v="124.8388746803069"/>
    <n v="286"/>
    <s v="Wee"/>
    <s v="kday"/>
    <n v="7"/>
    <n v="0.33329999999999999"/>
  </r>
  <r>
    <n v="726"/>
    <d v="2011-02-02T00:00:00"/>
    <n v="1"/>
    <n v="0"/>
    <n v="2"/>
    <x v="12"/>
    <b v="0"/>
    <n v="3"/>
    <x v="0"/>
    <n v="0.38"/>
    <n v="0.39389999999999997"/>
    <n v="0.82"/>
    <n v="0.3881"/>
    <n v="2"/>
    <n v="61"/>
    <n v="63"/>
    <x v="1"/>
    <n v="43174"/>
    <n v="124.8388746803069"/>
    <n v="285"/>
    <s v="Wee"/>
    <s v="kday"/>
    <n v="7"/>
    <n v="0.39389999999999997"/>
  </r>
  <r>
    <n v="727"/>
    <d v="2011-02-02T00:00:00"/>
    <n v="1"/>
    <n v="0"/>
    <n v="2"/>
    <x v="13"/>
    <b v="0"/>
    <n v="3"/>
    <x v="0"/>
    <n v="0.38"/>
    <n v="0.39389999999999997"/>
    <n v="0.76"/>
    <n v="0.32840000000000003"/>
    <n v="10"/>
    <n v="66"/>
    <n v="76"/>
    <x v="1"/>
    <n v="43111"/>
    <n v="124.8388746803069"/>
    <n v="284"/>
    <s v="Wee"/>
    <s v="kday"/>
    <n v="7"/>
    <n v="0.39389999999999997"/>
  </r>
  <r>
    <n v="728"/>
    <d v="2011-02-02T00:00:00"/>
    <n v="1"/>
    <n v="0"/>
    <n v="2"/>
    <x v="14"/>
    <b v="0"/>
    <n v="3"/>
    <x v="0"/>
    <n v="0.36"/>
    <n v="0.33329999999999999"/>
    <n v="0.71"/>
    <n v="0.29849999999999999"/>
    <n v="8"/>
    <n v="95"/>
    <n v="103"/>
    <x v="1"/>
    <n v="43035"/>
    <n v="124.8388746803069"/>
    <n v="283"/>
    <s v="Wee"/>
    <s v="kday"/>
    <n v="7"/>
    <n v="0.33329999999999999"/>
  </r>
  <r>
    <n v="729"/>
    <d v="2011-02-02T00:00:00"/>
    <n v="1"/>
    <n v="0"/>
    <n v="2"/>
    <x v="15"/>
    <b v="0"/>
    <n v="3"/>
    <x v="0"/>
    <n v="0.36"/>
    <n v="0.31819999999999998"/>
    <n v="0.53"/>
    <n v="0.52239999999999998"/>
    <n v="7"/>
    <n v="183"/>
    <n v="190"/>
    <x v="1"/>
    <n v="42932"/>
    <n v="124.8388746803069"/>
    <n v="282"/>
    <s v="Wee"/>
    <s v="kday"/>
    <n v="7"/>
    <n v="0.31819999999999998"/>
  </r>
  <r>
    <n v="730"/>
    <d v="2011-02-02T00:00:00"/>
    <n v="1"/>
    <n v="0"/>
    <n v="2"/>
    <x v="16"/>
    <b v="0"/>
    <n v="3"/>
    <x v="0"/>
    <n v="0.34"/>
    <n v="0.28789999999999999"/>
    <n v="0.42"/>
    <n v="0.55220000000000002"/>
    <n v="7"/>
    <n v="175"/>
    <n v="182"/>
    <x v="1"/>
    <n v="42742"/>
    <n v="124.8388746803069"/>
    <n v="281"/>
    <s v="Wee"/>
    <s v="kday"/>
    <n v="7"/>
    <n v="0.28789999999999999"/>
  </r>
  <r>
    <n v="731"/>
    <d v="2011-02-02T00:00:00"/>
    <n v="1"/>
    <n v="0"/>
    <n v="2"/>
    <x v="17"/>
    <b v="0"/>
    <n v="3"/>
    <x v="0"/>
    <n v="0.28000000000000003"/>
    <n v="0.2424"/>
    <n v="0.45"/>
    <n v="0.49249999999999999"/>
    <n v="3"/>
    <n v="88"/>
    <n v="91"/>
    <x v="1"/>
    <n v="42560"/>
    <n v="124.8388746803069"/>
    <n v="280"/>
    <s v="Wee"/>
    <s v="kday"/>
    <n v="7"/>
    <n v="0.2424"/>
  </r>
  <r>
    <n v="732"/>
    <d v="2011-02-02T00:00:00"/>
    <n v="1"/>
    <n v="0"/>
    <n v="2"/>
    <x v="18"/>
    <b v="0"/>
    <n v="3"/>
    <x v="0"/>
    <n v="0.24"/>
    <n v="0.19700000000000001"/>
    <n v="0.48"/>
    <n v="0.55220000000000002"/>
    <n v="4"/>
    <n v="71"/>
    <n v="75"/>
    <x v="1"/>
    <n v="42469"/>
    <n v="124.8388746803069"/>
    <n v="279"/>
    <s v="Wee"/>
    <s v="kday"/>
    <n v="7"/>
    <n v="0.19700000000000001"/>
  </r>
  <r>
    <n v="733"/>
    <d v="2011-02-02T00:00:00"/>
    <n v="1"/>
    <n v="0"/>
    <n v="2"/>
    <x v="19"/>
    <b v="0"/>
    <n v="3"/>
    <x v="0"/>
    <n v="0.22"/>
    <n v="0.19700000000000001"/>
    <n v="0.47"/>
    <n v="0.32840000000000003"/>
    <n v="1"/>
    <n v="62"/>
    <n v="63"/>
    <x v="1"/>
    <n v="42394"/>
    <n v="124.8388746803069"/>
    <n v="278"/>
    <s v="Wee"/>
    <s v="kday"/>
    <n v="7"/>
    <n v="0.19700000000000001"/>
  </r>
  <r>
    <n v="734"/>
    <d v="2011-02-02T00:00:00"/>
    <n v="1"/>
    <n v="0"/>
    <n v="2"/>
    <x v="20"/>
    <b v="0"/>
    <n v="3"/>
    <x v="0"/>
    <n v="0.22"/>
    <n v="0.21210000000000001"/>
    <n v="0.44"/>
    <n v="0.25369999999999998"/>
    <n v="5"/>
    <n v="35"/>
    <n v="40"/>
    <x v="1"/>
    <n v="42331"/>
    <n v="124.8388746803069"/>
    <n v="277"/>
    <s v="Wee"/>
    <s v="kday"/>
    <n v="7"/>
    <n v="0.21210000000000001"/>
  </r>
  <r>
    <n v="735"/>
    <d v="2011-02-02T00:00:00"/>
    <n v="1"/>
    <n v="0"/>
    <n v="2"/>
    <x v="21"/>
    <b v="0"/>
    <n v="3"/>
    <x v="0"/>
    <n v="0.2"/>
    <n v="0.16669999999999999"/>
    <n v="0.44"/>
    <n v="0.44779999999999998"/>
    <n v="3"/>
    <n v="29"/>
    <n v="32"/>
    <x v="1"/>
    <n v="42291"/>
    <n v="124.8388746803069"/>
    <n v="276"/>
    <s v="Wee"/>
    <s v="kday"/>
    <n v="7"/>
    <n v="0.16669999999999999"/>
  </r>
  <r>
    <n v="736"/>
    <d v="2011-03-02T00:00:00"/>
    <n v="1"/>
    <n v="0"/>
    <n v="2"/>
    <x v="22"/>
    <b v="0"/>
    <n v="4"/>
    <x v="0"/>
    <n v="0.2"/>
    <n v="0.16669999999999999"/>
    <n v="0.4"/>
    <n v="0.44779999999999998"/>
    <n v="1"/>
    <n v="11"/>
    <n v="12"/>
    <x v="1"/>
    <n v="42259"/>
    <n v="124.8388746803069"/>
    <n v="275"/>
    <s v="Wee"/>
    <s v="kday"/>
    <n v="7"/>
    <n v="0.16669999999999999"/>
  </r>
  <r>
    <n v="737"/>
    <d v="2011-03-02T00:00:00"/>
    <n v="1"/>
    <n v="0"/>
    <n v="2"/>
    <x v="0"/>
    <b v="0"/>
    <n v="4"/>
    <x v="0"/>
    <n v="0.2"/>
    <n v="0.1515"/>
    <n v="0.44"/>
    <n v="0.52239999999999998"/>
    <n v="0"/>
    <n v="5"/>
    <n v="5"/>
    <x v="1"/>
    <n v="42247"/>
    <n v="124.8388746803069"/>
    <n v="274"/>
    <s v="Wee"/>
    <s v="kday"/>
    <n v="7"/>
    <n v="0.1515"/>
  </r>
  <r>
    <n v="738"/>
    <d v="2011-03-02T00:00:00"/>
    <n v="1"/>
    <n v="0"/>
    <n v="2"/>
    <x v="1"/>
    <b v="0"/>
    <n v="4"/>
    <x v="0"/>
    <n v="0.18"/>
    <n v="0.16669999999999999"/>
    <n v="0.43"/>
    <n v="0.25369999999999998"/>
    <n v="0"/>
    <n v="2"/>
    <n v="2"/>
    <x v="1"/>
    <n v="42242"/>
    <n v="124.8388746803069"/>
    <n v="273"/>
    <s v="Wee"/>
    <s v="kday"/>
    <n v="7"/>
    <n v="0.16669999999999999"/>
  </r>
  <r>
    <n v="739"/>
    <d v="2011-03-02T00:00:00"/>
    <n v="1"/>
    <n v="0"/>
    <n v="2"/>
    <x v="2"/>
    <b v="0"/>
    <n v="4"/>
    <x v="0"/>
    <n v="0.18"/>
    <n v="0.16669999999999999"/>
    <n v="0.43"/>
    <n v="0.25369999999999998"/>
    <n v="0"/>
    <n v="1"/>
    <n v="1"/>
    <x v="1"/>
    <n v="42240"/>
    <n v="124.8388746803069"/>
    <n v="272"/>
    <s v="Wee"/>
    <s v="kday"/>
    <n v="7"/>
    <n v="0.16669999999999999"/>
  </r>
  <r>
    <n v="740"/>
    <d v="2011-03-02T00:00:00"/>
    <n v="1"/>
    <n v="0"/>
    <n v="2"/>
    <x v="23"/>
    <b v="0"/>
    <n v="4"/>
    <x v="0"/>
    <n v="0.16"/>
    <n v="0.13639999999999999"/>
    <n v="0.5"/>
    <n v="0.29849999999999999"/>
    <n v="0"/>
    <n v="2"/>
    <n v="2"/>
    <x v="1"/>
    <n v="42239"/>
    <n v="124.8388746803069"/>
    <n v="271"/>
    <s v="Wee"/>
    <s v="kday"/>
    <n v="7"/>
    <n v="0.13639999999999999"/>
  </r>
  <r>
    <n v="741"/>
    <d v="2011-03-02T00:00:00"/>
    <n v="1"/>
    <n v="0"/>
    <n v="2"/>
    <x v="4"/>
    <b v="0"/>
    <n v="4"/>
    <x v="0"/>
    <n v="0.16"/>
    <n v="0.13639999999999999"/>
    <n v="0.43"/>
    <n v="0.35820000000000002"/>
    <n v="0"/>
    <n v="39"/>
    <n v="39"/>
    <x v="1"/>
    <n v="42237"/>
    <n v="124.8388746803069"/>
    <n v="270"/>
    <s v="Wee"/>
    <s v="kday"/>
    <n v="7"/>
    <n v="0.13639999999999999"/>
  </r>
  <r>
    <n v="742"/>
    <d v="2011-03-02T00:00:00"/>
    <n v="1"/>
    <n v="0"/>
    <n v="2"/>
    <x v="5"/>
    <b v="0"/>
    <n v="4"/>
    <x v="0"/>
    <n v="0.14000000000000001"/>
    <n v="0.1212"/>
    <n v="0.5"/>
    <n v="0.32840000000000003"/>
    <n v="1"/>
    <n v="86"/>
    <n v="87"/>
    <x v="1"/>
    <n v="42198"/>
    <n v="124.8388746803069"/>
    <n v="269"/>
    <s v="Wee"/>
    <s v="kday"/>
    <n v="7"/>
    <n v="0.1212"/>
  </r>
  <r>
    <n v="743"/>
    <d v="2011-03-02T00:00:00"/>
    <n v="1"/>
    <n v="0"/>
    <n v="2"/>
    <x v="6"/>
    <b v="0"/>
    <n v="4"/>
    <x v="0"/>
    <n v="0.14000000000000001"/>
    <n v="0.1212"/>
    <n v="0.5"/>
    <n v="0.35820000000000002"/>
    <n v="4"/>
    <n v="184"/>
    <n v="188"/>
    <x v="1"/>
    <n v="42111"/>
    <n v="124.8388746803069"/>
    <n v="268"/>
    <s v="Wee"/>
    <s v="kday"/>
    <n v="7"/>
    <n v="0.1212"/>
  </r>
  <r>
    <n v="744"/>
    <d v="2011-03-02T00:00:00"/>
    <n v="1"/>
    <n v="0"/>
    <n v="2"/>
    <x v="7"/>
    <b v="0"/>
    <n v="4"/>
    <x v="0"/>
    <n v="0.16"/>
    <n v="0.13639999999999999"/>
    <n v="0.47"/>
    <n v="0.29849999999999999"/>
    <n v="6"/>
    <n v="127"/>
    <n v="133"/>
    <x v="1"/>
    <n v="41923"/>
    <n v="124.8388746803069"/>
    <n v="267"/>
    <s v="Wee"/>
    <s v="kday"/>
    <n v="7"/>
    <n v="0.13639999999999999"/>
  </r>
  <r>
    <n v="745"/>
    <d v="2011-03-02T00:00:00"/>
    <n v="1"/>
    <n v="0"/>
    <n v="2"/>
    <x v="8"/>
    <b v="0"/>
    <n v="4"/>
    <x v="0"/>
    <n v="0.18"/>
    <n v="0.1515"/>
    <n v="0.43"/>
    <n v="0.32840000000000003"/>
    <n v="2"/>
    <n v="50"/>
    <n v="52"/>
    <x v="1"/>
    <n v="41790"/>
    <n v="124.8388746803069"/>
    <n v="266"/>
    <s v="Wee"/>
    <s v="kday"/>
    <n v="7"/>
    <n v="0.1515"/>
  </r>
  <r>
    <n v="746"/>
    <d v="2011-03-02T00:00:00"/>
    <n v="1"/>
    <n v="0"/>
    <n v="2"/>
    <x v="9"/>
    <b v="0"/>
    <n v="4"/>
    <x v="0"/>
    <n v="0.18"/>
    <n v="0.13639999999999999"/>
    <n v="0.43"/>
    <n v="0.44779999999999998"/>
    <n v="9"/>
    <n v="55"/>
    <n v="64"/>
    <x v="1"/>
    <n v="41738"/>
    <n v="124.8388746803069"/>
    <n v="265"/>
    <s v="Wee"/>
    <s v="kday"/>
    <n v="7"/>
    <n v="0.13639999999999999"/>
  </r>
  <r>
    <n v="747"/>
    <d v="2011-03-02T00:00:00"/>
    <n v="1"/>
    <n v="0"/>
    <n v="2"/>
    <x v="10"/>
    <b v="0"/>
    <n v="4"/>
    <x v="0"/>
    <n v="0.2"/>
    <n v="0.18179999999999999"/>
    <n v="0.4"/>
    <n v="0.35820000000000002"/>
    <n v="2"/>
    <n v="67"/>
    <n v="69"/>
    <x v="1"/>
    <n v="41674"/>
    <n v="124.8388746803069"/>
    <n v="264"/>
    <s v="Wee"/>
    <s v="kday"/>
    <n v="7"/>
    <n v="0.18179999999999999"/>
  </r>
  <r>
    <n v="748"/>
    <d v="2011-03-02T00:00:00"/>
    <n v="1"/>
    <n v="0"/>
    <n v="2"/>
    <x v="11"/>
    <b v="0"/>
    <n v="4"/>
    <x v="0"/>
    <n v="0.2"/>
    <n v="0.16669999999999999"/>
    <n v="0.4"/>
    <n v="0.41789999999999999"/>
    <n v="4"/>
    <n v="47"/>
    <n v="51"/>
    <x v="1"/>
    <n v="41605"/>
    <n v="124.8388746803069"/>
    <n v="263"/>
    <s v="Wee"/>
    <s v="kday"/>
    <n v="7"/>
    <n v="0.16669999999999999"/>
  </r>
  <r>
    <n v="749"/>
    <d v="2011-03-02T00:00:00"/>
    <n v="1"/>
    <n v="0"/>
    <n v="2"/>
    <x v="12"/>
    <b v="0"/>
    <n v="4"/>
    <x v="0"/>
    <n v="0.22"/>
    <n v="0.19700000000000001"/>
    <n v="0.37"/>
    <n v="0.3881"/>
    <n v="4"/>
    <n v="43"/>
    <n v="47"/>
    <x v="1"/>
    <n v="41554"/>
    <n v="124.8388746803069"/>
    <n v="262"/>
    <s v="Wee"/>
    <s v="kday"/>
    <n v="7"/>
    <n v="0.19700000000000001"/>
  </r>
  <r>
    <n v="750"/>
    <d v="2011-03-02T00:00:00"/>
    <n v="1"/>
    <n v="0"/>
    <n v="2"/>
    <x v="13"/>
    <b v="0"/>
    <n v="4"/>
    <x v="0"/>
    <n v="0.22"/>
    <n v="0.19700000000000001"/>
    <n v="0.37"/>
    <n v="0.32840000000000003"/>
    <n v="4"/>
    <n v="56"/>
    <n v="60"/>
    <x v="1"/>
    <n v="41507"/>
    <n v="124.8388746803069"/>
    <n v="261"/>
    <s v="Wee"/>
    <s v="kday"/>
    <n v="7"/>
    <n v="0.19700000000000001"/>
  </r>
  <r>
    <n v="751"/>
    <d v="2011-03-02T00:00:00"/>
    <n v="1"/>
    <n v="0"/>
    <n v="2"/>
    <x v="14"/>
    <b v="0"/>
    <n v="4"/>
    <x v="0"/>
    <n v="0.22"/>
    <n v="0.21210000000000001"/>
    <n v="0.37"/>
    <n v="0.25369999999999998"/>
    <n v="5"/>
    <n v="73"/>
    <n v="78"/>
    <x v="1"/>
    <n v="41447"/>
    <n v="124.8388746803069"/>
    <n v="260"/>
    <s v="Wee"/>
    <s v="kday"/>
    <n v="7"/>
    <n v="0.21210000000000001"/>
  </r>
  <r>
    <n v="752"/>
    <d v="2011-03-02T00:00:00"/>
    <n v="1"/>
    <n v="0"/>
    <n v="2"/>
    <x v="15"/>
    <b v="0"/>
    <n v="4"/>
    <x v="0"/>
    <n v="0.2"/>
    <n v="0.19700000000000001"/>
    <n v="0.4"/>
    <n v="0.19400000000000001"/>
    <n v="5"/>
    <n v="170"/>
    <n v="175"/>
    <x v="1"/>
    <n v="41369"/>
    <n v="124.8388746803069"/>
    <n v="259"/>
    <s v="Wee"/>
    <s v="kday"/>
    <n v="7"/>
    <n v="0.19700000000000001"/>
  </r>
  <r>
    <n v="753"/>
    <d v="2011-03-02T00:00:00"/>
    <n v="1"/>
    <n v="0"/>
    <n v="2"/>
    <x v="16"/>
    <b v="0"/>
    <n v="4"/>
    <x v="0"/>
    <n v="0.2"/>
    <n v="0.21210000000000001"/>
    <n v="0.4"/>
    <n v="0.16420000000000001"/>
    <n v="2"/>
    <n v="145"/>
    <n v="147"/>
    <x v="1"/>
    <n v="41194"/>
    <n v="124.8388746803069"/>
    <n v="258"/>
    <s v="Wee"/>
    <s v="kday"/>
    <n v="7"/>
    <n v="0.21210000000000001"/>
  </r>
  <r>
    <n v="754"/>
    <d v="2011-03-02T00:00:00"/>
    <n v="1"/>
    <n v="0"/>
    <n v="2"/>
    <x v="17"/>
    <b v="0"/>
    <n v="4"/>
    <x v="0"/>
    <n v="0.2"/>
    <n v="0.2576"/>
    <n v="0.4"/>
    <n v="0"/>
    <n v="4"/>
    <n v="92"/>
    <n v="96"/>
    <x v="1"/>
    <n v="41047"/>
    <n v="124.8388746803069"/>
    <n v="257"/>
    <s v="Wee"/>
    <s v="kday"/>
    <n v="7"/>
    <n v="0.2576"/>
  </r>
  <r>
    <n v="755"/>
    <d v="2011-03-02T00:00:00"/>
    <n v="1"/>
    <n v="0"/>
    <n v="2"/>
    <x v="18"/>
    <b v="0"/>
    <n v="4"/>
    <x v="0"/>
    <n v="0.2"/>
    <n v="0.2273"/>
    <n v="0.47"/>
    <n v="8.9599999999999999E-2"/>
    <n v="1"/>
    <n v="108"/>
    <n v="109"/>
    <x v="1"/>
    <n v="40951"/>
    <n v="124.8388746803069"/>
    <n v="256"/>
    <s v="Wee"/>
    <s v="kday"/>
    <n v="7"/>
    <n v="0.2273"/>
  </r>
  <r>
    <n v="756"/>
    <d v="2011-03-02T00:00:00"/>
    <n v="1"/>
    <n v="0"/>
    <n v="2"/>
    <x v="19"/>
    <b v="0"/>
    <n v="4"/>
    <x v="0"/>
    <n v="0.18"/>
    <n v="0.21210000000000001"/>
    <n v="0.55000000000000004"/>
    <n v="0.1045"/>
    <n v="1"/>
    <n v="53"/>
    <n v="54"/>
    <x v="1"/>
    <n v="40842"/>
    <n v="124.8388746803069"/>
    <n v="255"/>
    <s v="Wee"/>
    <s v="kday"/>
    <n v="7"/>
    <n v="0.21210000000000001"/>
  </r>
  <r>
    <n v="757"/>
    <d v="2011-03-02T00:00:00"/>
    <n v="1"/>
    <n v="0"/>
    <n v="2"/>
    <x v="20"/>
    <b v="0"/>
    <n v="4"/>
    <x v="0"/>
    <n v="0.18"/>
    <n v="0.21210000000000001"/>
    <n v="0.51"/>
    <n v="8.9599999999999999E-2"/>
    <n v="2"/>
    <n v="39"/>
    <n v="41"/>
    <x v="1"/>
    <n v="40788"/>
    <n v="124.8388746803069"/>
    <n v="254"/>
    <s v="Wee"/>
    <s v="kday"/>
    <n v="7"/>
    <n v="0.21210000000000001"/>
  </r>
  <r>
    <n v="758"/>
    <d v="2011-03-02T00:00:00"/>
    <n v="1"/>
    <n v="0"/>
    <n v="2"/>
    <x v="21"/>
    <b v="0"/>
    <n v="4"/>
    <x v="0"/>
    <n v="0.2"/>
    <n v="0.2273"/>
    <n v="0.47"/>
    <n v="0.1045"/>
    <n v="4"/>
    <n v="34"/>
    <n v="38"/>
    <x v="1"/>
    <n v="40747"/>
    <n v="124.8388746803069"/>
    <n v="253"/>
    <s v="Wee"/>
    <s v="kday"/>
    <n v="7"/>
    <n v="0.2273"/>
  </r>
  <r>
    <n v="759"/>
    <d v="2011-04-02T00:00:00"/>
    <n v="1"/>
    <n v="0"/>
    <n v="2"/>
    <x v="22"/>
    <b v="0"/>
    <n v="5"/>
    <x v="1"/>
    <n v="0.2"/>
    <n v="0.2576"/>
    <n v="0.44"/>
    <n v="0"/>
    <n v="3"/>
    <n v="10"/>
    <n v="13"/>
    <x v="1"/>
    <n v="40709"/>
    <n v="124.8388746803069"/>
    <n v="252"/>
    <s v="Wee"/>
    <s v="kday"/>
    <n v="7"/>
    <n v="0.2576"/>
  </r>
  <r>
    <n v="760"/>
    <d v="2011-04-02T00:00:00"/>
    <n v="1"/>
    <n v="0"/>
    <n v="2"/>
    <x v="0"/>
    <b v="0"/>
    <n v="5"/>
    <x v="1"/>
    <n v="0.16"/>
    <n v="0.2273"/>
    <n v="0.59"/>
    <n v="0"/>
    <n v="0"/>
    <n v="7"/>
    <n v="7"/>
    <x v="1"/>
    <n v="40696"/>
    <n v="124.8388746803069"/>
    <n v="251"/>
    <s v="Wee"/>
    <s v="kday"/>
    <n v="7"/>
    <n v="0.2273"/>
  </r>
  <r>
    <n v="761"/>
    <d v="2011-04-02T00:00:00"/>
    <n v="1"/>
    <n v="0"/>
    <n v="2"/>
    <x v="1"/>
    <b v="0"/>
    <n v="5"/>
    <x v="1"/>
    <n v="0.14000000000000001"/>
    <n v="0.16669999999999999"/>
    <n v="0.63"/>
    <n v="0.1045"/>
    <n v="0"/>
    <n v="1"/>
    <n v="1"/>
    <x v="1"/>
    <n v="40689"/>
    <n v="124.8388746803069"/>
    <n v="250"/>
    <s v="Wee"/>
    <s v="kday"/>
    <n v="7"/>
    <n v="0.16669999999999999"/>
  </r>
  <r>
    <n v="762"/>
    <d v="2011-04-02T00:00:00"/>
    <n v="1"/>
    <n v="0"/>
    <n v="2"/>
    <x v="2"/>
    <b v="0"/>
    <n v="5"/>
    <x v="1"/>
    <n v="0.14000000000000001"/>
    <n v="0.16669999999999999"/>
    <n v="0.63"/>
    <n v="0.1045"/>
    <n v="0"/>
    <n v="1"/>
    <n v="1"/>
    <x v="1"/>
    <n v="40688"/>
    <n v="124.8388746803069"/>
    <n v="249"/>
    <s v="Wee"/>
    <s v="kday"/>
    <n v="7"/>
    <n v="0.16669999999999999"/>
  </r>
  <r>
    <n v="763"/>
    <d v="2011-04-02T00:00:00"/>
    <n v="1"/>
    <n v="0"/>
    <n v="2"/>
    <x v="23"/>
    <b v="0"/>
    <n v="5"/>
    <x v="1"/>
    <n v="0.14000000000000001"/>
    <n v="0.1515"/>
    <n v="0.63"/>
    <n v="0.1343"/>
    <n v="0"/>
    <n v="7"/>
    <n v="7"/>
    <x v="1"/>
    <n v="40687"/>
    <n v="124.8388746803069"/>
    <n v="248"/>
    <s v="Wee"/>
    <s v="kday"/>
    <n v="7"/>
    <n v="0.1515"/>
  </r>
  <r>
    <n v="764"/>
    <d v="2011-04-02T00:00:00"/>
    <n v="1"/>
    <n v="0"/>
    <n v="2"/>
    <x v="4"/>
    <b v="0"/>
    <n v="5"/>
    <x v="1"/>
    <n v="0.16"/>
    <n v="0.2273"/>
    <n v="0.55000000000000004"/>
    <n v="0"/>
    <n v="2"/>
    <n v="26"/>
    <n v="28"/>
    <x v="1"/>
    <n v="40680"/>
    <n v="124.8388746803069"/>
    <n v="247"/>
    <s v="Wee"/>
    <s v="kday"/>
    <n v="7"/>
    <n v="0.2273"/>
  </r>
  <r>
    <n v="765"/>
    <d v="2011-04-02T00:00:00"/>
    <n v="1"/>
    <n v="0"/>
    <n v="2"/>
    <x v="5"/>
    <b v="0"/>
    <n v="5"/>
    <x v="0"/>
    <n v="0.14000000000000001"/>
    <n v="0.21210000000000001"/>
    <n v="0.59"/>
    <n v="0"/>
    <n v="0"/>
    <n v="87"/>
    <n v="87"/>
    <x v="1"/>
    <n v="40652"/>
    <n v="124.8388746803069"/>
    <n v="246"/>
    <s v="Wee"/>
    <s v="kday"/>
    <n v="7"/>
    <n v="0.21210000000000001"/>
  </r>
  <r>
    <n v="766"/>
    <d v="2011-04-02T00:00:00"/>
    <n v="1"/>
    <n v="0"/>
    <n v="2"/>
    <x v="6"/>
    <b v="0"/>
    <n v="5"/>
    <x v="0"/>
    <n v="0.14000000000000001"/>
    <n v="0.1515"/>
    <n v="0.74"/>
    <n v="0.1343"/>
    <n v="3"/>
    <n v="217"/>
    <n v="220"/>
    <x v="1"/>
    <n v="40565"/>
    <n v="124.8388746803069"/>
    <n v="245"/>
    <s v="Wee"/>
    <s v="kday"/>
    <n v="7"/>
    <n v="0.1515"/>
  </r>
  <r>
    <n v="767"/>
    <d v="2011-04-02T00:00:00"/>
    <n v="1"/>
    <n v="0"/>
    <n v="2"/>
    <x v="7"/>
    <b v="0"/>
    <n v="5"/>
    <x v="1"/>
    <n v="0.16"/>
    <n v="0.18179999999999999"/>
    <n v="0.8"/>
    <n v="0.1343"/>
    <n v="3"/>
    <n v="124"/>
    <n v="127"/>
    <x v="1"/>
    <n v="40345"/>
    <n v="124.8388746803069"/>
    <n v="244"/>
    <s v="Wee"/>
    <s v="kday"/>
    <n v="7"/>
    <n v="0.18179999999999999"/>
  </r>
  <r>
    <n v="768"/>
    <d v="2011-04-02T00:00:00"/>
    <n v="1"/>
    <n v="0"/>
    <n v="2"/>
    <x v="8"/>
    <b v="0"/>
    <n v="5"/>
    <x v="1"/>
    <n v="0.2"/>
    <n v="0.21210000000000001"/>
    <n v="0.51"/>
    <n v="0.1343"/>
    <n v="5"/>
    <n v="46"/>
    <n v="51"/>
    <x v="1"/>
    <n v="40218"/>
    <n v="124.8388746803069"/>
    <n v="243"/>
    <s v="Wee"/>
    <s v="kday"/>
    <n v="7"/>
    <n v="0.21210000000000001"/>
  </r>
  <r>
    <n v="769"/>
    <d v="2011-04-02T00:00:00"/>
    <n v="1"/>
    <n v="0"/>
    <n v="2"/>
    <x v="9"/>
    <b v="0"/>
    <n v="5"/>
    <x v="0"/>
    <n v="0.22"/>
    <n v="0.2273"/>
    <n v="0.51"/>
    <n v="0.16420000000000001"/>
    <n v="3"/>
    <n v="61"/>
    <n v="64"/>
    <x v="1"/>
    <n v="40167"/>
    <n v="124.8388746803069"/>
    <n v="242"/>
    <s v="Wee"/>
    <s v="kday"/>
    <n v="7"/>
    <n v="0.2273"/>
  </r>
  <r>
    <n v="770"/>
    <d v="2011-04-02T00:00:00"/>
    <n v="1"/>
    <n v="0"/>
    <n v="2"/>
    <x v="10"/>
    <b v="0"/>
    <n v="5"/>
    <x v="1"/>
    <n v="0.24"/>
    <n v="0.2424"/>
    <n v="0.48"/>
    <n v="0.16420000000000001"/>
    <n v="8"/>
    <n v="78"/>
    <n v="86"/>
    <x v="1"/>
    <n v="40103"/>
    <n v="124.8388746803069"/>
    <n v="241"/>
    <s v="Wee"/>
    <s v="kday"/>
    <n v="7"/>
    <n v="0.2424"/>
  </r>
  <r>
    <n v="771"/>
    <d v="2011-04-02T00:00:00"/>
    <n v="1"/>
    <n v="0"/>
    <n v="2"/>
    <x v="11"/>
    <b v="0"/>
    <n v="5"/>
    <x v="1"/>
    <n v="0.26"/>
    <n v="0.2576"/>
    <n v="0.5"/>
    <n v="0.22389999999999999"/>
    <n v="9"/>
    <n v="73"/>
    <n v="82"/>
    <x v="1"/>
    <n v="40017"/>
    <n v="124.8388746803069"/>
    <n v="240"/>
    <s v="Wee"/>
    <s v="kday"/>
    <n v="7"/>
    <n v="0.2576"/>
  </r>
  <r>
    <n v="772"/>
    <d v="2011-04-02T00:00:00"/>
    <n v="1"/>
    <n v="0"/>
    <n v="2"/>
    <x v="12"/>
    <b v="0"/>
    <n v="5"/>
    <x v="1"/>
    <n v="0.28000000000000003"/>
    <n v="0.2727"/>
    <n v="0.45"/>
    <n v="0.16420000000000001"/>
    <n v="15"/>
    <n v="76"/>
    <n v="91"/>
    <x v="1"/>
    <n v="39935"/>
    <n v="124.8388746803069"/>
    <n v="239"/>
    <s v="Wee"/>
    <s v="kday"/>
    <n v="7"/>
    <n v="0.2727"/>
  </r>
  <r>
    <n v="773"/>
    <d v="2011-04-02T00:00:00"/>
    <n v="1"/>
    <n v="0"/>
    <n v="2"/>
    <x v="13"/>
    <b v="0"/>
    <n v="5"/>
    <x v="1"/>
    <n v="0.28000000000000003"/>
    <n v="0.2727"/>
    <n v="0.48"/>
    <n v="0.25369999999999998"/>
    <n v="9"/>
    <n v="81"/>
    <n v="90"/>
    <x v="1"/>
    <n v="39844"/>
    <n v="124.8388746803069"/>
    <n v="238"/>
    <s v="Wee"/>
    <s v="kday"/>
    <n v="7"/>
    <n v="0.2727"/>
  </r>
  <r>
    <n v="774"/>
    <d v="2011-04-02T00:00:00"/>
    <n v="1"/>
    <n v="0"/>
    <n v="2"/>
    <x v="14"/>
    <b v="0"/>
    <n v="5"/>
    <x v="1"/>
    <n v="0.3"/>
    <n v="0.28789999999999999"/>
    <n v="0.42"/>
    <n v="0.22389999999999999"/>
    <n v="8"/>
    <n v="91"/>
    <n v="99"/>
    <x v="1"/>
    <n v="39754"/>
    <n v="124.8388746803069"/>
    <n v="237"/>
    <s v="Wee"/>
    <s v="kday"/>
    <n v="7"/>
    <n v="0.28789999999999999"/>
  </r>
  <r>
    <n v="775"/>
    <d v="2011-04-02T00:00:00"/>
    <n v="1"/>
    <n v="0"/>
    <n v="2"/>
    <x v="15"/>
    <b v="0"/>
    <n v="5"/>
    <x v="1"/>
    <n v="0.26"/>
    <n v="0.2727"/>
    <n v="0.56000000000000005"/>
    <n v="0.1343"/>
    <n v="10"/>
    <n v="195"/>
    <n v="205"/>
    <x v="1"/>
    <n v="39655"/>
    <n v="124.8388746803069"/>
    <n v="236"/>
    <s v="Wee"/>
    <s v="kday"/>
    <n v="7"/>
    <n v="0.2727"/>
  </r>
  <r>
    <n v="776"/>
    <d v="2011-04-02T00:00:00"/>
    <n v="1"/>
    <n v="0"/>
    <n v="2"/>
    <x v="16"/>
    <b v="0"/>
    <n v="5"/>
    <x v="1"/>
    <n v="0.24"/>
    <n v="0.2576"/>
    <n v="0.6"/>
    <n v="0.1045"/>
    <n v="3"/>
    <n v="152"/>
    <n v="155"/>
    <x v="1"/>
    <n v="39450"/>
    <n v="124.8388746803069"/>
    <n v="235"/>
    <s v="Wee"/>
    <s v="kday"/>
    <n v="7"/>
    <n v="0.2576"/>
  </r>
  <r>
    <n v="777"/>
    <d v="2011-04-02T00:00:00"/>
    <n v="1"/>
    <n v="0"/>
    <n v="2"/>
    <x v="17"/>
    <b v="0"/>
    <n v="5"/>
    <x v="1"/>
    <n v="0.24"/>
    <n v="0.2424"/>
    <n v="0.65"/>
    <n v="0.1343"/>
    <n v="1"/>
    <n v="102"/>
    <n v="103"/>
    <x v="1"/>
    <n v="39295"/>
    <n v="124.8388746803069"/>
    <n v="234"/>
    <s v="Wee"/>
    <s v="kday"/>
    <n v="7"/>
    <n v="0.2424"/>
  </r>
  <r>
    <n v="778"/>
    <d v="2011-04-02T00:00:00"/>
    <n v="1"/>
    <n v="0"/>
    <n v="2"/>
    <x v="18"/>
    <b v="0"/>
    <n v="5"/>
    <x v="1"/>
    <n v="0.24"/>
    <n v="0.2424"/>
    <n v="0.65"/>
    <n v="0.16420000000000001"/>
    <n v="2"/>
    <n v="69"/>
    <n v="71"/>
    <x v="1"/>
    <n v="39192"/>
    <n v="124.8388746803069"/>
    <n v="233"/>
    <s v="Wee"/>
    <s v="kday"/>
    <n v="7"/>
    <n v="0.2424"/>
  </r>
  <r>
    <n v="779"/>
    <d v="2011-04-02T00:00:00"/>
    <n v="1"/>
    <n v="0"/>
    <n v="2"/>
    <x v="19"/>
    <b v="0"/>
    <n v="5"/>
    <x v="1"/>
    <n v="0.24"/>
    <n v="0.2424"/>
    <n v="0.7"/>
    <n v="0.16420000000000001"/>
    <n v="2"/>
    <n v="41"/>
    <n v="43"/>
    <x v="1"/>
    <n v="39121"/>
    <n v="124.8388746803069"/>
    <n v="232"/>
    <s v="Wee"/>
    <s v="kday"/>
    <n v="7"/>
    <n v="0.2424"/>
  </r>
  <r>
    <n v="780"/>
    <d v="2011-04-02T00:00:00"/>
    <n v="1"/>
    <n v="0"/>
    <n v="2"/>
    <x v="20"/>
    <b v="0"/>
    <n v="5"/>
    <x v="1"/>
    <n v="0.24"/>
    <n v="0.2424"/>
    <n v="0.65"/>
    <n v="0.16420000000000001"/>
    <n v="1"/>
    <n v="45"/>
    <n v="46"/>
    <x v="1"/>
    <n v="39078"/>
    <n v="124.8388746803069"/>
    <n v="231"/>
    <s v="Wee"/>
    <s v="kday"/>
    <n v="7"/>
    <n v="0.2424"/>
  </r>
  <r>
    <n v="781"/>
    <d v="2011-04-02T00:00:00"/>
    <n v="1"/>
    <n v="0"/>
    <n v="2"/>
    <x v="21"/>
    <b v="0"/>
    <n v="5"/>
    <x v="1"/>
    <n v="0.24"/>
    <n v="0.2424"/>
    <n v="0.7"/>
    <n v="0.1343"/>
    <n v="1"/>
    <n v="30"/>
    <n v="31"/>
    <x v="1"/>
    <n v="39032"/>
    <n v="124.8388746803069"/>
    <n v="230"/>
    <s v="Wee"/>
    <s v="kend"/>
    <n v="7"/>
    <n v="0.2424"/>
  </r>
  <r>
    <n v="782"/>
    <d v="2011-05-02T00:00:00"/>
    <n v="1"/>
    <n v="0"/>
    <n v="2"/>
    <x v="22"/>
    <b v="0"/>
    <n v="6"/>
    <x v="1"/>
    <n v="0.24"/>
    <n v="0.2424"/>
    <n v="0.7"/>
    <n v="0.16420000000000001"/>
    <n v="3"/>
    <n v="36"/>
    <n v="39"/>
    <x v="0"/>
    <n v="39001"/>
    <n v="124.8388746803069"/>
    <n v="229"/>
    <s v="Wee"/>
    <s v="kend"/>
    <n v="7"/>
    <n v="0.2424"/>
  </r>
  <r>
    <n v="783"/>
    <d v="2011-05-02T00:00:00"/>
    <n v="1"/>
    <n v="0"/>
    <n v="2"/>
    <x v="0"/>
    <b v="0"/>
    <n v="6"/>
    <x v="1"/>
    <n v="0.24"/>
    <n v="0.2424"/>
    <n v="0.65"/>
    <n v="0.16420000000000001"/>
    <n v="1"/>
    <n v="17"/>
    <n v="18"/>
    <x v="0"/>
    <n v="38962"/>
    <n v="124.8388746803069"/>
    <n v="228"/>
    <s v="Wee"/>
    <s v="kend"/>
    <n v="7"/>
    <n v="0.2424"/>
  </r>
  <r>
    <n v="784"/>
    <d v="2011-05-02T00:00:00"/>
    <n v="1"/>
    <n v="0"/>
    <n v="2"/>
    <x v="1"/>
    <b v="0"/>
    <n v="6"/>
    <x v="1"/>
    <n v="0.24"/>
    <n v="0.2424"/>
    <n v="0.75"/>
    <n v="0.16420000000000001"/>
    <n v="5"/>
    <n v="12"/>
    <n v="17"/>
    <x v="0"/>
    <n v="38944"/>
    <n v="124.8388746803069"/>
    <n v="227"/>
    <s v="Wee"/>
    <s v="kend"/>
    <n v="7"/>
    <n v="0.2424"/>
  </r>
  <r>
    <n v="785"/>
    <d v="2011-05-02T00:00:00"/>
    <n v="1"/>
    <n v="0"/>
    <n v="2"/>
    <x v="2"/>
    <b v="0"/>
    <n v="6"/>
    <x v="1"/>
    <n v="0.24"/>
    <n v="0.2424"/>
    <n v="0.75"/>
    <n v="0.16420000000000001"/>
    <n v="1"/>
    <n v="10"/>
    <n v="11"/>
    <x v="0"/>
    <n v="38927"/>
    <n v="124.8388746803069"/>
    <n v="226"/>
    <s v="Wee"/>
    <s v="kend"/>
    <n v="7"/>
    <n v="0.2424"/>
  </r>
  <r>
    <n v="786"/>
    <d v="2011-05-02T00:00:00"/>
    <n v="1"/>
    <n v="0"/>
    <n v="2"/>
    <x v="3"/>
    <b v="0"/>
    <n v="6"/>
    <x v="2"/>
    <n v="0.22"/>
    <n v="0.2273"/>
    <n v="0.93"/>
    <n v="0.1343"/>
    <n v="0"/>
    <n v="8"/>
    <n v="8"/>
    <x v="0"/>
    <n v="38916"/>
    <n v="124.8388746803069"/>
    <n v="225"/>
    <s v="Wee"/>
    <s v="kend"/>
    <n v="7"/>
    <n v="0.2273"/>
  </r>
  <r>
    <n v="787"/>
    <d v="2011-05-02T00:00:00"/>
    <n v="1"/>
    <n v="0"/>
    <n v="2"/>
    <x v="23"/>
    <b v="0"/>
    <n v="6"/>
    <x v="2"/>
    <n v="0.2"/>
    <n v="0.2273"/>
    <n v="1"/>
    <n v="8.9599999999999999E-2"/>
    <n v="0"/>
    <n v="9"/>
    <n v="9"/>
    <x v="0"/>
    <n v="38908"/>
    <n v="124.8388746803069"/>
    <n v="224"/>
    <s v="Wee"/>
    <s v="kend"/>
    <n v="7"/>
    <n v="0.2273"/>
  </r>
  <r>
    <n v="788"/>
    <d v="2011-05-02T00:00:00"/>
    <n v="1"/>
    <n v="0"/>
    <n v="2"/>
    <x v="4"/>
    <b v="0"/>
    <n v="6"/>
    <x v="2"/>
    <n v="0.2"/>
    <n v="0.2576"/>
    <n v="1"/>
    <n v="0"/>
    <n v="0"/>
    <n v="4"/>
    <n v="4"/>
    <x v="0"/>
    <n v="38899"/>
    <n v="124.8388746803069"/>
    <n v="223"/>
    <s v="Wee"/>
    <s v="kend"/>
    <n v="7"/>
    <n v="0.2576"/>
  </r>
  <r>
    <n v="789"/>
    <d v="2011-05-02T00:00:00"/>
    <n v="1"/>
    <n v="0"/>
    <n v="2"/>
    <x v="5"/>
    <b v="0"/>
    <n v="6"/>
    <x v="2"/>
    <n v="0.22"/>
    <n v="0.2576"/>
    <n v="0.93"/>
    <n v="8.9599999999999999E-2"/>
    <n v="0"/>
    <n v="4"/>
    <n v="4"/>
    <x v="0"/>
    <n v="38895"/>
    <n v="124.8388746803069"/>
    <n v="222"/>
    <s v="Wee"/>
    <s v="kend"/>
    <n v="7"/>
    <n v="0.2576"/>
  </r>
  <r>
    <n v="790"/>
    <d v="2011-05-02T00:00:00"/>
    <n v="1"/>
    <n v="0"/>
    <n v="2"/>
    <x v="6"/>
    <b v="0"/>
    <n v="6"/>
    <x v="2"/>
    <n v="0.2"/>
    <n v="0.2273"/>
    <n v="1"/>
    <n v="8.9599999999999999E-2"/>
    <n v="0"/>
    <n v="10"/>
    <n v="10"/>
    <x v="0"/>
    <n v="38891"/>
    <n v="124.8388746803069"/>
    <n v="221"/>
    <s v="Wee"/>
    <s v="kend"/>
    <n v="7"/>
    <n v="0.2273"/>
  </r>
  <r>
    <n v="791"/>
    <d v="2011-05-02T00:00:00"/>
    <n v="1"/>
    <n v="0"/>
    <n v="2"/>
    <x v="7"/>
    <b v="0"/>
    <n v="6"/>
    <x v="2"/>
    <n v="0.2"/>
    <n v="0.2273"/>
    <n v="1"/>
    <n v="8.9599999999999999E-2"/>
    <n v="3"/>
    <n v="17"/>
    <n v="20"/>
    <x v="0"/>
    <n v="38881"/>
    <n v="124.8388746803069"/>
    <n v="220"/>
    <s v="Wee"/>
    <s v="kend"/>
    <n v="7"/>
    <n v="0.2273"/>
  </r>
  <r>
    <n v="792"/>
    <d v="2011-05-02T00:00:00"/>
    <n v="1"/>
    <n v="0"/>
    <n v="2"/>
    <x v="8"/>
    <b v="0"/>
    <n v="6"/>
    <x v="2"/>
    <n v="0.2"/>
    <n v="0.21210000000000001"/>
    <n v="1"/>
    <n v="0.1343"/>
    <n v="3"/>
    <n v="31"/>
    <n v="34"/>
    <x v="0"/>
    <n v="38861"/>
    <n v="124.8388746803069"/>
    <n v="219"/>
    <s v="Wee"/>
    <s v="kend"/>
    <n v="7"/>
    <n v="0.21210000000000001"/>
  </r>
  <r>
    <n v="793"/>
    <d v="2011-05-02T00:00:00"/>
    <n v="1"/>
    <n v="0"/>
    <n v="2"/>
    <x v="9"/>
    <b v="0"/>
    <n v="6"/>
    <x v="2"/>
    <n v="0.22"/>
    <n v="0.2273"/>
    <n v="1"/>
    <n v="0.1343"/>
    <n v="1"/>
    <n v="46"/>
    <n v="47"/>
    <x v="0"/>
    <n v="38827"/>
    <n v="124.8388746803069"/>
    <n v="218"/>
    <s v="Wee"/>
    <s v="kend"/>
    <n v="7"/>
    <n v="0.2273"/>
  </r>
  <r>
    <n v="794"/>
    <d v="2011-05-02T00:00:00"/>
    <n v="1"/>
    <n v="0"/>
    <n v="2"/>
    <x v="10"/>
    <b v="0"/>
    <n v="6"/>
    <x v="2"/>
    <n v="0.22"/>
    <n v="0.2273"/>
    <n v="1"/>
    <n v="0.16420000000000001"/>
    <n v="10"/>
    <n v="42"/>
    <n v="52"/>
    <x v="0"/>
    <n v="38780"/>
    <n v="124.8388746803069"/>
    <n v="217"/>
    <s v="Wee"/>
    <s v="kend"/>
    <n v="7"/>
    <n v="0.2273"/>
  </r>
  <r>
    <n v="795"/>
    <d v="2011-05-02T00:00:00"/>
    <n v="1"/>
    <n v="0"/>
    <n v="2"/>
    <x v="11"/>
    <b v="0"/>
    <n v="6"/>
    <x v="2"/>
    <n v="0.22"/>
    <n v="0.2273"/>
    <n v="1"/>
    <n v="0.16420000000000001"/>
    <n v="10"/>
    <n v="62"/>
    <n v="72"/>
    <x v="0"/>
    <n v="38728"/>
    <n v="124.8388746803069"/>
    <n v="216"/>
    <s v="Wee"/>
    <s v="kend"/>
    <n v="7"/>
    <n v="0.2273"/>
  </r>
  <r>
    <n v="796"/>
    <d v="2011-05-02T00:00:00"/>
    <n v="1"/>
    <n v="0"/>
    <n v="2"/>
    <x v="12"/>
    <b v="0"/>
    <n v="6"/>
    <x v="2"/>
    <n v="0.22"/>
    <n v="0.2727"/>
    <n v="1"/>
    <n v="0"/>
    <n v="5"/>
    <n v="50"/>
    <n v="55"/>
    <x v="0"/>
    <n v="38656"/>
    <n v="124.8388746803069"/>
    <n v="215"/>
    <s v="Wee"/>
    <s v="kend"/>
    <n v="7"/>
    <n v="0.2727"/>
  </r>
  <r>
    <n v="797"/>
    <d v="2011-05-02T00:00:00"/>
    <n v="1"/>
    <n v="0"/>
    <n v="2"/>
    <x v="13"/>
    <b v="0"/>
    <n v="6"/>
    <x v="2"/>
    <n v="0.22"/>
    <n v="0.2727"/>
    <n v="1"/>
    <n v="0"/>
    <n v="11"/>
    <n v="49"/>
    <n v="60"/>
    <x v="0"/>
    <n v="38601"/>
    <n v="124.8388746803069"/>
    <n v="214"/>
    <s v="Wee"/>
    <s v="kend"/>
    <n v="7"/>
    <n v="0.2727"/>
  </r>
  <r>
    <n v="798"/>
    <d v="2011-05-02T00:00:00"/>
    <n v="1"/>
    <n v="0"/>
    <n v="2"/>
    <x v="14"/>
    <b v="0"/>
    <n v="6"/>
    <x v="2"/>
    <n v="0.22"/>
    <n v="0.2273"/>
    <n v="1"/>
    <n v="0.1343"/>
    <n v="8"/>
    <n v="63"/>
    <n v="71"/>
    <x v="0"/>
    <n v="38541"/>
    <n v="124.8388746803069"/>
    <n v="213"/>
    <s v="Wee"/>
    <s v="kend"/>
    <n v="7"/>
    <n v="0.2273"/>
  </r>
  <r>
    <n v="799"/>
    <d v="2011-05-02T00:00:00"/>
    <n v="1"/>
    <n v="0"/>
    <n v="2"/>
    <x v="15"/>
    <b v="0"/>
    <n v="6"/>
    <x v="1"/>
    <n v="0.24"/>
    <n v="0.21210000000000001"/>
    <n v="1"/>
    <n v="0.28360000000000002"/>
    <n v="14"/>
    <n v="64"/>
    <n v="78"/>
    <x v="0"/>
    <n v="38470"/>
    <n v="124.8388746803069"/>
    <n v="212"/>
    <s v="Wee"/>
    <s v="kend"/>
    <n v="7"/>
    <n v="0.21210000000000001"/>
  </r>
  <r>
    <n v="800"/>
    <d v="2011-05-02T00:00:00"/>
    <n v="1"/>
    <n v="0"/>
    <n v="2"/>
    <x v="16"/>
    <b v="0"/>
    <n v="6"/>
    <x v="1"/>
    <n v="0.28000000000000003"/>
    <n v="0.2424"/>
    <n v="0.93"/>
    <n v="0.44779999999999998"/>
    <n v="2"/>
    <n v="81"/>
    <n v="83"/>
    <x v="0"/>
    <n v="38392"/>
    <n v="124.8388746803069"/>
    <n v="211"/>
    <s v="Wee"/>
    <s v="kend"/>
    <n v="7"/>
    <n v="0.2424"/>
  </r>
  <r>
    <n v="801"/>
    <d v="2011-05-02T00:00:00"/>
    <n v="1"/>
    <n v="0"/>
    <n v="2"/>
    <x v="17"/>
    <b v="0"/>
    <n v="6"/>
    <x v="1"/>
    <n v="0.28000000000000003"/>
    <n v="0.2424"/>
    <n v="0.93"/>
    <n v="0.44779999999999998"/>
    <n v="6"/>
    <n v="78"/>
    <n v="84"/>
    <x v="0"/>
    <n v="38309"/>
    <n v="124.8388746803069"/>
    <n v="210"/>
    <s v="Wee"/>
    <s v="kend"/>
    <n v="7"/>
    <n v="0.2424"/>
  </r>
  <r>
    <n v="802"/>
    <d v="2011-05-02T00:00:00"/>
    <n v="1"/>
    <n v="0"/>
    <n v="2"/>
    <x v="18"/>
    <b v="0"/>
    <n v="6"/>
    <x v="0"/>
    <n v="0.3"/>
    <n v="0.28789999999999999"/>
    <n v="0.87"/>
    <n v="0.25369999999999998"/>
    <n v="5"/>
    <n v="64"/>
    <n v="69"/>
    <x v="0"/>
    <n v="38225"/>
    <n v="124.8388746803069"/>
    <n v="209"/>
    <s v="Wee"/>
    <s v="kend"/>
    <n v="7"/>
    <n v="0.28789999999999999"/>
  </r>
  <r>
    <n v="803"/>
    <d v="2011-05-02T00:00:00"/>
    <n v="1"/>
    <n v="0"/>
    <n v="2"/>
    <x v="19"/>
    <b v="0"/>
    <n v="6"/>
    <x v="0"/>
    <n v="0.26"/>
    <n v="0.2576"/>
    <n v="1"/>
    <n v="0.19400000000000001"/>
    <n v="3"/>
    <n v="53"/>
    <n v="56"/>
    <x v="0"/>
    <n v="38156"/>
    <n v="124.8388746803069"/>
    <n v="208"/>
    <s v="Wee"/>
    <s v="kend"/>
    <n v="7"/>
    <n v="0.2576"/>
  </r>
  <r>
    <n v="804"/>
    <d v="2011-05-02T00:00:00"/>
    <n v="1"/>
    <n v="0"/>
    <n v="2"/>
    <x v="20"/>
    <b v="0"/>
    <n v="6"/>
    <x v="0"/>
    <n v="0.26"/>
    <n v="0.2727"/>
    <n v="0.93"/>
    <n v="0.1343"/>
    <n v="2"/>
    <n v="43"/>
    <n v="45"/>
    <x v="0"/>
    <n v="38100"/>
    <n v="124.8388746803069"/>
    <n v="207"/>
    <s v="Wee"/>
    <s v="kend"/>
    <n v="7"/>
    <n v="0.2727"/>
  </r>
  <r>
    <n v="805"/>
    <d v="2011-05-02T00:00:00"/>
    <n v="1"/>
    <n v="0"/>
    <n v="2"/>
    <x v="21"/>
    <b v="0"/>
    <n v="6"/>
    <x v="0"/>
    <n v="0.26"/>
    <n v="0.2576"/>
    <n v="0.93"/>
    <n v="0.22389999999999999"/>
    <n v="7"/>
    <n v="52"/>
    <n v="59"/>
    <x v="0"/>
    <n v="38055"/>
    <n v="124.8388746803069"/>
    <n v="206"/>
    <s v="Wee"/>
    <s v="kend"/>
    <n v="7"/>
    <n v="0.2576"/>
  </r>
  <r>
    <n v="806"/>
    <d v="2011-06-02T00:00:00"/>
    <n v="1"/>
    <n v="0"/>
    <n v="2"/>
    <x v="22"/>
    <b v="0"/>
    <n v="0"/>
    <x v="0"/>
    <n v="0.26"/>
    <n v="0.2576"/>
    <n v="0.7"/>
    <n v="0.19400000000000001"/>
    <n v="2"/>
    <n v="37"/>
    <n v="39"/>
    <x v="0"/>
    <n v="37996"/>
    <n v="124.8388746803069"/>
    <n v="205"/>
    <s v="Wee"/>
    <s v="kend"/>
    <n v="7"/>
    <n v="0.2576"/>
  </r>
  <r>
    <n v="807"/>
    <d v="2011-06-02T00:00:00"/>
    <n v="1"/>
    <n v="0"/>
    <n v="2"/>
    <x v="0"/>
    <b v="0"/>
    <n v="0"/>
    <x v="0"/>
    <n v="0.26"/>
    <n v="0.2273"/>
    <n v="0.65"/>
    <n v="0.41789999999999999"/>
    <n v="4"/>
    <n v="40"/>
    <n v="44"/>
    <x v="0"/>
    <n v="37957"/>
    <n v="124.8388746803069"/>
    <n v="204"/>
    <s v="Wee"/>
    <s v="kend"/>
    <n v="7"/>
    <n v="0.2273"/>
  </r>
  <r>
    <n v="808"/>
    <d v="2011-06-02T00:00:00"/>
    <n v="1"/>
    <n v="0"/>
    <n v="2"/>
    <x v="1"/>
    <b v="0"/>
    <n v="0"/>
    <x v="0"/>
    <n v="0.26"/>
    <n v="0.2273"/>
    <n v="0.6"/>
    <n v="0.32840000000000003"/>
    <n v="0"/>
    <n v="20"/>
    <n v="20"/>
    <x v="0"/>
    <n v="37913"/>
    <n v="124.8388746803069"/>
    <n v="203"/>
    <s v="Wee"/>
    <s v="kend"/>
    <n v="7"/>
    <n v="0.2273"/>
  </r>
  <r>
    <n v="809"/>
    <d v="2011-06-02T00:00:00"/>
    <n v="1"/>
    <n v="0"/>
    <n v="2"/>
    <x v="2"/>
    <b v="0"/>
    <n v="0"/>
    <x v="0"/>
    <n v="0.26"/>
    <n v="0.28789999999999999"/>
    <n v="0.6"/>
    <n v="8.9599999999999999E-2"/>
    <n v="3"/>
    <n v="10"/>
    <n v="13"/>
    <x v="0"/>
    <n v="37893"/>
    <n v="124.8388746803069"/>
    <n v="202"/>
    <s v="Wee"/>
    <s v="kend"/>
    <n v="7"/>
    <n v="0.28789999999999999"/>
  </r>
  <r>
    <n v="810"/>
    <d v="2011-06-02T00:00:00"/>
    <n v="1"/>
    <n v="0"/>
    <n v="2"/>
    <x v="3"/>
    <b v="0"/>
    <n v="0"/>
    <x v="0"/>
    <n v="0.26"/>
    <n v="0.2273"/>
    <n v="0.6"/>
    <n v="0.35820000000000002"/>
    <n v="0"/>
    <n v="2"/>
    <n v="2"/>
    <x v="0"/>
    <n v="37880"/>
    <n v="124.8388746803069"/>
    <n v="201"/>
    <s v="Wee"/>
    <s v="kend"/>
    <n v="7"/>
    <n v="0.2273"/>
  </r>
  <r>
    <n v="811"/>
    <d v="2011-06-02T00:00:00"/>
    <n v="1"/>
    <n v="0"/>
    <n v="2"/>
    <x v="23"/>
    <b v="0"/>
    <n v="0"/>
    <x v="0"/>
    <n v="0.26"/>
    <n v="0.2576"/>
    <n v="0.6"/>
    <n v="0.22389999999999999"/>
    <n v="0"/>
    <n v="1"/>
    <n v="1"/>
    <x v="0"/>
    <n v="37878"/>
    <n v="124.8388746803069"/>
    <n v="200"/>
    <s v="Wee"/>
    <s v="kend"/>
    <n v="7"/>
    <n v="0.2576"/>
  </r>
  <r>
    <n v="812"/>
    <d v="2011-06-02T00:00:00"/>
    <n v="1"/>
    <n v="0"/>
    <n v="2"/>
    <x v="4"/>
    <b v="0"/>
    <n v="0"/>
    <x v="0"/>
    <n v="0.26"/>
    <n v="0.2576"/>
    <n v="0.6"/>
    <n v="0.22389999999999999"/>
    <n v="0"/>
    <n v="1"/>
    <n v="1"/>
    <x v="0"/>
    <n v="37877"/>
    <n v="124.8388746803069"/>
    <n v="199"/>
    <s v="Wee"/>
    <s v="kend"/>
    <n v="7"/>
    <n v="0.2576"/>
  </r>
  <r>
    <n v="813"/>
    <d v="2011-06-02T00:00:00"/>
    <n v="1"/>
    <n v="0"/>
    <n v="2"/>
    <x v="5"/>
    <b v="0"/>
    <n v="0"/>
    <x v="0"/>
    <n v="0.24"/>
    <n v="0.2424"/>
    <n v="0.65"/>
    <n v="0.16420000000000001"/>
    <n v="0"/>
    <n v="8"/>
    <n v="8"/>
    <x v="0"/>
    <n v="37876"/>
    <n v="124.8388746803069"/>
    <n v="198"/>
    <s v="Wee"/>
    <s v="kend"/>
    <n v="7"/>
    <n v="0.2424"/>
  </r>
  <r>
    <n v="814"/>
    <d v="2011-06-02T00:00:00"/>
    <n v="1"/>
    <n v="0"/>
    <n v="2"/>
    <x v="6"/>
    <b v="0"/>
    <n v="0"/>
    <x v="0"/>
    <n v="0.24"/>
    <n v="0.2576"/>
    <n v="0.65"/>
    <n v="0.1045"/>
    <n v="2"/>
    <n v="21"/>
    <n v="23"/>
    <x v="0"/>
    <n v="37868"/>
    <n v="124.8388746803069"/>
    <n v="197"/>
    <s v="Wee"/>
    <s v="kend"/>
    <n v="7"/>
    <n v="0.2576"/>
  </r>
  <r>
    <n v="815"/>
    <d v="2011-06-02T00:00:00"/>
    <n v="1"/>
    <n v="0"/>
    <n v="2"/>
    <x v="7"/>
    <b v="0"/>
    <n v="0"/>
    <x v="0"/>
    <n v="0.28000000000000003"/>
    <n v="0.28789999999999999"/>
    <n v="0.56000000000000005"/>
    <n v="0.1045"/>
    <n v="7"/>
    <n v="38"/>
    <n v="45"/>
    <x v="0"/>
    <n v="37845"/>
    <n v="124.8388746803069"/>
    <n v="196"/>
    <s v="Wee"/>
    <s v="kend"/>
    <n v="7"/>
    <n v="0.28789999999999999"/>
  </r>
  <r>
    <n v="816"/>
    <d v="2011-06-02T00:00:00"/>
    <n v="1"/>
    <n v="0"/>
    <n v="2"/>
    <x v="8"/>
    <b v="0"/>
    <n v="0"/>
    <x v="0"/>
    <n v="0.3"/>
    <n v="0.28789999999999999"/>
    <n v="0.52"/>
    <n v="0.25369999999999998"/>
    <n v="15"/>
    <n v="74"/>
    <n v="89"/>
    <x v="0"/>
    <n v="37800"/>
    <n v="124.8388746803069"/>
    <n v="195"/>
    <s v="Wee"/>
    <s v="kend"/>
    <n v="7"/>
    <n v="0.28789999999999999"/>
  </r>
  <r>
    <n v="817"/>
    <d v="2011-06-02T00:00:00"/>
    <n v="1"/>
    <n v="0"/>
    <n v="2"/>
    <x v="9"/>
    <b v="0"/>
    <n v="0"/>
    <x v="0"/>
    <n v="0.32"/>
    <n v="0.30299999999999999"/>
    <n v="0.49"/>
    <n v="0.25369999999999998"/>
    <n v="28"/>
    <n v="89"/>
    <n v="117"/>
    <x v="0"/>
    <n v="37711"/>
    <n v="124.8388746803069"/>
    <n v="194"/>
    <s v="Wee"/>
    <s v="kend"/>
    <n v="7"/>
    <n v="0.30299999999999999"/>
  </r>
  <r>
    <n v="818"/>
    <d v="2011-06-02T00:00:00"/>
    <n v="1"/>
    <n v="0"/>
    <n v="2"/>
    <x v="10"/>
    <b v="0"/>
    <n v="0"/>
    <x v="0"/>
    <n v="0.34"/>
    <n v="0.33329999999999999"/>
    <n v="0.46"/>
    <n v="0"/>
    <n v="48"/>
    <n v="126"/>
    <n v="174"/>
    <x v="0"/>
    <n v="37594"/>
    <n v="124.8388746803069"/>
    <n v="193"/>
    <s v="Wee"/>
    <s v="kend"/>
    <n v="7"/>
    <n v="0.33329999999999999"/>
  </r>
  <r>
    <n v="819"/>
    <d v="2011-06-02T00:00:00"/>
    <n v="1"/>
    <n v="0"/>
    <n v="2"/>
    <x v="11"/>
    <b v="0"/>
    <n v="0"/>
    <x v="0"/>
    <n v="0.34"/>
    <n v="0.36359999999999998"/>
    <n v="0.46"/>
    <n v="0"/>
    <n v="47"/>
    <n v="135"/>
    <n v="182"/>
    <x v="0"/>
    <n v="37420"/>
    <n v="124.8388746803069"/>
    <n v="192"/>
    <s v="Wee"/>
    <s v="kend"/>
    <n v="7"/>
    <n v="0.36359999999999998"/>
  </r>
  <r>
    <n v="820"/>
    <d v="2011-06-02T00:00:00"/>
    <n v="1"/>
    <n v="0"/>
    <n v="2"/>
    <x v="12"/>
    <b v="0"/>
    <n v="0"/>
    <x v="0"/>
    <n v="0.34"/>
    <n v="0.34849999999999998"/>
    <n v="0.46"/>
    <n v="8.9599999999999999E-2"/>
    <n v="47"/>
    <n v="114"/>
    <n v="161"/>
    <x v="0"/>
    <n v="37238"/>
    <n v="124.8388746803069"/>
    <n v="191"/>
    <s v="Wee"/>
    <s v="kend"/>
    <n v="7"/>
    <n v="0.34849999999999998"/>
  </r>
  <r>
    <n v="821"/>
    <d v="2011-06-02T00:00:00"/>
    <n v="1"/>
    <n v="0"/>
    <n v="2"/>
    <x v="13"/>
    <b v="0"/>
    <n v="0"/>
    <x v="0"/>
    <n v="0.34"/>
    <n v="0.34849999999999998"/>
    <n v="0.46"/>
    <n v="8.9599999999999999E-2"/>
    <n v="52"/>
    <n v="130"/>
    <n v="182"/>
    <x v="0"/>
    <n v="37077"/>
    <n v="124.8388746803069"/>
    <n v="190"/>
    <s v="Wee"/>
    <s v="kend"/>
    <n v="7"/>
    <n v="0.34849999999999998"/>
  </r>
  <r>
    <n v="822"/>
    <d v="2011-06-02T00:00:00"/>
    <n v="1"/>
    <n v="0"/>
    <n v="2"/>
    <x v="14"/>
    <b v="0"/>
    <n v="0"/>
    <x v="0"/>
    <n v="0.34"/>
    <n v="0.34849999999999998"/>
    <n v="0.49"/>
    <n v="0.1045"/>
    <n v="42"/>
    <n v="115"/>
    <n v="157"/>
    <x v="0"/>
    <n v="36895"/>
    <n v="124.8388746803069"/>
    <n v="189"/>
    <s v="Wee"/>
    <s v="kend"/>
    <n v="7"/>
    <n v="0.34849999999999998"/>
  </r>
  <r>
    <n v="823"/>
    <d v="2011-06-02T00:00:00"/>
    <n v="1"/>
    <n v="0"/>
    <n v="2"/>
    <x v="15"/>
    <b v="0"/>
    <n v="0"/>
    <x v="0"/>
    <n v="0.34"/>
    <n v="0.36359999999999998"/>
    <n v="0.46"/>
    <n v="0"/>
    <n v="24"/>
    <n v="97"/>
    <n v="121"/>
    <x v="0"/>
    <n v="36738"/>
    <n v="124.8388746803069"/>
    <n v="188"/>
    <s v="Wee"/>
    <s v="kend"/>
    <n v="7"/>
    <n v="0.36359999999999998"/>
  </r>
  <r>
    <n v="824"/>
    <d v="2011-06-02T00:00:00"/>
    <n v="1"/>
    <n v="0"/>
    <n v="2"/>
    <x v="16"/>
    <b v="0"/>
    <n v="0"/>
    <x v="0"/>
    <n v="0.3"/>
    <n v="0.30299999999999999"/>
    <n v="0.56000000000000005"/>
    <n v="0.16420000000000001"/>
    <n v="13"/>
    <n v="65"/>
    <n v="78"/>
    <x v="0"/>
    <n v="36617"/>
    <n v="124.8388746803069"/>
    <n v="187"/>
    <s v="Wee"/>
    <s v="kend"/>
    <n v="7"/>
    <n v="0.30299999999999999"/>
  </r>
  <r>
    <n v="825"/>
    <d v="2011-06-02T00:00:00"/>
    <n v="1"/>
    <n v="0"/>
    <n v="2"/>
    <x v="17"/>
    <b v="0"/>
    <n v="0"/>
    <x v="0"/>
    <n v="0.28000000000000003"/>
    <n v="0.28789999999999999"/>
    <n v="0.61"/>
    <n v="0.1343"/>
    <n v="1"/>
    <n v="20"/>
    <n v="21"/>
    <x v="0"/>
    <n v="36539"/>
    <n v="124.8388746803069"/>
    <n v="186"/>
    <s v="Wee"/>
    <s v="kend"/>
    <n v="7"/>
    <n v="0.28789999999999999"/>
  </r>
  <r>
    <n v="826"/>
    <d v="2011-06-02T00:00:00"/>
    <n v="1"/>
    <n v="0"/>
    <n v="2"/>
    <x v="18"/>
    <b v="0"/>
    <n v="0"/>
    <x v="0"/>
    <n v="0.28000000000000003"/>
    <n v="0.28789999999999999"/>
    <n v="0.61"/>
    <n v="0.1045"/>
    <n v="5"/>
    <n v="21"/>
    <n v="26"/>
    <x v="0"/>
    <n v="36518"/>
    <n v="124.8388746803069"/>
    <n v="185"/>
    <s v="Wee"/>
    <s v="kend"/>
    <n v="7"/>
    <n v="0.28789999999999999"/>
  </r>
  <r>
    <n v="827"/>
    <d v="2011-06-02T00:00:00"/>
    <n v="1"/>
    <n v="0"/>
    <n v="2"/>
    <x v="19"/>
    <b v="0"/>
    <n v="0"/>
    <x v="0"/>
    <n v="0.26"/>
    <n v="0.30299999999999999"/>
    <n v="0.6"/>
    <n v="0"/>
    <n v="5"/>
    <n v="22"/>
    <n v="27"/>
    <x v="0"/>
    <n v="36492"/>
    <n v="124.8388746803069"/>
    <n v="184"/>
    <s v="Wee"/>
    <s v="kend"/>
    <n v="7"/>
    <n v="0.30299999999999999"/>
  </r>
  <r>
    <n v="828"/>
    <d v="2011-06-02T00:00:00"/>
    <n v="1"/>
    <n v="0"/>
    <n v="2"/>
    <x v="20"/>
    <b v="0"/>
    <n v="0"/>
    <x v="0"/>
    <n v="0.26"/>
    <n v="0.30299999999999999"/>
    <n v="0.6"/>
    <n v="0"/>
    <n v="5"/>
    <n v="57"/>
    <n v="62"/>
    <x v="0"/>
    <n v="36465"/>
    <n v="124.8388746803069"/>
    <n v="183"/>
    <s v="Wee"/>
    <s v="kend"/>
    <n v="7"/>
    <n v="0.30299999999999999"/>
  </r>
  <r>
    <n v="829"/>
    <d v="2011-06-02T00:00:00"/>
    <n v="1"/>
    <n v="0"/>
    <n v="2"/>
    <x v="21"/>
    <b v="0"/>
    <n v="0"/>
    <x v="0"/>
    <n v="0.24"/>
    <n v="0.28789999999999999"/>
    <n v="0.65"/>
    <n v="0"/>
    <n v="4"/>
    <n v="26"/>
    <n v="30"/>
    <x v="0"/>
    <n v="36403"/>
    <n v="124.8388746803069"/>
    <n v="182"/>
    <s v="Wee"/>
    <s v="kday"/>
    <n v="7"/>
    <n v="0.28789999999999999"/>
  </r>
  <r>
    <n v="830"/>
    <d v="2011-07-02T00:00:00"/>
    <n v="1"/>
    <n v="0"/>
    <n v="2"/>
    <x v="22"/>
    <b v="0"/>
    <n v="1"/>
    <x v="0"/>
    <n v="0.24"/>
    <n v="0.28789999999999999"/>
    <n v="0.65"/>
    <n v="0"/>
    <n v="1"/>
    <n v="14"/>
    <n v="15"/>
    <x v="1"/>
    <n v="36373"/>
    <n v="124.8388746803069"/>
    <n v="181"/>
    <s v="Wee"/>
    <s v="kday"/>
    <n v="7"/>
    <n v="0.28789999999999999"/>
  </r>
  <r>
    <n v="831"/>
    <d v="2011-07-02T00:00:00"/>
    <n v="1"/>
    <n v="0"/>
    <n v="2"/>
    <x v="0"/>
    <b v="0"/>
    <n v="1"/>
    <x v="0"/>
    <n v="0.22"/>
    <n v="0.2727"/>
    <n v="0.75"/>
    <n v="0"/>
    <n v="1"/>
    <n v="4"/>
    <n v="5"/>
    <x v="1"/>
    <n v="36358"/>
    <n v="124.8388746803069"/>
    <n v="180"/>
    <s v="Wee"/>
    <s v="kday"/>
    <n v="7"/>
    <n v="0.2727"/>
  </r>
  <r>
    <n v="832"/>
    <d v="2011-07-02T00:00:00"/>
    <n v="1"/>
    <n v="0"/>
    <n v="2"/>
    <x v="1"/>
    <b v="0"/>
    <n v="1"/>
    <x v="0"/>
    <n v="0.2"/>
    <n v="0.2576"/>
    <n v="0.8"/>
    <n v="0"/>
    <n v="0"/>
    <n v="3"/>
    <n v="3"/>
    <x v="1"/>
    <n v="36353"/>
    <n v="124.8388746803069"/>
    <n v="179"/>
    <s v="Wee"/>
    <s v="kday"/>
    <n v="7"/>
    <n v="0.2576"/>
  </r>
  <r>
    <n v="833"/>
    <d v="2011-07-02T00:00:00"/>
    <n v="1"/>
    <n v="0"/>
    <n v="2"/>
    <x v="2"/>
    <b v="0"/>
    <n v="1"/>
    <x v="0"/>
    <n v="0.2"/>
    <n v="0.2576"/>
    <n v="0.86"/>
    <n v="0"/>
    <n v="0"/>
    <n v="1"/>
    <n v="1"/>
    <x v="1"/>
    <n v="36350"/>
    <n v="124.8388746803069"/>
    <n v="178"/>
    <s v="Wee"/>
    <s v="kday"/>
    <n v="7"/>
    <n v="0.2576"/>
  </r>
  <r>
    <n v="834"/>
    <d v="2011-07-02T00:00:00"/>
    <n v="1"/>
    <n v="0"/>
    <n v="2"/>
    <x v="3"/>
    <b v="0"/>
    <n v="1"/>
    <x v="0"/>
    <n v="0.2"/>
    <n v="0.2576"/>
    <n v="0.86"/>
    <n v="0"/>
    <n v="1"/>
    <n v="1"/>
    <n v="2"/>
    <x v="1"/>
    <n v="36349"/>
    <n v="124.8388746803069"/>
    <n v="177"/>
    <s v="Wee"/>
    <s v="kday"/>
    <n v="7"/>
    <n v="0.2576"/>
  </r>
  <r>
    <n v="835"/>
    <d v="2011-07-02T00:00:00"/>
    <n v="1"/>
    <n v="0"/>
    <n v="2"/>
    <x v="23"/>
    <b v="0"/>
    <n v="1"/>
    <x v="0"/>
    <n v="0.2"/>
    <n v="0.2576"/>
    <n v="0.86"/>
    <n v="0"/>
    <n v="1"/>
    <n v="9"/>
    <n v="10"/>
    <x v="1"/>
    <n v="36347"/>
    <n v="124.8388746803069"/>
    <n v="176"/>
    <s v="Wee"/>
    <s v="kday"/>
    <n v="7"/>
    <n v="0.2576"/>
  </r>
  <r>
    <n v="836"/>
    <d v="2011-07-02T00:00:00"/>
    <n v="1"/>
    <n v="0"/>
    <n v="2"/>
    <x v="4"/>
    <b v="0"/>
    <n v="1"/>
    <x v="0"/>
    <n v="0.18"/>
    <n v="0.2424"/>
    <n v="0.93"/>
    <n v="0"/>
    <n v="1"/>
    <n v="29"/>
    <n v="30"/>
    <x v="1"/>
    <n v="36337"/>
    <n v="124.8388746803069"/>
    <n v="175"/>
    <s v="Wee"/>
    <s v="kday"/>
    <n v="7"/>
    <n v="0.2424"/>
  </r>
  <r>
    <n v="837"/>
    <d v="2011-07-02T00:00:00"/>
    <n v="1"/>
    <n v="0"/>
    <n v="2"/>
    <x v="5"/>
    <b v="0"/>
    <n v="1"/>
    <x v="0"/>
    <n v="0.18"/>
    <n v="0.2424"/>
    <n v="0.86"/>
    <n v="0"/>
    <n v="6"/>
    <n v="89"/>
    <n v="95"/>
    <x v="1"/>
    <n v="36307"/>
    <n v="124.8388746803069"/>
    <n v="174"/>
    <s v="Wee"/>
    <s v="kday"/>
    <n v="7"/>
    <n v="0.2424"/>
  </r>
  <r>
    <n v="838"/>
    <d v="2011-07-02T00:00:00"/>
    <n v="1"/>
    <n v="0"/>
    <n v="2"/>
    <x v="6"/>
    <b v="0"/>
    <n v="1"/>
    <x v="1"/>
    <n v="0.16"/>
    <n v="0.2273"/>
    <n v="1"/>
    <n v="0"/>
    <n v="7"/>
    <n v="223"/>
    <n v="230"/>
    <x v="1"/>
    <n v="36212"/>
    <n v="124.8388746803069"/>
    <n v="173"/>
    <s v="Wee"/>
    <s v="kday"/>
    <n v="7"/>
    <n v="0.2273"/>
  </r>
  <r>
    <n v="839"/>
    <d v="2011-07-02T00:00:00"/>
    <n v="1"/>
    <n v="0"/>
    <n v="2"/>
    <x v="7"/>
    <b v="0"/>
    <n v="1"/>
    <x v="0"/>
    <n v="0.22"/>
    <n v="0.2727"/>
    <n v="0.8"/>
    <n v="0"/>
    <n v="3"/>
    <n v="115"/>
    <n v="118"/>
    <x v="1"/>
    <n v="35982"/>
    <n v="124.8388746803069"/>
    <n v="172"/>
    <s v="Wee"/>
    <s v="kday"/>
    <n v="7"/>
    <n v="0.2727"/>
  </r>
  <r>
    <n v="840"/>
    <d v="2011-07-02T00:00:00"/>
    <n v="1"/>
    <n v="0"/>
    <n v="2"/>
    <x v="8"/>
    <b v="0"/>
    <n v="1"/>
    <x v="0"/>
    <n v="0.24"/>
    <n v="0.2576"/>
    <n v="0.75"/>
    <n v="0.1045"/>
    <n v="6"/>
    <n v="49"/>
    <n v="55"/>
    <x v="1"/>
    <n v="35864"/>
    <n v="124.8388746803069"/>
    <n v="171"/>
    <s v="Wee"/>
    <s v="kday"/>
    <n v="7"/>
    <n v="0.2576"/>
  </r>
  <r>
    <n v="841"/>
    <d v="2011-07-02T00:00:00"/>
    <n v="1"/>
    <n v="0"/>
    <n v="2"/>
    <x v="9"/>
    <b v="0"/>
    <n v="1"/>
    <x v="0"/>
    <n v="0.3"/>
    <n v="0.31819999999999998"/>
    <n v="0.65"/>
    <n v="8.9599999999999999E-2"/>
    <n v="11"/>
    <n v="36"/>
    <n v="47"/>
    <x v="1"/>
    <n v="35809"/>
    <n v="124.8388746803069"/>
    <n v="170"/>
    <s v="Wee"/>
    <s v="kday"/>
    <n v="7"/>
    <n v="0.31819999999999998"/>
  </r>
  <r>
    <n v="842"/>
    <d v="2011-07-02T00:00:00"/>
    <n v="1"/>
    <n v="0"/>
    <n v="2"/>
    <x v="10"/>
    <b v="0"/>
    <n v="1"/>
    <x v="1"/>
    <n v="0.32"/>
    <n v="0.34849999999999998"/>
    <n v="0.62"/>
    <n v="0"/>
    <n v="7"/>
    <n v="59"/>
    <n v="66"/>
    <x v="1"/>
    <n v="35762"/>
    <n v="124.8388746803069"/>
    <n v="169"/>
    <s v="Wee"/>
    <s v="kday"/>
    <n v="7"/>
    <n v="0.34849999999999998"/>
  </r>
  <r>
    <n v="843"/>
    <d v="2011-07-02T00:00:00"/>
    <n v="1"/>
    <n v="0"/>
    <n v="2"/>
    <x v="11"/>
    <b v="0"/>
    <n v="1"/>
    <x v="1"/>
    <n v="0.36"/>
    <n v="0.36359999999999998"/>
    <n v="0.56999999999999995"/>
    <n v="8.9599999999999999E-2"/>
    <n v="10"/>
    <n v="54"/>
    <n v="64"/>
    <x v="1"/>
    <n v="35696"/>
    <n v="124.8388746803069"/>
    <n v="168"/>
    <s v="Wee"/>
    <s v="kday"/>
    <n v="7"/>
    <n v="0.36359999999999998"/>
  </r>
  <r>
    <n v="844"/>
    <d v="2011-07-02T00:00:00"/>
    <n v="1"/>
    <n v="0"/>
    <n v="2"/>
    <x v="12"/>
    <b v="0"/>
    <n v="1"/>
    <x v="1"/>
    <n v="0.36"/>
    <n v="0.36359999999999998"/>
    <n v="0.56999999999999995"/>
    <n v="8.9599999999999999E-2"/>
    <n v="8"/>
    <n v="52"/>
    <n v="60"/>
    <x v="1"/>
    <n v="35632"/>
    <n v="124.8388746803069"/>
    <n v="167"/>
    <s v="Wee"/>
    <s v="kday"/>
    <n v="7"/>
    <n v="0.36359999999999998"/>
  </r>
  <r>
    <n v="845"/>
    <d v="2011-07-02T00:00:00"/>
    <n v="1"/>
    <n v="0"/>
    <n v="2"/>
    <x v="13"/>
    <b v="0"/>
    <n v="1"/>
    <x v="1"/>
    <n v="0.38"/>
    <n v="0.39389999999999997"/>
    <n v="0.54"/>
    <n v="8.9599999999999999E-2"/>
    <n v="4"/>
    <n v="46"/>
    <n v="50"/>
    <x v="1"/>
    <n v="35572"/>
    <n v="124.8388746803069"/>
    <n v="166"/>
    <s v="Wee"/>
    <s v="kday"/>
    <n v="7"/>
    <n v="0.39389999999999997"/>
  </r>
  <r>
    <n v="846"/>
    <d v="2011-07-02T00:00:00"/>
    <n v="1"/>
    <n v="0"/>
    <n v="2"/>
    <x v="14"/>
    <b v="0"/>
    <n v="1"/>
    <x v="1"/>
    <n v="0.36"/>
    <n v="0.34849999999999998"/>
    <n v="0.56999999999999995"/>
    <n v="0.1343"/>
    <n v="16"/>
    <n v="98"/>
    <n v="114"/>
    <x v="1"/>
    <n v="35522"/>
    <n v="124.8388746803069"/>
    <n v="165"/>
    <s v="Wee"/>
    <s v="kday"/>
    <n v="7"/>
    <n v="0.34849999999999998"/>
  </r>
  <r>
    <n v="847"/>
    <d v="2011-07-02T00:00:00"/>
    <n v="1"/>
    <n v="0"/>
    <n v="2"/>
    <x v="15"/>
    <b v="0"/>
    <n v="1"/>
    <x v="1"/>
    <n v="0.32"/>
    <n v="0.31819999999999998"/>
    <n v="0.7"/>
    <n v="0.16420000000000001"/>
    <n v="9"/>
    <n v="207"/>
    <n v="216"/>
    <x v="1"/>
    <n v="35408"/>
    <n v="124.8388746803069"/>
    <n v="164"/>
    <s v="Wee"/>
    <s v="kday"/>
    <n v="7"/>
    <n v="0.31819999999999998"/>
  </r>
  <r>
    <n v="848"/>
    <d v="2011-07-02T00:00:00"/>
    <n v="1"/>
    <n v="0"/>
    <n v="2"/>
    <x v="16"/>
    <b v="0"/>
    <n v="1"/>
    <x v="1"/>
    <n v="0.34"/>
    <n v="0.33329999999999999"/>
    <n v="0.66"/>
    <n v="0.1343"/>
    <n v="5"/>
    <n v="170"/>
    <n v="175"/>
    <x v="1"/>
    <n v="35192"/>
    <n v="124.8388746803069"/>
    <n v="163"/>
    <s v="Wee"/>
    <s v="kday"/>
    <n v="7"/>
    <n v="0.33329999999999999"/>
  </r>
  <r>
    <n v="849"/>
    <d v="2011-07-02T00:00:00"/>
    <n v="1"/>
    <n v="0"/>
    <n v="2"/>
    <x v="17"/>
    <b v="0"/>
    <n v="1"/>
    <x v="1"/>
    <n v="0.32"/>
    <n v="0.34849999999999998"/>
    <n v="0.7"/>
    <n v="0"/>
    <n v="5"/>
    <n v="123"/>
    <n v="128"/>
    <x v="1"/>
    <n v="35017"/>
    <n v="124.8388746803069"/>
    <n v="162"/>
    <s v="Wee"/>
    <s v="kday"/>
    <n v="7"/>
    <n v="0.34849999999999998"/>
  </r>
  <r>
    <n v="850"/>
    <d v="2011-07-02T00:00:00"/>
    <n v="1"/>
    <n v="0"/>
    <n v="2"/>
    <x v="18"/>
    <b v="0"/>
    <n v="1"/>
    <x v="1"/>
    <n v="0.32"/>
    <n v="0.33329999999999999"/>
    <n v="0.7"/>
    <n v="0.1045"/>
    <n v="6"/>
    <n v="82"/>
    <n v="88"/>
    <x v="1"/>
    <n v="34889"/>
    <n v="124.8388746803069"/>
    <n v="161"/>
    <s v="Wee"/>
    <s v="kday"/>
    <n v="7"/>
    <n v="0.33329999999999999"/>
  </r>
  <r>
    <n v="851"/>
    <d v="2011-07-02T00:00:00"/>
    <n v="1"/>
    <n v="0"/>
    <n v="2"/>
    <x v="19"/>
    <b v="0"/>
    <n v="1"/>
    <x v="0"/>
    <n v="0.32"/>
    <n v="0.34849999999999998"/>
    <n v="0.7"/>
    <n v="0"/>
    <n v="3"/>
    <n v="75"/>
    <n v="78"/>
    <x v="1"/>
    <n v="34801"/>
    <n v="124.8388746803069"/>
    <n v="160"/>
    <s v="Wee"/>
    <s v="kday"/>
    <n v="7"/>
    <n v="0.34849999999999998"/>
  </r>
  <r>
    <n v="852"/>
    <d v="2011-07-02T00:00:00"/>
    <n v="1"/>
    <n v="0"/>
    <n v="2"/>
    <x v="20"/>
    <b v="0"/>
    <n v="1"/>
    <x v="0"/>
    <n v="0.28000000000000003"/>
    <n v="0.30299999999999999"/>
    <n v="0.81"/>
    <n v="8.9599999999999999E-2"/>
    <n v="3"/>
    <n v="34"/>
    <n v="37"/>
    <x v="1"/>
    <n v="34723"/>
    <n v="124.8388746803069"/>
    <n v="159"/>
    <s v="Wee"/>
    <s v="kday"/>
    <n v="7"/>
    <n v="0.30299999999999999"/>
  </r>
  <r>
    <n v="853"/>
    <d v="2011-07-02T00:00:00"/>
    <n v="1"/>
    <n v="0"/>
    <n v="2"/>
    <x v="21"/>
    <b v="0"/>
    <n v="1"/>
    <x v="1"/>
    <n v="0.3"/>
    <n v="0.33329999999999999"/>
    <n v="0.81"/>
    <n v="0"/>
    <n v="6"/>
    <n v="19"/>
    <n v="25"/>
    <x v="1"/>
    <n v="34686"/>
    <n v="124.8388746803069"/>
    <n v="158"/>
    <s v="Wee"/>
    <s v="kday"/>
    <n v="7"/>
    <n v="0.33329999999999999"/>
  </r>
  <r>
    <n v="854"/>
    <d v="2011-08-02T00:00:00"/>
    <n v="1"/>
    <n v="0"/>
    <n v="2"/>
    <x v="22"/>
    <b v="0"/>
    <n v="2"/>
    <x v="1"/>
    <n v="0.28000000000000003"/>
    <n v="0.31819999999999998"/>
    <n v="0.87"/>
    <n v="0"/>
    <n v="4"/>
    <n v="6"/>
    <n v="10"/>
    <x v="1"/>
    <n v="34661"/>
    <n v="124.8388746803069"/>
    <n v="157"/>
    <s v="Wee"/>
    <s v="kday"/>
    <n v="7"/>
    <n v="0.31819999999999998"/>
  </r>
  <r>
    <n v="855"/>
    <d v="2011-08-02T00:00:00"/>
    <n v="1"/>
    <n v="0"/>
    <n v="2"/>
    <x v="0"/>
    <b v="0"/>
    <n v="2"/>
    <x v="1"/>
    <n v="0.28000000000000003"/>
    <n v="0.31819999999999998"/>
    <n v="0.87"/>
    <n v="0"/>
    <n v="0"/>
    <n v="4"/>
    <n v="4"/>
    <x v="1"/>
    <n v="34651"/>
    <n v="124.8388746803069"/>
    <n v="156"/>
    <s v="Wee"/>
    <s v="kday"/>
    <n v="7"/>
    <n v="0.31819999999999998"/>
  </r>
  <r>
    <n v="856"/>
    <d v="2011-08-02T00:00:00"/>
    <n v="1"/>
    <n v="0"/>
    <n v="2"/>
    <x v="1"/>
    <b v="0"/>
    <n v="2"/>
    <x v="1"/>
    <n v="0.26"/>
    <n v="0.2727"/>
    <n v="0.93"/>
    <n v="0.1045"/>
    <n v="1"/>
    <n v="1"/>
    <n v="2"/>
    <x v="1"/>
    <n v="34647"/>
    <n v="124.8388746803069"/>
    <n v="155"/>
    <s v="Wee"/>
    <s v="kday"/>
    <n v="7"/>
    <n v="0.2727"/>
  </r>
  <r>
    <n v="857"/>
    <d v="2011-08-02T00:00:00"/>
    <n v="1"/>
    <n v="0"/>
    <n v="2"/>
    <x v="2"/>
    <b v="0"/>
    <n v="2"/>
    <x v="2"/>
    <n v="0.28000000000000003"/>
    <n v="0.2727"/>
    <n v="0.93"/>
    <n v="0.16420000000000001"/>
    <n v="0"/>
    <n v="1"/>
    <n v="1"/>
    <x v="1"/>
    <n v="34645"/>
    <n v="124.8388746803069"/>
    <n v="154"/>
    <s v="Wee"/>
    <s v="kday"/>
    <n v="7"/>
    <n v="0.2727"/>
  </r>
  <r>
    <n v="858"/>
    <d v="2011-08-02T00:00:00"/>
    <n v="1"/>
    <n v="0"/>
    <n v="2"/>
    <x v="3"/>
    <b v="0"/>
    <n v="2"/>
    <x v="0"/>
    <n v="0.26"/>
    <n v="0.2576"/>
    <n v="0.93"/>
    <n v="0.16420000000000001"/>
    <n v="0"/>
    <n v="3"/>
    <n v="3"/>
    <x v="1"/>
    <n v="34644"/>
    <n v="124.8388746803069"/>
    <n v="153"/>
    <s v="Wee"/>
    <s v="kday"/>
    <n v="7"/>
    <n v="0.2576"/>
  </r>
  <r>
    <n v="859"/>
    <d v="2011-08-02T00:00:00"/>
    <n v="1"/>
    <n v="0"/>
    <n v="2"/>
    <x v="23"/>
    <b v="0"/>
    <n v="2"/>
    <x v="0"/>
    <n v="0.26"/>
    <n v="0.2273"/>
    <n v="0.81"/>
    <n v="0.32840000000000003"/>
    <n v="0"/>
    <n v="2"/>
    <n v="2"/>
    <x v="1"/>
    <n v="34641"/>
    <n v="124.8388746803069"/>
    <n v="152"/>
    <s v="Wee"/>
    <s v="kday"/>
    <n v="7"/>
    <n v="0.2273"/>
  </r>
  <r>
    <n v="860"/>
    <d v="2011-08-02T00:00:00"/>
    <n v="1"/>
    <n v="0"/>
    <n v="2"/>
    <x v="4"/>
    <b v="0"/>
    <n v="2"/>
    <x v="0"/>
    <n v="0.26"/>
    <n v="0.2273"/>
    <n v="0.7"/>
    <n v="0.32840000000000003"/>
    <n v="0"/>
    <n v="39"/>
    <n v="39"/>
    <x v="1"/>
    <n v="34639"/>
    <n v="124.8388746803069"/>
    <n v="151"/>
    <s v="Wee"/>
    <s v="kday"/>
    <n v="7"/>
    <n v="0.2273"/>
  </r>
  <r>
    <n v="861"/>
    <d v="2011-08-02T00:00:00"/>
    <n v="1"/>
    <n v="0"/>
    <n v="2"/>
    <x v="5"/>
    <b v="0"/>
    <n v="2"/>
    <x v="0"/>
    <n v="0.24"/>
    <n v="0.19700000000000001"/>
    <n v="0.65"/>
    <n v="0.41789999999999999"/>
    <n v="3"/>
    <n v="97"/>
    <n v="100"/>
    <x v="1"/>
    <n v="34600"/>
    <n v="124.8388746803069"/>
    <n v="150"/>
    <s v="Wee"/>
    <s v="kday"/>
    <n v="7"/>
    <n v="0.19700000000000001"/>
  </r>
  <r>
    <n v="862"/>
    <d v="2011-08-02T00:00:00"/>
    <n v="1"/>
    <n v="0"/>
    <n v="2"/>
    <x v="6"/>
    <b v="0"/>
    <n v="2"/>
    <x v="0"/>
    <n v="0.24"/>
    <n v="0.19700000000000001"/>
    <n v="0.56000000000000005"/>
    <n v="0.49249999999999999"/>
    <n v="7"/>
    <n v="236"/>
    <n v="243"/>
    <x v="1"/>
    <n v="34500"/>
    <n v="124.8388746803069"/>
    <n v="149"/>
    <s v="Wee"/>
    <s v="kday"/>
    <n v="7"/>
    <n v="0.19700000000000001"/>
  </r>
  <r>
    <n v="863"/>
    <d v="2011-08-02T00:00:00"/>
    <n v="1"/>
    <n v="0"/>
    <n v="2"/>
    <x v="7"/>
    <b v="0"/>
    <n v="2"/>
    <x v="0"/>
    <n v="0.24"/>
    <n v="0.19700000000000001"/>
    <n v="0.52"/>
    <n v="0.49249999999999999"/>
    <n v="7"/>
    <n v="128"/>
    <n v="135"/>
    <x v="1"/>
    <n v="34257"/>
    <n v="124.8388746803069"/>
    <n v="148"/>
    <s v="Wee"/>
    <s v="kday"/>
    <n v="7"/>
    <n v="0.19700000000000001"/>
  </r>
  <r>
    <n v="864"/>
    <d v="2011-08-02T00:00:00"/>
    <n v="1"/>
    <n v="0"/>
    <n v="2"/>
    <x v="8"/>
    <b v="0"/>
    <n v="2"/>
    <x v="0"/>
    <n v="0.22"/>
    <n v="0.18179999999999999"/>
    <n v="0.47"/>
    <n v="0.55220000000000002"/>
    <n v="4"/>
    <n v="44"/>
    <n v="48"/>
    <x v="1"/>
    <n v="34122"/>
    <n v="124.8388746803069"/>
    <n v="147"/>
    <s v="Wee"/>
    <s v="kday"/>
    <n v="7"/>
    <n v="0.18179999999999999"/>
  </r>
  <r>
    <n v="865"/>
    <d v="2011-08-02T00:00:00"/>
    <n v="1"/>
    <n v="0"/>
    <n v="2"/>
    <x v="9"/>
    <b v="0"/>
    <n v="2"/>
    <x v="0"/>
    <n v="0.22"/>
    <n v="0.18179999999999999"/>
    <n v="0.47"/>
    <n v="0.4627"/>
    <n v="1"/>
    <n v="49"/>
    <n v="50"/>
    <x v="1"/>
    <n v="34074"/>
    <n v="124.8388746803069"/>
    <n v="146"/>
    <s v="Wee"/>
    <s v="kday"/>
    <n v="7"/>
    <n v="0.18179999999999999"/>
  </r>
  <r>
    <n v="866"/>
    <d v="2011-08-02T00:00:00"/>
    <n v="1"/>
    <n v="0"/>
    <n v="2"/>
    <x v="10"/>
    <b v="0"/>
    <n v="2"/>
    <x v="0"/>
    <n v="0.24"/>
    <n v="0.19700000000000001"/>
    <n v="0.38"/>
    <n v="0.49249999999999999"/>
    <n v="2"/>
    <n v="63"/>
    <n v="65"/>
    <x v="1"/>
    <n v="34024"/>
    <n v="124.8388746803069"/>
    <n v="145"/>
    <s v="Wee"/>
    <s v="kday"/>
    <n v="7"/>
    <n v="0.19700000000000001"/>
  </r>
  <r>
    <n v="867"/>
    <d v="2011-08-02T00:00:00"/>
    <n v="1"/>
    <n v="0"/>
    <n v="2"/>
    <x v="11"/>
    <b v="0"/>
    <n v="2"/>
    <x v="1"/>
    <n v="0.24"/>
    <n v="0.19700000000000001"/>
    <n v="0.32"/>
    <n v="0.44779999999999998"/>
    <n v="2"/>
    <n v="48"/>
    <n v="50"/>
    <x v="1"/>
    <n v="33959"/>
    <n v="124.8388746803069"/>
    <n v="144"/>
    <s v="Wee"/>
    <s v="kday"/>
    <n v="7"/>
    <n v="0.19700000000000001"/>
  </r>
  <r>
    <n v="868"/>
    <d v="2011-08-02T00:00:00"/>
    <n v="1"/>
    <n v="0"/>
    <n v="2"/>
    <x v="12"/>
    <b v="0"/>
    <n v="2"/>
    <x v="0"/>
    <n v="0.22"/>
    <n v="0.19700000000000001"/>
    <n v="0.37"/>
    <n v="0.41789999999999999"/>
    <n v="3"/>
    <n v="61"/>
    <n v="64"/>
    <x v="1"/>
    <n v="33909"/>
    <n v="124.8388746803069"/>
    <n v="143"/>
    <s v="Wee"/>
    <s v="kday"/>
    <n v="7"/>
    <n v="0.19700000000000001"/>
  </r>
  <r>
    <n v="869"/>
    <d v="2011-08-02T00:00:00"/>
    <n v="1"/>
    <n v="0"/>
    <n v="2"/>
    <x v="13"/>
    <b v="0"/>
    <n v="2"/>
    <x v="0"/>
    <n v="0.22"/>
    <n v="0.19700000000000001"/>
    <n v="0.35"/>
    <n v="0.3881"/>
    <n v="6"/>
    <n v="45"/>
    <n v="51"/>
    <x v="1"/>
    <n v="33845"/>
    <n v="124.8388746803069"/>
    <n v="142"/>
    <s v="Wee"/>
    <s v="kday"/>
    <n v="7"/>
    <n v="0.19700000000000001"/>
  </r>
  <r>
    <n v="870"/>
    <d v="2011-08-02T00:00:00"/>
    <n v="1"/>
    <n v="0"/>
    <n v="2"/>
    <x v="14"/>
    <b v="0"/>
    <n v="2"/>
    <x v="0"/>
    <n v="0.22"/>
    <n v="0.18179999999999999"/>
    <n v="0.35"/>
    <n v="0.52239999999999998"/>
    <n v="4"/>
    <n v="79"/>
    <n v="83"/>
    <x v="1"/>
    <n v="33794"/>
    <n v="124.8388746803069"/>
    <n v="141"/>
    <s v="Wee"/>
    <s v="kday"/>
    <n v="7"/>
    <n v="0.18179999999999999"/>
  </r>
  <r>
    <n v="871"/>
    <d v="2011-08-02T00:00:00"/>
    <n v="1"/>
    <n v="0"/>
    <n v="2"/>
    <x v="15"/>
    <b v="0"/>
    <n v="2"/>
    <x v="0"/>
    <n v="0.22"/>
    <n v="0.18179999999999999"/>
    <n v="0.32"/>
    <n v="0.58209999999999995"/>
    <n v="4"/>
    <n v="172"/>
    <n v="176"/>
    <x v="1"/>
    <n v="33711"/>
    <n v="124.8388746803069"/>
    <n v="140"/>
    <s v="Wee"/>
    <s v="kday"/>
    <n v="7"/>
    <n v="0.18179999999999999"/>
  </r>
  <r>
    <n v="872"/>
    <d v="2011-08-02T00:00:00"/>
    <n v="1"/>
    <n v="0"/>
    <n v="2"/>
    <x v="16"/>
    <b v="0"/>
    <n v="2"/>
    <x v="0"/>
    <n v="0.2"/>
    <n v="0.18179999999999999"/>
    <n v="0.32"/>
    <n v="0.3881"/>
    <n v="1"/>
    <n v="151"/>
    <n v="152"/>
    <x v="1"/>
    <n v="33535"/>
    <n v="124.8388746803069"/>
    <n v="139"/>
    <s v="Wee"/>
    <s v="kday"/>
    <n v="7"/>
    <n v="0.18179999999999999"/>
  </r>
  <r>
    <n v="873"/>
    <d v="2011-08-02T00:00:00"/>
    <n v="1"/>
    <n v="0"/>
    <n v="2"/>
    <x v="17"/>
    <b v="0"/>
    <n v="2"/>
    <x v="0"/>
    <n v="0.16"/>
    <n v="0.1212"/>
    <n v="0.4"/>
    <n v="0.4627"/>
    <n v="1"/>
    <n v="100"/>
    <n v="101"/>
    <x v="1"/>
    <n v="33383"/>
    <n v="124.8388746803069"/>
    <n v="138"/>
    <s v="Wee"/>
    <s v="kday"/>
    <n v="7"/>
    <n v="0.1212"/>
  </r>
  <r>
    <n v="874"/>
    <d v="2011-08-02T00:00:00"/>
    <n v="1"/>
    <n v="0"/>
    <n v="2"/>
    <x v="18"/>
    <b v="0"/>
    <n v="2"/>
    <x v="0"/>
    <n v="0.16"/>
    <n v="0.13639999999999999"/>
    <n v="0.4"/>
    <n v="0.32840000000000003"/>
    <n v="3"/>
    <n v="53"/>
    <n v="56"/>
    <x v="1"/>
    <n v="33282"/>
    <n v="124.8388746803069"/>
    <n v="137"/>
    <s v="Wee"/>
    <s v="kday"/>
    <n v="7"/>
    <n v="0.13639999999999999"/>
  </r>
  <r>
    <n v="875"/>
    <d v="2011-08-02T00:00:00"/>
    <n v="1"/>
    <n v="0"/>
    <n v="2"/>
    <x v="19"/>
    <b v="0"/>
    <n v="2"/>
    <x v="0"/>
    <n v="0.14000000000000001"/>
    <n v="0.1061"/>
    <n v="0.33"/>
    <n v="0.4627"/>
    <n v="8"/>
    <n v="46"/>
    <n v="54"/>
    <x v="1"/>
    <n v="33226"/>
    <n v="124.8388746803069"/>
    <n v="136"/>
    <s v="Wee"/>
    <s v="kday"/>
    <n v="7"/>
    <n v="0.1061"/>
  </r>
  <r>
    <n v="876"/>
    <d v="2011-08-02T00:00:00"/>
    <n v="1"/>
    <n v="0"/>
    <n v="2"/>
    <x v="20"/>
    <b v="0"/>
    <n v="2"/>
    <x v="0"/>
    <n v="0.12"/>
    <n v="0.1061"/>
    <n v="0.33"/>
    <n v="0.35820000000000002"/>
    <n v="0"/>
    <n v="29"/>
    <n v="29"/>
    <x v="1"/>
    <n v="33172"/>
    <n v="124.8388746803069"/>
    <n v="135"/>
    <s v="Wee"/>
    <s v="kday"/>
    <n v="7"/>
    <n v="0.1061"/>
  </r>
  <r>
    <n v="877"/>
    <d v="2011-08-02T00:00:00"/>
    <n v="1"/>
    <n v="0"/>
    <n v="2"/>
    <x v="21"/>
    <b v="0"/>
    <n v="2"/>
    <x v="0"/>
    <n v="0.12"/>
    <n v="0.1061"/>
    <n v="0.33"/>
    <n v="0.32840000000000003"/>
    <n v="3"/>
    <n v="9"/>
    <n v="12"/>
    <x v="1"/>
    <n v="33143"/>
    <n v="124.8388746803069"/>
    <n v="134"/>
    <s v="Wee"/>
    <s v="kday"/>
    <n v="7"/>
    <n v="0.1061"/>
  </r>
  <r>
    <n v="878"/>
    <d v="2011-09-02T00:00:00"/>
    <n v="1"/>
    <n v="0"/>
    <n v="2"/>
    <x v="22"/>
    <b v="0"/>
    <n v="3"/>
    <x v="0"/>
    <n v="0.1"/>
    <n v="7.5800000000000006E-2"/>
    <n v="0.36"/>
    <n v="0.35820000000000002"/>
    <n v="0"/>
    <n v="17"/>
    <n v="17"/>
    <x v="1"/>
    <n v="33131"/>
    <n v="124.8388746803069"/>
    <n v="133"/>
    <s v="Wee"/>
    <s v="kday"/>
    <n v="7"/>
    <n v="7.5800000000000006E-2"/>
  </r>
  <r>
    <n v="879"/>
    <d v="2011-09-02T00:00:00"/>
    <n v="1"/>
    <n v="0"/>
    <n v="2"/>
    <x v="0"/>
    <b v="0"/>
    <n v="3"/>
    <x v="0"/>
    <n v="0.1"/>
    <n v="0.1061"/>
    <n v="0.36"/>
    <n v="0.22389999999999999"/>
    <n v="0"/>
    <n v="7"/>
    <n v="7"/>
    <x v="1"/>
    <n v="33114"/>
    <n v="124.8388746803069"/>
    <n v="132"/>
    <s v="Wee"/>
    <s v="kday"/>
    <n v="7"/>
    <n v="0.1061"/>
  </r>
  <r>
    <n v="880"/>
    <d v="2011-09-02T00:00:00"/>
    <n v="1"/>
    <n v="0"/>
    <n v="2"/>
    <x v="1"/>
    <b v="0"/>
    <n v="3"/>
    <x v="0"/>
    <n v="0.08"/>
    <n v="7.5800000000000006E-2"/>
    <n v="0.38"/>
    <n v="0.28360000000000002"/>
    <n v="1"/>
    <n v="2"/>
    <n v="3"/>
    <x v="1"/>
    <n v="33107"/>
    <n v="124.8388746803069"/>
    <n v="131"/>
    <s v="Wee"/>
    <s v="kday"/>
    <n v="7"/>
    <n v="7.5800000000000006E-2"/>
  </r>
  <r>
    <n v="881"/>
    <d v="2011-09-02T00:00:00"/>
    <n v="1"/>
    <n v="0"/>
    <n v="2"/>
    <x v="2"/>
    <b v="0"/>
    <n v="3"/>
    <x v="0"/>
    <n v="0.06"/>
    <n v="7.5800000000000006E-2"/>
    <n v="0.45"/>
    <n v="0.1343"/>
    <n v="0"/>
    <n v="2"/>
    <n v="2"/>
    <x v="1"/>
    <n v="33104"/>
    <n v="124.8388746803069"/>
    <n v="130"/>
    <s v="Wee"/>
    <s v="kday"/>
    <n v="7"/>
    <n v="7.5800000000000006E-2"/>
  </r>
  <r>
    <n v="882"/>
    <d v="2011-09-02T00:00:00"/>
    <n v="1"/>
    <n v="0"/>
    <n v="2"/>
    <x v="23"/>
    <b v="0"/>
    <n v="3"/>
    <x v="0"/>
    <n v="0.06"/>
    <n v="0.1061"/>
    <n v="0.45"/>
    <n v="0.1045"/>
    <n v="0"/>
    <n v="7"/>
    <n v="7"/>
    <x v="1"/>
    <n v="33102"/>
    <n v="124.8388746803069"/>
    <n v="129"/>
    <s v="Wee"/>
    <s v="kday"/>
    <n v="7"/>
    <n v="0.1061"/>
  </r>
  <r>
    <n v="883"/>
    <d v="2011-09-02T00:00:00"/>
    <n v="1"/>
    <n v="0"/>
    <n v="2"/>
    <x v="4"/>
    <b v="0"/>
    <n v="3"/>
    <x v="0"/>
    <n v="0.06"/>
    <n v="0.1515"/>
    <n v="0.45"/>
    <n v="0"/>
    <n v="0"/>
    <n v="43"/>
    <n v="43"/>
    <x v="1"/>
    <n v="33095"/>
    <n v="124.8388746803069"/>
    <n v="128"/>
    <s v="Wee"/>
    <s v="kday"/>
    <n v="7"/>
    <n v="0.1515"/>
  </r>
  <r>
    <n v="884"/>
    <d v="2011-09-02T00:00:00"/>
    <n v="1"/>
    <n v="0"/>
    <n v="2"/>
    <x v="5"/>
    <b v="0"/>
    <n v="3"/>
    <x v="0"/>
    <n v="0.06"/>
    <n v="0.1061"/>
    <n v="0.49"/>
    <n v="0.1045"/>
    <n v="4"/>
    <n v="95"/>
    <n v="99"/>
    <x v="1"/>
    <n v="33052"/>
    <n v="124.8388746803069"/>
    <n v="127"/>
    <s v="Wee"/>
    <s v="kday"/>
    <n v="7"/>
    <n v="0.1061"/>
  </r>
  <r>
    <n v="885"/>
    <d v="2011-09-02T00:00:00"/>
    <n v="1"/>
    <n v="0"/>
    <n v="2"/>
    <x v="6"/>
    <b v="0"/>
    <n v="3"/>
    <x v="0"/>
    <n v="0.1"/>
    <n v="0.13639999999999999"/>
    <n v="0.42"/>
    <n v="0"/>
    <n v="1"/>
    <n v="198"/>
    <n v="199"/>
    <x v="1"/>
    <n v="32953"/>
    <n v="124.8388746803069"/>
    <n v="126"/>
    <s v="Wee"/>
    <s v="kday"/>
    <n v="7"/>
    <n v="0.13639999999999999"/>
  </r>
  <r>
    <n v="886"/>
    <d v="2011-09-02T00:00:00"/>
    <n v="1"/>
    <n v="0"/>
    <n v="2"/>
    <x v="7"/>
    <b v="0"/>
    <n v="3"/>
    <x v="0"/>
    <n v="0.12"/>
    <n v="0.13639999999999999"/>
    <n v="0.39"/>
    <n v="0.16420000000000001"/>
    <n v="4"/>
    <n v="119"/>
    <n v="123"/>
    <x v="1"/>
    <n v="32754"/>
    <n v="124.8388746803069"/>
    <n v="125"/>
    <s v="Wee"/>
    <s v="kday"/>
    <n v="7"/>
    <n v="0.13639999999999999"/>
  </r>
  <r>
    <n v="887"/>
    <d v="2011-09-02T00:00:00"/>
    <n v="1"/>
    <n v="0"/>
    <n v="2"/>
    <x v="8"/>
    <b v="0"/>
    <n v="3"/>
    <x v="0"/>
    <n v="0.14000000000000001"/>
    <n v="0.18179999999999999"/>
    <n v="0.36"/>
    <n v="0"/>
    <n v="8"/>
    <n v="51"/>
    <n v="59"/>
    <x v="1"/>
    <n v="32631"/>
    <n v="124.8388746803069"/>
    <n v="124"/>
    <s v="Wee"/>
    <s v="kday"/>
    <n v="7"/>
    <n v="0.18179999999999999"/>
  </r>
  <r>
    <n v="888"/>
    <d v="2011-09-02T00:00:00"/>
    <n v="1"/>
    <n v="0"/>
    <n v="2"/>
    <x v="9"/>
    <b v="0"/>
    <n v="3"/>
    <x v="1"/>
    <n v="0.14000000000000001"/>
    <n v="0.1515"/>
    <n v="0.43"/>
    <n v="0.16420000000000001"/>
    <n v="1"/>
    <n v="40"/>
    <n v="41"/>
    <x v="1"/>
    <n v="32572"/>
    <n v="124.8388746803069"/>
    <n v="123"/>
    <s v="Wee"/>
    <s v="kday"/>
    <n v="7"/>
    <n v="0.1515"/>
  </r>
  <r>
    <n v="889"/>
    <d v="2011-09-02T00:00:00"/>
    <n v="1"/>
    <n v="0"/>
    <n v="2"/>
    <x v="10"/>
    <b v="0"/>
    <n v="3"/>
    <x v="1"/>
    <n v="0.18"/>
    <n v="0.18179999999999999"/>
    <n v="0.4"/>
    <n v="0.22389999999999999"/>
    <n v="4"/>
    <n v="57"/>
    <n v="61"/>
    <x v="1"/>
    <n v="32531"/>
    <n v="124.8388746803069"/>
    <n v="122"/>
    <s v="Wee"/>
    <s v="kday"/>
    <n v="7"/>
    <n v="0.18179999999999999"/>
  </r>
  <r>
    <n v="890"/>
    <d v="2011-09-02T00:00:00"/>
    <n v="1"/>
    <n v="0"/>
    <n v="2"/>
    <x v="11"/>
    <b v="0"/>
    <n v="3"/>
    <x v="0"/>
    <n v="0.18"/>
    <n v="0.16669999999999999"/>
    <n v="0.4"/>
    <n v="0.25369999999999998"/>
    <n v="2"/>
    <n v="67"/>
    <n v="69"/>
    <x v="1"/>
    <n v="32470"/>
    <n v="124.8388746803069"/>
    <n v="121"/>
    <s v="Wee"/>
    <s v="kday"/>
    <n v="7"/>
    <n v="0.16669999999999999"/>
  </r>
  <r>
    <n v="891"/>
    <d v="2011-09-02T00:00:00"/>
    <n v="1"/>
    <n v="0"/>
    <n v="2"/>
    <x v="12"/>
    <b v="0"/>
    <n v="3"/>
    <x v="0"/>
    <n v="0.2"/>
    <n v="0.18179999999999999"/>
    <n v="0.34"/>
    <n v="0.29849999999999999"/>
    <n v="2"/>
    <n v="56"/>
    <n v="58"/>
    <x v="1"/>
    <n v="32401"/>
    <n v="124.8388746803069"/>
    <n v="120"/>
    <s v="Wee"/>
    <s v="kday"/>
    <n v="7"/>
    <n v="0.18179999999999999"/>
  </r>
  <r>
    <n v="892"/>
    <d v="2011-09-02T00:00:00"/>
    <n v="1"/>
    <n v="0"/>
    <n v="2"/>
    <x v="13"/>
    <b v="0"/>
    <n v="3"/>
    <x v="1"/>
    <n v="0.2"/>
    <n v="0.18179999999999999"/>
    <n v="0.34"/>
    <n v="0.28360000000000002"/>
    <n v="3"/>
    <n v="61"/>
    <n v="64"/>
    <x v="1"/>
    <n v="32343"/>
    <n v="124.8388746803069"/>
    <n v="119"/>
    <s v="Wee"/>
    <s v="kday"/>
    <n v="7"/>
    <n v="0.18179999999999999"/>
  </r>
  <r>
    <n v="893"/>
    <d v="2011-09-02T00:00:00"/>
    <n v="1"/>
    <n v="0"/>
    <n v="2"/>
    <x v="14"/>
    <b v="0"/>
    <n v="3"/>
    <x v="1"/>
    <n v="0.2"/>
    <n v="0.19700000000000001"/>
    <n v="0.37"/>
    <n v="0.25369999999999998"/>
    <n v="7"/>
    <n v="72"/>
    <n v="79"/>
    <x v="1"/>
    <n v="32279"/>
    <n v="124.8388746803069"/>
    <n v="118"/>
    <s v="Wee"/>
    <s v="kday"/>
    <n v="7"/>
    <n v="0.19700000000000001"/>
  </r>
  <r>
    <n v="894"/>
    <d v="2011-09-02T00:00:00"/>
    <n v="1"/>
    <n v="0"/>
    <n v="2"/>
    <x v="15"/>
    <b v="0"/>
    <n v="3"/>
    <x v="1"/>
    <n v="0.2"/>
    <n v="0.19700000000000001"/>
    <n v="0.34"/>
    <n v="0.25369999999999998"/>
    <n v="9"/>
    <n v="157"/>
    <n v="166"/>
    <x v="1"/>
    <n v="32200"/>
    <n v="124.8388746803069"/>
    <n v="117"/>
    <s v="Wee"/>
    <s v="kday"/>
    <n v="7"/>
    <n v="0.19700000000000001"/>
  </r>
  <r>
    <n v="895"/>
    <d v="2011-09-02T00:00:00"/>
    <n v="1"/>
    <n v="0"/>
    <n v="2"/>
    <x v="16"/>
    <b v="0"/>
    <n v="3"/>
    <x v="1"/>
    <n v="0.18"/>
    <n v="0.16669999999999999"/>
    <n v="0.47"/>
    <n v="0.29849999999999999"/>
    <n v="2"/>
    <n v="168"/>
    <n v="170"/>
    <x v="1"/>
    <n v="32034"/>
    <n v="124.8388746803069"/>
    <n v="116"/>
    <s v="Wee"/>
    <s v="kday"/>
    <n v="7"/>
    <n v="0.16669999999999999"/>
  </r>
  <r>
    <n v="896"/>
    <d v="2011-09-02T00:00:00"/>
    <n v="1"/>
    <n v="0"/>
    <n v="2"/>
    <x v="17"/>
    <b v="0"/>
    <n v="3"/>
    <x v="2"/>
    <n v="0.14000000000000001"/>
    <n v="0.1212"/>
    <n v="0.86"/>
    <n v="0.25369999999999998"/>
    <n v="1"/>
    <n v="87"/>
    <n v="88"/>
    <x v="1"/>
    <n v="31864"/>
    <n v="124.8388746803069"/>
    <n v="115"/>
    <s v="Wee"/>
    <s v="kday"/>
    <n v="7"/>
    <n v="0.1212"/>
  </r>
  <r>
    <n v="897"/>
    <d v="2011-09-02T00:00:00"/>
    <n v="1"/>
    <n v="0"/>
    <n v="2"/>
    <x v="18"/>
    <b v="0"/>
    <n v="3"/>
    <x v="2"/>
    <n v="0.14000000000000001"/>
    <n v="0.1515"/>
    <n v="0.86"/>
    <n v="0.16420000000000001"/>
    <n v="0"/>
    <n v="84"/>
    <n v="84"/>
    <x v="1"/>
    <n v="31776"/>
    <n v="124.8388746803069"/>
    <n v="114"/>
    <s v="Wee"/>
    <s v="kday"/>
    <n v="7"/>
    <n v="0.1515"/>
  </r>
  <r>
    <n v="898"/>
    <d v="2011-09-02T00:00:00"/>
    <n v="1"/>
    <n v="0"/>
    <n v="2"/>
    <x v="19"/>
    <b v="0"/>
    <n v="3"/>
    <x v="1"/>
    <n v="0.14000000000000001"/>
    <n v="0.1515"/>
    <n v="0.86"/>
    <n v="0.16420000000000001"/>
    <n v="0"/>
    <n v="83"/>
    <n v="83"/>
    <x v="1"/>
    <n v="31692"/>
    <n v="124.8388746803069"/>
    <n v="113"/>
    <s v="Wee"/>
    <s v="kday"/>
    <n v="7"/>
    <n v="0.1515"/>
  </r>
  <r>
    <n v="899"/>
    <d v="2011-09-02T00:00:00"/>
    <n v="1"/>
    <n v="0"/>
    <n v="2"/>
    <x v="20"/>
    <b v="0"/>
    <n v="3"/>
    <x v="2"/>
    <n v="0.16"/>
    <n v="0.16669999999999999"/>
    <n v="0.8"/>
    <n v="0.16420000000000001"/>
    <n v="4"/>
    <n v="42"/>
    <n v="46"/>
    <x v="1"/>
    <n v="31609"/>
    <n v="124.8388746803069"/>
    <n v="112"/>
    <s v="Wee"/>
    <s v="kday"/>
    <n v="7"/>
    <n v="0.16669999999999999"/>
  </r>
  <r>
    <n v="900"/>
    <d v="2011-09-02T00:00:00"/>
    <n v="1"/>
    <n v="0"/>
    <n v="2"/>
    <x v="21"/>
    <b v="0"/>
    <n v="3"/>
    <x v="2"/>
    <n v="0.16"/>
    <n v="0.1515"/>
    <n v="0.8"/>
    <n v="0.19400000000000001"/>
    <n v="0"/>
    <n v="37"/>
    <n v="37"/>
    <x v="1"/>
    <n v="31563"/>
    <n v="124.8388746803069"/>
    <n v="111"/>
    <s v="Wee"/>
    <s v="kday"/>
    <n v="7"/>
    <n v="0.1515"/>
  </r>
  <r>
    <n v="901"/>
    <d v="2011-10-02T00:00:00"/>
    <n v="1"/>
    <n v="0"/>
    <n v="2"/>
    <x v="22"/>
    <b v="0"/>
    <n v="4"/>
    <x v="2"/>
    <n v="0.14000000000000001"/>
    <n v="0.13639999999999999"/>
    <n v="0.86"/>
    <n v="0.19400000000000001"/>
    <n v="0"/>
    <n v="16"/>
    <n v="16"/>
    <x v="1"/>
    <n v="31526"/>
    <n v="124.8388746803069"/>
    <n v="110"/>
    <s v="Wee"/>
    <s v="kday"/>
    <n v="7"/>
    <n v="0.13639999999999999"/>
  </r>
  <r>
    <n v="902"/>
    <d v="2011-10-02T00:00:00"/>
    <n v="1"/>
    <n v="0"/>
    <n v="2"/>
    <x v="0"/>
    <b v="0"/>
    <n v="4"/>
    <x v="2"/>
    <n v="0.14000000000000001"/>
    <n v="0.1515"/>
    <n v="0.8"/>
    <n v="0.1343"/>
    <n v="0"/>
    <n v="7"/>
    <n v="7"/>
    <x v="1"/>
    <n v="31510"/>
    <n v="124.8388746803069"/>
    <n v="109"/>
    <s v="Wee"/>
    <s v="kday"/>
    <n v="7"/>
    <n v="0.1515"/>
  </r>
  <r>
    <n v="903"/>
    <d v="2011-10-02T00:00:00"/>
    <n v="1"/>
    <n v="0"/>
    <n v="2"/>
    <x v="1"/>
    <b v="0"/>
    <n v="4"/>
    <x v="2"/>
    <n v="0.14000000000000001"/>
    <n v="0.1515"/>
    <n v="0.8"/>
    <n v="0.1343"/>
    <n v="0"/>
    <n v="3"/>
    <n v="3"/>
    <x v="1"/>
    <n v="31503"/>
    <n v="124.8388746803069"/>
    <n v="108"/>
    <s v="Wee"/>
    <s v="kday"/>
    <n v="7"/>
    <n v="0.1515"/>
  </r>
  <r>
    <n v="904"/>
    <d v="2011-10-02T00:00:00"/>
    <n v="1"/>
    <n v="0"/>
    <n v="2"/>
    <x v="3"/>
    <b v="0"/>
    <n v="4"/>
    <x v="1"/>
    <n v="0.14000000000000001"/>
    <n v="0.13639999999999999"/>
    <n v="0.59"/>
    <n v="0.22389999999999999"/>
    <n v="0"/>
    <n v="1"/>
    <n v="1"/>
    <x v="1"/>
    <n v="31500"/>
    <n v="124.8388746803069"/>
    <n v="107"/>
    <s v="Wee"/>
    <s v="kday"/>
    <n v="7"/>
    <n v="0.13639999999999999"/>
  </r>
  <r>
    <n v="905"/>
    <d v="2011-10-02T00:00:00"/>
    <n v="1"/>
    <n v="0"/>
    <n v="2"/>
    <x v="23"/>
    <b v="0"/>
    <n v="4"/>
    <x v="1"/>
    <n v="0.12"/>
    <n v="0.1212"/>
    <n v="0.5"/>
    <n v="0.22389999999999999"/>
    <n v="0"/>
    <n v="6"/>
    <n v="6"/>
    <x v="1"/>
    <n v="31499"/>
    <n v="124.8388746803069"/>
    <n v="106"/>
    <s v="Wee"/>
    <s v="kday"/>
    <n v="7"/>
    <n v="0.1212"/>
  </r>
  <r>
    <n v="906"/>
    <d v="2011-10-02T00:00:00"/>
    <n v="1"/>
    <n v="0"/>
    <n v="2"/>
    <x v="4"/>
    <b v="0"/>
    <n v="4"/>
    <x v="1"/>
    <n v="0.12"/>
    <n v="0.1212"/>
    <n v="0.54"/>
    <n v="0.28360000000000002"/>
    <n v="0"/>
    <n v="26"/>
    <n v="26"/>
    <x v="1"/>
    <n v="31493"/>
    <n v="124.8388746803069"/>
    <n v="105"/>
    <s v="Wee"/>
    <s v="kday"/>
    <n v="7"/>
    <n v="0.1212"/>
  </r>
  <r>
    <n v="907"/>
    <d v="2011-10-02T00:00:00"/>
    <n v="1"/>
    <n v="0"/>
    <n v="2"/>
    <x v="5"/>
    <b v="0"/>
    <n v="4"/>
    <x v="0"/>
    <n v="0.1"/>
    <n v="7.5800000000000006E-2"/>
    <n v="0.5"/>
    <n v="0.41789999999999999"/>
    <n v="0"/>
    <n v="99"/>
    <n v="99"/>
    <x v="1"/>
    <n v="31467"/>
    <n v="124.8388746803069"/>
    <n v="104"/>
    <s v="Wee"/>
    <s v="kday"/>
    <n v="7"/>
    <n v="7.5800000000000006E-2"/>
  </r>
  <r>
    <n v="908"/>
    <d v="2011-10-02T00:00:00"/>
    <n v="1"/>
    <n v="0"/>
    <n v="2"/>
    <x v="6"/>
    <b v="0"/>
    <n v="4"/>
    <x v="0"/>
    <n v="0.1"/>
    <n v="7.5800000000000006E-2"/>
    <n v="0.49"/>
    <n v="0.32840000000000003"/>
    <n v="5"/>
    <n v="173"/>
    <n v="178"/>
    <x v="1"/>
    <n v="31368"/>
    <n v="124.8388746803069"/>
    <n v="103"/>
    <s v="Wee"/>
    <s v="kday"/>
    <n v="7"/>
    <n v="7.5800000000000006E-2"/>
  </r>
  <r>
    <n v="909"/>
    <d v="2011-10-02T00:00:00"/>
    <n v="1"/>
    <n v="0"/>
    <n v="2"/>
    <x v="7"/>
    <b v="0"/>
    <n v="4"/>
    <x v="0"/>
    <n v="0.12"/>
    <n v="0.1061"/>
    <n v="0.42"/>
    <n v="0.35820000000000002"/>
    <n v="1"/>
    <n v="121"/>
    <n v="122"/>
    <x v="1"/>
    <n v="31190"/>
    <n v="124.8388746803069"/>
    <n v="102"/>
    <s v="Wee"/>
    <s v="kday"/>
    <n v="7"/>
    <n v="0.1061"/>
  </r>
  <r>
    <n v="910"/>
    <d v="2011-10-02T00:00:00"/>
    <n v="1"/>
    <n v="0"/>
    <n v="2"/>
    <x v="8"/>
    <b v="0"/>
    <n v="4"/>
    <x v="0"/>
    <n v="0.12"/>
    <n v="0.1061"/>
    <n v="0.42"/>
    <n v="0.29849999999999999"/>
    <n v="1"/>
    <n v="34"/>
    <n v="35"/>
    <x v="1"/>
    <n v="31068"/>
    <n v="124.8388746803069"/>
    <n v="101"/>
    <s v="Wee"/>
    <s v="kday"/>
    <n v="7"/>
    <n v="0.1061"/>
  </r>
  <r>
    <n v="911"/>
    <d v="2011-10-02T00:00:00"/>
    <n v="1"/>
    <n v="0"/>
    <n v="2"/>
    <x v="9"/>
    <b v="0"/>
    <n v="4"/>
    <x v="0"/>
    <n v="0.14000000000000001"/>
    <n v="0.1212"/>
    <n v="0.39"/>
    <n v="0.35820000000000002"/>
    <n v="1"/>
    <n v="44"/>
    <n v="45"/>
    <x v="1"/>
    <n v="31033"/>
    <n v="124.8388746803069"/>
    <n v="100"/>
    <s v="Wee"/>
    <s v="kday"/>
    <n v="7"/>
    <n v="0.1212"/>
  </r>
  <r>
    <n v="912"/>
    <d v="2011-10-02T00:00:00"/>
    <n v="1"/>
    <n v="0"/>
    <n v="2"/>
    <x v="10"/>
    <b v="0"/>
    <n v="4"/>
    <x v="0"/>
    <n v="0.16"/>
    <n v="0.13639999999999999"/>
    <n v="0.34"/>
    <n v="0.3881"/>
    <n v="4"/>
    <n v="65"/>
    <n v="69"/>
    <x v="1"/>
    <n v="30988"/>
    <n v="124.8388746803069"/>
    <n v="99"/>
    <s v="Wee"/>
    <s v="kday"/>
    <n v="7"/>
    <n v="0.13639999999999999"/>
  </r>
  <r>
    <n v="913"/>
    <d v="2011-10-02T00:00:00"/>
    <n v="1"/>
    <n v="0"/>
    <n v="2"/>
    <x v="11"/>
    <b v="0"/>
    <n v="4"/>
    <x v="0"/>
    <n v="0.18"/>
    <n v="0.16669999999999999"/>
    <n v="0.28999999999999998"/>
    <n v="0.29849999999999999"/>
    <n v="3"/>
    <n v="59"/>
    <n v="62"/>
    <x v="1"/>
    <n v="30919"/>
    <n v="124.8388746803069"/>
    <n v="98"/>
    <s v="Wee"/>
    <s v="kday"/>
    <n v="7"/>
    <n v="0.16669999999999999"/>
  </r>
  <r>
    <n v="914"/>
    <d v="2011-10-02T00:00:00"/>
    <n v="1"/>
    <n v="0"/>
    <n v="2"/>
    <x v="12"/>
    <b v="0"/>
    <n v="4"/>
    <x v="0"/>
    <n v="0.2"/>
    <n v="0.18179999999999999"/>
    <n v="0.27"/>
    <n v="0.28360000000000002"/>
    <n v="6"/>
    <n v="42"/>
    <n v="48"/>
    <x v="1"/>
    <n v="30857"/>
    <n v="124.8388746803069"/>
    <n v="97"/>
    <s v="Wee"/>
    <s v="kday"/>
    <n v="7"/>
    <n v="0.18179999999999999"/>
  </r>
  <r>
    <n v="915"/>
    <d v="2011-10-02T00:00:00"/>
    <n v="1"/>
    <n v="0"/>
    <n v="2"/>
    <x v="13"/>
    <b v="0"/>
    <n v="4"/>
    <x v="0"/>
    <n v="0.2"/>
    <n v="0.19700000000000001"/>
    <n v="0.25"/>
    <n v="0.25369999999999998"/>
    <n v="0"/>
    <n v="50"/>
    <n v="50"/>
    <x v="1"/>
    <n v="30809"/>
    <n v="124.8388746803069"/>
    <n v="96"/>
    <s v="Wee"/>
    <s v="kday"/>
    <n v="7"/>
    <n v="0.19700000000000001"/>
  </r>
  <r>
    <n v="916"/>
    <d v="2011-10-02T00:00:00"/>
    <n v="1"/>
    <n v="0"/>
    <n v="2"/>
    <x v="14"/>
    <b v="0"/>
    <n v="4"/>
    <x v="0"/>
    <n v="0.2"/>
    <n v="0.18179999999999999"/>
    <n v="0.27"/>
    <n v="0.29849999999999999"/>
    <n v="4"/>
    <n v="76"/>
    <n v="80"/>
    <x v="1"/>
    <n v="30759"/>
    <n v="124.8388746803069"/>
    <n v="95"/>
    <s v="Wee"/>
    <s v="kday"/>
    <n v="7"/>
    <n v="0.18179999999999999"/>
  </r>
  <r>
    <n v="917"/>
    <d v="2011-10-02T00:00:00"/>
    <n v="1"/>
    <n v="0"/>
    <n v="2"/>
    <x v="15"/>
    <b v="0"/>
    <n v="4"/>
    <x v="0"/>
    <n v="0.18"/>
    <n v="0.18179999999999999"/>
    <n v="0.26"/>
    <n v="0.19400000000000001"/>
    <n v="6"/>
    <n v="159"/>
    <n v="165"/>
    <x v="1"/>
    <n v="30679"/>
    <n v="124.8388746803069"/>
    <n v="94"/>
    <s v="Wee"/>
    <s v="kday"/>
    <n v="7"/>
    <n v="0.18179999999999999"/>
  </r>
  <r>
    <n v="918"/>
    <d v="2011-10-02T00:00:00"/>
    <n v="1"/>
    <n v="0"/>
    <n v="2"/>
    <x v="16"/>
    <b v="0"/>
    <n v="4"/>
    <x v="0"/>
    <n v="0.16"/>
    <n v="0.18179999999999999"/>
    <n v="0.28000000000000003"/>
    <n v="0.1343"/>
    <n v="3"/>
    <n v="157"/>
    <n v="160"/>
    <x v="1"/>
    <n v="30514"/>
    <n v="124.8388746803069"/>
    <n v="93"/>
    <s v="Wee"/>
    <s v="kday"/>
    <n v="7"/>
    <n v="0.18179999999999999"/>
  </r>
  <r>
    <n v="919"/>
    <d v="2011-10-02T00:00:00"/>
    <n v="1"/>
    <n v="0"/>
    <n v="2"/>
    <x v="17"/>
    <b v="0"/>
    <n v="4"/>
    <x v="0"/>
    <n v="0.14000000000000001"/>
    <n v="0.16669999999999999"/>
    <n v="0.28000000000000003"/>
    <n v="0.1045"/>
    <n v="2"/>
    <n v="110"/>
    <n v="112"/>
    <x v="1"/>
    <n v="30354"/>
    <n v="124.8388746803069"/>
    <n v="92"/>
    <s v="Wee"/>
    <s v="kday"/>
    <n v="7"/>
    <n v="0.16669999999999999"/>
  </r>
  <r>
    <n v="920"/>
    <d v="2011-10-02T00:00:00"/>
    <n v="1"/>
    <n v="0"/>
    <n v="2"/>
    <x v="18"/>
    <b v="0"/>
    <n v="4"/>
    <x v="0"/>
    <n v="0.14000000000000001"/>
    <n v="0.18179999999999999"/>
    <n v="0.31"/>
    <n v="8.9599999999999999E-2"/>
    <n v="4"/>
    <n v="93"/>
    <n v="97"/>
    <x v="1"/>
    <n v="30242"/>
    <n v="124.8388746803069"/>
    <n v="91"/>
    <s v="Wee"/>
    <s v="kday"/>
    <n v="7"/>
    <n v="0.18179999999999999"/>
  </r>
  <r>
    <n v="921"/>
    <d v="2011-10-02T00:00:00"/>
    <n v="1"/>
    <n v="0"/>
    <n v="2"/>
    <x v="19"/>
    <b v="0"/>
    <n v="4"/>
    <x v="0"/>
    <n v="0.14000000000000001"/>
    <n v="0.21210000000000001"/>
    <n v="0.39"/>
    <n v="0"/>
    <n v="2"/>
    <n v="70"/>
    <n v="72"/>
    <x v="1"/>
    <n v="30145"/>
    <n v="124.8388746803069"/>
    <n v="90"/>
    <s v="Wee"/>
    <s v="kday"/>
    <n v="7"/>
    <n v="0.21210000000000001"/>
  </r>
  <r>
    <n v="922"/>
    <d v="2011-10-02T00:00:00"/>
    <n v="1"/>
    <n v="0"/>
    <n v="2"/>
    <x v="20"/>
    <b v="0"/>
    <n v="4"/>
    <x v="0"/>
    <n v="0.12"/>
    <n v="0.19700000000000001"/>
    <n v="0.39"/>
    <n v="0"/>
    <n v="4"/>
    <n v="47"/>
    <n v="51"/>
    <x v="1"/>
    <n v="30073"/>
    <n v="124.8388746803069"/>
    <n v="89"/>
    <s v="Wee"/>
    <s v="kday"/>
    <n v="7"/>
    <n v="0.19700000000000001"/>
  </r>
  <r>
    <n v="923"/>
    <d v="2011-10-02T00:00:00"/>
    <n v="1"/>
    <n v="0"/>
    <n v="2"/>
    <x v="21"/>
    <b v="0"/>
    <n v="4"/>
    <x v="0"/>
    <n v="0.12"/>
    <n v="0.1515"/>
    <n v="0.42"/>
    <n v="0.1045"/>
    <n v="1"/>
    <n v="33"/>
    <n v="34"/>
    <x v="1"/>
    <n v="30022"/>
    <n v="124.8388746803069"/>
    <n v="88"/>
    <s v="Wee"/>
    <s v="kday"/>
    <n v="7"/>
    <n v="0.1515"/>
  </r>
  <r>
    <n v="924"/>
    <d v="2011-11-02T00:00:00"/>
    <n v="1"/>
    <n v="0"/>
    <n v="2"/>
    <x v="22"/>
    <b v="0"/>
    <n v="5"/>
    <x v="0"/>
    <n v="0.1"/>
    <n v="0.13639999999999999"/>
    <n v="0.49"/>
    <n v="0.1045"/>
    <n v="2"/>
    <n v="12"/>
    <n v="14"/>
    <x v="1"/>
    <n v="29988"/>
    <n v="124.8388746803069"/>
    <n v="87"/>
    <s v="Wee"/>
    <s v="kday"/>
    <n v="7"/>
    <n v="0.13639999999999999"/>
  </r>
  <r>
    <n v="925"/>
    <d v="2011-11-02T00:00:00"/>
    <n v="1"/>
    <n v="0"/>
    <n v="2"/>
    <x v="0"/>
    <b v="0"/>
    <n v="5"/>
    <x v="0"/>
    <n v="0.1"/>
    <n v="0.13639999999999999"/>
    <n v="0.54"/>
    <n v="8.9599999999999999E-2"/>
    <n v="1"/>
    <n v="6"/>
    <n v="7"/>
    <x v="1"/>
    <n v="29974"/>
    <n v="124.8388746803069"/>
    <n v="86"/>
    <s v="Wee"/>
    <s v="kday"/>
    <n v="7"/>
    <n v="0.13639999999999999"/>
  </r>
  <r>
    <n v="926"/>
    <d v="2011-11-02T00:00:00"/>
    <n v="1"/>
    <n v="0"/>
    <n v="2"/>
    <x v="1"/>
    <b v="0"/>
    <n v="5"/>
    <x v="0"/>
    <n v="0.1"/>
    <n v="0.13639999999999999"/>
    <n v="0.54"/>
    <n v="8.9599999999999999E-2"/>
    <n v="0"/>
    <n v="3"/>
    <n v="3"/>
    <x v="1"/>
    <n v="29967"/>
    <n v="124.8388746803069"/>
    <n v="85"/>
    <s v="Wee"/>
    <s v="kday"/>
    <n v="7"/>
    <n v="0.13639999999999999"/>
  </r>
  <r>
    <n v="927"/>
    <d v="2011-11-02T00:00:00"/>
    <n v="1"/>
    <n v="0"/>
    <n v="2"/>
    <x v="23"/>
    <b v="0"/>
    <n v="5"/>
    <x v="0"/>
    <n v="0.08"/>
    <n v="0.1212"/>
    <n v="0.63"/>
    <n v="8.9599999999999999E-2"/>
    <n v="0"/>
    <n v="4"/>
    <n v="4"/>
    <x v="1"/>
    <n v="29964"/>
    <n v="124.8388746803069"/>
    <n v="84"/>
    <s v="Wee"/>
    <s v="kday"/>
    <n v="7"/>
    <n v="0.1212"/>
  </r>
  <r>
    <n v="928"/>
    <d v="2011-11-02T00:00:00"/>
    <n v="1"/>
    <n v="0"/>
    <n v="2"/>
    <x v="4"/>
    <b v="0"/>
    <n v="5"/>
    <x v="0"/>
    <n v="0.1"/>
    <n v="0.18179999999999999"/>
    <n v="0.68"/>
    <n v="0"/>
    <n v="1"/>
    <n v="23"/>
    <n v="24"/>
    <x v="1"/>
    <n v="29960"/>
    <n v="124.8388746803069"/>
    <n v="83"/>
    <s v="Wee"/>
    <s v="kday"/>
    <n v="7"/>
    <n v="0.18179999999999999"/>
  </r>
  <r>
    <n v="929"/>
    <d v="2011-11-02T00:00:00"/>
    <n v="1"/>
    <n v="0"/>
    <n v="2"/>
    <x v="5"/>
    <b v="0"/>
    <n v="5"/>
    <x v="0"/>
    <n v="0.08"/>
    <n v="0.16669999999999999"/>
    <n v="0.73"/>
    <n v="0"/>
    <n v="1"/>
    <n v="73"/>
    <n v="74"/>
    <x v="1"/>
    <n v="29936"/>
    <n v="124.8388746803069"/>
    <n v="82"/>
    <s v="Wee"/>
    <s v="kday"/>
    <n v="7"/>
    <n v="0.16669999999999999"/>
  </r>
  <r>
    <n v="930"/>
    <d v="2011-11-02T00:00:00"/>
    <n v="1"/>
    <n v="0"/>
    <n v="2"/>
    <x v="6"/>
    <b v="0"/>
    <n v="5"/>
    <x v="0"/>
    <n v="0.1"/>
    <n v="0.1212"/>
    <n v="0.74"/>
    <n v="0.16420000000000001"/>
    <n v="4"/>
    <n v="212"/>
    <n v="216"/>
    <x v="1"/>
    <n v="29862"/>
    <n v="124.8388746803069"/>
    <n v="81"/>
    <s v="Wee"/>
    <s v="kday"/>
    <n v="7"/>
    <n v="0.1212"/>
  </r>
  <r>
    <n v="931"/>
    <d v="2011-11-02T00:00:00"/>
    <n v="1"/>
    <n v="0"/>
    <n v="2"/>
    <x v="7"/>
    <b v="0"/>
    <n v="5"/>
    <x v="0"/>
    <n v="0.12"/>
    <n v="0.1212"/>
    <n v="0.74"/>
    <n v="0.22389999999999999"/>
    <n v="8"/>
    <n v="132"/>
    <n v="140"/>
    <x v="1"/>
    <n v="29646"/>
    <n v="124.8388746803069"/>
    <n v="80"/>
    <s v="Wee"/>
    <s v="kday"/>
    <n v="7"/>
    <n v="0.1212"/>
  </r>
  <r>
    <n v="932"/>
    <d v="2011-11-02T00:00:00"/>
    <n v="1"/>
    <n v="0"/>
    <n v="2"/>
    <x v="8"/>
    <b v="0"/>
    <n v="5"/>
    <x v="0"/>
    <n v="0.14000000000000001"/>
    <n v="0.13639999999999999"/>
    <n v="0.69"/>
    <n v="0.19400000000000001"/>
    <n v="5"/>
    <n v="39"/>
    <n v="44"/>
    <x v="1"/>
    <n v="29506"/>
    <n v="124.8388746803069"/>
    <n v="79"/>
    <s v="Wee"/>
    <s v="kday"/>
    <n v="7"/>
    <n v="0.13639999999999999"/>
  </r>
  <r>
    <n v="933"/>
    <d v="2011-11-02T00:00:00"/>
    <n v="1"/>
    <n v="0"/>
    <n v="2"/>
    <x v="9"/>
    <b v="0"/>
    <n v="5"/>
    <x v="0"/>
    <n v="0.22"/>
    <n v="0.2273"/>
    <n v="0.47"/>
    <n v="0.1343"/>
    <n v="12"/>
    <n v="52"/>
    <n v="64"/>
    <x v="1"/>
    <n v="29462"/>
    <n v="124.8388746803069"/>
    <n v="78"/>
    <s v="Wee"/>
    <s v="kday"/>
    <n v="7"/>
    <n v="0.2273"/>
  </r>
  <r>
    <n v="934"/>
    <d v="2011-11-02T00:00:00"/>
    <n v="1"/>
    <n v="0"/>
    <n v="2"/>
    <x v="10"/>
    <b v="0"/>
    <n v="5"/>
    <x v="0"/>
    <n v="0.22"/>
    <n v="0.2273"/>
    <n v="0.47"/>
    <n v="0.1343"/>
    <n v="7"/>
    <n v="64"/>
    <n v="71"/>
    <x v="1"/>
    <n v="29398"/>
    <n v="124.8388746803069"/>
    <n v="77"/>
    <s v="Wee"/>
    <s v="kday"/>
    <n v="7"/>
    <n v="0.2273"/>
  </r>
  <r>
    <n v="935"/>
    <d v="2011-11-02T00:00:00"/>
    <n v="1"/>
    <n v="0"/>
    <n v="2"/>
    <x v="11"/>
    <b v="0"/>
    <n v="5"/>
    <x v="0"/>
    <n v="0.24"/>
    <n v="0.2273"/>
    <n v="0.35"/>
    <n v="0.19400000000000001"/>
    <n v="21"/>
    <n v="89"/>
    <n v="110"/>
    <x v="1"/>
    <n v="29327"/>
    <n v="124.8388746803069"/>
    <n v="76"/>
    <s v="Wee"/>
    <s v="kday"/>
    <n v="7"/>
    <n v="0.2273"/>
  </r>
  <r>
    <n v="936"/>
    <d v="2011-11-02T00:00:00"/>
    <n v="1"/>
    <n v="0"/>
    <n v="2"/>
    <x v="12"/>
    <b v="0"/>
    <n v="5"/>
    <x v="0"/>
    <n v="0.3"/>
    <n v="0.28789999999999999"/>
    <n v="0.26"/>
    <n v="0.25369999999999998"/>
    <n v="17"/>
    <n v="67"/>
    <n v="84"/>
    <x v="1"/>
    <n v="29217"/>
    <n v="124.8388746803069"/>
    <n v="75"/>
    <s v="Wee"/>
    <s v="kday"/>
    <n v="7"/>
    <n v="0.28789999999999999"/>
  </r>
  <r>
    <n v="937"/>
    <d v="2011-11-02T00:00:00"/>
    <n v="1"/>
    <n v="0"/>
    <n v="2"/>
    <x v="13"/>
    <b v="0"/>
    <n v="5"/>
    <x v="0"/>
    <n v="0.32"/>
    <n v="0.31819999999999998"/>
    <n v="0.21"/>
    <n v="0.16420000000000001"/>
    <n v="12"/>
    <n v="62"/>
    <n v="74"/>
    <x v="1"/>
    <n v="29133"/>
    <n v="124.8388746803069"/>
    <n v="74"/>
    <s v="Wee"/>
    <s v="kday"/>
    <n v="7"/>
    <n v="0.31819999999999998"/>
  </r>
  <r>
    <n v="938"/>
    <d v="2011-11-02T00:00:00"/>
    <n v="1"/>
    <n v="0"/>
    <n v="2"/>
    <x v="14"/>
    <b v="0"/>
    <n v="5"/>
    <x v="0"/>
    <n v="0.3"/>
    <n v="0.28789999999999999"/>
    <n v="0.28000000000000003"/>
    <n v="0.19400000000000001"/>
    <n v="14"/>
    <n v="111"/>
    <n v="125"/>
    <x v="1"/>
    <n v="29059"/>
    <n v="124.8388746803069"/>
    <n v="73"/>
    <s v="Wee"/>
    <s v="kday"/>
    <n v="7"/>
    <n v="0.28789999999999999"/>
  </r>
  <r>
    <n v="939"/>
    <d v="2011-11-02T00:00:00"/>
    <n v="1"/>
    <n v="0"/>
    <n v="2"/>
    <x v="15"/>
    <b v="0"/>
    <n v="5"/>
    <x v="0"/>
    <n v="0.3"/>
    <n v="0.33329999999999999"/>
    <n v="0.24"/>
    <n v="0"/>
    <n v="18"/>
    <n v="193"/>
    <n v="211"/>
    <x v="1"/>
    <n v="28934"/>
    <n v="124.8388746803069"/>
    <n v="72"/>
    <s v="Wee"/>
    <s v="kday"/>
    <n v="7"/>
    <n v="0.33329999999999999"/>
  </r>
  <r>
    <n v="940"/>
    <d v="2011-11-02T00:00:00"/>
    <n v="1"/>
    <n v="0"/>
    <n v="2"/>
    <x v="16"/>
    <b v="0"/>
    <n v="5"/>
    <x v="0"/>
    <n v="0.28000000000000003"/>
    <n v="0.31819999999999998"/>
    <n v="0.28000000000000003"/>
    <n v="0"/>
    <n v="9"/>
    <n v="165"/>
    <n v="174"/>
    <x v="1"/>
    <n v="28723"/>
    <n v="124.8388746803069"/>
    <n v="71"/>
    <s v="Wee"/>
    <s v="kday"/>
    <n v="7"/>
    <n v="0.31819999999999998"/>
  </r>
  <r>
    <n v="941"/>
    <d v="2011-11-02T00:00:00"/>
    <n v="1"/>
    <n v="0"/>
    <n v="2"/>
    <x v="17"/>
    <b v="0"/>
    <n v="5"/>
    <x v="0"/>
    <n v="0.26"/>
    <n v="0.30299999999999999"/>
    <n v="0.33"/>
    <n v="0"/>
    <n v="7"/>
    <n v="94"/>
    <n v="101"/>
    <x v="1"/>
    <n v="28549"/>
    <n v="124.8388746803069"/>
    <n v="70"/>
    <s v="Wee"/>
    <s v="kday"/>
    <n v="7"/>
    <n v="0.30299999999999999"/>
  </r>
  <r>
    <n v="942"/>
    <d v="2011-11-02T00:00:00"/>
    <n v="1"/>
    <n v="0"/>
    <n v="2"/>
    <x v="18"/>
    <b v="0"/>
    <n v="5"/>
    <x v="0"/>
    <n v="0.22"/>
    <n v="0.2273"/>
    <n v="0.55000000000000004"/>
    <n v="0.1343"/>
    <n v="2"/>
    <n v="61"/>
    <n v="63"/>
    <x v="1"/>
    <n v="28448"/>
    <n v="124.8388746803069"/>
    <n v="69"/>
    <s v="Wee"/>
    <s v="kday"/>
    <n v="7"/>
    <n v="0.2273"/>
  </r>
  <r>
    <n v="943"/>
    <d v="2011-11-02T00:00:00"/>
    <n v="1"/>
    <n v="0"/>
    <n v="2"/>
    <x v="19"/>
    <b v="0"/>
    <n v="5"/>
    <x v="0"/>
    <n v="0.2"/>
    <n v="0.21210000000000001"/>
    <n v="0.59"/>
    <n v="0.1343"/>
    <n v="1"/>
    <n v="46"/>
    <n v="47"/>
    <x v="1"/>
    <n v="28385"/>
    <n v="124.8388746803069"/>
    <n v="68"/>
    <s v="Wee"/>
    <s v="kday"/>
    <n v="7"/>
    <n v="0.21210000000000001"/>
  </r>
  <r>
    <n v="944"/>
    <d v="2011-11-02T00:00:00"/>
    <n v="1"/>
    <n v="0"/>
    <n v="2"/>
    <x v="20"/>
    <b v="0"/>
    <n v="5"/>
    <x v="0"/>
    <n v="0.2"/>
    <n v="0.2273"/>
    <n v="0.64"/>
    <n v="8.9599999999999999E-2"/>
    <n v="2"/>
    <n v="41"/>
    <n v="43"/>
    <x v="1"/>
    <n v="28338"/>
    <n v="124.8388746803069"/>
    <n v="67"/>
    <s v="Wee"/>
    <s v="kday"/>
    <n v="7"/>
    <n v="0.2273"/>
  </r>
  <r>
    <n v="945"/>
    <d v="2011-11-02T00:00:00"/>
    <n v="1"/>
    <n v="0"/>
    <n v="2"/>
    <x v="21"/>
    <b v="0"/>
    <n v="5"/>
    <x v="0"/>
    <n v="0.18"/>
    <n v="0.2424"/>
    <n v="0.69"/>
    <n v="0"/>
    <n v="5"/>
    <n v="48"/>
    <n v="53"/>
    <x v="1"/>
    <n v="28295"/>
    <n v="124.8388746803069"/>
    <n v="66"/>
    <s v="Wee"/>
    <s v="kend"/>
    <n v="7"/>
    <n v="0.2424"/>
  </r>
  <r>
    <n v="946"/>
    <d v="2011-12-02T00:00:00"/>
    <n v="1"/>
    <n v="0"/>
    <n v="2"/>
    <x v="22"/>
    <b v="0"/>
    <n v="6"/>
    <x v="0"/>
    <n v="0.16"/>
    <n v="0.19700000000000001"/>
    <n v="0.69"/>
    <n v="8.9599999999999999E-2"/>
    <n v="3"/>
    <n v="27"/>
    <n v="30"/>
    <x v="0"/>
    <n v="28242"/>
    <n v="124.8388746803069"/>
    <n v="65"/>
    <s v="Wee"/>
    <s v="kend"/>
    <n v="7"/>
    <n v="0.19700000000000001"/>
  </r>
  <r>
    <n v="947"/>
    <d v="2011-12-02T00:00:00"/>
    <n v="1"/>
    <n v="0"/>
    <n v="2"/>
    <x v="0"/>
    <b v="0"/>
    <n v="6"/>
    <x v="0"/>
    <n v="0.14000000000000001"/>
    <n v="0.21210000000000001"/>
    <n v="0.86"/>
    <n v="0"/>
    <n v="2"/>
    <n v="22"/>
    <n v="24"/>
    <x v="0"/>
    <n v="28212"/>
    <n v="124.8388746803069"/>
    <n v="64"/>
    <s v="Wee"/>
    <s v="kend"/>
    <n v="7"/>
    <n v="0.21210000000000001"/>
  </r>
  <r>
    <n v="948"/>
    <d v="2011-12-02T00:00:00"/>
    <n v="1"/>
    <n v="0"/>
    <n v="2"/>
    <x v="1"/>
    <b v="0"/>
    <n v="6"/>
    <x v="0"/>
    <n v="0.14000000000000001"/>
    <n v="0.21210000000000001"/>
    <n v="0.8"/>
    <n v="0"/>
    <n v="2"/>
    <n v="13"/>
    <n v="15"/>
    <x v="0"/>
    <n v="28188"/>
    <n v="124.8388746803069"/>
    <n v="63"/>
    <s v="Wee"/>
    <s v="kend"/>
    <n v="7"/>
    <n v="0.21210000000000001"/>
  </r>
  <r>
    <n v="949"/>
    <d v="2011-12-02T00:00:00"/>
    <n v="1"/>
    <n v="0"/>
    <n v="2"/>
    <x v="2"/>
    <b v="0"/>
    <n v="6"/>
    <x v="0"/>
    <n v="0.12"/>
    <n v="0.19700000000000001"/>
    <n v="0.8"/>
    <n v="0"/>
    <n v="3"/>
    <n v="7"/>
    <n v="10"/>
    <x v="0"/>
    <n v="28173"/>
    <n v="124.8388746803069"/>
    <n v="62"/>
    <s v="Wee"/>
    <s v="kend"/>
    <n v="7"/>
    <n v="0.19700000000000001"/>
  </r>
  <r>
    <n v="950"/>
    <d v="2011-12-02T00:00:00"/>
    <n v="1"/>
    <n v="0"/>
    <n v="2"/>
    <x v="3"/>
    <b v="0"/>
    <n v="6"/>
    <x v="0"/>
    <n v="0.12"/>
    <n v="0.16669999999999999"/>
    <n v="0.74"/>
    <n v="8.9599999999999999E-2"/>
    <n v="0"/>
    <n v="4"/>
    <n v="4"/>
    <x v="0"/>
    <n v="28163"/>
    <n v="124.8388746803069"/>
    <n v="61"/>
    <s v="Wee"/>
    <s v="kend"/>
    <n v="7"/>
    <n v="0.16669999999999999"/>
  </r>
  <r>
    <n v="951"/>
    <d v="2011-12-02T00:00:00"/>
    <n v="1"/>
    <n v="0"/>
    <n v="2"/>
    <x v="23"/>
    <b v="0"/>
    <n v="6"/>
    <x v="0"/>
    <n v="0.12"/>
    <n v="0.16669999999999999"/>
    <n v="0.74"/>
    <n v="8.9599999999999999E-2"/>
    <n v="0"/>
    <n v="1"/>
    <n v="1"/>
    <x v="0"/>
    <n v="28159"/>
    <n v="124.8388746803069"/>
    <n v="60"/>
    <s v="Wee"/>
    <s v="kend"/>
    <n v="7"/>
    <n v="0.16669999999999999"/>
  </r>
  <r>
    <n v="952"/>
    <d v="2011-12-02T00:00:00"/>
    <n v="1"/>
    <n v="0"/>
    <n v="2"/>
    <x v="4"/>
    <b v="0"/>
    <n v="6"/>
    <x v="0"/>
    <n v="0.12"/>
    <n v="0.13639999999999999"/>
    <n v="0.93"/>
    <n v="0.19400000000000001"/>
    <n v="1"/>
    <n v="1"/>
    <n v="2"/>
    <x v="0"/>
    <n v="28158"/>
    <n v="124.8388746803069"/>
    <n v="59"/>
    <s v="Wee"/>
    <s v="kend"/>
    <n v="7"/>
    <n v="0.13639999999999999"/>
  </r>
  <r>
    <n v="953"/>
    <d v="2011-12-02T00:00:00"/>
    <n v="1"/>
    <n v="0"/>
    <n v="2"/>
    <x v="5"/>
    <b v="0"/>
    <n v="6"/>
    <x v="0"/>
    <n v="0.12"/>
    <n v="0.1515"/>
    <n v="0.8"/>
    <n v="0.1045"/>
    <n v="2"/>
    <n v="9"/>
    <n v="11"/>
    <x v="0"/>
    <n v="28156"/>
    <n v="124.8388746803069"/>
    <n v="58"/>
    <s v="Wee"/>
    <s v="kend"/>
    <n v="7"/>
    <n v="0.1515"/>
  </r>
  <r>
    <n v="954"/>
    <d v="2011-12-02T00:00:00"/>
    <n v="1"/>
    <n v="0"/>
    <n v="2"/>
    <x v="6"/>
    <b v="0"/>
    <n v="6"/>
    <x v="0"/>
    <n v="0.14000000000000001"/>
    <n v="0.1515"/>
    <n v="0.86"/>
    <n v="0.1343"/>
    <n v="2"/>
    <n v="28"/>
    <n v="30"/>
    <x v="0"/>
    <n v="28145"/>
    <n v="124.8388746803069"/>
    <n v="57"/>
    <s v="Wee"/>
    <s v="kend"/>
    <n v="7"/>
    <n v="0.1515"/>
  </r>
  <r>
    <n v="955"/>
    <d v="2011-12-02T00:00:00"/>
    <n v="1"/>
    <n v="0"/>
    <n v="2"/>
    <x v="7"/>
    <b v="0"/>
    <n v="6"/>
    <x v="0"/>
    <n v="0.16"/>
    <n v="0.18179999999999999"/>
    <n v="0.64"/>
    <n v="0.1343"/>
    <n v="5"/>
    <n v="38"/>
    <n v="43"/>
    <x v="0"/>
    <n v="28115"/>
    <n v="124.8388746803069"/>
    <n v="56"/>
    <s v="Wee"/>
    <s v="kend"/>
    <n v="7"/>
    <n v="0.18179999999999999"/>
  </r>
  <r>
    <n v="956"/>
    <d v="2011-12-02T00:00:00"/>
    <n v="1"/>
    <n v="0"/>
    <n v="2"/>
    <x v="8"/>
    <b v="0"/>
    <n v="6"/>
    <x v="0"/>
    <n v="0.22"/>
    <n v="0.21210000000000001"/>
    <n v="0.41"/>
    <n v="0.25369999999999998"/>
    <n v="13"/>
    <n v="71"/>
    <n v="84"/>
    <x v="0"/>
    <n v="28072"/>
    <n v="124.8388746803069"/>
    <n v="55"/>
    <s v="Wee"/>
    <s v="kend"/>
    <n v="7"/>
    <n v="0.21210000000000001"/>
  </r>
  <r>
    <n v="957"/>
    <d v="2011-12-02T00:00:00"/>
    <n v="1"/>
    <n v="0"/>
    <n v="2"/>
    <x v="9"/>
    <b v="0"/>
    <n v="6"/>
    <x v="0"/>
    <n v="0.3"/>
    <n v="0.2727"/>
    <n v="0.28000000000000003"/>
    <n v="0.32840000000000003"/>
    <n v="30"/>
    <n v="84"/>
    <n v="114"/>
    <x v="0"/>
    <n v="27988"/>
    <n v="124.8388746803069"/>
    <n v="54"/>
    <s v="Wee"/>
    <s v="kend"/>
    <n v="7"/>
    <n v="0.2727"/>
  </r>
  <r>
    <n v="958"/>
    <d v="2011-12-02T00:00:00"/>
    <n v="1"/>
    <n v="0"/>
    <n v="2"/>
    <x v="10"/>
    <b v="0"/>
    <n v="6"/>
    <x v="0"/>
    <n v="0.3"/>
    <n v="0.2727"/>
    <n v="0.39"/>
    <n v="0.4627"/>
    <n v="27"/>
    <n v="93"/>
    <n v="120"/>
    <x v="0"/>
    <n v="27874"/>
    <n v="124.8388746803069"/>
    <n v="53"/>
    <s v="Wee"/>
    <s v="kend"/>
    <n v="7"/>
    <n v="0.2727"/>
  </r>
  <r>
    <n v="959"/>
    <d v="2011-12-02T00:00:00"/>
    <n v="1"/>
    <n v="0"/>
    <n v="2"/>
    <x v="11"/>
    <b v="0"/>
    <n v="6"/>
    <x v="0"/>
    <n v="0.3"/>
    <n v="0.2727"/>
    <n v="0.39"/>
    <n v="0.41789999999999999"/>
    <n v="32"/>
    <n v="103"/>
    <n v="135"/>
    <x v="0"/>
    <n v="27754"/>
    <n v="124.8388746803069"/>
    <n v="52"/>
    <s v="Wee"/>
    <s v="kend"/>
    <n v="7"/>
    <n v="0.2727"/>
  </r>
  <r>
    <n v="960"/>
    <d v="2011-12-02T00:00:00"/>
    <n v="1"/>
    <n v="0"/>
    <n v="2"/>
    <x v="12"/>
    <b v="0"/>
    <n v="6"/>
    <x v="0"/>
    <n v="0.34"/>
    <n v="0.31819999999999998"/>
    <n v="0.31"/>
    <n v="0.28360000000000002"/>
    <n v="30"/>
    <n v="90"/>
    <n v="120"/>
    <x v="0"/>
    <n v="27619"/>
    <n v="124.8388746803069"/>
    <n v="51"/>
    <s v="Wee"/>
    <s v="kend"/>
    <n v="7"/>
    <n v="0.31819999999999998"/>
  </r>
  <r>
    <n v="961"/>
    <d v="2011-12-02T00:00:00"/>
    <n v="1"/>
    <n v="0"/>
    <n v="2"/>
    <x v="13"/>
    <b v="0"/>
    <n v="6"/>
    <x v="0"/>
    <n v="0.34"/>
    <n v="0.30299999999999999"/>
    <n v="0.28999999999999998"/>
    <n v="0.41789999999999999"/>
    <n v="47"/>
    <n v="127"/>
    <n v="174"/>
    <x v="0"/>
    <n v="27499"/>
    <n v="124.8388746803069"/>
    <n v="50"/>
    <s v="Wee"/>
    <s v="kend"/>
    <n v="7"/>
    <n v="0.30299999999999999"/>
  </r>
  <r>
    <n v="962"/>
    <d v="2011-12-02T00:00:00"/>
    <n v="1"/>
    <n v="0"/>
    <n v="2"/>
    <x v="14"/>
    <b v="0"/>
    <n v="6"/>
    <x v="0"/>
    <n v="0.34"/>
    <n v="0.30299999999999999"/>
    <n v="0.28999999999999998"/>
    <n v="0.41789999999999999"/>
    <n v="42"/>
    <n v="103"/>
    <n v="145"/>
    <x v="0"/>
    <n v="27325"/>
    <n v="124.8388746803069"/>
    <n v="49"/>
    <s v="Wee"/>
    <s v="kend"/>
    <n v="7"/>
    <n v="0.30299999999999999"/>
  </r>
  <r>
    <n v="963"/>
    <d v="2011-12-02T00:00:00"/>
    <n v="1"/>
    <n v="0"/>
    <n v="2"/>
    <x v="15"/>
    <b v="0"/>
    <n v="6"/>
    <x v="0"/>
    <n v="0.32"/>
    <n v="0.28789999999999999"/>
    <n v="0.31"/>
    <n v="0.52239999999999998"/>
    <n v="24"/>
    <n v="113"/>
    <n v="137"/>
    <x v="0"/>
    <n v="27180"/>
    <n v="124.8388746803069"/>
    <n v="48"/>
    <s v="Wee"/>
    <s v="kend"/>
    <n v="7"/>
    <n v="0.28789999999999999"/>
  </r>
  <r>
    <n v="964"/>
    <d v="2011-12-02T00:00:00"/>
    <n v="1"/>
    <n v="0"/>
    <n v="2"/>
    <x v="16"/>
    <b v="0"/>
    <n v="6"/>
    <x v="0"/>
    <n v="0.28000000000000003"/>
    <n v="0.2576"/>
    <n v="0.38"/>
    <n v="0.32840000000000003"/>
    <n v="4"/>
    <n v="60"/>
    <n v="64"/>
    <x v="0"/>
    <n v="27043"/>
    <n v="124.8388746803069"/>
    <n v="47"/>
    <s v="Wee"/>
    <s v="kend"/>
    <n v="7"/>
    <n v="0.2576"/>
  </r>
  <r>
    <n v="965"/>
    <d v="2011-12-02T00:00:00"/>
    <n v="1"/>
    <n v="0"/>
    <n v="2"/>
    <x v="17"/>
    <b v="0"/>
    <n v="6"/>
    <x v="0"/>
    <n v="0.28000000000000003"/>
    <n v="0.2727"/>
    <n v="0.38"/>
    <n v="0.16420000000000001"/>
    <n v="2"/>
    <n v="39"/>
    <n v="41"/>
    <x v="0"/>
    <n v="26979"/>
    <n v="124.8388746803069"/>
    <n v="46"/>
    <s v="Wee"/>
    <s v="kend"/>
    <n v="7"/>
    <n v="0.2727"/>
  </r>
  <r>
    <n v="966"/>
    <d v="2011-12-02T00:00:00"/>
    <n v="1"/>
    <n v="0"/>
    <n v="2"/>
    <x v="18"/>
    <b v="0"/>
    <n v="6"/>
    <x v="0"/>
    <n v="0.26"/>
    <n v="0.2576"/>
    <n v="0.41"/>
    <n v="0.22389999999999999"/>
    <n v="1"/>
    <n v="39"/>
    <n v="40"/>
    <x v="0"/>
    <n v="26938"/>
    <n v="124.8388746803069"/>
    <n v="45"/>
    <s v="Wee"/>
    <s v="kend"/>
    <n v="7"/>
    <n v="0.2576"/>
  </r>
  <r>
    <n v="967"/>
    <d v="2011-12-02T00:00:00"/>
    <n v="1"/>
    <n v="0"/>
    <n v="2"/>
    <x v="19"/>
    <b v="0"/>
    <n v="6"/>
    <x v="0"/>
    <n v="0.26"/>
    <n v="0.30299999999999999"/>
    <n v="0.41"/>
    <n v="0"/>
    <n v="9"/>
    <n v="42"/>
    <n v="51"/>
    <x v="0"/>
    <n v="26898"/>
    <n v="124.8388746803069"/>
    <n v="44"/>
    <s v="Wee"/>
    <s v="kend"/>
    <n v="7"/>
    <n v="0.30299999999999999"/>
  </r>
  <r>
    <n v="968"/>
    <d v="2011-12-02T00:00:00"/>
    <n v="1"/>
    <n v="0"/>
    <n v="2"/>
    <x v="20"/>
    <b v="0"/>
    <n v="6"/>
    <x v="0"/>
    <n v="0.24"/>
    <n v="0.2576"/>
    <n v="0.44"/>
    <n v="8.9599999999999999E-2"/>
    <n v="6"/>
    <n v="39"/>
    <n v="45"/>
    <x v="0"/>
    <n v="26847"/>
    <n v="124.8388746803069"/>
    <n v="43"/>
    <s v="Wee"/>
    <s v="kend"/>
    <n v="7"/>
    <n v="0.2576"/>
  </r>
  <r>
    <n v="969"/>
    <d v="2011-12-02T00:00:00"/>
    <n v="1"/>
    <n v="0"/>
    <n v="2"/>
    <x v="21"/>
    <b v="0"/>
    <n v="6"/>
    <x v="0"/>
    <n v="0.22"/>
    <n v="0.2273"/>
    <n v="0.51"/>
    <n v="0.1343"/>
    <n v="1"/>
    <n v="31"/>
    <n v="32"/>
    <x v="0"/>
    <n v="26802"/>
    <n v="124.8388746803069"/>
    <n v="42"/>
    <s v="Wee"/>
    <s v="kend"/>
    <n v="7"/>
    <n v="0.2273"/>
  </r>
  <r>
    <n v="970"/>
    <s v="13-02-2011"/>
    <n v="1"/>
    <n v="0"/>
    <n v="2"/>
    <x v="22"/>
    <b v="0"/>
    <n v="0"/>
    <x v="0"/>
    <n v="0.2"/>
    <n v="0.2273"/>
    <n v="0.64"/>
    <n v="0.1045"/>
    <n v="5"/>
    <n v="34"/>
    <n v="39"/>
    <x v="0"/>
    <n v="26770"/>
    <n v="124.8388746803069"/>
    <n v="41"/>
    <s v="Wee"/>
    <s v="kend"/>
    <n v="7"/>
    <n v="0.2273"/>
  </r>
  <r>
    <n v="971"/>
    <s v="13-02-2011"/>
    <n v="1"/>
    <n v="0"/>
    <n v="2"/>
    <x v="0"/>
    <b v="0"/>
    <n v="0"/>
    <x v="0"/>
    <n v="0.2"/>
    <n v="0.2273"/>
    <n v="0.59"/>
    <n v="8.9599999999999999E-2"/>
    <n v="1"/>
    <n v="23"/>
    <n v="24"/>
    <x v="0"/>
    <n v="26731"/>
    <n v="124.8388746803069"/>
    <n v="40"/>
    <s v="Wee"/>
    <s v="kend"/>
    <n v="7"/>
    <n v="0.2273"/>
  </r>
  <r>
    <n v="972"/>
    <s v="13-02-2011"/>
    <n v="1"/>
    <n v="0"/>
    <n v="2"/>
    <x v="1"/>
    <b v="0"/>
    <n v="0"/>
    <x v="1"/>
    <n v="0.2"/>
    <n v="0.2273"/>
    <n v="0.75"/>
    <n v="8.9599999999999999E-2"/>
    <n v="1"/>
    <n v="19"/>
    <n v="20"/>
    <x v="0"/>
    <n v="26707"/>
    <n v="124.8388746803069"/>
    <n v="39"/>
    <s v="Wee"/>
    <s v="kend"/>
    <n v="7"/>
    <n v="0.2273"/>
  </r>
  <r>
    <n v="973"/>
    <s v="13-02-2011"/>
    <n v="1"/>
    <n v="0"/>
    <n v="2"/>
    <x v="2"/>
    <b v="0"/>
    <n v="0"/>
    <x v="1"/>
    <n v="0.2"/>
    <n v="0.2273"/>
    <n v="0.69"/>
    <n v="0.1045"/>
    <n v="4"/>
    <n v="8"/>
    <n v="12"/>
    <x v="0"/>
    <n v="26687"/>
    <n v="124.8388746803069"/>
    <n v="38"/>
    <s v="Wee"/>
    <s v="kend"/>
    <n v="7"/>
    <n v="0.2273"/>
  </r>
  <r>
    <n v="974"/>
    <s v="13-02-2011"/>
    <n v="1"/>
    <n v="0"/>
    <n v="2"/>
    <x v="3"/>
    <b v="0"/>
    <n v="0"/>
    <x v="1"/>
    <n v="0.2"/>
    <n v="0.21210000000000001"/>
    <n v="0.69"/>
    <n v="0.16420000000000001"/>
    <n v="0"/>
    <n v="2"/>
    <n v="2"/>
    <x v="0"/>
    <n v="26675"/>
    <n v="124.8388746803069"/>
    <n v="37"/>
    <s v="Wee"/>
    <s v="kend"/>
    <n v="7"/>
    <n v="0.21210000000000001"/>
  </r>
  <r>
    <n v="975"/>
    <s v="13-02-2011"/>
    <n v="1"/>
    <n v="0"/>
    <n v="2"/>
    <x v="4"/>
    <b v="0"/>
    <n v="0"/>
    <x v="1"/>
    <n v="0.2"/>
    <n v="0.21210000000000001"/>
    <n v="0.69"/>
    <n v="0.1343"/>
    <n v="2"/>
    <n v="3"/>
    <n v="5"/>
    <x v="0"/>
    <n v="26673"/>
    <n v="124.8388746803069"/>
    <n v="36"/>
    <s v="Wee"/>
    <s v="kend"/>
    <n v="7"/>
    <n v="0.21210000000000001"/>
  </r>
  <r>
    <n v="976"/>
    <s v="13-02-2011"/>
    <n v="1"/>
    <n v="0"/>
    <n v="2"/>
    <x v="5"/>
    <b v="0"/>
    <n v="0"/>
    <x v="1"/>
    <n v="0.22"/>
    <n v="0.2727"/>
    <n v="0.55000000000000004"/>
    <n v="0"/>
    <n v="0"/>
    <n v="3"/>
    <n v="3"/>
    <x v="0"/>
    <n v="26668"/>
    <n v="124.8388746803069"/>
    <n v="35"/>
    <s v="Wee"/>
    <s v="kend"/>
    <n v="7"/>
    <n v="0.2727"/>
  </r>
  <r>
    <n v="977"/>
    <s v="13-02-2011"/>
    <n v="1"/>
    <n v="0"/>
    <n v="2"/>
    <x v="6"/>
    <b v="0"/>
    <n v="0"/>
    <x v="1"/>
    <n v="0.22"/>
    <n v="0.2273"/>
    <n v="0.64"/>
    <n v="0.19400000000000001"/>
    <n v="1"/>
    <n v="11"/>
    <n v="12"/>
    <x v="0"/>
    <n v="26665"/>
    <n v="124.8388746803069"/>
    <n v="34"/>
    <s v="Wee"/>
    <s v="kend"/>
    <n v="7"/>
    <n v="0.2273"/>
  </r>
  <r>
    <n v="978"/>
    <s v="13-02-2011"/>
    <n v="1"/>
    <n v="0"/>
    <n v="2"/>
    <x v="7"/>
    <b v="0"/>
    <n v="0"/>
    <x v="1"/>
    <n v="0.24"/>
    <n v="0.2273"/>
    <n v="0.6"/>
    <n v="0.22389999999999999"/>
    <n v="12"/>
    <n v="35"/>
    <n v="47"/>
    <x v="0"/>
    <n v="26653"/>
    <n v="124.8388746803069"/>
    <n v="33"/>
    <s v="Wee"/>
    <s v="kend"/>
    <n v="7"/>
    <n v="0.2273"/>
  </r>
  <r>
    <n v="979"/>
    <s v="13-02-2011"/>
    <n v="1"/>
    <n v="0"/>
    <n v="2"/>
    <x v="8"/>
    <b v="0"/>
    <n v="0"/>
    <x v="0"/>
    <n v="0.3"/>
    <n v="0.2727"/>
    <n v="0.45"/>
    <n v="0.32840000000000003"/>
    <n v="19"/>
    <n v="86"/>
    <n v="105"/>
    <x v="0"/>
    <n v="26606"/>
    <n v="124.8388746803069"/>
    <n v="32"/>
    <s v="Wee"/>
    <s v="kend"/>
    <n v="7"/>
    <n v="0.2727"/>
  </r>
  <r>
    <n v="980"/>
    <s v="13-02-2011"/>
    <n v="1"/>
    <n v="0"/>
    <n v="2"/>
    <x v="9"/>
    <b v="0"/>
    <n v="0"/>
    <x v="0"/>
    <n v="0.32"/>
    <n v="0.28789999999999999"/>
    <n v="0.39"/>
    <n v="0.44779999999999998"/>
    <n v="26"/>
    <n v="86"/>
    <n v="112"/>
    <x v="0"/>
    <n v="26501"/>
    <n v="124.8388746803069"/>
    <n v="31"/>
    <s v="Wee"/>
    <s v="kend"/>
    <n v="7"/>
    <n v="0.28789999999999999"/>
  </r>
  <r>
    <n v="981"/>
    <s v="13-02-2011"/>
    <n v="1"/>
    <n v="0"/>
    <n v="2"/>
    <x v="10"/>
    <b v="0"/>
    <n v="0"/>
    <x v="0"/>
    <n v="0.36"/>
    <n v="0.31819999999999998"/>
    <n v="0.32"/>
    <n v="0.4627"/>
    <n v="58"/>
    <n v="94"/>
    <n v="152"/>
    <x v="0"/>
    <n v="26389"/>
    <n v="124.8388746803069"/>
    <n v="30"/>
    <s v="Wee"/>
    <s v="kend"/>
    <n v="7"/>
    <n v="0.31819999999999998"/>
  </r>
  <r>
    <n v="982"/>
    <s v="13-02-2011"/>
    <n v="1"/>
    <n v="0"/>
    <n v="2"/>
    <x v="11"/>
    <b v="0"/>
    <n v="0"/>
    <x v="0"/>
    <n v="0.38"/>
    <n v="0.39389999999999997"/>
    <n v="0.28999999999999998"/>
    <n v="0.35820000000000002"/>
    <n v="62"/>
    <n v="92"/>
    <n v="154"/>
    <x v="0"/>
    <n v="26237"/>
    <n v="124.8388746803069"/>
    <n v="29"/>
    <s v="Wee"/>
    <s v="kend"/>
    <n v="7"/>
    <n v="0.39389999999999997"/>
  </r>
  <r>
    <n v="983"/>
    <s v="13-02-2011"/>
    <n v="1"/>
    <n v="0"/>
    <n v="2"/>
    <x v="12"/>
    <b v="0"/>
    <n v="0"/>
    <x v="1"/>
    <n v="0.4"/>
    <n v="0.40910000000000002"/>
    <n v="0.3"/>
    <n v="0.41789999999999999"/>
    <n v="51"/>
    <n v="110"/>
    <n v="161"/>
    <x v="0"/>
    <n v="26083"/>
    <n v="124.8388746803069"/>
    <n v="28"/>
    <s v="Wee"/>
    <s v="kend"/>
    <n v="7"/>
    <n v="0.40910000000000002"/>
  </r>
  <r>
    <n v="984"/>
    <s v="13-02-2011"/>
    <n v="1"/>
    <n v="0"/>
    <n v="2"/>
    <x v="13"/>
    <b v="0"/>
    <n v="0"/>
    <x v="1"/>
    <n v="0.4"/>
    <n v="0.40910000000000002"/>
    <n v="0.3"/>
    <n v="0.29849999999999999"/>
    <n v="40"/>
    <n v="122"/>
    <n v="162"/>
    <x v="0"/>
    <n v="25922"/>
    <n v="124.8388746803069"/>
    <n v="27"/>
    <s v="Wee"/>
    <s v="kend"/>
    <n v="7"/>
    <n v="0.40910000000000002"/>
  </r>
  <r>
    <n v="985"/>
    <s v="13-02-2011"/>
    <n v="1"/>
    <n v="0"/>
    <n v="2"/>
    <x v="14"/>
    <b v="0"/>
    <n v="0"/>
    <x v="1"/>
    <n v="0.42"/>
    <n v="0.42420000000000002"/>
    <n v="0.28000000000000003"/>
    <n v="0.32840000000000003"/>
    <n v="28"/>
    <n v="106"/>
    <n v="134"/>
    <x v="0"/>
    <n v="25760"/>
    <n v="124.8388746803069"/>
    <n v="26"/>
    <s v="Wee"/>
    <s v="kend"/>
    <n v="7"/>
    <n v="0.42420000000000002"/>
  </r>
  <r>
    <n v="986"/>
    <s v="13-02-2011"/>
    <n v="1"/>
    <n v="0"/>
    <n v="2"/>
    <x v="15"/>
    <b v="0"/>
    <n v="0"/>
    <x v="0"/>
    <n v="0.42"/>
    <n v="0.42420000000000002"/>
    <n v="0.28000000000000003"/>
    <n v="0.32840000000000003"/>
    <n v="30"/>
    <n v="95"/>
    <n v="125"/>
    <x v="0"/>
    <n v="25626"/>
    <n v="124.8388746803069"/>
    <n v="25"/>
    <s v="Wee"/>
    <s v="kend"/>
    <n v="7"/>
    <n v="0.42420000000000002"/>
  </r>
  <r>
    <n v="987"/>
    <s v="13-02-2011"/>
    <n v="1"/>
    <n v="0"/>
    <n v="2"/>
    <x v="16"/>
    <b v="0"/>
    <n v="0"/>
    <x v="0"/>
    <n v="0.4"/>
    <n v="0.40910000000000002"/>
    <n v="0.32"/>
    <n v="0.29849999999999999"/>
    <n v="17"/>
    <n v="78"/>
    <n v="95"/>
    <x v="0"/>
    <n v="25501"/>
    <n v="124.8388746803069"/>
    <n v="24"/>
    <s v="Wee"/>
    <s v="kend"/>
    <n v="7"/>
    <n v="0.40910000000000002"/>
  </r>
  <r>
    <n v="988"/>
    <s v="13-02-2011"/>
    <n v="1"/>
    <n v="0"/>
    <n v="2"/>
    <x v="17"/>
    <b v="0"/>
    <n v="0"/>
    <x v="0"/>
    <n v="0.4"/>
    <n v="0.40910000000000002"/>
    <n v="0.35"/>
    <n v="0.28360000000000002"/>
    <n v="11"/>
    <n v="50"/>
    <n v="61"/>
    <x v="0"/>
    <n v="25406"/>
    <n v="124.8388746803069"/>
    <n v="23"/>
    <s v="Wee"/>
    <s v="kend"/>
    <n v="7"/>
    <n v="0.40910000000000002"/>
  </r>
  <r>
    <n v="989"/>
    <s v="13-02-2011"/>
    <n v="1"/>
    <n v="0"/>
    <n v="2"/>
    <x v="18"/>
    <b v="0"/>
    <n v="0"/>
    <x v="0"/>
    <n v="0.4"/>
    <n v="0.40910000000000002"/>
    <n v="0.35"/>
    <n v="0.32840000000000003"/>
    <n v="15"/>
    <n v="32"/>
    <n v="47"/>
    <x v="0"/>
    <n v="25345"/>
    <n v="124.8388746803069"/>
    <n v="22"/>
    <s v="Wee"/>
    <s v="kend"/>
    <n v="7"/>
    <n v="0.40910000000000002"/>
  </r>
  <r>
    <n v="990"/>
    <s v="13-02-2011"/>
    <n v="1"/>
    <n v="0"/>
    <n v="2"/>
    <x v="19"/>
    <b v="0"/>
    <n v="0"/>
    <x v="0"/>
    <n v="0.4"/>
    <n v="0.40910000000000002"/>
    <n v="0.35"/>
    <n v="0.35820000000000002"/>
    <n v="6"/>
    <n v="45"/>
    <n v="51"/>
    <x v="0"/>
    <n v="25298"/>
    <n v="124.8388746803069"/>
    <n v="21"/>
    <s v="Wee"/>
    <s v="kend"/>
    <n v="7"/>
    <n v="0.40910000000000002"/>
  </r>
  <r>
    <n v="991"/>
    <s v="13-02-2011"/>
    <n v="1"/>
    <n v="0"/>
    <n v="2"/>
    <x v="20"/>
    <b v="0"/>
    <n v="0"/>
    <x v="0"/>
    <n v="0.4"/>
    <n v="0.40910000000000002"/>
    <n v="0.35"/>
    <n v="0.29849999999999999"/>
    <n v="5"/>
    <n v="31"/>
    <n v="36"/>
    <x v="0"/>
    <n v="25247"/>
    <n v="124.8388746803069"/>
    <n v="20"/>
    <s v="Wee"/>
    <s v="kend"/>
    <n v="7"/>
    <n v="0.40910000000000002"/>
  </r>
  <r>
    <n v="992"/>
    <s v="13-02-2011"/>
    <n v="1"/>
    <n v="0"/>
    <n v="2"/>
    <x v="21"/>
    <b v="0"/>
    <n v="0"/>
    <x v="0"/>
    <n v="0.4"/>
    <n v="0.40910000000000002"/>
    <n v="0.35"/>
    <n v="0.35820000000000002"/>
    <n v="3"/>
    <n v="27"/>
    <n v="30"/>
    <x v="0"/>
    <n v="25211"/>
    <n v="124.8388746803069"/>
    <n v="19"/>
    <s v="Wee"/>
    <s v="kday"/>
    <n v="7"/>
    <n v="0.40910000000000002"/>
  </r>
  <r>
    <n v="993"/>
    <s v="14-02-2011"/>
    <n v="1"/>
    <n v="0"/>
    <n v="2"/>
    <x v="22"/>
    <b v="0"/>
    <n v="1"/>
    <x v="0"/>
    <n v="0.38"/>
    <n v="0.39389999999999997"/>
    <n v="0.37"/>
    <n v="0.35820000000000002"/>
    <n v="3"/>
    <n v="8"/>
    <n v="11"/>
    <x v="1"/>
    <n v="25181"/>
    <n v="124.8388746803069"/>
    <n v="18"/>
    <s v="Wee"/>
    <s v="kday"/>
    <n v="7"/>
    <n v="0.39389999999999997"/>
  </r>
  <r>
    <n v="994"/>
    <s v="14-02-2011"/>
    <n v="1"/>
    <n v="0"/>
    <n v="2"/>
    <x v="0"/>
    <b v="0"/>
    <n v="1"/>
    <x v="0"/>
    <n v="0.38"/>
    <n v="0.39389999999999997"/>
    <n v="0.37"/>
    <n v="0.35820000000000002"/>
    <n v="1"/>
    <n v="6"/>
    <n v="7"/>
    <x v="1"/>
    <n v="25170"/>
    <n v="124.8388746803069"/>
    <n v="17"/>
    <s v="Wee"/>
    <s v="kday"/>
    <n v="7"/>
    <n v="0.39389999999999997"/>
  </r>
  <r>
    <n v="995"/>
    <s v="14-02-2011"/>
    <n v="1"/>
    <n v="0"/>
    <n v="2"/>
    <x v="1"/>
    <b v="0"/>
    <n v="1"/>
    <x v="0"/>
    <n v="0.36"/>
    <n v="0.33329999999999999"/>
    <n v="0.4"/>
    <n v="0.29849999999999999"/>
    <n v="0"/>
    <n v="2"/>
    <n v="2"/>
    <x v="1"/>
    <n v="25163"/>
    <n v="124.8388746803069"/>
    <n v="16"/>
    <s v="Wee"/>
    <s v="kday"/>
    <n v="7"/>
    <n v="0.33329999999999999"/>
  </r>
  <r>
    <n v="996"/>
    <s v="14-02-2011"/>
    <n v="1"/>
    <n v="0"/>
    <n v="2"/>
    <x v="2"/>
    <b v="0"/>
    <n v="1"/>
    <x v="0"/>
    <n v="0.34"/>
    <n v="0.31819999999999998"/>
    <n v="0.46"/>
    <n v="0.22389999999999999"/>
    <n v="1"/>
    <n v="1"/>
    <n v="2"/>
    <x v="1"/>
    <n v="25161"/>
    <n v="124.8388746803069"/>
    <n v="15"/>
    <s v="Wee"/>
    <s v="kday"/>
    <n v="7"/>
    <n v="0.31819999999999998"/>
  </r>
  <r>
    <n v="997"/>
    <s v="14-02-2011"/>
    <n v="1"/>
    <n v="0"/>
    <n v="2"/>
    <x v="3"/>
    <b v="0"/>
    <n v="1"/>
    <x v="0"/>
    <n v="0.32"/>
    <n v="0.30299999999999999"/>
    <n v="0.53"/>
    <n v="0.28360000000000002"/>
    <n v="0"/>
    <n v="2"/>
    <n v="2"/>
    <x v="1"/>
    <n v="25159"/>
    <n v="124.8388746803069"/>
    <n v="14"/>
    <s v="Wee"/>
    <s v="kday"/>
    <n v="7"/>
    <n v="0.30299999999999999"/>
  </r>
  <r>
    <n v="998"/>
    <s v="14-02-2011"/>
    <n v="1"/>
    <n v="0"/>
    <n v="2"/>
    <x v="23"/>
    <b v="0"/>
    <n v="1"/>
    <x v="0"/>
    <n v="0.32"/>
    <n v="0.30299999999999999"/>
    <n v="0.53"/>
    <n v="0.28360000000000002"/>
    <n v="0"/>
    <n v="3"/>
    <n v="3"/>
    <x v="1"/>
    <n v="25157"/>
    <n v="124.8388746803069"/>
    <n v="13"/>
    <s v="Wee"/>
    <s v="kday"/>
    <n v="7"/>
    <n v="0.30299999999999999"/>
  </r>
  <r>
    <n v="999"/>
    <s v="14-02-2011"/>
    <n v="1"/>
    <n v="0"/>
    <n v="2"/>
    <x v="4"/>
    <b v="0"/>
    <n v="1"/>
    <x v="0"/>
    <n v="0.34"/>
    <n v="0.30299999999999999"/>
    <n v="0.46"/>
    <n v="0.29849999999999999"/>
    <n v="1"/>
    <n v="25"/>
    <n v="26"/>
    <x v="1"/>
    <n v="25154"/>
    <n v="124.8388746803069"/>
    <n v="12"/>
    <s v="Wee"/>
    <s v="kday"/>
    <n v="7"/>
    <n v="0.30299999999999999"/>
  </r>
  <r>
    <n v="1000"/>
    <s v="14-02-2011"/>
    <n v="1"/>
    <n v="0"/>
    <n v="2"/>
    <x v="5"/>
    <b v="0"/>
    <n v="1"/>
    <x v="0"/>
    <n v="0.34"/>
    <n v="0.30299999999999999"/>
    <n v="0.46"/>
    <n v="0.29849999999999999"/>
    <n v="2"/>
    <n v="96"/>
    <n v="98"/>
    <x v="1"/>
    <n v="25128"/>
    <n v="124.8388746803069"/>
    <n v="11"/>
    <s v="Wee"/>
    <s v="kday"/>
    <n v="7"/>
    <n v="0.30299999999999999"/>
  </r>
  <r>
    <n v="611"/>
    <s v="28-01-2011"/>
    <n v="1"/>
    <n v="0"/>
    <n v="1"/>
    <x v="14"/>
    <b v="0"/>
    <n v="5"/>
    <x v="0"/>
    <n v="0.22"/>
    <n v="0.2727"/>
    <n v="0.8"/>
    <n v="0"/>
    <n v="10"/>
    <n v="70"/>
    <n v="80"/>
    <x v="1"/>
    <n v="25030"/>
    <n v="124.8388746803069"/>
    <n v="10"/>
    <s v="Wee"/>
    <s v="kday"/>
    <n v="7"/>
    <n v="0.2727"/>
  </r>
  <r>
    <n v="612"/>
    <s v="28-01-2011"/>
    <n v="1"/>
    <n v="0"/>
    <n v="1"/>
    <x v="15"/>
    <b v="0"/>
    <n v="5"/>
    <x v="0"/>
    <n v="0.24"/>
    <n v="0.2424"/>
    <n v="0.75"/>
    <n v="0.1343"/>
    <n v="2"/>
    <n v="147"/>
    <n v="149"/>
    <x v="1"/>
    <n v="24950"/>
    <n v="124.8388746803069"/>
    <n v="9"/>
    <s v="Wee"/>
    <s v="kday"/>
    <n v="7"/>
    <n v="0.2424"/>
  </r>
  <r>
    <n v="613"/>
    <s v="28-01-2011"/>
    <n v="1"/>
    <n v="0"/>
    <n v="1"/>
    <x v="16"/>
    <b v="0"/>
    <n v="5"/>
    <x v="0"/>
    <n v="0.24"/>
    <n v="0.2273"/>
    <n v="0.75"/>
    <n v="0.19400000000000001"/>
    <n v="2"/>
    <n v="107"/>
    <n v="109"/>
    <x v="1"/>
    <n v="24801"/>
    <n v="124.8388746803069"/>
    <n v="8"/>
    <s v="Wee"/>
    <s v="kday"/>
    <n v="7"/>
    <n v="0.2273"/>
  </r>
  <r>
    <n v="614"/>
    <s v="28-01-2011"/>
    <n v="1"/>
    <n v="0"/>
    <n v="1"/>
    <x v="17"/>
    <b v="0"/>
    <n v="5"/>
    <x v="1"/>
    <n v="0.24"/>
    <n v="0.2424"/>
    <n v="0.75"/>
    <n v="0.1343"/>
    <n v="5"/>
    <n v="84"/>
    <n v="89"/>
    <x v="1"/>
    <n v="24692"/>
    <n v="124.8388746803069"/>
    <n v="7"/>
    <s v="Wee"/>
    <s v="kday"/>
    <n v="7"/>
    <n v="0.2424"/>
  </r>
  <r>
    <n v="615"/>
    <s v="28-01-2011"/>
    <n v="1"/>
    <n v="0"/>
    <n v="1"/>
    <x v="18"/>
    <b v="0"/>
    <n v="5"/>
    <x v="1"/>
    <n v="0.24"/>
    <n v="0.2273"/>
    <n v="0.7"/>
    <n v="0.19400000000000001"/>
    <n v="1"/>
    <n v="61"/>
    <n v="62"/>
    <x v="1"/>
    <n v="24603"/>
    <n v="124.8388746803069"/>
    <n v="6"/>
    <s v="Wee"/>
    <s v="kday"/>
    <n v="7"/>
    <n v="0.2273"/>
  </r>
  <r>
    <n v="616"/>
    <s v="28-01-2011"/>
    <n v="1"/>
    <n v="0"/>
    <n v="1"/>
    <x v="19"/>
    <b v="0"/>
    <n v="5"/>
    <x v="1"/>
    <n v="0.22"/>
    <n v="0.2273"/>
    <n v="0.75"/>
    <n v="0.1343"/>
    <n v="1"/>
    <n v="57"/>
    <n v="58"/>
    <x v="1"/>
    <n v="24541"/>
    <n v="124.8388746803069"/>
    <n v="5"/>
    <s v="Wee"/>
    <s v="kday"/>
    <n v="7"/>
    <n v="0.2273"/>
  </r>
  <r>
    <n v="617"/>
    <s v="28-01-2011"/>
    <n v="1"/>
    <n v="0"/>
    <n v="1"/>
    <x v="20"/>
    <b v="0"/>
    <n v="5"/>
    <x v="0"/>
    <n v="0.24"/>
    <n v="0.21210000000000001"/>
    <n v="0.65"/>
    <n v="0.35820000000000002"/>
    <n v="0"/>
    <n v="26"/>
    <n v="26"/>
    <x v="1"/>
    <n v="24483"/>
    <n v="124.8388746803069"/>
    <n v="4"/>
    <s v="Wee"/>
    <s v="kday"/>
    <n v="7"/>
    <n v="0.21210000000000001"/>
  </r>
  <r>
    <n v="618"/>
    <s v="28-01-2011"/>
    <n v="1"/>
    <n v="0"/>
    <n v="1"/>
    <x v="21"/>
    <b v="0"/>
    <n v="5"/>
    <x v="0"/>
    <n v="0.24"/>
    <n v="0.2273"/>
    <n v="0.6"/>
    <n v="0.22389999999999999"/>
    <n v="1"/>
    <n v="22"/>
    <n v="23"/>
    <x v="1"/>
    <n v="24457"/>
    <n v="124.8388746803069"/>
    <n v="3"/>
    <s v="Wee"/>
    <s v="kend"/>
    <n v="7"/>
    <n v="0.2273"/>
  </r>
  <r>
    <n v="619"/>
    <s v="29-01-2011"/>
    <n v="1"/>
    <n v="0"/>
    <n v="1"/>
    <x v="22"/>
    <b v="0"/>
    <n v="6"/>
    <x v="0"/>
    <n v="0.22"/>
    <n v="0.19700000000000001"/>
    <n v="0.64"/>
    <n v="0.35820000000000002"/>
    <n v="2"/>
    <n v="26"/>
    <n v="28"/>
    <x v="0"/>
    <n v="24434"/>
    <n v="124.8388746803069"/>
    <n v="2"/>
    <s v=""/>
    <s v=""/>
    <n v="7"/>
    <n v="0.19700000000000001"/>
  </r>
  <r>
    <n v="314145"/>
    <m/>
    <n v="390"/>
    <n v="0"/>
    <n v="702"/>
    <x v="24"/>
    <n v="0"/>
    <n v="1166"/>
    <x v="3"/>
    <n v="85.8"/>
    <n v="89.865299999999948"/>
    <n v="239.3700000000004"/>
    <n v="69.9722000000001"/>
    <n v="2175"/>
    <n v="22231"/>
    <n v="24406"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B10CF-3E2F-4092-A227-7945BBAE27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28" firstHeaderRow="1" firstDataRow="1" firstDataCol="1"/>
  <pivotFields count="21">
    <pivotField dataField="1" compact="0" outline="0" showAll="0">
      <items count="6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compact="0" outline="0" showAll="0">
      <items count="29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instant" fld="0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68CDD-837C-4EFE-BD94-1CE37C29BD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8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stant" fld="0" baseField="0" baseItem="0"/>
  </dataFields>
  <chartFormats count="3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EA62D-D2ED-4109-B82C-13D3E985457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5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instant" fld="0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E7612-452C-4E76-AB04-F3D2A0F0902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14" firstHeaderRow="1" firstDataRow="1" firstDataCol="1"/>
  <pivotFields count="20">
    <pivotField compact="0" outline="0" showAll="0"/>
    <pivotField axis="axisRow" compact="0" outline="0" showAll="0">
      <items count="6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 t="grand">
      <x/>
    </i>
  </rowItems>
  <colItems count="1">
    <i/>
  </colItems>
  <dataFields count="1">
    <dataField name="Sum of cnt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CDC13-11C2-420C-9FB0-54A0BD8A54C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65" firstHeaderRow="1" firstDataRow="1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Avg cnt " fld="15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93C9A-3F03-4E9B-A1C7-6129025E922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4" firstHeaderRow="0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gistered" fld="6" baseField="0" baseItem="0"/>
    <dataField name="Sum of casual" fld="5" baseField="0" baseItem="0"/>
  </dataFields>
  <chartFormats count="2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562F8-6A72-44D6-82D6-95096DD37F1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9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">
        <item x="22"/>
        <item x="0"/>
        <item x="1"/>
        <item x="2"/>
        <item x="3"/>
        <item x="2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cnt" fld="1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1FDDA-C6C8-47F0-BDA6-52BB8F02427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8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g cnt " fld="18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4BB44-0B5B-4CA7-8AAA-38A1C73C65D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3">
  <location ref="A3:B7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nt" fld="15" baseField="0" baseItem="0"/>
  </dataFields>
  <chartFormats count="6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stant" xr10:uid="{0D5A488D-8A48-4227-9649-1CB82D8E7459}" sourceName="instant">
  <pivotTables>
    <pivotTable tabId="10" name="PivotTable3"/>
  </pivotTables>
  <data>
    <tabular pivotCacheId="429862762">
      <items count="61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435F2B5-7109-44DA-A7BA-C6EFB29FA7CD}" sourceName="season">
  <pivotTables>
    <pivotTable tabId="10" name="PivotTable3"/>
  </pivotTables>
  <data>
    <tabular pivotCacheId="429862762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ekday" xr10:uid="{59517872-6024-4334-92A5-E0684213DF7B}" sourceName="weekday">
  <pivotTables>
    <pivotTable tabId="10" name="PivotTable3"/>
  </pivotTables>
  <data>
    <tabular pivotCacheId="429862762">
      <items count="7">
        <i x="1" s="1"/>
        <i x="2" s="1"/>
        <i x="3" s="1"/>
        <i x="4" s="1"/>
        <i x="5" s="1"/>
        <i x="6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sit" xr10:uid="{13010413-5E40-4CBC-8E63-FEFC7296D7F5}" sourceName="weathersit">
  <pivotTables>
    <pivotTable tabId="10" name="PivotTable3"/>
  </pivotTables>
  <data>
    <tabular pivotCacheId="429862762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stant" xr10:uid="{4AA41E7B-884F-4AAD-A00D-F1D5E3737167}" cache="Slicer_instant" caption="instant" rowHeight="228600"/>
  <slicer name="season" xr10:uid="{AA8F1769-3D1D-4F6A-91EF-8E56E2E5EF77}" cache="Slicer_season" caption="season" rowHeight="228600"/>
  <slicer name="weekday" xr10:uid="{9641148B-02CF-42A3-BA55-3B1C157F3D39}" cache="Slicer_weekday" caption="weekday" rowHeight="228600"/>
  <slicer name="weathersit" xr10:uid="{F66419AE-03EF-44AB-8524-523F6F504099}" cache="Slicer_weathersit" caption="weathersi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1CA27-340D-4743-A61F-3CD1C4EFBA65}" name="Table1" displayName="Table1" ref="A1:X611" totalsRowShown="0" headerRowDxfId="97" headerRowBorderDxfId="96" tableBorderDxfId="95" totalsRowBorderDxfId="94">
  <autoFilter ref="A1:X611" xr:uid="{4F91CA27-340D-4743-A61F-3CD1C4EFBA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173D47E8-D2C7-4099-A2E1-0CABED7A04A9}" name="instant" dataDxfId="93"/>
    <tableColumn id="2" xr3:uid="{3B5E8FA4-F051-4B9A-A275-BBE4409F4A70}" name="dteday" dataDxfId="92"/>
    <tableColumn id="3" xr3:uid="{641FA116-D70A-434F-91CE-FA60AB3A9180}" name="season" dataDxfId="91"/>
    <tableColumn id="4" xr3:uid="{F7D2791D-12D9-4A84-8C37-4475567EBA14}" name="yr" dataDxfId="90"/>
    <tableColumn id="5" xr3:uid="{328D949C-1189-42D6-AFCF-6B64AB111694}" name="mnth" dataDxfId="89"/>
    <tableColumn id="6" xr3:uid="{B6B22D7C-D715-4940-840C-C383FE746E95}" name="hr" dataDxfId="88"/>
    <tableColumn id="7" xr3:uid="{10A46F1D-F5C0-4BB3-BA1D-F086BB7DE10D}" name="holiday" dataDxfId="87"/>
    <tableColumn id="8" xr3:uid="{0D104F1F-A326-4A64-99E5-A2233B59C876}" name="weekday" dataDxfId="86"/>
    <tableColumn id="9" xr3:uid="{0AE6681F-D1D9-425C-914A-965645F9CD51}" name="weathersit" dataDxfId="85"/>
    <tableColumn id="10" xr3:uid="{E680A7A8-6A2D-452C-961A-BF8FAB940B32}" name="temp" dataDxfId="84"/>
    <tableColumn id="11" xr3:uid="{AC0DBD49-FA7E-4342-A43D-B846E041254E}" name="DayType" dataDxfId="83">
      <calculatedColumnFormula>IF(H2=0,"weekend",IF(H2=6,"weekend","weekend"))</calculatedColumnFormula>
    </tableColumn>
    <tableColumn id="12" xr3:uid="{3B2B82D8-3709-4AE9-8FF3-A61BE125F25F}" name="SeasonName" dataDxfId="82">
      <calculatedColumnFormula>IF(C2=1,"Spring",IF(C2=2,"Summer",IF(C2=3,"Fall","Winter")))</calculatedColumnFormula>
    </tableColumn>
    <tableColumn id="13" xr3:uid="{6D88884B-A1BD-40CD-AC1E-380A8ADF46C9}" name="Total temp" dataDxfId="81">
      <calculatedColumnFormula>SUM(J2:J26)</calculatedColumnFormula>
    </tableColumn>
    <tableColumn id="14" xr3:uid="{0B91F7FE-AD1B-4291-AA93-0D73BB6CA3F3}" name="Avg Temp" dataDxfId="80">
      <calculatedColumnFormula>AVERAGE(J2:J611)</calculatedColumnFormula>
    </tableColumn>
    <tableColumn id="15" xr3:uid="{3C27B787-AABD-403A-A122-02DD85C132EE}" name="Weekend Count" dataDxfId="79">
      <calculatedColumnFormula>COUNT(J2:J611)</calculatedColumnFormula>
    </tableColumn>
    <tableColumn id="16" xr3:uid="{A387AEF3-C335-4438-9C7E-2D0FBDADD982}" name="Temp in text " dataDxfId="78">
      <calculatedColumnFormula>TEXT(J2,"0.00")</calculatedColumnFormula>
    </tableColumn>
    <tableColumn id="17" xr3:uid="{A7A21D41-BDD1-4209-AA18-F4B330929790}" name="Left Text" dataDxfId="77">
      <calculatedColumnFormula>LEFT(L2,3)</calculatedColumnFormula>
    </tableColumn>
    <tableColumn id="18" xr3:uid="{1A213042-083E-4311-A2F0-6271BB51E212}" name="Right  Text" dataDxfId="76">
      <calculatedColumnFormula>RIGHT(L2,3)</calculatedColumnFormula>
    </tableColumn>
    <tableColumn id="19" xr3:uid="{70F6BB80-E064-4908-ABD6-CD86C7205B69}" name="Text lenght" dataDxfId="75">
      <calculatedColumnFormula>LEN(L2)</calculatedColumnFormula>
    </tableColumn>
    <tableColumn id="20" xr3:uid="{345B488F-2455-47A3-A072-3F483E7F15AC}" name="Column1" dataDxfId="74">
      <calculatedColumnFormula>A2&amp;"|"&amp;B2&amp;"|"&amp;F2</calculatedColumnFormula>
    </tableColumn>
    <tableColumn id="21" xr3:uid="{F80D5C7A-EED7-4467-9F67-91316D30DEA1}" name="countif" dataDxfId="73">
      <calculatedColumnFormula>COUNTIF(K:K,"weekend")</calculatedColumnFormula>
    </tableColumn>
    <tableColumn id="22" xr3:uid="{73849A59-4D8C-49CD-A9F4-2121FB23979F}" name="sumif" dataDxfId="72">
      <calculatedColumnFormula>SUMIF($K:$K,"weekend",$J:$J)</calculatedColumnFormula>
    </tableColumn>
    <tableColumn id="23" xr3:uid="{2539F14C-6DCF-4872-8661-78644289BAAB}" name="StdV" dataDxfId="71">
      <calculatedColumnFormula>STDEV($J:$J)</calculatedColumnFormula>
    </tableColumn>
    <tableColumn id="24" xr3:uid="{272F95DD-B045-4F8D-A3AC-FF0292A0A717}" name="Correl" dataDxfId="70">
      <calculatedColumnFormula>CORREL(J:J,F:F)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82832-C32D-476C-9BAA-76450E5F97AF}" name="Table13" displayName="Table13" ref="A1:X611" totalsRowShown="0" headerRowDxfId="69" headerRowBorderDxfId="68" tableBorderDxfId="67" totalsRowBorderDxfId="66">
  <autoFilter ref="A1:X611" xr:uid="{3CE82832-C32D-476C-9BAA-76450E5F97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3BF10536-0254-40E0-A702-9CBE18B35FC9}" name="instant" dataDxfId="65"/>
    <tableColumn id="2" xr3:uid="{734BA6E5-2333-4976-87BC-B6B91F48EB73}" name="dteday" dataDxfId="64"/>
    <tableColumn id="3" xr3:uid="{A245AB00-2414-459F-8D98-EDDEBE45E9FF}" name="season" dataDxfId="63"/>
    <tableColumn id="4" xr3:uid="{C0A2B34F-0592-4A7A-A740-42B0DDC40390}" name="yr" dataDxfId="62"/>
    <tableColumn id="5" xr3:uid="{2A93F1B1-F049-4749-A6F8-090D05E63492}" name="mnth" dataDxfId="61"/>
    <tableColumn id="6" xr3:uid="{788F8632-C1F9-4A3B-9722-2D85F93C8B69}" name="hr" dataDxfId="60"/>
    <tableColumn id="7" xr3:uid="{219BEC13-D14D-4E37-9076-51F2C8158693}" name="holiday" dataDxfId="59"/>
    <tableColumn id="8" xr3:uid="{E1D2876D-5446-4C55-AB20-E1F7A3C23CEA}" name="weekday" dataDxfId="58"/>
    <tableColumn id="9" xr3:uid="{73B30240-D299-42AE-816F-EC46DE7C89C3}" name="weathersit" dataDxfId="57"/>
    <tableColumn id="10" xr3:uid="{AD31DD64-1B3C-4E78-8739-7D2C052063BB}" name="temp" dataDxfId="56"/>
    <tableColumn id="11" xr3:uid="{765E0EA7-BE0C-4581-BB45-E3CD870AE37D}" name="DayType" dataDxfId="55">
      <calculatedColumnFormula>IF(H2=0,"weekend",IF(H2=6,"weekend","weekend"))</calculatedColumnFormula>
    </tableColumn>
    <tableColumn id="12" xr3:uid="{67D9E5F0-C31A-4DA6-BAA4-34B6159DD2CD}" name="SeasonName" dataDxfId="54">
      <calculatedColumnFormula>IF(C2=1,"Spring",IF(C2=2,"Summer",IF(C2=3,"Fall","Winter")))</calculatedColumnFormula>
    </tableColumn>
    <tableColumn id="13" xr3:uid="{AE2AC5A3-F0EC-4146-927F-D0CBE33C8303}" name="Total temp" dataDxfId="53">
      <calculatedColumnFormula>SUM(J2:J26)</calculatedColumnFormula>
    </tableColumn>
    <tableColumn id="14" xr3:uid="{CB6B119C-5782-43B8-BEF7-4B567EA95CE2}" name="Avg Temp" dataDxfId="52">
      <calculatedColumnFormula>AVERAGE(J2:J611)</calculatedColumnFormula>
    </tableColumn>
    <tableColumn id="15" xr3:uid="{A272334D-DA98-4C40-BC43-0A0150C59AA4}" name="Weekend Count" dataDxfId="51">
      <calculatedColumnFormula>COUNT(J2:J611)</calculatedColumnFormula>
    </tableColumn>
    <tableColumn id="16" xr3:uid="{C496EF2B-731A-41FB-8DBA-F47923DC1C6E}" name="Temp in text " dataDxfId="50">
      <calculatedColumnFormula>TEXT(J2,"0.00")</calculatedColumnFormula>
    </tableColumn>
    <tableColumn id="17" xr3:uid="{BFDDFD51-37C2-43A3-9B28-06DADA8B21C7}" name="Left Text" dataDxfId="49">
      <calculatedColumnFormula>LEFT(L2,3)</calculatedColumnFormula>
    </tableColumn>
    <tableColumn id="18" xr3:uid="{91BEB50D-EAC8-451B-A5FF-67CB8CC0C5ED}" name="Right  Text" dataDxfId="48">
      <calculatedColumnFormula>RIGHT(L2,3)</calculatedColumnFormula>
    </tableColumn>
    <tableColumn id="19" xr3:uid="{1F4230D2-09E6-4709-90D3-8FE7F90D72C3}" name="Text lenght" dataDxfId="47">
      <calculatedColumnFormula>LEN(L2)</calculatedColumnFormula>
    </tableColumn>
    <tableColumn id="20" xr3:uid="{D81D9835-E210-4B02-8B25-F7BA905FD019}" name="Column1" dataDxfId="46">
      <calculatedColumnFormula>A2&amp;"|"&amp;B2&amp;"|"&amp;F2</calculatedColumnFormula>
    </tableColumn>
    <tableColumn id="21" xr3:uid="{2ADCAE9C-160B-4CCF-A4DC-C11697517CE8}" name="Column2"/>
    <tableColumn id="22" xr3:uid="{51E1C028-7F01-4BF9-8304-ACDD96CE8757}" name="atmp" dataDxfId="45">
      <calculatedColumnFormula>VLOOKUP(A2,Sheet2!A:H,3,FALSE)</calculatedColumnFormula>
    </tableColumn>
    <tableColumn id="23" xr3:uid="{2109ED3D-6B96-4D26-93B2-CEAAEA2FE73B}" name="Hum" dataDxfId="44">
      <calculatedColumnFormula>VLOOKUP(A2,Sheet2!A:H,4,FALSE)</calculatedColumnFormula>
    </tableColumn>
    <tableColumn id="24" xr3:uid="{9A49E2D1-74CF-426C-81B9-082F49879F69}" name="cnt" dataDxfId="43">
      <calculatedColumnFormula>VLOOKUP(A2,Sheet2!A:H,7,FALSE)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 /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4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5.x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ivotTable" Target="../pivotTables/pivotTable6.xml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ivotTable" Target="../pivotTables/pivotTable7.xml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ivotTable" Target="../pivotTables/pivotTable8.xml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ivotTable" Target="../pivotTables/pivotTable9.xm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58A8-8C91-4469-8234-0833972281FA}">
  <dimension ref="A3:B28"/>
  <sheetViews>
    <sheetView topLeftCell="C1" workbookViewId="0">
      <selection activeCell="Q18" sqref="Q18"/>
    </sheetView>
  </sheetViews>
  <sheetFormatPr defaultRowHeight="15" x14ac:dyDescent="0.2"/>
  <cols>
    <col min="1" max="1" width="11.43359375" bestFit="1" customWidth="1"/>
    <col min="2" max="2" width="13.85546875" bestFit="1" customWidth="1"/>
    <col min="3" max="4" width="17.08203125" bestFit="1" customWidth="1"/>
  </cols>
  <sheetData>
    <row r="3" spans="1:2" x14ac:dyDescent="0.2">
      <c r="A3" s="39" t="s">
        <v>0</v>
      </c>
      <c r="B3" t="s">
        <v>1</v>
      </c>
    </row>
    <row r="4" spans="1:2" x14ac:dyDescent="0.2">
      <c r="A4">
        <v>0</v>
      </c>
      <c r="B4" s="38">
        <v>7690</v>
      </c>
    </row>
    <row r="5" spans="1:2" x14ac:dyDescent="0.2">
      <c r="A5">
        <v>1</v>
      </c>
      <c r="B5" s="38">
        <v>7716</v>
      </c>
    </row>
    <row r="6" spans="1:2" x14ac:dyDescent="0.2">
      <c r="A6">
        <v>2</v>
      </c>
      <c r="B6" s="38">
        <v>7164</v>
      </c>
    </row>
    <row r="7" spans="1:2" x14ac:dyDescent="0.2">
      <c r="A7">
        <v>3</v>
      </c>
      <c r="B7" s="38">
        <v>5251</v>
      </c>
    </row>
    <row r="8" spans="1:2" x14ac:dyDescent="0.2">
      <c r="A8">
        <v>4</v>
      </c>
      <c r="B8" s="38">
        <v>5298</v>
      </c>
    </row>
    <row r="9" spans="1:2" x14ac:dyDescent="0.2">
      <c r="A9">
        <v>5</v>
      </c>
      <c r="B9" s="38">
        <v>7287</v>
      </c>
    </row>
    <row r="10" spans="1:2" x14ac:dyDescent="0.2">
      <c r="A10">
        <v>6</v>
      </c>
      <c r="B10" s="38">
        <v>7826</v>
      </c>
    </row>
    <row r="11" spans="1:2" x14ac:dyDescent="0.2">
      <c r="A11">
        <v>7</v>
      </c>
      <c r="B11" s="38">
        <v>7852</v>
      </c>
    </row>
    <row r="12" spans="1:2" x14ac:dyDescent="0.2">
      <c r="A12">
        <v>8</v>
      </c>
      <c r="B12" s="38">
        <v>7878</v>
      </c>
    </row>
    <row r="13" spans="1:2" x14ac:dyDescent="0.2">
      <c r="A13">
        <v>9</v>
      </c>
      <c r="B13" s="38">
        <v>7904</v>
      </c>
    </row>
    <row r="14" spans="1:2" x14ac:dyDescent="0.2">
      <c r="A14">
        <v>10</v>
      </c>
      <c r="B14" s="38">
        <v>7930</v>
      </c>
    </row>
    <row r="15" spans="1:2" x14ac:dyDescent="0.2">
      <c r="A15">
        <v>11</v>
      </c>
      <c r="B15" s="38">
        <v>7956</v>
      </c>
    </row>
    <row r="16" spans="1:2" x14ac:dyDescent="0.2">
      <c r="A16">
        <v>12</v>
      </c>
      <c r="B16" s="38">
        <v>8379</v>
      </c>
    </row>
    <row r="17" spans="1:2" x14ac:dyDescent="0.2">
      <c r="A17">
        <v>13</v>
      </c>
      <c r="B17" s="38">
        <v>8406</v>
      </c>
    </row>
    <row r="18" spans="1:2" x14ac:dyDescent="0.2">
      <c r="A18">
        <v>14</v>
      </c>
      <c r="B18" s="38">
        <v>8433</v>
      </c>
    </row>
    <row r="19" spans="1:2" x14ac:dyDescent="0.2">
      <c r="A19">
        <v>15</v>
      </c>
      <c r="B19" s="38">
        <v>8460</v>
      </c>
    </row>
    <row r="20" spans="1:2" x14ac:dyDescent="0.2">
      <c r="A20">
        <v>16</v>
      </c>
      <c r="B20" s="38">
        <v>8464</v>
      </c>
    </row>
    <row r="21" spans="1:2" x14ac:dyDescent="0.2">
      <c r="A21">
        <v>17</v>
      </c>
      <c r="B21" s="38">
        <v>8491</v>
      </c>
    </row>
    <row r="22" spans="1:2" x14ac:dyDescent="0.2">
      <c r="A22">
        <v>18</v>
      </c>
      <c r="B22" s="38">
        <v>7930</v>
      </c>
    </row>
    <row r="23" spans="1:2" x14ac:dyDescent="0.2">
      <c r="A23">
        <v>19</v>
      </c>
      <c r="B23" s="38">
        <v>7956</v>
      </c>
    </row>
    <row r="24" spans="1:2" x14ac:dyDescent="0.2">
      <c r="A24">
        <v>20</v>
      </c>
      <c r="B24" s="38">
        <v>7982</v>
      </c>
    </row>
    <row r="25" spans="1:2" x14ac:dyDescent="0.2">
      <c r="A25">
        <v>21</v>
      </c>
      <c r="B25" s="38">
        <v>8008</v>
      </c>
    </row>
    <row r="26" spans="1:2" x14ac:dyDescent="0.2">
      <c r="A26">
        <v>22</v>
      </c>
      <c r="B26" s="38">
        <v>8034</v>
      </c>
    </row>
    <row r="27" spans="1:2" x14ac:dyDescent="0.2">
      <c r="A27">
        <v>23</v>
      </c>
      <c r="B27" s="38">
        <v>8060</v>
      </c>
    </row>
    <row r="28" spans="1:2" x14ac:dyDescent="0.2">
      <c r="A28" t="s">
        <v>2</v>
      </c>
      <c r="B28" s="38">
        <v>186355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10F7-91DE-449E-BCF0-91B36DC87C50}">
  <dimension ref="A3:B8"/>
  <sheetViews>
    <sheetView workbookViewId="0">
      <selection activeCell="L6" sqref="L6"/>
    </sheetView>
  </sheetViews>
  <sheetFormatPr defaultRowHeight="15" x14ac:dyDescent="0.2"/>
  <cols>
    <col min="1" max="1" width="13.5859375" bestFit="1" customWidth="1"/>
    <col min="2" max="2" width="13.85546875" bestFit="1" customWidth="1"/>
  </cols>
  <sheetData>
    <row r="3" spans="1:2" x14ac:dyDescent="0.2">
      <c r="A3" s="39" t="s">
        <v>3</v>
      </c>
      <c r="B3" t="s">
        <v>1</v>
      </c>
    </row>
    <row r="4" spans="1:2" x14ac:dyDescent="0.2">
      <c r="A4">
        <v>1</v>
      </c>
      <c r="B4" s="38">
        <v>105251</v>
      </c>
    </row>
    <row r="5" spans="1:2" x14ac:dyDescent="0.2">
      <c r="A5">
        <v>2</v>
      </c>
      <c r="B5" s="38">
        <v>62670</v>
      </c>
    </row>
    <row r="6" spans="1:2" x14ac:dyDescent="0.2">
      <c r="A6">
        <v>3</v>
      </c>
      <c r="B6" s="38">
        <v>17848</v>
      </c>
    </row>
    <row r="7" spans="1:2" x14ac:dyDescent="0.2">
      <c r="A7">
        <v>4</v>
      </c>
      <c r="B7" s="38">
        <v>586</v>
      </c>
    </row>
    <row r="8" spans="1:2" x14ac:dyDescent="0.2">
      <c r="A8" t="s">
        <v>2</v>
      </c>
      <c r="B8" s="38">
        <v>186355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61F9-185A-4A22-95F4-7CF805179242}">
  <dimension ref="A1"/>
  <sheetViews>
    <sheetView workbookViewId="0">
      <selection activeCell="N21" sqref="N21"/>
    </sheetView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5FDE-F147-4D56-989D-E636B9719743}">
  <dimension ref="A3:B5"/>
  <sheetViews>
    <sheetView workbookViewId="0">
      <selection activeCell="G20" sqref="G20"/>
    </sheetView>
  </sheetViews>
  <sheetFormatPr defaultRowHeight="15" x14ac:dyDescent="0.2"/>
  <cols>
    <col min="1" max="1" width="11.703125" bestFit="1" customWidth="1"/>
    <col min="2" max="2" width="13.85546875" bestFit="1" customWidth="1"/>
  </cols>
  <sheetData>
    <row r="3" spans="1:2" x14ac:dyDescent="0.2">
      <c r="A3" s="39" t="s">
        <v>4</v>
      </c>
      <c r="B3" t="s">
        <v>1</v>
      </c>
    </row>
    <row r="4" spans="1:2" x14ac:dyDescent="0.2">
      <c r="A4" t="s">
        <v>5</v>
      </c>
      <c r="B4" s="38">
        <v>186355</v>
      </c>
    </row>
    <row r="5" spans="1:2" x14ac:dyDescent="0.2">
      <c r="A5" t="s">
        <v>2</v>
      </c>
      <c r="B5" s="38">
        <v>186355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1"/>
  <sheetViews>
    <sheetView tabSelected="1" topLeftCell="Z317" workbookViewId="0">
      <selection activeCell="R615" sqref="R615"/>
    </sheetView>
  </sheetViews>
  <sheetFormatPr defaultColWidth="9.14453125" defaultRowHeight="15" x14ac:dyDescent="0.2"/>
  <cols>
    <col min="1" max="1" width="9.28125" style="32" bestFit="1" customWidth="1"/>
    <col min="2" max="2" width="10.22265625" style="32" bestFit="1" customWidth="1"/>
    <col min="3" max="3" width="9.55078125" style="32" bestFit="1" customWidth="1"/>
    <col min="4" max="6" width="9.14453125" style="32"/>
    <col min="7" max="7" width="9.68359375" style="32" bestFit="1" customWidth="1"/>
    <col min="8" max="8" width="10.89453125" style="32" bestFit="1" customWidth="1"/>
    <col min="9" max="9" width="12.23828125" style="32" bestFit="1" customWidth="1"/>
    <col min="10" max="10" width="9.14453125" style="32"/>
    <col min="11" max="11" width="36.58984375" style="32" bestFit="1" customWidth="1"/>
    <col min="12" max="12" width="14.66015625" style="32" customWidth="1"/>
    <col min="13" max="13" width="12.9140625" style="32" bestFit="1" customWidth="1"/>
    <col min="14" max="14" width="12.23828125" style="32" bestFit="1" customWidth="1"/>
    <col min="15" max="15" width="17.484375" style="32" bestFit="1" customWidth="1"/>
    <col min="16" max="16" width="15.19921875" style="32" bestFit="1" customWidth="1"/>
    <col min="17" max="17" width="10.89453125" style="32" bestFit="1" customWidth="1"/>
    <col min="18" max="18" width="13.44921875" style="45" bestFit="1" customWidth="1"/>
    <col min="19" max="19" width="13.1796875" style="45" bestFit="1" customWidth="1"/>
    <col min="20" max="20" width="18.29296875" style="32" bestFit="1" customWidth="1"/>
    <col min="21" max="21" width="19.1015625" style="32" bestFit="1" customWidth="1"/>
    <col min="22" max="22" width="10.76171875" style="32" bestFit="1" customWidth="1"/>
    <col min="23" max="29" width="9.14453125" style="32"/>
    <col min="30" max="30" width="36.58984375" style="32" bestFit="1" customWidth="1"/>
    <col min="31" max="32" width="9.14453125" style="32"/>
    <col min="33" max="33" width="13.71875" style="32" bestFit="1" customWidth="1"/>
    <col min="34" max="16384" width="9.14453125" style="32"/>
  </cols>
  <sheetData>
    <row r="1" spans="1:37" x14ac:dyDescent="0.2">
      <c r="A1" s="43" t="s">
        <v>6</v>
      </c>
      <c r="B1" s="43" t="s">
        <v>7</v>
      </c>
      <c r="C1" s="43" t="s">
        <v>8</v>
      </c>
      <c r="D1" s="43" t="s">
        <v>9</v>
      </c>
      <c r="E1" s="43" t="s">
        <v>10</v>
      </c>
      <c r="F1" s="43" t="s">
        <v>0</v>
      </c>
      <c r="G1" s="43" t="s">
        <v>11</v>
      </c>
      <c r="H1" s="43" t="s">
        <v>12</v>
      </c>
      <c r="I1" s="43" t="s">
        <v>3</v>
      </c>
      <c r="J1" s="43" t="s">
        <v>13</v>
      </c>
      <c r="K1" s="51" t="s">
        <v>4</v>
      </c>
      <c r="L1" s="51" t="s">
        <v>14</v>
      </c>
      <c r="M1" s="51" t="s">
        <v>15</v>
      </c>
      <c r="N1" s="51" t="s">
        <v>16</v>
      </c>
      <c r="O1" s="51" t="s">
        <v>17</v>
      </c>
      <c r="P1" s="51" t="s">
        <v>18</v>
      </c>
      <c r="Q1" s="51" t="s">
        <v>19</v>
      </c>
      <c r="R1" s="52" t="s">
        <v>20</v>
      </c>
      <c r="S1" s="52" t="s">
        <v>21</v>
      </c>
      <c r="T1" s="51" t="s">
        <v>22</v>
      </c>
      <c r="U1" s="32" t="s">
        <v>23</v>
      </c>
      <c r="V1" s="51" t="s">
        <v>24</v>
      </c>
      <c r="W1" s="51" t="s">
        <v>25</v>
      </c>
      <c r="X1" s="51" t="s">
        <v>26</v>
      </c>
    </row>
    <row r="2" spans="1:37" x14ac:dyDescent="0.2">
      <c r="A2" s="4">
        <v>1</v>
      </c>
      <c r="B2" s="5">
        <v>40544</v>
      </c>
      <c r="C2" s="4">
        <v>1</v>
      </c>
      <c r="D2" s="4">
        <v>0</v>
      </c>
      <c r="E2" s="4">
        <v>1</v>
      </c>
      <c r="F2" s="4">
        <v>0</v>
      </c>
      <c r="G2" s="4" t="b">
        <v>0</v>
      </c>
      <c r="H2" s="4">
        <v>6</v>
      </c>
      <c r="I2" s="4">
        <v>1</v>
      </c>
      <c r="J2" s="4">
        <v>0.24</v>
      </c>
      <c r="K2" s="6" t="str">
        <f>IF(H2=0,"weekend",IF(H2=6,"weekend","weekend"))</f>
        <v>weekend</v>
      </c>
      <c r="L2" s="3" t="str">
        <f>IF(C2=1,"Spring",IF(C2=2,"Summer",IF(C2=3,"Fall","Winter")))</f>
        <v>Spring</v>
      </c>
      <c r="M2" s="3">
        <f>SUM(J2:J26)</f>
        <v>8.7200000000000024</v>
      </c>
      <c r="N2" s="3">
        <f>AVERAGE(J2:J611)</f>
        <v>0.19688524590163942</v>
      </c>
      <c r="O2" s="3">
        <f>COUNT(J2:J611)</f>
        <v>610</v>
      </c>
      <c r="P2" s="3" t="str">
        <f>TEXT(J2,"0.00")</f>
        <v>0.24</v>
      </c>
      <c r="Q2" s="3" t="str">
        <f>LEFT(L2,3)</f>
        <v>Spr</v>
      </c>
      <c r="R2" s="42" t="str">
        <f>RIGHT(L2,3)</f>
        <v>ing</v>
      </c>
      <c r="S2" s="42">
        <f>LEN(L2)</f>
        <v>6</v>
      </c>
      <c r="T2" s="3" t="str">
        <f>A2&amp;"|"&amp;B2&amp;"|"&amp;F2</f>
        <v>1|40544|0</v>
      </c>
      <c r="U2" s="3">
        <f t="shared" ref="U2:U65" si="0">COUNTIF(K:K,"weekend")</f>
        <v>610</v>
      </c>
      <c r="V2" s="3">
        <f t="shared" ref="V2:V65" si="1">SUMIF($K:$K,"weekend",$J:$J)</f>
        <v>120.10000000000005</v>
      </c>
      <c r="W2" s="50">
        <f t="shared" ref="W2:W65" si="2">STDEV($J:$J)</f>
        <v>8.1303845032683911E-2</v>
      </c>
      <c r="X2" s="50">
        <f t="shared" ref="X2:X65" si="3">CORREL(J:J,F:F)</f>
        <v>0.16514794964716251</v>
      </c>
    </row>
    <row r="3" spans="1:37" x14ac:dyDescent="0.2">
      <c r="A3" s="4">
        <v>2</v>
      </c>
      <c r="B3" s="5">
        <v>40544</v>
      </c>
      <c r="C3" s="4">
        <v>1</v>
      </c>
      <c r="D3" s="4">
        <v>0</v>
      </c>
      <c r="E3" s="4">
        <v>1</v>
      </c>
      <c r="F3" s="4">
        <v>1</v>
      </c>
      <c r="G3" s="4" t="b">
        <v>0</v>
      </c>
      <c r="H3" s="4">
        <v>6</v>
      </c>
      <c r="I3" s="4">
        <v>1</v>
      </c>
      <c r="J3" s="4">
        <v>0.22</v>
      </c>
      <c r="K3" s="6" t="str">
        <f>IF(H3=0,"weekend",IF(H3=6,"weekend","weekend"))</f>
        <v>weekend</v>
      </c>
      <c r="L3" s="3" t="str">
        <f>IF(C3=1,"Spring",IF(C3=2,"Summer",IF(C3=3,"Fall","Winter")))</f>
        <v>Spring</v>
      </c>
      <c r="M3" s="3">
        <f>SUM(J3:J27)</f>
        <v>8.9200000000000017</v>
      </c>
      <c r="N3" s="3">
        <f>AVERAGE(J3:J612)</f>
        <v>0.19681444991789826</v>
      </c>
      <c r="O3" s="3">
        <f>COUNT(J3:J612)</f>
        <v>609</v>
      </c>
      <c r="P3" s="3" t="str">
        <f>TEXT(J3,"0.00")</f>
        <v>0.22</v>
      </c>
      <c r="Q3" s="3" t="str">
        <f>LEFT(L3,3)</f>
        <v>Spr</v>
      </c>
      <c r="R3" s="42" t="str">
        <f>RIGHT(L3,3)</f>
        <v>ing</v>
      </c>
      <c r="S3" s="42">
        <f>LEN(L3)</f>
        <v>6</v>
      </c>
      <c r="T3" s="3" t="str">
        <f>A3&amp;"|"&amp;B3&amp;"|"&amp;F3</f>
        <v>2|40544|1</v>
      </c>
      <c r="U3" s="3">
        <f t="shared" si="0"/>
        <v>610</v>
      </c>
      <c r="V3" s="3">
        <f t="shared" si="1"/>
        <v>120.10000000000005</v>
      </c>
      <c r="W3" s="50">
        <f t="shared" si="2"/>
        <v>8.1303845032683911E-2</v>
      </c>
      <c r="X3" s="50">
        <f t="shared" si="3"/>
        <v>0.16514794964716251</v>
      </c>
    </row>
    <row r="4" spans="1:37" x14ac:dyDescent="0.2">
      <c r="A4" s="4">
        <v>3</v>
      </c>
      <c r="B4" s="5">
        <v>40544</v>
      </c>
      <c r="C4" s="4">
        <v>1</v>
      </c>
      <c r="D4" s="4">
        <v>0</v>
      </c>
      <c r="E4" s="4">
        <v>1</v>
      </c>
      <c r="F4" s="4">
        <v>2</v>
      </c>
      <c r="G4" s="4" t="b">
        <v>0</v>
      </c>
      <c r="H4" s="4">
        <v>6</v>
      </c>
      <c r="I4" s="4">
        <v>1</v>
      </c>
      <c r="J4" s="4">
        <v>0.22</v>
      </c>
      <c r="K4" s="6" t="str">
        <f>IF(H4=0,"weekend",IF(H4=6,"weekend","weekend"))</f>
        <v>weekend</v>
      </c>
      <c r="L4" s="3" t="str">
        <f>IF(C4=1,"Spring",IF(C4=2,"Summer",IF(C4=3,"Fall","Winter")))</f>
        <v>Spring</v>
      </c>
      <c r="M4" s="3">
        <f>SUM(J4:J28)</f>
        <v>9.120000000000001</v>
      </c>
      <c r="N4" s="3">
        <f>AVERAGE(J4:J613)</f>
        <v>0.19677631578947374</v>
      </c>
      <c r="O4" s="3">
        <f>COUNT(J4:J613)</f>
        <v>608</v>
      </c>
      <c r="P4" s="3" t="str">
        <f>TEXT(J4,"0.00")</f>
        <v>0.22</v>
      </c>
      <c r="Q4" s="3" t="str">
        <f>LEFT(L4,3)</f>
        <v>Spr</v>
      </c>
      <c r="R4" s="42" t="str">
        <f>RIGHT(L4,3)</f>
        <v>ing</v>
      </c>
      <c r="S4" s="42">
        <f>LEN(L4)</f>
        <v>6</v>
      </c>
      <c r="T4" s="3" t="str">
        <f>A4&amp;"|"&amp;B4&amp;"|"&amp;F4</f>
        <v>3|40544|2</v>
      </c>
      <c r="U4" s="3">
        <f t="shared" si="0"/>
        <v>610</v>
      </c>
      <c r="V4" s="3">
        <f t="shared" si="1"/>
        <v>120.10000000000005</v>
      </c>
      <c r="W4" s="50">
        <f t="shared" si="2"/>
        <v>8.1303845032683911E-2</v>
      </c>
      <c r="X4" s="50">
        <f t="shared" si="3"/>
        <v>0.16514794964716251</v>
      </c>
      <c r="AG4" s="31"/>
      <c r="AH4" s="31"/>
      <c r="AI4" s="31"/>
      <c r="AJ4" s="31"/>
      <c r="AK4" s="31"/>
    </row>
    <row r="5" spans="1:37" x14ac:dyDescent="0.2">
      <c r="A5" s="4">
        <v>4</v>
      </c>
      <c r="B5" s="5">
        <v>40544</v>
      </c>
      <c r="C5" s="4">
        <v>1</v>
      </c>
      <c r="D5" s="4">
        <v>0</v>
      </c>
      <c r="E5" s="4">
        <v>1</v>
      </c>
      <c r="F5" s="4">
        <v>3</v>
      </c>
      <c r="G5" s="4" t="b">
        <v>0</v>
      </c>
      <c r="H5" s="4">
        <v>6</v>
      </c>
      <c r="I5" s="4">
        <v>1</v>
      </c>
      <c r="J5" s="4">
        <v>0.24</v>
      </c>
      <c r="K5" s="6" t="str">
        <f>IF(H5=0,"weekend",IF(H5=6,"weekend","weekend"))</f>
        <v>weekend</v>
      </c>
      <c r="L5" s="3" t="str">
        <f>IF(C5=1,"Spring",IF(C5=2,"Summer",IF(C5=3,"Fall","Winter")))</f>
        <v>Spring</v>
      </c>
      <c r="M5" s="3">
        <f>SUM(J5:J29)</f>
        <v>9.3600000000000012</v>
      </c>
      <c r="N5" s="3">
        <f>AVERAGE(J5:J614)</f>
        <v>0.19673805601317967</v>
      </c>
      <c r="O5" s="3">
        <f>COUNT(J5:J614)</f>
        <v>607</v>
      </c>
      <c r="P5" s="3" t="str">
        <f>TEXT(J5,"0.00")</f>
        <v>0.24</v>
      </c>
      <c r="Q5" s="3" t="str">
        <f>LEFT(L5,3)</f>
        <v>Spr</v>
      </c>
      <c r="R5" s="42" t="str">
        <f>RIGHT(L5,3)</f>
        <v>ing</v>
      </c>
      <c r="S5" s="42">
        <f>LEN(L5)</f>
        <v>6</v>
      </c>
      <c r="T5" s="3" t="str">
        <f>A5&amp;"|"&amp;B5&amp;"|"&amp;F5</f>
        <v>4|40544|3</v>
      </c>
      <c r="U5" s="3">
        <f t="shared" si="0"/>
        <v>610</v>
      </c>
      <c r="V5" s="3">
        <f t="shared" si="1"/>
        <v>120.10000000000005</v>
      </c>
      <c r="W5" s="50">
        <f t="shared" si="2"/>
        <v>8.1303845032683911E-2</v>
      </c>
      <c r="X5" s="50">
        <f t="shared" si="3"/>
        <v>0.16514794964716251</v>
      </c>
    </row>
    <row r="6" spans="1:37" x14ac:dyDescent="0.2">
      <c r="A6" s="4">
        <v>5</v>
      </c>
      <c r="B6" s="5">
        <v>40544</v>
      </c>
      <c r="C6" s="4">
        <v>1</v>
      </c>
      <c r="D6" s="4">
        <v>0</v>
      </c>
      <c r="E6" s="4">
        <v>1</v>
      </c>
      <c r="F6" s="4">
        <v>4</v>
      </c>
      <c r="G6" s="4" t="b">
        <v>0</v>
      </c>
      <c r="H6" s="4">
        <v>6</v>
      </c>
      <c r="I6" s="4">
        <v>1</v>
      </c>
      <c r="J6" s="4">
        <v>0.24</v>
      </c>
      <c r="K6" s="6" t="str">
        <f>IF(H6=0,"weekend",IF(H6=6,"weekend","weekend"))</f>
        <v>weekend</v>
      </c>
      <c r="L6" s="3" t="str">
        <f>IF(C6=1,"Spring",IF(C6=2,"Summer",IF(C6=3,"Fall","Winter")))</f>
        <v>Spring</v>
      </c>
      <c r="M6" s="3">
        <f>SUM(J6:J30)</f>
        <v>9.5800000000000018</v>
      </c>
      <c r="N6" s="3">
        <f>AVERAGE(J6:J615)</f>
        <v>0.19666666666666677</v>
      </c>
      <c r="O6" s="3">
        <f>COUNT(J6:J615)</f>
        <v>606</v>
      </c>
      <c r="P6" s="3" t="str">
        <f>TEXT(J6,"0.00")</f>
        <v>0.24</v>
      </c>
      <c r="Q6" s="3" t="str">
        <f>LEFT(L6,3)</f>
        <v>Spr</v>
      </c>
      <c r="R6" s="42" t="str">
        <f>RIGHT(L6,3)</f>
        <v>ing</v>
      </c>
      <c r="S6" s="42">
        <f>LEN(L6)</f>
        <v>6</v>
      </c>
      <c r="T6" s="3" t="str">
        <f>A6&amp;"|"&amp;B6&amp;"|"&amp;F6</f>
        <v>5|40544|4</v>
      </c>
      <c r="U6" s="3">
        <f t="shared" si="0"/>
        <v>610</v>
      </c>
      <c r="V6" s="3">
        <f t="shared" si="1"/>
        <v>120.10000000000005</v>
      </c>
      <c r="W6" s="50">
        <f t="shared" si="2"/>
        <v>8.1303845032683911E-2</v>
      </c>
      <c r="X6" s="50">
        <f t="shared" si="3"/>
        <v>0.16514794964716251</v>
      </c>
    </row>
    <row r="7" spans="1:37" x14ac:dyDescent="0.2">
      <c r="A7" s="4">
        <v>6</v>
      </c>
      <c r="B7" s="5">
        <v>40544</v>
      </c>
      <c r="C7" s="4">
        <v>1</v>
      </c>
      <c r="D7" s="4">
        <v>0</v>
      </c>
      <c r="E7" s="4">
        <v>1</v>
      </c>
      <c r="F7" s="4">
        <v>5</v>
      </c>
      <c r="G7" s="4" t="b">
        <v>0</v>
      </c>
      <c r="H7" s="4">
        <v>6</v>
      </c>
      <c r="I7" s="4">
        <v>2</v>
      </c>
      <c r="J7" s="4">
        <v>0.24</v>
      </c>
      <c r="K7" s="6" t="str">
        <f>IF(H7=0,"weekend",IF(H7=6,"weekend","weekend"))</f>
        <v>weekend</v>
      </c>
      <c r="L7" s="3" t="str">
        <f>IF(C7=1,"Spring",IF(C7=2,"Summer",IF(C7=3,"Fall","Winter")))</f>
        <v>Spring</v>
      </c>
      <c r="M7" s="3">
        <f>SUM(J7:J31)</f>
        <v>9.7600000000000033</v>
      </c>
      <c r="N7" s="3">
        <f>AVERAGE(J7:J616)</f>
        <v>0.19659504132231415</v>
      </c>
      <c r="O7" s="3">
        <f>COUNT(J7:J616)</f>
        <v>605</v>
      </c>
      <c r="P7" s="3" t="str">
        <f>TEXT(J7,"0.00")</f>
        <v>0.24</v>
      </c>
      <c r="Q7" s="3" t="str">
        <f>LEFT(L7,3)</f>
        <v>Spr</v>
      </c>
      <c r="R7" s="42" t="str">
        <f>RIGHT(L7,3)</f>
        <v>ing</v>
      </c>
      <c r="S7" s="42">
        <f>LEN(L7)</f>
        <v>6</v>
      </c>
      <c r="T7" s="3" t="str">
        <f>A7&amp;"|"&amp;B7&amp;"|"&amp;F7</f>
        <v>6|40544|5</v>
      </c>
      <c r="U7" s="3">
        <f t="shared" si="0"/>
        <v>610</v>
      </c>
      <c r="V7" s="3">
        <f t="shared" si="1"/>
        <v>120.10000000000005</v>
      </c>
      <c r="W7" s="50">
        <f t="shared" si="2"/>
        <v>8.1303845032683911E-2</v>
      </c>
      <c r="X7" s="50">
        <f t="shared" si="3"/>
        <v>0.16514794964716251</v>
      </c>
    </row>
    <row r="8" spans="1:37" x14ac:dyDescent="0.2">
      <c r="A8" s="4">
        <v>7</v>
      </c>
      <c r="B8" s="5">
        <v>40544</v>
      </c>
      <c r="C8" s="4">
        <v>1</v>
      </c>
      <c r="D8" s="4">
        <v>0</v>
      </c>
      <c r="E8" s="4">
        <v>1</v>
      </c>
      <c r="F8" s="4">
        <v>6</v>
      </c>
      <c r="G8" s="4" t="b">
        <v>0</v>
      </c>
      <c r="H8" s="4">
        <v>6</v>
      </c>
      <c r="I8" s="4">
        <v>1</v>
      </c>
      <c r="J8" s="4">
        <v>0.22</v>
      </c>
      <c r="K8" s="6" t="str">
        <f>IF(H8=0,"weekend",IF(H8=6,"weekend","weekend"))</f>
        <v>weekend</v>
      </c>
      <c r="L8" s="3" t="str">
        <f>IF(C8=1,"Spring",IF(C8=2,"Summer",IF(C8=3,"Fall","Winter")))</f>
        <v>Spring</v>
      </c>
      <c r="M8" s="3">
        <f>SUM(J8:J32)</f>
        <v>9.9200000000000035</v>
      </c>
      <c r="N8" s="3">
        <f>AVERAGE(J8:J617)</f>
        <v>0.19652317880794712</v>
      </c>
      <c r="O8" s="3">
        <f>COUNT(J8:J617)</f>
        <v>604</v>
      </c>
      <c r="P8" s="3" t="str">
        <f>TEXT(J8,"0.00")</f>
        <v>0.22</v>
      </c>
      <c r="Q8" s="3" t="str">
        <f>LEFT(L8,3)</f>
        <v>Spr</v>
      </c>
      <c r="R8" s="42" t="str">
        <f>RIGHT(L8,3)</f>
        <v>ing</v>
      </c>
      <c r="S8" s="42">
        <f>LEN(L8)</f>
        <v>6</v>
      </c>
      <c r="T8" s="3" t="str">
        <f>A8&amp;"|"&amp;B8&amp;"|"&amp;F8</f>
        <v>7|40544|6</v>
      </c>
      <c r="U8" s="3">
        <f t="shared" si="0"/>
        <v>610</v>
      </c>
      <c r="V8" s="3">
        <f t="shared" si="1"/>
        <v>120.10000000000005</v>
      </c>
      <c r="W8" s="50">
        <f t="shared" si="2"/>
        <v>8.1303845032683911E-2</v>
      </c>
      <c r="X8" s="50">
        <f t="shared" si="3"/>
        <v>0.16514794964716251</v>
      </c>
    </row>
    <row r="9" spans="1:37" x14ac:dyDescent="0.2">
      <c r="A9" s="4">
        <v>8</v>
      </c>
      <c r="B9" s="5">
        <v>40544</v>
      </c>
      <c r="C9" s="4">
        <v>1</v>
      </c>
      <c r="D9" s="4">
        <v>0</v>
      </c>
      <c r="E9" s="4">
        <v>1</v>
      </c>
      <c r="F9" s="4">
        <v>7</v>
      </c>
      <c r="G9" s="4" t="b">
        <v>0</v>
      </c>
      <c r="H9" s="4">
        <v>6</v>
      </c>
      <c r="I9" s="4">
        <v>1</v>
      </c>
      <c r="J9" s="4">
        <v>0.2</v>
      </c>
      <c r="K9" s="6" t="str">
        <f>IF(H9=0,"weekend",IF(H9=6,"weekend","weekend"))</f>
        <v>weekend</v>
      </c>
      <c r="L9" s="3" t="str">
        <f>IF(C9=1,"Spring",IF(C9=2,"Summer",IF(C9=3,"Fall","Winter")))</f>
        <v>Spring</v>
      </c>
      <c r="M9" s="3">
        <f>SUM(J9:J33)</f>
        <v>10.100000000000003</v>
      </c>
      <c r="N9" s="3">
        <f>AVERAGE(J9:J618)</f>
        <v>0.19648424543946941</v>
      </c>
      <c r="O9" s="3">
        <f>COUNT(J9:J618)</f>
        <v>603</v>
      </c>
      <c r="P9" s="3" t="str">
        <f>TEXT(J9,"0.00")</f>
        <v>0.20</v>
      </c>
      <c r="Q9" s="3" t="str">
        <f>LEFT(L9,3)</f>
        <v>Spr</v>
      </c>
      <c r="R9" s="42" t="str">
        <f>RIGHT(L9,3)</f>
        <v>ing</v>
      </c>
      <c r="S9" s="42">
        <f>LEN(L9)</f>
        <v>6</v>
      </c>
      <c r="T9" s="3" t="str">
        <f>A9&amp;"|"&amp;B9&amp;"|"&amp;F9</f>
        <v>8|40544|7</v>
      </c>
      <c r="U9" s="3">
        <f t="shared" si="0"/>
        <v>610</v>
      </c>
      <c r="V9" s="3">
        <f t="shared" si="1"/>
        <v>120.10000000000005</v>
      </c>
      <c r="W9" s="50">
        <f t="shared" si="2"/>
        <v>8.1303845032683911E-2</v>
      </c>
      <c r="X9" s="50">
        <f t="shared" si="3"/>
        <v>0.16514794964716251</v>
      </c>
    </row>
    <row r="10" spans="1:37" x14ac:dyDescent="0.2">
      <c r="A10" s="4">
        <v>9</v>
      </c>
      <c r="B10" s="5">
        <v>40544</v>
      </c>
      <c r="C10" s="4">
        <v>1</v>
      </c>
      <c r="D10" s="4">
        <v>0</v>
      </c>
      <c r="E10" s="4">
        <v>1</v>
      </c>
      <c r="F10" s="4">
        <v>8</v>
      </c>
      <c r="G10" s="4" t="b">
        <v>0</v>
      </c>
      <c r="H10" s="4">
        <v>6</v>
      </c>
      <c r="I10" s="4">
        <v>1</v>
      </c>
      <c r="J10" s="4">
        <v>0.24</v>
      </c>
      <c r="K10" s="6" t="str">
        <f>IF(H10=0,"weekend",IF(H10=6,"weekend","weekend"))</f>
        <v>weekend</v>
      </c>
      <c r="L10" s="3" t="str">
        <f>IF(C10=1,"Spring",IF(C10=2,"Summer",IF(C10=3,"Fall","Winter")))</f>
        <v>Spring</v>
      </c>
      <c r="M10" s="3">
        <f>SUM(J10:J34)</f>
        <v>10.280000000000005</v>
      </c>
      <c r="N10" s="3">
        <f>AVERAGE(J10:J619)</f>
        <v>0.19647840531561472</v>
      </c>
      <c r="O10" s="3">
        <f>COUNT(J10:J619)</f>
        <v>602</v>
      </c>
      <c r="P10" s="3" t="str">
        <f>TEXT(J10,"0.00")</f>
        <v>0.24</v>
      </c>
      <c r="Q10" s="3" t="str">
        <f>LEFT(L10,3)</f>
        <v>Spr</v>
      </c>
      <c r="R10" s="42" t="str">
        <f>RIGHT(L10,3)</f>
        <v>ing</v>
      </c>
      <c r="S10" s="42">
        <f>LEN(L10)</f>
        <v>6</v>
      </c>
      <c r="T10" s="3" t="str">
        <f>A10&amp;"|"&amp;B10&amp;"|"&amp;F10</f>
        <v>9|40544|8</v>
      </c>
      <c r="U10" s="3">
        <f t="shared" si="0"/>
        <v>610</v>
      </c>
      <c r="V10" s="3">
        <f t="shared" si="1"/>
        <v>120.10000000000005</v>
      </c>
      <c r="W10" s="50">
        <f t="shared" si="2"/>
        <v>8.1303845032683911E-2</v>
      </c>
      <c r="X10" s="50">
        <f t="shared" si="3"/>
        <v>0.16514794964716251</v>
      </c>
    </row>
    <row r="11" spans="1:37" x14ac:dyDescent="0.2">
      <c r="A11" s="4">
        <v>10</v>
      </c>
      <c r="B11" s="5">
        <v>40544</v>
      </c>
      <c r="C11" s="4">
        <v>1</v>
      </c>
      <c r="D11" s="4">
        <v>0</v>
      </c>
      <c r="E11" s="4">
        <v>1</v>
      </c>
      <c r="F11" s="4">
        <v>9</v>
      </c>
      <c r="G11" s="4" t="b">
        <v>0</v>
      </c>
      <c r="H11" s="4">
        <v>6</v>
      </c>
      <c r="I11" s="4">
        <v>1</v>
      </c>
      <c r="J11" s="4">
        <v>0.32</v>
      </c>
      <c r="K11" s="6" t="str">
        <f>IF(H11=0,"weekend",IF(H11=6,"weekend","weekend"))</f>
        <v>weekend</v>
      </c>
      <c r="L11" s="3" t="str">
        <f>IF(C11=1,"Spring",IF(C11=2,"Summer",IF(C11=3,"Fall","Winter")))</f>
        <v>Spring</v>
      </c>
      <c r="M11" s="3">
        <f>SUM(J11:J35)</f>
        <v>10.400000000000002</v>
      </c>
      <c r="N11" s="3">
        <f>AVERAGE(J11:J620)</f>
        <v>0.19640599001663903</v>
      </c>
      <c r="O11" s="3">
        <f>COUNT(J11:J620)</f>
        <v>601</v>
      </c>
      <c r="P11" s="3" t="str">
        <f>TEXT(J11,"0.00")</f>
        <v>0.32</v>
      </c>
      <c r="Q11" s="3" t="str">
        <f>LEFT(L11,3)</f>
        <v>Spr</v>
      </c>
      <c r="R11" s="42" t="str">
        <f>RIGHT(L11,3)</f>
        <v>ing</v>
      </c>
      <c r="S11" s="42">
        <f>LEN(L11)</f>
        <v>6</v>
      </c>
      <c r="T11" s="3" t="str">
        <f>A11&amp;"|"&amp;B11&amp;"|"&amp;F11</f>
        <v>10|40544|9</v>
      </c>
      <c r="U11" s="3">
        <f t="shared" si="0"/>
        <v>610</v>
      </c>
      <c r="V11" s="3">
        <f t="shared" si="1"/>
        <v>120.10000000000005</v>
      </c>
      <c r="W11" s="50">
        <f t="shared" si="2"/>
        <v>8.1303845032683911E-2</v>
      </c>
      <c r="X11" s="50">
        <f t="shared" si="3"/>
        <v>0.16514794964716251</v>
      </c>
    </row>
    <row r="12" spans="1:37" x14ac:dyDescent="0.2">
      <c r="A12" s="4">
        <v>11</v>
      </c>
      <c r="B12" s="5">
        <v>40544</v>
      </c>
      <c r="C12" s="4">
        <v>1</v>
      </c>
      <c r="D12" s="4">
        <v>0</v>
      </c>
      <c r="E12" s="4">
        <v>1</v>
      </c>
      <c r="F12" s="4">
        <v>10</v>
      </c>
      <c r="G12" s="4" t="b">
        <v>0</v>
      </c>
      <c r="H12" s="4">
        <v>6</v>
      </c>
      <c r="I12" s="4">
        <v>1</v>
      </c>
      <c r="J12" s="4">
        <v>0.38</v>
      </c>
      <c r="K12" s="6" t="str">
        <f>IF(H12=0,"weekend",IF(H12=6,"weekend","weekend"))</f>
        <v>weekend</v>
      </c>
      <c r="L12" s="3" t="str">
        <f>IF(C12=1,"Spring",IF(C12=2,"Summer",IF(C12=3,"Fall","Winter")))</f>
        <v>Spring</v>
      </c>
      <c r="M12" s="3">
        <f>SUM(J12:J36)</f>
        <v>10.440000000000001</v>
      </c>
      <c r="N12" s="3">
        <f>AVERAGE(J12:J621)</f>
        <v>0.19620000000000007</v>
      </c>
      <c r="O12" s="3">
        <f>COUNT(J12:J621)</f>
        <v>600</v>
      </c>
      <c r="P12" s="3" t="str">
        <f>TEXT(J12,"0.00")</f>
        <v>0.38</v>
      </c>
      <c r="Q12" s="3" t="str">
        <f>LEFT(L12,3)</f>
        <v>Spr</v>
      </c>
      <c r="R12" s="42" t="str">
        <f>RIGHT(L12,3)</f>
        <v>ing</v>
      </c>
      <c r="S12" s="42">
        <f>LEN(L12)</f>
        <v>6</v>
      </c>
      <c r="T12" s="3" t="str">
        <f>A12&amp;"|"&amp;B12&amp;"|"&amp;F12</f>
        <v>11|40544|10</v>
      </c>
      <c r="U12" s="3">
        <f t="shared" si="0"/>
        <v>610</v>
      </c>
      <c r="V12" s="3">
        <f t="shared" si="1"/>
        <v>120.10000000000005</v>
      </c>
      <c r="W12" s="50">
        <f t="shared" si="2"/>
        <v>8.1303845032683911E-2</v>
      </c>
      <c r="X12" s="50">
        <f t="shared" si="3"/>
        <v>0.16514794964716251</v>
      </c>
    </row>
    <row r="13" spans="1:37" x14ac:dyDescent="0.2">
      <c r="A13" s="4">
        <v>12</v>
      </c>
      <c r="B13" s="5">
        <v>40544</v>
      </c>
      <c r="C13" s="4">
        <v>1</v>
      </c>
      <c r="D13" s="4">
        <v>0</v>
      </c>
      <c r="E13" s="4">
        <v>1</v>
      </c>
      <c r="F13" s="4">
        <v>11</v>
      </c>
      <c r="G13" s="4" t="b">
        <v>0</v>
      </c>
      <c r="H13" s="4">
        <v>6</v>
      </c>
      <c r="I13" s="4">
        <v>1</v>
      </c>
      <c r="J13" s="4">
        <v>0.36</v>
      </c>
      <c r="K13" s="6" t="str">
        <f>IF(H13=0,"weekend",IF(H13=6,"weekend","weekend"))</f>
        <v>weekend</v>
      </c>
      <c r="L13" s="3" t="str">
        <f>IF(C13=1,"Spring",IF(C13=2,"Summer",IF(C13=3,"Fall","Winter")))</f>
        <v>Spring</v>
      </c>
      <c r="M13" s="3">
        <f>SUM(J13:J37)</f>
        <v>10.420000000000002</v>
      </c>
      <c r="N13" s="3">
        <f>AVERAGE(J13:J622)</f>
        <v>0.19589315525876469</v>
      </c>
      <c r="O13" s="3">
        <f>COUNT(J13:J622)</f>
        <v>599</v>
      </c>
      <c r="P13" s="3" t="str">
        <f>TEXT(J13,"0.00")</f>
        <v>0.36</v>
      </c>
      <c r="Q13" s="3" t="str">
        <f>LEFT(L13,3)</f>
        <v>Spr</v>
      </c>
      <c r="R13" s="42" t="str">
        <f>RIGHT(L13,3)</f>
        <v>ing</v>
      </c>
      <c r="S13" s="42">
        <f>LEN(L13)</f>
        <v>6</v>
      </c>
      <c r="T13" s="3" t="str">
        <f>A13&amp;"|"&amp;B13&amp;"|"&amp;F13</f>
        <v>12|40544|11</v>
      </c>
      <c r="U13" s="3">
        <f t="shared" si="0"/>
        <v>610</v>
      </c>
      <c r="V13" s="3">
        <f t="shared" si="1"/>
        <v>120.10000000000005</v>
      </c>
      <c r="W13" s="50">
        <f t="shared" si="2"/>
        <v>8.1303845032683911E-2</v>
      </c>
      <c r="X13" s="50">
        <f t="shared" si="3"/>
        <v>0.16514794964716251</v>
      </c>
    </row>
    <row r="14" spans="1:37" x14ac:dyDescent="0.2">
      <c r="A14" s="4">
        <v>13</v>
      </c>
      <c r="B14" s="5">
        <v>40544</v>
      </c>
      <c r="C14" s="4">
        <v>1</v>
      </c>
      <c r="D14" s="4">
        <v>0</v>
      </c>
      <c r="E14" s="4">
        <v>1</v>
      </c>
      <c r="F14" s="4">
        <v>12</v>
      </c>
      <c r="G14" s="4" t="b">
        <v>0</v>
      </c>
      <c r="H14" s="4">
        <v>6</v>
      </c>
      <c r="I14" s="4">
        <v>1</v>
      </c>
      <c r="J14" s="4">
        <v>0.42</v>
      </c>
      <c r="K14" s="6" t="str">
        <f>IF(H14=0,"weekend",IF(H14=6,"weekend","weekend"))</f>
        <v>weekend</v>
      </c>
      <c r="L14" s="3" t="str">
        <f>IF(C14=1,"Spring",IF(C14=2,"Summer",IF(C14=3,"Fall","Winter")))</f>
        <v>Spring</v>
      </c>
      <c r="M14" s="3">
        <f>SUM(J14:J38)</f>
        <v>10.42</v>
      </c>
      <c r="N14" s="3">
        <f>AVERAGE(J14:J623)</f>
        <v>0.19561872909699002</v>
      </c>
      <c r="O14" s="3">
        <f>COUNT(J14:J623)</f>
        <v>598</v>
      </c>
      <c r="P14" s="3" t="str">
        <f>TEXT(J14,"0.00")</f>
        <v>0.42</v>
      </c>
      <c r="Q14" s="3" t="str">
        <f>LEFT(L14,3)</f>
        <v>Spr</v>
      </c>
      <c r="R14" s="42" t="str">
        <f>RIGHT(L14,3)</f>
        <v>ing</v>
      </c>
      <c r="S14" s="42">
        <f>LEN(L14)</f>
        <v>6</v>
      </c>
      <c r="T14" s="3" t="str">
        <f>A14&amp;"|"&amp;B14&amp;"|"&amp;F14</f>
        <v>13|40544|12</v>
      </c>
      <c r="U14" s="3">
        <f t="shared" si="0"/>
        <v>610</v>
      </c>
      <c r="V14" s="3">
        <f t="shared" si="1"/>
        <v>120.10000000000005</v>
      </c>
      <c r="W14" s="50">
        <f t="shared" si="2"/>
        <v>8.1303845032683911E-2</v>
      </c>
      <c r="X14" s="50">
        <f t="shared" si="3"/>
        <v>0.16514794964716251</v>
      </c>
    </row>
    <row r="15" spans="1:37" x14ac:dyDescent="0.2">
      <c r="A15" s="4">
        <v>14</v>
      </c>
      <c r="B15" s="5">
        <v>40544</v>
      </c>
      <c r="C15" s="4">
        <v>1</v>
      </c>
      <c r="D15" s="4">
        <v>0</v>
      </c>
      <c r="E15" s="4">
        <v>1</v>
      </c>
      <c r="F15" s="4">
        <v>13</v>
      </c>
      <c r="G15" s="4" t="b">
        <v>0</v>
      </c>
      <c r="H15" s="4">
        <v>6</v>
      </c>
      <c r="I15" s="4">
        <v>2</v>
      </c>
      <c r="J15" s="4">
        <v>0.46</v>
      </c>
      <c r="K15" s="6" t="str">
        <f>IF(H15=0,"weekend",IF(H15=6,"weekend","weekend"))</f>
        <v>weekend</v>
      </c>
      <c r="L15" s="3" t="str">
        <f>IF(C15=1,"Spring",IF(C15=2,"Summer",IF(C15=3,"Fall","Winter")))</f>
        <v>Spring</v>
      </c>
      <c r="M15" s="3">
        <f>SUM(J15:J39)</f>
        <v>10.359999999999998</v>
      </c>
      <c r="N15" s="3">
        <f>AVERAGE(J15:J624)</f>
        <v>0.19524288107202686</v>
      </c>
      <c r="O15" s="3">
        <f>COUNT(J15:J624)</f>
        <v>597</v>
      </c>
      <c r="P15" s="3" t="str">
        <f>TEXT(J15,"0.00")</f>
        <v>0.46</v>
      </c>
      <c r="Q15" s="3" t="str">
        <f>LEFT(L15,3)</f>
        <v>Spr</v>
      </c>
      <c r="R15" s="42" t="str">
        <f>RIGHT(L15,3)</f>
        <v>ing</v>
      </c>
      <c r="S15" s="42">
        <f>LEN(L15)</f>
        <v>6</v>
      </c>
      <c r="T15" s="3" t="str">
        <f>A15&amp;"|"&amp;B15&amp;"|"&amp;F15</f>
        <v>14|40544|13</v>
      </c>
      <c r="U15" s="3">
        <f t="shared" si="0"/>
        <v>610</v>
      </c>
      <c r="V15" s="3">
        <f t="shared" si="1"/>
        <v>120.10000000000005</v>
      </c>
      <c r="W15" s="50">
        <f t="shared" si="2"/>
        <v>8.1303845032683911E-2</v>
      </c>
      <c r="X15" s="50">
        <f t="shared" si="3"/>
        <v>0.16514794964716251</v>
      </c>
    </row>
    <row r="16" spans="1:37" x14ac:dyDescent="0.2">
      <c r="A16" s="4">
        <v>15</v>
      </c>
      <c r="B16" s="5">
        <v>40544</v>
      </c>
      <c r="C16" s="4">
        <v>1</v>
      </c>
      <c r="D16" s="4">
        <v>0</v>
      </c>
      <c r="E16" s="4">
        <v>1</v>
      </c>
      <c r="F16" s="4">
        <v>14</v>
      </c>
      <c r="G16" s="4" t="b">
        <v>0</v>
      </c>
      <c r="H16" s="4">
        <v>6</v>
      </c>
      <c r="I16" s="4">
        <v>2</v>
      </c>
      <c r="J16" s="4">
        <v>0.46</v>
      </c>
      <c r="K16" s="6" t="str">
        <f>IF(H16=0,"weekend",IF(H16=6,"weekend","weekend"))</f>
        <v>weekend</v>
      </c>
      <c r="L16" s="3" t="str">
        <f>IF(C16=1,"Spring",IF(C16=2,"Summer",IF(C16=3,"Fall","Winter")))</f>
        <v>Spring</v>
      </c>
      <c r="M16" s="3">
        <f>SUM(J16:J40)</f>
        <v>10.239999999999998</v>
      </c>
      <c r="N16" s="3">
        <f>AVERAGE(J16:J625)</f>
        <v>0.19479865771812085</v>
      </c>
      <c r="O16" s="3">
        <f>COUNT(J16:J625)</f>
        <v>596</v>
      </c>
      <c r="P16" s="3" t="str">
        <f>TEXT(J16,"0.00")</f>
        <v>0.46</v>
      </c>
      <c r="Q16" s="3" t="str">
        <f>LEFT(L16,3)</f>
        <v>Spr</v>
      </c>
      <c r="R16" s="42" t="str">
        <f>RIGHT(L16,3)</f>
        <v>ing</v>
      </c>
      <c r="S16" s="42">
        <f>LEN(L16)</f>
        <v>6</v>
      </c>
      <c r="T16" s="3" t="str">
        <f>A16&amp;"|"&amp;B16&amp;"|"&amp;F16</f>
        <v>15|40544|14</v>
      </c>
      <c r="U16" s="3">
        <f t="shared" si="0"/>
        <v>610</v>
      </c>
      <c r="V16" s="3">
        <f t="shared" si="1"/>
        <v>120.10000000000005</v>
      </c>
      <c r="W16" s="50">
        <f t="shared" si="2"/>
        <v>8.1303845032683911E-2</v>
      </c>
      <c r="X16" s="50">
        <f t="shared" si="3"/>
        <v>0.16514794964716251</v>
      </c>
      <c r="AD16" s="44"/>
    </row>
    <row r="17" spans="1:24" x14ac:dyDescent="0.2">
      <c r="A17" s="4">
        <v>16</v>
      </c>
      <c r="B17" s="5">
        <v>40544</v>
      </c>
      <c r="C17" s="4">
        <v>1</v>
      </c>
      <c r="D17" s="4">
        <v>0</v>
      </c>
      <c r="E17" s="4">
        <v>1</v>
      </c>
      <c r="F17" s="4">
        <v>15</v>
      </c>
      <c r="G17" s="4" t="b">
        <v>0</v>
      </c>
      <c r="H17" s="4">
        <v>6</v>
      </c>
      <c r="I17" s="4">
        <v>2</v>
      </c>
      <c r="J17" s="4">
        <v>0.44</v>
      </c>
      <c r="K17" s="6" t="str">
        <f>IF(H17=0,"weekend",IF(H17=6,"weekend","weekend"))</f>
        <v>weekend</v>
      </c>
      <c r="L17" s="3" t="str">
        <f>IF(C17=1,"Spring",IF(C17=2,"Summer",IF(C17=3,"Fall","Winter")))</f>
        <v>Spring</v>
      </c>
      <c r="M17" s="3">
        <f>SUM(J17:J41)</f>
        <v>10.119999999999997</v>
      </c>
      <c r="N17" s="3">
        <f>AVERAGE(J17:J626)</f>
        <v>0.19435294117647062</v>
      </c>
      <c r="O17" s="3">
        <f>COUNT(J17:J626)</f>
        <v>595</v>
      </c>
      <c r="P17" s="3" t="str">
        <f>TEXT(J17,"0.00")</f>
        <v>0.44</v>
      </c>
      <c r="Q17" s="3" t="str">
        <f>LEFT(L17,3)</f>
        <v>Spr</v>
      </c>
      <c r="R17" s="42" t="str">
        <f>RIGHT(L17,3)</f>
        <v>ing</v>
      </c>
      <c r="S17" s="42">
        <f>LEN(L17)</f>
        <v>6</v>
      </c>
      <c r="T17" s="3" t="str">
        <f>A17&amp;"|"&amp;B17&amp;"|"&amp;F17</f>
        <v>16|40544|15</v>
      </c>
      <c r="U17" s="3">
        <f t="shared" si="0"/>
        <v>610</v>
      </c>
      <c r="V17" s="3">
        <f t="shared" si="1"/>
        <v>120.10000000000005</v>
      </c>
      <c r="W17" s="50">
        <f t="shared" si="2"/>
        <v>8.1303845032683911E-2</v>
      </c>
      <c r="X17" s="50">
        <f t="shared" si="3"/>
        <v>0.16514794964716251</v>
      </c>
    </row>
    <row r="18" spans="1:24" x14ac:dyDescent="0.2">
      <c r="A18" s="4">
        <v>17</v>
      </c>
      <c r="B18" s="5">
        <v>40544</v>
      </c>
      <c r="C18" s="4">
        <v>1</v>
      </c>
      <c r="D18" s="4">
        <v>0</v>
      </c>
      <c r="E18" s="4">
        <v>1</v>
      </c>
      <c r="F18" s="4">
        <v>16</v>
      </c>
      <c r="G18" s="4" t="b">
        <v>0</v>
      </c>
      <c r="H18" s="4">
        <v>6</v>
      </c>
      <c r="I18" s="4">
        <v>2</v>
      </c>
      <c r="J18" s="4">
        <v>0.42</v>
      </c>
      <c r="K18" s="6" t="str">
        <f>IF(H18=0,"weekend",IF(H18=6,"weekend","weekend"))</f>
        <v>weekend</v>
      </c>
      <c r="L18" s="3" t="str">
        <f>IF(C18=1,"Spring",IF(C18=2,"Summer",IF(C18=3,"Fall","Winter")))</f>
        <v>Spring</v>
      </c>
      <c r="M18" s="3">
        <f>SUM(J18:J42)</f>
        <v>10.02</v>
      </c>
      <c r="N18" s="3">
        <f>AVERAGE(J18:J627)</f>
        <v>0.19393939393939397</v>
      </c>
      <c r="O18" s="3">
        <f>COUNT(J18:J627)</f>
        <v>594</v>
      </c>
      <c r="P18" s="3" t="str">
        <f>TEXT(J18,"0.00")</f>
        <v>0.42</v>
      </c>
      <c r="Q18" s="3" t="str">
        <f>LEFT(L18,3)</f>
        <v>Spr</v>
      </c>
      <c r="R18" s="42" t="str">
        <f>RIGHT(L18,3)</f>
        <v>ing</v>
      </c>
      <c r="S18" s="42">
        <f>LEN(L18)</f>
        <v>6</v>
      </c>
      <c r="T18" s="3" t="str">
        <f>A18&amp;"|"&amp;B18&amp;"|"&amp;F18</f>
        <v>17|40544|16</v>
      </c>
      <c r="U18" s="3">
        <f t="shared" si="0"/>
        <v>610</v>
      </c>
      <c r="V18" s="3">
        <f t="shared" si="1"/>
        <v>120.10000000000005</v>
      </c>
      <c r="W18" s="50">
        <f t="shared" si="2"/>
        <v>8.1303845032683911E-2</v>
      </c>
      <c r="X18" s="50">
        <f t="shared" si="3"/>
        <v>0.16514794964716251</v>
      </c>
    </row>
    <row r="19" spans="1:24" x14ac:dyDescent="0.2">
      <c r="A19" s="4">
        <v>18</v>
      </c>
      <c r="B19" s="5">
        <v>40544</v>
      </c>
      <c r="C19" s="4">
        <v>1</v>
      </c>
      <c r="D19" s="4">
        <v>0</v>
      </c>
      <c r="E19" s="4">
        <v>1</v>
      </c>
      <c r="F19" s="4">
        <v>17</v>
      </c>
      <c r="G19" s="4" t="b">
        <v>0</v>
      </c>
      <c r="H19" s="4">
        <v>6</v>
      </c>
      <c r="I19" s="4">
        <v>2</v>
      </c>
      <c r="J19" s="4">
        <v>0.44</v>
      </c>
      <c r="K19" s="6" t="str">
        <f>IF(H19=0,"weekend",IF(H19=6,"weekend","weekend"))</f>
        <v>weekend</v>
      </c>
      <c r="L19" s="3" t="str">
        <f>IF(C19=1,"Spring",IF(C19=2,"Summer",IF(C19=3,"Fall","Winter")))</f>
        <v>Spring</v>
      </c>
      <c r="M19" s="3">
        <f>SUM(J19:J43)</f>
        <v>9.9599999999999991</v>
      </c>
      <c r="N19" s="3">
        <f>AVERAGE(J19:J628)</f>
        <v>0.19355817875210796</v>
      </c>
      <c r="O19" s="3">
        <f>COUNT(J19:J628)</f>
        <v>593</v>
      </c>
      <c r="P19" s="3" t="str">
        <f>TEXT(J19,"0.00")</f>
        <v>0.44</v>
      </c>
      <c r="Q19" s="3" t="str">
        <f>LEFT(L19,3)</f>
        <v>Spr</v>
      </c>
      <c r="R19" s="42" t="str">
        <f>RIGHT(L19,3)</f>
        <v>ing</v>
      </c>
      <c r="S19" s="42">
        <f>LEN(L19)</f>
        <v>6</v>
      </c>
      <c r="T19" s="3" t="str">
        <f>A19&amp;"|"&amp;B19&amp;"|"&amp;F19</f>
        <v>18|40544|17</v>
      </c>
      <c r="U19" s="3">
        <f t="shared" si="0"/>
        <v>610</v>
      </c>
      <c r="V19" s="3">
        <f t="shared" si="1"/>
        <v>120.10000000000005</v>
      </c>
      <c r="W19" s="50">
        <f t="shared" si="2"/>
        <v>8.1303845032683911E-2</v>
      </c>
      <c r="X19" s="50">
        <f t="shared" si="3"/>
        <v>0.16514794964716251</v>
      </c>
    </row>
    <row r="20" spans="1:24" x14ac:dyDescent="0.2">
      <c r="A20" s="4">
        <v>19</v>
      </c>
      <c r="B20" s="5">
        <v>40544</v>
      </c>
      <c r="C20" s="4">
        <v>1</v>
      </c>
      <c r="D20" s="4">
        <v>0</v>
      </c>
      <c r="E20" s="4">
        <v>1</v>
      </c>
      <c r="F20" s="4">
        <v>18</v>
      </c>
      <c r="G20" s="4" t="b">
        <v>0</v>
      </c>
      <c r="H20" s="4">
        <v>6</v>
      </c>
      <c r="I20" s="4">
        <v>3</v>
      </c>
      <c r="J20" s="4">
        <v>0.42</v>
      </c>
      <c r="K20" s="6" t="str">
        <f>IF(H20=0,"weekend",IF(H20=6,"weekend","weekend"))</f>
        <v>weekend</v>
      </c>
      <c r="L20" s="3" t="str">
        <f>IF(C20=1,"Spring",IF(C20=2,"Summer",IF(C20=3,"Fall","Winter")))</f>
        <v>Spring</v>
      </c>
      <c r="M20" s="3">
        <f>SUM(J20:J44)</f>
        <v>9.8400000000000016</v>
      </c>
      <c r="N20" s="3">
        <f>AVERAGE(J20:J629)</f>
        <v>0.19314189189189193</v>
      </c>
      <c r="O20" s="3">
        <f>COUNT(J20:J629)</f>
        <v>592</v>
      </c>
      <c r="P20" s="3" t="str">
        <f>TEXT(J20,"0.00")</f>
        <v>0.42</v>
      </c>
      <c r="Q20" s="3" t="str">
        <f>LEFT(L20,3)</f>
        <v>Spr</v>
      </c>
      <c r="R20" s="42" t="str">
        <f>RIGHT(L20,3)</f>
        <v>ing</v>
      </c>
      <c r="S20" s="42">
        <f>LEN(L20)</f>
        <v>6</v>
      </c>
      <c r="T20" s="3" t="str">
        <f>A20&amp;"|"&amp;B20&amp;"|"&amp;F20</f>
        <v>19|40544|18</v>
      </c>
      <c r="U20" s="3">
        <f t="shared" si="0"/>
        <v>610</v>
      </c>
      <c r="V20" s="3">
        <f t="shared" si="1"/>
        <v>120.10000000000005</v>
      </c>
      <c r="W20" s="50">
        <f t="shared" si="2"/>
        <v>8.1303845032683911E-2</v>
      </c>
      <c r="X20" s="50">
        <f t="shared" si="3"/>
        <v>0.16514794964716251</v>
      </c>
    </row>
    <row r="21" spans="1:24" x14ac:dyDescent="0.2">
      <c r="A21" s="4">
        <v>20</v>
      </c>
      <c r="B21" s="5">
        <v>40544</v>
      </c>
      <c r="C21" s="4">
        <v>1</v>
      </c>
      <c r="D21" s="4">
        <v>0</v>
      </c>
      <c r="E21" s="4">
        <v>1</v>
      </c>
      <c r="F21" s="4">
        <v>19</v>
      </c>
      <c r="G21" s="4" t="b">
        <v>0</v>
      </c>
      <c r="H21" s="4">
        <v>6</v>
      </c>
      <c r="I21" s="4">
        <v>3</v>
      </c>
      <c r="J21" s="4">
        <v>0.42</v>
      </c>
      <c r="K21" s="6" t="str">
        <f>IF(H21=0,"weekend",IF(H21=6,"weekend","weekend"))</f>
        <v>weekend</v>
      </c>
      <c r="L21" s="3" t="str">
        <f>IF(C21=1,"Spring",IF(C21=2,"Summer",IF(C21=3,"Fall","Winter")))</f>
        <v>Spring</v>
      </c>
      <c r="M21" s="3">
        <f>SUM(J21:J45)</f>
        <v>9.7200000000000024</v>
      </c>
      <c r="N21" s="3">
        <f>AVERAGE(J21:J630)</f>
        <v>0.19275803722504234</v>
      </c>
      <c r="O21" s="3">
        <f>COUNT(J21:J630)</f>
        <v>591</v>
      </c>
      <c r="P21" s="3" t="str">
        <f>TEXT(J21,"0.00")</f>
        <v>0.42</v>
      </c>
      <c r="Q21" s="3" t="str">
        <f>LEFT(L21,3)</f>
        <v>Spr</v>
      </c>
      <c r="R21" s="42" t="str">
        <f>RIGHT(L21,3)</f>
        <v>ing</v>
      </c>
      <c r="S21" s="42">
        <f>LEN(L21)</f>
        <v>6</v>
      </c>
      <c r="T21" s="3" t="str">
        <f>A21&amp;"|"&amp;B21&amp;"|"&amp;F21</f>
        <v>20|40544|19</v>
      </c>
      <c r="U21" s="3">
        <f t="shared" si="0"/>
        <v>610</v>
      </c>
      <c r="V21" s="3">
        <f t="shared" si="1"/>
        <v>120.10000000000005</v>
      </c>
      <c r="W21" s="50">
        <f t="shared" si="2"/>
        <v>8.1303845032683911E-2</v>
      </c>
      <c r="X21" s="50">
        <f t="shared" si="3"/>
        <v>0.16514794964716251</v>
      </c>
    </row>
    <row r="22" spans="1:24" x14ac:dyDescent="0.2">
      <c r="A22" s="4">
        <v>21</v>
      </c>
      <c r="B22" s="5">
        <v>40544</v>
      </c>
      <c r="C22" s="4">
        <v>1</v>
      </c>
      <c r="D22" s="4">
        <v>0</v>
      </c>
      <c r="E22" s="4">
        <v>1</v>
      </c>
      <c r="F22" s="4">
        <v>20</v>
      </c>
      <c r="G22" s="4" t="b">
        <v>0</v>
      </c>
      <c r="H22" s="4">
        <v>6</v>
      </c>
      <c r="I22" s="4">
        <v>2</v>
      </c>
      <c r="J22" s="4">
        <v>0.4</v>
      </c>
      <c r="K22" s="6" t="str">
        <f>IF(H22=0,"weekend",IF(H22=6,"weekend","weekend"))</f>
        <v>weekend</v>
      </c>
      <c r="L22" s="3" t="str">
        <f>IF(C22=1,"Spring",IF(C22=2,"Summer",IF(C22=3,"Fall","Winter")))</f>
        <v>Spring</v>
      </c>
      <c r="M22" s="3">
        <f>SUM(J22:J46)</f>
        <v>9.5600000000000023</v>
      </c>
      <c r="N22" s="3">
        <f>AVERAGE(J22:J631)</f>
        <v>0.19237288135593222</v>
      </c>
      <c r="O22" s="3">
        <f>COUNT(J22:J631)</f>
        <v>590</v>
      </c>
      <c r="P22" s="3" t="str">
        <f>TEXT(J22,"0.00")</f>
        <v>0.40</v>
      </c>
      <c r="Q22" s="3" t="str">
        <f>LEFT(L22,3)</f>
        <v>Spr</v>
      </c>
      <c r="R22" s="42" t="str">
        <f>RIGHT(L22,3)</f>
        <v>ing</v>
      </c>
      <c r="S22" s="42">
        <f>LEN(L22)</f>
        <v>6</v>
      </c>
      <c r="T22" s="3" t="str">
        <f>A22&amp;"|"&amp;B22&amp;"|"&amp;F22</f>
        <v>21|40544|20</v>
      </c>
      <c r="U22" s="3">
        <f t="shared" si="0"/>
        <v>610</v>
      </c>
      <c r="V22" s="3">
        <f t="shared" si="1"/>
        <v>120.10000000000005</v>
      </c>
      <c r="W22" s="50">
        <f t="shared" si="2"/>
        <v>8.1303845032683911E-2</v>
      </c>
      <c r="X22" s="50">
        <f t="shared" si="3"/>
        <v>0.16514794964716251</v>
      </c>
    </row>
    <row r="23" spans="1:24" x14ac:dyDescent="0.2">
      <c r="A23" s="4">
        <v>22</v>
      </c>
      <c r="B23" s="5">
        <v>40544</v>
      </c>
      <c r="C23" s="4">
        <v>1</v>
      </c>
      <c r="D23" s="4">
        <v>0</v>
      </c>
      <c r="E23" s="4">
        <v>1</v>
      </c>
      <c r="F23" s="4">
        <v>21</v>
      </c>
      <c r="G23" s="4" t="b">
        <v>0</v>
      </c>
      <c r="H23" s="4">
        <v>6</v>
      </c>
      <c r="I23" s="4">
        <v>2</v>
      </c>
      <c r="J23" s="4">
        <v>0.4</v>
      </c>
      <c r="K23" s="6" t="str">
        <f>IF(H23=0,"weekend",IF(H23=6,"weekend","weekend"))</f>
        <v>weekend</v>
      </c>
      <c r="L23" s="3" t="str">
        <f>IF(C23=1,"Spring",IF(C23=2,"Summer",IF(C23=3,"Fall","Winter")))</f>
        <v>Spring</v>
      </c>
      <c r="M23" s="3">
        <f>SUM(J23:J47)</f>
        <v>9.4000000000000021</v>
      </c>
      <c r="N23" s="3">
        <f>AVERAGE(J23:J632)</f>
        <v>0.19202037351443124</v>
      </c>
      <c r="O23" s="3">
        <f>COUNT(J23:J632)</f>
        <v>589</v>
      </c>
      <c r="P23" s="3" t="str">
        <f>TEXT(J23,"0.00")</f>
        <v>0.40</v>
      </c>
      <c r="Q23" s="3" t="str">
        <f>LEFT(L23,3)</f>
        <v>Spr</v>
      </c>
      <c r="R23" s="42" t="str">
        <f>RIGHT(L23,3)</f>
        <v>ing</v>
      </c>
      <c r="S23" s="42">
        <f>LEN(L23)</f>
        <v>6</v>
      </c>
      <c r="T23" s="3" t="str">
        <f>A23&amp;"|"&amp;B23&amp;"|"&amp;F23</f>
        <v>22|40544|21</v>
      </c>
      <c r="U23" s="3">
        <f t="shared" si="0"/>
        <v>610</v>
      </c>
      <c r="V23" s="3">
        <f t="shared" si="1"/>
        <v>120.10000000000005</v>
      </c>
      <c r="W23" s="50">
        <f t="shared" si="2"/>
        <v>8.1303845032683911E-2</v>
      </c>
      <c r="X23" s="50">
        <f t="shared" si="3"/>
        <v>0.16514794964716251</v>
      </c>
    </row>
    <row r="24" spans="1:24" x14ac:dyDescent="0.2">
      <c r="A24" s="4">
        <v>23</v>
      </c>
      <c r="B24" s="5">
        <v>40544</v>
      </c>
      <c r="C24" s="4">
        <v>1</v>
      </c>
      <c r="D24" s="4">
        <v>0</v>
      </c>
      <c r="E24" s="4">
        <v>1</v>
      </c>
      <c r="F24" s="4">
        <v>22</v>
      </c>
      <c r="G24" s="4" t="b">
        <v>0</v>
      </c>
      <c r="H24" s="4">
        <v>6</v>
      </c>
      <c r="I24" s="4">
        <v>2</v>
      </c>
      <c r="J24" s="4">
        <v>0.4</v>
      </c>
      <c r="K24" s="6" t="str">
        <f>IF(H24=0,"weekend",IF(H24=6,"weekend","weekend"))</f>
        <v>weekend</v>
      </c>
      <c r="L24" s="3" t="str">
        <f>IF(C24=1,"Spring",IF(C24=2,"Summer",IF(C24=3,"Fall","Winter")))</f>
        <v>Spring</v>
      </c>
      <c r="M24" s="3">
        <f>SUM(J24:J48)</f>
        <v>9.2200000000000024</v>
      </c>
      <c r="N24" s="3">
        <f>AVERAGE(J24:J633)</f>
        <v>0.19166666666666671</v>
      </c>
      <c r="O24" s="3">
        <f>COUNT(J24:J633)</f>
        <v>588</v>
      </c>
      <c r="P24" s="3" t="str">
        <f>TEXT(J24,"0.00")</f>
        <v>0.40</v>
      </c>
      <c r="Q24" s="3" t="str">
        <f>LEFT(L24,3)</f>
        <v>Spr</v>
      </c>
      <c r="R24" s="42" t="str">
        <f>RIGHT(L24,3)</f>
        <v>ing</v>
      </c>
      <c r="S24" s="42">
        <f>LEN(L24)</f>
        <v>6</v>
      </c>
      <c r="T24" s="3" t="str">
        <f>A24&amp;"|"&amp;B24&amp;"|"&amp;F24</f>
        <v>23|40544|22</v>
      </c>
      <c r="U24" s="3">
        <f t="shared" si="0"/>
        <v>610</v>
      </c>
      <c r="V24" s="3">
        <f t="shared" si="1"/>
        <v>120.10000000000005</v>
      </c>
      <c r="W24" s="50">
        <f t="shared" si="2"/>
        <v>8.1303845032683911E-2</v>
      </c>
      <c r="X24" s="50">
        <f t="shared" si="3"/>
        <v>0.16514794964716251</v>
      </c>
    </row>
    <row r="25" spans="1:24" x14ac:dyDescent="0.2">
      <c r="A25" s="4">
        <v>24</v>
      </c>
      <c r="B25" s="5">
        <v>40544</v>
      </c>
      <c r="C25" s="4">
        <v>1</v>
      </c>
      <c r="D25" s="4">
        <v>0</v>
      </c>
      <c r="E25" s="4">
        <v>1</v>
      </c>
      <c r="F25" s="4">
        <v>23</v>
      </c>
      <c r="G25" s="4" t="b">
        <v>0</v>
      </c>
      <c r="H25" s="4">
        <v>6</v>
      </c>
      <c r="I25" s="4">
        <v>2</v>
      </c>
      <c r="J25" s="4">
        <v>0.46</v>
      </c>
      <c r="K25" s="6" t="str">
        <f>IF(H25=0,"weekend",IF(H25=6,"weekend","weekend"))</f>
        <v>weekend</v>
      </c>
      <c r="L25" s="3" t="str">
        <f>IF(C25=1,"Spring",IF(C25=2,"Summer",IF(C25=3,"Fall","Winter")))</f>
        <v>Spring</v>
      </c>
      <c r="M25" s="3">
        <f>SUM(J25:J49)</f>
        <v>9.0400000000000027</v>
      </c>
      <c r="N25" s="3">
        <f>AVERAGE(J25:J634)</f>
        <v>0.19131175468483819</v>
      </c>
      <c r="O25" s="3">
        <f>COUNT(J25:J634)</f>
        <v>587</v>
      </c>
      <c r="P25" s="3" t="str">
        <f>TEXT(J25,"0.00")</f>
        <v>0.46</v>
      </c>
      <c r="Q25" s="3" t="str">
        <f>LEFT(L25,3)</f>
        <v>Spr</v>
      </c>
      <c r="R25" s="42" t="str">
        <f>RIGHT(L25,3)</f>
        <v>ing</v>
      </c>
      <c r="S25" s="42">
        <f>LEN(L25)</f>
        <v>6</v>
      </c>
      <c r="T25" s="3" t="str">
        <f>A25&amp;"|"&amp;B25&amp;"|"&amp;F25</f>
        <v>24|40544|23</v>
      </c>
      <c r="U25" s="3">
        <f t="shared" si="0"/>
        <v>610</v>
      </c>
      <c r="V25" s="3">
        <f t="shared" si="1"/>
        <v>120.10000000000005</v>
      </c>
      <c r="W25" s="50">
        <f t="shared" si="2"/>
        <v>8.1303845032683911E-2</v>
      </c>
      <c r="X25" s="50">
        <f t="shared" si="3"/>
        <v>0.16514794964716251</v>
      </c>
    </row>
    <row r="26" spans="1:24" x14ac:dyDescent="0.2">
      <c r="A26" s="4">
        <v>25</v>
      </c>
      <c r="B26" s="5">
        <v>40575</v>
      </c>
      <c r="C26" s="4">
        <v>1</v>
      </c>
      <c r="D26" s="4">
        <v>0</v>
      </c>
      <c r="E26" s="4">
        <v>1</v>
      </c>
      <c r="F26" s="4">
        <v>0</v>
      </c>
      <c r="G26" s="4" t="b">
        <v>0</v>
      </c>
      <c r="H26" s="4">
        <v>0</v>
      </c>
      <c r="I26" s="4">
        <v>2</v>
      </c>
      <c r="J26" s="4">
        <v>0.46</v>
      </c>
      <c r="K26" s="6" t="str">
        <f>IF(H26=0,"weekend",IF(H26=6,"weekend","weekend"))</f>
        <v>weekend</v>
      </c>
      <c r="L26" s="3" t="str">
        <f>IF(C26=1,"Spring",IF(C26=2,"Summer",IF(C26=3,"Fall","Winter")))</f>
        <v>Spring</v>
      </c>
      <c r="M26" s="3">
        <f>SUM(J26:J50)</f>
        <v>8.7800000000000011</v>
      </c>
      <c r="N26" s="3">
        <f>AVERAGE(J26:J635)</f>
        <v>0.19085324232081913</v>
      </c>
      <c r="O26" s="3">
        <f>COUNT(J26:J635)</f>
        <v>586</v>
      </c>
      <c r="P26" s="3" t="str">
        <f>TEXT(J26,"0.00")</f>
        <v>0.46</v>
      </c>
      <c r="Q26" s="3" t="str">
        <f>LEFT(L26,3)</f>
        <v>Spr</v>
      </c>
      <c r="R26" s="42" t="str">
        <f>RIGHT(L26,3)</f>
        <v>ing</v>
      </c>
      <c r="S26" s="42">
        <f>LEN(L26)</f>
        <v>6</v>
      </c>
      <c r="T26" s="3" t="str">
        <f>A26&amp;"|"&amp;B26&amp;"|"&amp;F26</f>
        <v>25|40575|0</v>
      </c>
      <c r="U26" s="3">
        <f t="shared" si="0"/>
        <v>610</v>
      </c>
      <c r="V26" s="3">
        <f t="shared" si="1"/>
        <v>120.10000000000005</v>
      </c>
      <c r="W26" s="50">
        <f t="shared" si="2"/>
        <v>8.1303845032683911E-2</v>
      </c>
      <c r="X26" s="50">
        <f t="shared" si="3"/>
        <v>0.16514794964716251</v>
      </c>
    </row>
    <row r="27" spans="1:24" x14ac:dyDescent="0.2">
      <c r="A27" s="4">
        <v>26</v>
      </c>
      <c r="B27" s="5">
        <v>40575</v>
      </c>
      <c r="C27" s="4">
        <v>1</v>
      </c>
      <c r="D27" s="4">
        <v>0</v>
      </c>
      <c r="E27" s="4">
        <v>1</v>
      </c>
      <c r="F27" s="4">
        <v>1</v>
      </c>
      <c r="G27" s="4" t="b">
        <v>0</v>
      </c>
      <c r="H27" s="4">
        <v>0</v>
      </c>
      <c r="I27" s="4">
        <v>2</v>
      </c>
      <c r="J27" s="4">
        <v>0.44</v>
      </c>
      <c r="K27" s="6" t="str">
        <f>IF(H27=0,"weekend",IF(H27=6,"weekend","weekend"))</f>
        <v>weekend</v>
      </c>
      <c r="L27" s="3" t="str">
        <f>IF(C27=1,"Spring",IF(C27=2,"Summer",IF(C27=3,"Fall","Winter")))</f>
        <v>Spring</v>
      </c>
      <c r="M27" s="3">
        <f>SUM(J27:J51)</f>
        <v>8.48</v>
      </c>
      <c r="N27" s="3">
        <f>AVERAGE(J27:J636)</f>
        <v>0.1903931623931624</v>
      </c>
      <c r="O27" s="3">
        <f>COUNT(J27:J636)</f>
        <v>585</v>
      </c>
      <c r="P27" s="3" t="str">
        <f>TEXT(J27,"0.00")</f>
        <v>0.44</v>
      </c>
      <c r="Q27" s="3" t="str">
        <f>LEFT(L27,3)</f>
        <v>Spr</v>
      </c>
      <c r="R27" s="42" t="str">
        <f>RIGHT(L27,3)</f>
        <v>ing</v>
      </c>
      <c r="S27" s="42">
        <f>LEN(L27)</f>
        <v>6</v>
      </c>
      <c r="T27" s="3" t="str">
        <f>A27&amp;"|"&amp;B27&amp;"|"&amp;F27</f>
        <v>26|40575|1</v>
      </c>
      <c r="U27" s="3">
        <f t="shared" si="0"/>
        <v>610</v>
      </c>
      <c r="V27" s="3">
        <f t="shared" si="1"/>
        <v>120.10000000000005</v>
      </c>
      <c r="W27" s="50">
        <f t="shared" si="2"/>
        <v>8.1303845032683911E-2</v>
      </c>
      <c r="X27" s="50">
        <f t="shared" si="3"/>
        <v>0.16514794964716251</v>
      </c>
    </row>
    <row r="28" spans="1:24" x14ac:dyDescent="0.2">
      <c r="A28" s="4">
        <v>27</v>
      </c>
      <c r="B28" s="5">
        <v>40575</v>
      </c>
      <c r="C28" s="4">
        <v>1</v>
      </c>
      <c r="D28" s="4">
        <v>0</v>
      </c>
      <c r="E28" s="4">
        <v>1</v>
      </c>
      <c r="F28" s="4">
        <v>2</v>
      </c>
      <c r="G28" s="4" t="b">
        <v>0</v>
      </c>
      <c r="H28" s="4">
        <v>0</v>
      </c>
      <c r="I28" s="4">
        <v>2</v>
      </c>
      <c r="J28" s="4">
        <v>0.42</v>
      </c>
      <c r="K28" s="6" t="str">
        <f>IF(H28=0,"weekend",IF(H28=6,"weekend","weekend"))</f>
        <v>weekend</v>
      </c>
      <c r="L28" s="3" t="str">
        <f>IF(C28=1,"Spring",IF(C28=2,"Summer",IF(C28=3,"Fall","Winter")))</f>
        <v>Spring</v>
      </c>
      <c r="M28" s="3">
        <f>SUM(J28:J52)</f>
        <v>8.1999999999999993</v>
      </c>
      <c r="N28" s="3">
        <f>AVERAGE(J28:J637)</f>
        <v>0.18996575342465752</v>
      </c>
      <c r="O28" s="3">
        <f>COUNT(J28:J637)</f>
        <v>584</v>
      </c>
      <c r="P28" s="3" t="str">
        <f>TEXT(J28,"0.00")</f>
        <v>0.42</v>
      </c>
      <c r="Q28" s="3" t="str">
        <f>LEFT(L28,3)</f>
        <v>Spr</v>
      </c>
      <c r="R28" s="42" t="str">
        <f>RIGHT(L28,3)</f>
        <v>ing</v>
      </c>
      <c r="S28" s="42">
        <f>LEN(L28)</f>
        <v>6</v>
      </c>
      <c r="T28" s="3" t="str">
        <f>A28&amp;"|"&amp;B28&amp;"|"&amp;F28</f>
        <v>27|40575|2</v>
      </c>
      <c r="U28" s="3">
        <f t="shared" si="0"/>
        <v>610</v>
      </c>
      <c r="V28" s="3">
        <f t="shared" si="1"/>
        <v>120.10000000000005</v>
      </c>
      <c r="W28" s="50">
        <f t="shared" si="2"/>
        <v>8.1303845032683911E-2</v>
      </c>
      <c r="X28" s="50">
        <f t="shared" si="3"/>
        <v>0.16514794964716251</v>
      </c>
    </row>
    <row r="29" spans="1:24" x14ac:dyDescent="0.2">
      <c r="A29" s="4">
        <v>28</v>
      </c>
      <c r="B29" s="5">
        <v>40575</v>
      </c>
      <c r="C29" s="4">
        <v>1</v>
      </c>
      <c r="D29" s="4">
        <v>0</v>
      </c>
      <c r="E29" s="4">
        <v>1</v>
      </c>
      <c r="F29" s="4">
        <v>3</v>
      </c>
      <c r="G29" s="4" t="b">
        <v>0</v>
      </c>
      <c r="H29" s="4">
        <v>0</v>
      </c>
      <c r="I29" s="4">
        <v>2</v>
      </c>
      <c r="J29" s="4">
        <v>0.46</v>
      </c>
      <c r="K29" s="6" t="str">
        <f>IF(H29=0,"weekend",IF(H29=6,"weekend","weekend"))</f>
        <v>weekend</v>
      </c>
      <c r="L29" s="3" t="str">
        <f>IF(C29=1,"Spring",IF(C29=2,"Summer",IF(C29=3,"Fall","Winter")))</f>
        <v>Spring</v>
      </c>
      <c r="M29" s="3">
        <f>SUM(J29:J53)</f>
        <v>7.919999999999999</v>
      </c>
      <c r="N29" s="3">
        <f>AVERAGE(J29:J638)</f>
        <v>0.18957118353344768</v>
      </c>
      <c r="O29" s="3">
        <f>COUNT(J29:J638)</f>
        <v>583</v>
      </c>
      <c r="P29" s="3" t="str">
        <f>TEXT(J29,"0.00")</f>
        <v>0.46</v>
      </c>
      <c r="Q29" s="3" t="str">
        <f>LEFT(L29,3)</f>
        <v>Spr</v>
      </c>
      <c r="R29" s="42" t="str">
        <f>RIGHT(L29,3)</f>
        <v>ing</v>
      </c>
      <c r="S29" s="42">
        <f>LEN(L29)</f>
        <v>6</v>
      </c>
      <c r="T29" s="3" t="str">
        <f>A29&amp;"|"&amp;B29&amp;"|"&amp;F29</f>
        <v>28|40575|3</v>
      </c>
      <c r="U29" s="3">
        <f t="shared" si="0"/>
        <v>610</v>
      </c>
      <c r="V29" s="3">
        <f t="shared" si="1"/>
        <v>120.10000000000005</v>
      </c>
      <c r="W29" s="50">
        <f t="shared" si="2"/>
        <v>8.1303845032683911E-2</v>
      </c>
      <c r="X29" s="50">
        <f t="shared" si="3"/>
        <v>0.16514794964716251</v>
      </c>
    </row>
    <row r="30" spans="1:24" x14ac:dyDescent="0.2">
      <c r="A30" s="4">
        <v>29</v>
      </c>
      <c r="B30" s="5">
        <v>40575</v>
      </c>
      <c r="C30" s="4">
        <v>1</v>
      </c>
      <c r="D30" s="4">
        <v>0</v>
      </c>
      <c r="E30" s="4">
        <v>1</v>
      </c>
      <c r="F30" s="4">
        <v>4</v>
      </c>
      <c r="G30" s="4" t="b">
        <v>0</v>
      </c>
      <c r="H30" s="4">
        <v>0</v>
      </c>
      <c r="I30" s="4">
        <v>2</v>
      </c>
      <c r="J30" s="4">
        <v>0.46</v>
      </c>
      <c r="K30" s="6" t="str">
        <f>IF(H30=0,"weekend",IF(H30=6,"weekend","weekend"))</f>
        <v>weekend</v>
      </c>
      <c r="L30" s="3" t="str">
        <f>IF(C30=1,"Spring",IF(C30=2,"Summer",IF(C30=3,"Fall","Winter")))</f>
        <v>Spring</v>
      </c>
      <c r="M30" s="3">
        <f>SUM(J30:J54)</f>
        <v>7.5999999999999988</v>
      </c>
      <c r="N30" s="3">
        <f>AVERAGE(J30:J639)</f>
        <v>0.18910652920962201</v>
      </c>
      <c r="O30" s="3">
        <f>COUNT(J30:J639)</f>
        <v>582</v>
      </c>
      <c r="P30" s="3" t="str">
        <f>TEXT(J30,"0.00")</f>
        <v>0.46</v>
      </c>
      <c r="Q30" s="3" t="str">
        <f>LEFT(L30,3)</f>
        <v>Spr</v>
      </c>
      <c r="R30" s="42" t="str">
        <f>RIGHT(L30,3)</f>
        <v>ing</v>
      </c>
      <c r="S30" s="42">
        <f>LEN(L30)</f>
        <v>6</v>
      </c>
      <c r="T30" s="3" t="str">
        <f>A30&amp;"|"&amp;B30&amp;"|"&amp;F30</f>
        <v>29|40575|4</v>
      </c>
      <c r="U30" s="3">
        <f t="shared" si="0"/>
        <v>610</v>
      </c>
      <c r="V30" s="3">
        <f t="shared" si="1"/>
        <v>120.10000000000005</v>
      </c>
      <c r="W30" s="50">
        <f t="shared" si="2"/>
        <v>8.1303845032683911E-2</v>
      </c>
      <c r="X30" s="50">
        <f t="shared" si="3"/>
        <v>0.16514794964716251</v>
      </c>
    </row>
    <row r="31" spans="1:24" x14ac:dyDescent="0.2">
      <c r="A31" s="4">
        <v>30</v>
      </c>
      <c r="B31" s="5">
        <v>40575</v>
      </c>
      <c r="C31" s="4">
        <v>1</v>
      </c>
      <c r="D31" s="4">
        <v>0</v>
      </c>
      <c r="E31" s="4">
        <v>1</v>
      </c>
      <c r="F31" s="4">
        <v>6</v>
      </c>
      <c r="G31" s="4" t="b">
        <v>0</v>
      </c>
      <c r="H31" s="4">
        <v>0</v>
      </c>
      <c r="I31" s="4">
        <v>3</v>
      </c>
      <c r="J31" s="4">
        <v>0.42</v>
      </c>
      <c r="K31" s="6" t="str">
        <f>IF(H31=0,"weekend",IF(H31=6,"weekend","weekend"))</f>
        <v>weekend</v>
      </c>
      <c r="L31" s="3" t="str">
        <f>IF(C31=1,"Spring",IF(C31=2,"Summer",IF(C31=3,"Fall","Winter")))</f>
        <v>Spring</v>
      </c>
      <c r="M31" s="3">
        <f>SUM(J31:J55)</f>
        <v>7.2799999999999985</v>
      </c>
      <c r="N31" s="3">
        <f>AVERAGE(J31:J640)</f>
        <v>0.18864027538726333</v>
      </c>
      <c r="O31" s="3">
        <f>COUNT(J31:J640)</f>
        <v>581</v>
      </c>
      <c r="P31" s="3" t="str">
        <f>TEXT(J31,"0.00")</f>
        <v>0.42</v>
      </c>
      <c r="Q31" s="3" t="str">
        <f>LEFT(L31,3)</f>
        <v>Spr</v>
      </c>
      <c r="R31" s="42" t="str">
        <f>RIGHT(L31,3)</f>
        <v>ing</v>
      </c>
      <c r="S31" s="42">
        <f>LEN(L31)</f>
        <v>6</v>
      </c>
      <c r="T31" s="3" t="str">
        <f>A31&amp;"|"&amp;B31&amp;"|"&amp;F31</f>
        <v>30|40575|6</v>
      </c>
      <c r="U31" s="3">
        <f t="shared" si="0"/>
        <v>610</v>
      </c>
      <c r="V31" s="3">
        <f t="shared" si="1"/>
        <v>120.10000000000005</v>
      </c>
      <c r="W31" s="50">
        <f t="shared" si="2"/>
        <v>8.1303845032683911E-2</v>
      </c>
      <c r="X31" s="50">
        <f t="shared" si="3"/>
        <v>0.16514794964716251</v>
      </c>
    </row>
    <row r="32" spans="1:24" x14ac:dyDescent="0.2">
      <c r="A32" s="4">
        <v>31</v>
      </c>
      <c r="B32" s="5">
        <v>40575</v>
      </c>
      <c r="C32" s="4">
        <v>1</v>
      </c>
      <c r="D32" s="4">
        <v>0</v>
      </c>
      <c r="E32" s="4">
        <v>1</v>
      </c>
      <c r="F32" s="4">
        <v>7</v>
      </c>
      <c r="G32" s="4" t="b">
        <v>0</v>
      </c>
      <c r="H32" s="4">
        <v>0</v>
      </c>
      <c r="I32" s="4">
        <v>2</v>
      </c>
      <c r="J32" s="4">
        <v>0.4</v>
      </c>
      <c r="K32" s="6" t="str">
        <f>IF(H32=0,"weekend",IF(H32=6,"weekend","weekend"))</f>
        <v>weekend</v>
      </c>
      <c r="L32" s="3" t="str">
        <f>IF(C32=1,"Spring",IF(C32=2,"Summer",IF(C32=3,"Fall","Winter")))</f>
        <v>Spring</v>
      </c>
      <c r="M32" s="3">
        <f>SUM(J32:J56)</f>
        <v>7.0199999999999987</v>
      </c>
      <c r="N32" s="3">
        <f>AVERAGE(J32:J641)</f>
        <v>0.18824137931034482</v>
      </c>
      <c r="O32" s="3">
        <f>COUNT(J32:J641)</f>
        <v>580</v>
      </c>
      <c r="P32" s="3" t="str">
        <f>TEXT(J32,"0.00")</f>
        <v>0.40</v>
      </c>
      <c r="Q32" s="3" t="str">
        <f>LEFT(L32,3)</f>
        <v>Spr</v>
      </c>
      <c r="R32" s="42" t="str">
        <f>RIGHT(L32,3)</f>
        <v>ing</v>
      </c>
      <c r="S32" s="42">
        <f>LEN(L32)</f>
        <v>6</v>
      </c>
      <c r="T32" s="3" t="str">
        <f>A32&amp;"|"&amp;B32&amp;"|"&amp;F32</f>
        <v>31|40575|7</v>
      </c>
      <c r="U32" s="3">
        <f t="shared" si="0"/>
        <v>610</v>
      </c>
      <c r="V32" s="3">
        <f t="shared" si="1"/>
        <v>120.10000000000005</v>
      </c>
      <c r="W32" s="50">
        <f t="shared" si="2"/>
        <v>8.1303845032683911E-2</v>
      </c>
      <c r="X32" s="50">
        <f t="shared" si="3"/>
        <v>0.16514794964716251</v>
      </c>
    </row>
    <row r="33" spans="1:24" x14ac:dyDescent="0.2">
      <c r="A33" s="4">
        <v>32</v>
      </c>
      <c r="B33" s="5">
        <v>40575</v>
      </c>
      <c r="C33" s="4">
        <v>1</v>
      </c>
      <c r="D33" s="4">
        <v>0</v>
      </c>
      <c r="E33" s="4">
        <v>1</v>
      </c>
      <c r="F33" s="4">
        <v>8</v>
      </c>
      <c r="G33" s="4" t="b">
        <v>0</v>
      </c>
      <c r="H33" s="4">
        <v>0</v>
      </c>
      <c r="I33" s="4">
        <v>3</v>
      </c>
      <c r="J33" s="4">
        <v>0.4</v>
      </c>
      <c r="K33" s="6" t="str">
        <f>IF(H33=0,"weekend",IF(H33=6,"weekend","weekend"))</f>
        <v>weekend</v>
      </c>
      <c r="L33" s="3" t="str">
        <f>IF(C33=1,"Spring",IF(C33=2,"Summer",IF(C33=3,"Fall","Winter")))</f>
        <v>Spring</v>
      </c>
      <c r="M33" s="3">
        <f>SUM(J33:J57)</f>
        <v>6.799999999999998</v>
      </c>
      <c r="N33" s="3">
        <f>AVERAGE(J33:J642)</f>
        <v>0.18787564766839376</v>
      </c>
      <c r="O33" s="3">
        <f>COUNT(J33:J642)</f>
        <v>579</v>
      </c>
      <c r="P33" s="3" t="str">
        <f>TEXT(J33,"0.00")</f>
        <v>0.40</v>
      </c>
      <c r="Q33" s="3" t="str">
        <f>LEFT(L33,3)</f>
        <v>Spr</v>
      </c>
      <c r="R33" s="42" t="str">
        <f>RIGHT(L33,3)</f>
        <v>ing</v>
      </c>
      <c r="S33" s="42">
        <f>LEN(L33)</f>
        <v>6</v>
      </c>
      <c r="T33" s="3" t="str">
        <f>A33&amp;"|"&amp;B33&amp;"|"&amp;F33</f>
        <v>32|40575|8</v>
      </c>
      <c r="U33" s="3">
        <f t="shared" si="0"/>
        <v>610</v>
      </c>
      <c r="V33" s="3">
        <f t="shared" si="1"/>
        <v>120.10000000000005</v>
      </c>
      <c r="W33" s="50">
        <f t="shared" si="2"/>
        <v>8.1303845032683911E-2</v>
      </c>
      <c r="X33" s="50">
        <f t="shared" si="3"/>
        <v>0.16514794964716251</v>
      </c>
    </row>
    <row r="34" spans="1:24" x14ac:dyDescent="0.2">
      <c r="A34" s="4">
        <v>33</v>
      </c>
      <c r="B34" s="5">
        <v>40575</v>
      </c>
      <c r="C34" s="4">
        <v>1</v>
      </c>
      <c r="D34" s="4">
        <v>0</v>
      </c>
      <c r="E34" s="4">
        <v>1</v>
      </c>
      <c r="F34" s="4">
        <v>9</v>
      </c>
      <c r="G34" s="4" t="b">
        <v>0</v>
      </c>
      <c r="H34" s="4">
        <v>0</v>
      </c>
      <c r="I34" s="4">
        <v>2</v>
      </c>
      <c r="J34" s="4">
        <v>0.38</v>
      </c>
      <c r="K34" s="6" t="str">
        <f>IF(H34=0,"weekend",IF(H34=6,"weekend","weekend"))</f>
        <v>weekend</v>
      </c>
      <c r="L34" s="3" t="str">
        <f>IF(C34=1,"Spring",IF(C34=2,"Summer",IF(C34=3,"Fall","Winter")))</f>
        <v>Spring</v>
      </c>
      <c r="M34" s="3">
        <f>SUM(J34:J58)</f>
        <v>6.5999999999999979</v>
      </c>
      <c r="N34" s="3">
        <f>AVERAGE(J34:J643)</f>
        <v>0.18750865051903112</v>
      </c>
      <c r="O34" s="3">
        <f>COUNT(J34:J643)</f>
        <v>578</v>
      </c>
      <c r="P34" s="3" t="str">
        <f>TEXT(J34,"0.00")</f>
        <v>0.38</v>
      </c>
      <c r="Q34" s="3" t="str">
        <f>LEFT(L34,3)</f>
        <v>Spr</v>
      </c>
      <c r="R34" s="42" t="str">
        <f>RIGHT(L34,3)</f>
        <v>ing</v>
      </c>
      <c r="S34" s="42">
        <f>LEN(L34)</f>
        <v>6</v>
      </c>
      <c r="T34" s="3" t="str">
        <f>A34&amp;"|"&amp;B34&amp;"|"&amp;F34</f>
        <v>33|40575|9</v>
      </c>
      <c r="U34" s="3">
        <f t="shared" si="0"/>
        <v>610</v>
      </c>
      <c r="V34" s="3">
        <f t="shared" si="1"/>
        <v>120.10000000000005</v>
      </c>
      <c r="W34" s="50">
        <f t="shared" si="2"/>
        <v>8.1303845032683911E-2</v>
      </c>
      <c r="X34" s="50">
        <f t="shared" si="3"/>
        <v>0.16514794964716251</v>
      </c>
    </row>
    <row r="35" spans="1:24" x14ac:dyDescent="0.2">
      <c r="A35" s="4">
        <v>34</v>
      </c>
      <c r="B35" s="5">
        <v>40575</v>
      </c>
      <c r="C35" s="4">
        <v>1</v>
      </c>
      <c r="D35" s="4">
        <v>0</v>
      </c>
      <c r="E35" s="4">
        <v>1</v>
      </c>
      <c r="F35" s="4">
        <v>10</v>
      </c>
      <c r="G35" s="4" t="b">
        <v>0</v>
      </c>
      <c r="H35" s="4">
        <v>0</v>
      </c>
      <c r="I35" s="4">
        <v>2</v>
      </c>
      <c r="J35" s="4">
        <v>0.36</v>
      </c>
      <c r="K35" s="6" t="str">
        <f>IF(H35=0,"weekend",IF(H35=6,"weekend","weekend"))</f>
        <v>weekend</v>
      </c>
      <c r="L35" s="3" t="str">
        <f>IF(C35=1,"Spring",IF(C35=2,"Summer",IF(C35=3,"Fall","Winter")))</f>
        <v>Spring</v>
      </c>
      <c r="M35" s="3">
        <f>SUM(J35:J59)</f>
        <v>6.4399999999999977</v>
      </c>
      <c r="N35" s="3">
        <f>AVERAGE(J35:J644)</f>
        <v>0.18717504332755633</v>
      </c>
      <c r="O35" s="3">
        <f>COUNT(J35:J644)</f>
        <v>577</v>
      </c>
      <c r="P35" s="3" t="str">
        <f>TEXT(J35,"0.00")</f>
        <v>0.36</v>
      </c>
      <c r="Q35" s="3" t="str">
        <f>LEFT(L35,3)</f>
        <v>Spr</v>
      </c>
      <c r="R35" s="42" t="str">
        <f>RIGHT(L35,3)</f>
        <v>ing</v>
      </c>
      <c r="S35" s="42">
        <f>LEN(L35)</f>
        <v>6</v>
      </c>
      <c r="T35" s="3" t="str">
        <f>A35&amp;"|"&amp;B35&amp;"|"&amp;F35</f>
        <v>34|40575|10</v>
      </c>
      <c r="U35" s="3">
        <f t="shared" si="0"/>
        <v>610</v>
      </c>
      <c r="V35" s="3">
        <f t="shared" si="1"/>
        <v>120.10000000000005</v>
      </c>
      <c r="W35" s="50">
        <f t="shared" si="2"/>
        <v>8.1303845032683911E-2</v>
      </c>
      <c r="X35" s="50">
        <f t="shared" si="3"/>
        <v>0.16514794964716251</v>
      </c>
    </row>
    <row r="36" spans="1:24" x14ac:dyDescent="0.2">
      <c r="A36" s="4">
        <v>35</v>
      </c>
      <c r="B36" s="5">
        <v>40575</v>
      </c>
      <c r="C36" s="4">
        <v>1</v>
      </c>
      <c r="D36" s="4">
        <v>0</v>
      </c>
      <c r="E36" s="4">
        <v>1</v>
      </c>
      <c r="F36" s="4">
        <v>11</v>
      </c>
      <c r="G36" s="4" t="b">
        <v>0</v>
      </c>
      <c r="H36" s="4">
        <v>0</v>
      </c>
      <c r="I36" s="4">
        <v>2</v>
      </c>
      <c r="J36" s="4">
        <v>0.36</v>
      </c>
      <c r="K36" s="6" t="str">
        <f>IF(H36=0,"weekend",IF(H36=6,"weekend","weekend"))</f>
        <v>weekend</v>
      </c>
      <c r="L36" s="3" t="str">
        <f>IF(C36=1,"Spring",IF(C36=2,"Summer",IF(C36=3,"Fall","Winter")))</f>
        <v>Spring</v>
      </c>
      <c r="M36" s="3">
        <f>SUM(J36:J60)</f>
        <v>6.3199999999999985</v>
      </c>
      <c r="N36" s="3">
        <f>AVERAGE(J36:J645)</f>
        <v>0.18687500000000001</v>
      </c>
      <c r="O36" s="3">
        <f>COUNT(J36:J645)</f>
        <v>576</v>
      </c>
      <c r="P36" s="3" t="str">
        <f>TEXT(J36,"0.00")</f>
        <v>0.36</v>
      </c>
      <c r="Q36" s="3" t="str">
        <f>LEFT(L36,3)</f>
        <v>Spr</v>
      </c>
      <c r="R36" s="42" t="str">
        <f>RIGHT(L36,3)</f>
        <v>ing</v>
      </c>
      <c r="S36" s="42">
        <f>LEN(L36)</f>
        <v>6</v>
      </c>
      <c r="T36" s="3" t="str">
        <f>A36&amp;"|"&amp;B36&amp;"|"&amp;F36</f>
        <v>35|40575|11</v>
      </c>
      <c r="U36" s="3">
        <f t="shared" si="0"/>
        <v>610</v>
      </c>
      <c r="V36" s="3">
        <f t="shared" si="1"/>
        <v>120.10000000000005</v>
      </c>
      <c r="W36" s="50">
        <f t="shared" si="2"/>
        <v>8.1303845032683911E-2</v>
      </c>
      <c r="X36" s="50">
        <f t="shared" si="3"/>
        <v>0.16514794964716251</v>
      </c>
    </row>
    <row r="37" spans="1:24" x14ac:dyDescent="0.2">
      <c r="A37" s="4">
        <v>36</v>
      </c>
      <c r="B37" s="5">
        <v>40575</v>
      </c>
      <c r="C37" s="4">
        <v>1</v>
      </c>
      <c r="D37" s="4">
        <v>0</v>
      </c>
      <c r="E37" s="4">
        <v>1</v>
      </c>
      <c r="F37" s="4">
        <v>12</v>
      </c>
      <c r="G37" s="4" t="b">
        <v>0</v>
      </c>
      <c r="H37" s="4">
        <v>0</v>
      </c>
      <c r="I37" s="4">
        <v>2</v>
      </c>
      <c r="J37" s="4">
        <v>0.36</v>
      </c>
      <c r="K37" s="6" t="str">
        <f>IF(H37=0,"weekend",IF(H37=6,"weekend","weekend"))</f>
        <v>weekend</v>
      </c>
      <c r="L37" s="3" t="str">
        <f>IF(C37=1,"Spring",IF(C37=2,"Summer",IF(C37=3,"Fall","Winter")))</f>
        <v>Spring</v>
      </c>
      <c r="M37" s="3">
        <f>SUM(J37:J61)</f>
        <v>6.22</v>
      </c>
      <c r="N37" s="3">
        <f>AVERAGE(J37:J646)</f>
        <v>0.18657391304347823</v>
      </c>
      <c r="O37" s="3">
        <f>COUNT(J37:J646)</f>
        <v>575</v>
      </c>
      <c r="P37" s="3" t="str">
        <f>TEXT(J37,"0.00")</f>
        <v>0.36</v>
      </c>
      <c r="Q37" s="3" t="str">
        <f>LEFT(L37,3)</f>
        <v>Spr</v>
      </c>
      <c r="R37" s="42" t="str">
        <f>RIGHT(L37,3)</f>
        <v>ing</v>
      </c>
      <c r="S37" s="42">
        <f>LEN(L37)</f>
        <v>6</v>
      </c>
      <c r="T37" s="3" t="str">
        <f>A37&amp;"|"&amp;B37&amp;"|"&amp;F37</f>
        <v>36|40575|12</v>
      </c>
      <c r="U37" s="3">
        <f t="shared" si="0"/>
        <v>610</v>
      </c>
      <c r="V37" s="3">
        <f t="shared" si="1"/>
        <v>120.10000000000005</v>
      </c>
      <c r="W37" s="50">
        <f t="shared" si="2"/>
        <v>8.1303845032683911E-2</v>
      </c>
      <c r="X37" s="50">
        <f t="shared" si="3"/>
        <v>0.16514794964716251</v>
      </c>
    </row>
    <row r="38" spans="1:24" x14ac:dyDescent="0.2">
      <c r="A38" s="4">
        <v>37</v>
      </c>
      <c r="B38" s="5">
        <v>40575</v>
      </c>
      <c r="C38" s="4">
        <v>1</v>
      </c>
      <c r="D38" s="4">
        <v>0</v>
      </c>
      <c r="E38" s="4">
        <v>1</v>
      </c>
      <c r="F38" s="4">
        <v>13</v>
      </c>
      <c r="G38" s="4" t="b">
        <v>0</v>
      </c>
      <c r="H38" s="4">
        <v>0</v>
      </c>
      <c r="I38" s="4">
        <v>2</v>
      </c>
      <c r="J38" s="4">
        <v>0.36</v>
      </c>
      <c r="K38" s="6" t="str">
        <f>IF(H38=0,"weekend",IF(H38=6,"weekend","weekend"))</f>
        <v>weekend</v>
      </c>
      <c r="L38" s="3" t="str">
        <f>IF(C38=1,"Spring",IF(C38=2,"Summer",IF(C38=3,"Fall","Winter")))</f>
        <v>Spring</v>
      </c>
      <c r="M38" s="3">
        <f>SUM(J38:J62)</f>
        <v>6.1199999999999992</v>
      </c>
      <c r="N38" s="3">
        <f>AVERAGE(J38:J647)</f>
        <v>0.1862717770034843</v>
      </c>
      <c r="O38" s="3">
        <f>COUNT(J38:J647)</f>
        <v>574</v>
      </c>
      <c r="P38" s="3" t="str">
        <f>TEXT(J38,"0.00")</f>
        <v>0.36</v>
      </c>
      <c r="Q38" s="3" t="str">
        <f>LEFT(L38,3)</f>
        <v>Spr</v>
      </c>
      <c r="R38" s="42" t="str">
        <f>RIGHT(L38,3)</f>
        <v>ing</v>
      </c>
      <c r="S38" s="42">
        <f>LEN(L38)</f>
        <v>6</v>
      </c>
      <c r="T38" s="3" t="str">
        <f>A38&amp;"|"&amp;B38&amp;"|"&amp;F38</f>
        <v>37|40575|13</v>
      </c>
      <c r="U38" s="3">
        <f t="shared" si="0"/>
        <v>610</v>
      </c>
      <c r="V38" s="3">
        <f t="shared" si="1"/>
        <v>120.10000000000005</v>
      </c>
      <c r="W38" s="50">
        <f t="shared" si="2"/>
        <v>8.1303845032683911E-2</v>
      </c>
      <c r="X38" s="50">
        <f t="shared" si="3"/>
        <v>0.16514794964716251</v>
      </c>
    </row>
    <row r="39" spans="1:24" x14ac:dyDescent="0.2">
      <c r="A39" s="4">
        <v>38</v>
      </c>
      <c r="B39" s="5">
        <v>40575</v>
      </c>
      <c r="C39" s="4">
        <v>1</v>
      </c>
      <c r="D39" s="4">
        <v>0</v>
      </c>
      <c r="E39" s="4">
        <v>1</v>
      </c>
      <c r="F39" s="4">
        <v>14</v>
      </c>
      <c r="G39" s="4" t="b">
        <v>0</v>
      </c>
      <c r="H39" s="4">
        <v>0</v>
      </c>
      <c r="I39" s="4">
        <v>3</v>
      </c>
      <c r="J39" s="4">
        <v>0.36</v>
      </c>
      <c r="K39" s="6" t="str">
        <f>IF(H39=0,"weekend",IF(H39=6,"weekend","weekend"))</f>
        <v>weekend</v>
      </c>
      <c r="L39" s="3" t="str">
        <f>IF(C39=1,"Spring",IF(C39=2,"Summer",IF(C39=3,"Fall","Winter")))</f>
        <v>Spring</v>
      </c>
      <c r="M39" s="3">
        <f>SUM(J39:J63)</f>
        <v>6.0200000000000005</v>
      </c>
      <c r="N39" s="3">
        <f>AVERAGE(J39:J648)</f>
        <v>0.18596858638743455</v>
      </c>
      <c r="O39" s="3">
        <f>COUNT(J39:J648)</f>
        <v>573</v>
      </c>
      <c r="P39" s="3" t="str">
        <f>TEXT(J39,"0.00")</f>
        <v>0.36</v>
      </c>
      <c r="Q39" s="3" t="str">
        <f>LEFT(L39,3)</f>
        <v>Spr</v>
      </c>
      <c r="R39" s="42" t="str">
        <f>RIGHT(L39,3)</f>
        <v>ing</v>
      </c>
      <c r="S39" s="42">
        <f>LEN(L39)</f>
        <v>6</v>
      </c>
      <c r="T39" s="3" t="str">
        <f>A39&amp;"|"&amp;B39&amp;"|"&amp;F39</f>
        <v>38|40575|14</v>
      </c>
      <c r="U39" s="3">
        <f t="shared" si="0"/>
        <v>610</v>
      </c>
      <c r="V39" s="3">
        <f t="shared" si="1"/>
        <v>120.10000000000005</v>
      </c>
      <c r="W39" s="50">
        <f t="shared" si="2"/>
        <v>8.1303845032683911E-2</v>
      </c>
      <c r="X39" s="50">
        <f t="shared" si="3"/>
        <v>0.16514794964716251</v>
      </c>
    </row>
    <row r="40" spans="1:24" x14ac:dyDescent="0.2">
      <c r="A40" s="4">
        <v>39</v>
      </c>
      <c r="B40" s="5">
        <v>40575</v>
      </c>
      <c r="C40" s="4">
        <v>1</v>
      </c>
      <c r="D40" s="4">
        <v>0</v>
      </c>
      <c r="E40" s="4">
        <v>1</v>
      </c>
      <c r="F40" s="4">
        <v>15</v>
      </c>
      <c r="G40" s="4" t="b">
        <v>0</v>
      </c>
      <c r="H40" s="4">
        <v>0</v>
      </c>
      <c r="I40" s="4">
        <v>3</v>
      </c>
      <c r="J40" s="4">
        <v>0.34</v>
      </c>
      <c r="K40" s="6" t="str">
        <f>IF(H40=0,"weekend",IF(H40=6,"weekend","weekend"))</f>
        <v>weekend</v>
      </c>
      <c r="L40" s="3" t="str">
        <f>IF(C40=1,"Spring",IF(C40=2,"Summer",IF(C40=3,"Fall","Winter")))</f>
        <v>Spring</v>
      </c>
      <c r="M40" s="3">
        <f>SUM(J40:J64)</f>
        <v>5.9</v>
      </c>
      <c r="N40" s="3">
        <f>AVERAGE(J40:J649)</f>
        <v>0.18566433566433566</v>
      </c>
      <c r="O40" s="3">
        <f>COUNT(J40:J649)</f>
        <v>572</v>
      </c>
      <c r="P40" s="3" t="str">
        <f>TEXT(J40,"0.00")</f>
        <v>0.34</v>
      </c>
      <c r="Q40" s="3" t="str">
        <f>LEFT(L40,3)</f>
        <v>Spr</v>
      </c>
      <c r="R40" s="42" t="str">
        <f>RIGHT(L40,3)</f>
        <v>ing</v>
      </c>
      <c r="S40" s="42">
        <f>LEN(L40)</f>
        <v>6</v>
      </c>
      <c r="T40" s="3" t="str">
        <f>A40&amp;"|"&amp;B40&amp;"|"&amp;F40</f>
        <v>39|40575|15</v>
      </c>
      <c r="U40" s="3">
        <f t="shared" si="0"/>
        <v>610</v>
      </c>
      <c r="V40" s="3">
        <f t="shared" si="1"/>
        <v>120.10000000000005</v>
      </c>
      <c r="W40" s="50">
        <f t="shared" si="2"/>
        <v>8.1303845032683911E-2</v>
      </c>
      <c r="X40" s="50">
        <f t="shared" si="3"/>
        <v>0.16514794964716251</v>
      </c>
    </row>
    <row r="41" spans="1:24" x14ac:dyDescent="0.2">
      <c r="A41" s="4">
        <v>40</v>
      </c>
      <c r="B41" s="5">
        <v>40575</v>
      </c>
      <c r="C41" s="4">
        <v>1</v>
      </c>
      <c r="D41" s="4">
        <v>0</v>
      </c>
      <c r="E41" s="4">
        <v>1</v>
      </c>
      <c r="F41" s="4">
        <v>16</v>
      </c>
      <c r="G41" s="4" t="b">
        <v>0</v>
      </c>
      <c r="H41" s="4">
        <v>0</v>
      </c>
      <c r="I41" s="4">
        <v>3</v>
      </c>
      <c r="J41" s="4">
        <v>0.34</v>
      </c>
      <c r="K41" s="6" t="str">
        <f>IF(H41=0,"weekend",IF(H41=6,"weekend","weekend"))</f>
        <v>weekend</v>
      </c>
      <c r="L41" s="3" t="str">
        <f>IF(C41=1,"Spring",IF(C41=2,"Summer",IF(C41=3,"Fall","Winter")))</f>
        <v>Spring</v>
      </c>
      <c r="M41" s="3">
        <f>SUM(J41:J65)</f>
        <v>5.8000000000000016</v>
      </c>
      <c r="N41" s="3">
        <f>AVERAGE(J41:J650)</f>
        <v>0.18539404553415056</v>
      </c>
      <c r="O41" s="3">
        <f>COUNT(J41:J650)</f>
        <v>571</v>
      </c>
      <c r="P41" s="3" t="str">
        <f>TEXT(J41,"0.00")</f>
        <v>0.34</v>
      </c>
      <c r="Q41" s="3" t="str">
        <f>LEFT(L41,3)</f>
        <v>Spr</v>
      </c>
      <c r="R41" s="42" t="str">
        <f>RIGHT(L41,3)</f>
        <v>ing</v>
      </c>
      <c r="S41" s="42">
        <f>LEN(L41)</f>
        <v>6</v>
      </c>
      <c r="T41" s="3" t="str">
        <f>A41&amp;"|"&amp;B41&amp;"|"&amp;F41</f>
        <v>40|40575|16</v>
      </c>
      <c r="U41" s="3">
        <f t="shared" si="0"/>
        <v>610</v>
      </c>
      <c r="V41" s="3">
        <f t="shared" si="1"/>
        <v>120.10000000000005</v>
      </c>
      <c r="W41" s="50">
        <f t="shared" si="2"/>
        <v>8.1303845032683911E-2</v>
      </c>
      <c r="X41" s="50">
        <f t="shared" si="3"/>
        <v>0.16514794964716251</v>
      </c>
    </row>
    <row r="42" spans="1:24" x14ac:dyDescent="0.2">
      <c r="A42" s="4">
        <v>41</v>
      </c>
      <c r="B42" s="5">
        <v>40575</v>
      </c>
      <c r="C42" s="4">
        <v>1</v>
      </c>
      <c r="D42" s="4">
        <v>0</v>
      </c>
      <c r="E42" s="4">
        <v>1</v>
      </c>
      <c r="F42" s="4">
        <v>17</v>
      </c>
      <c r="G42" s="4" t="b">
        <v>0</v>
      </c>
      <c r="H42" s="4">
        <v>0</v>
      </c>
      <c r="I42" s="4">
        <v>1</v>
      </c>
      <c r="J42" s="4">
        <v>0.34</v>
      </c>
      <c r="K42" s="6" t="str">
        <f>IF(H42=0,"weekend",IF(H42=6,"weekend","weekend"))</f>
        <v>weekend</v>
      </c>
      <c r="L42" s="3" t="str">
        <f>IF(C42=1,"Spring",IF(C42=2,"Summer",IF(C42=3,"Fall","Winter")))</f>
        <v>Spring</v>
      </c>
      <c r="M42" s="3">
        <f>SUM(J42:J66)</f>
        <v>5.6600000000000019</v>
      </c>
      <c r="N42" s="3">
        <f>AVERAGE(J42:J651)</f>
        <v>0.1851228070175438</v>
      </c>
      <c r="O42" s="3">
        <f>COUNT(J42:J651)</f>
        <v>570</v>
      </c>
      <c r="P42" s="3" t="str">
        <f>TEXT(J42,"0.00")</f>
        <v>0.34</v>
      </c>
      <c r="Q42" s="3" t="str">
        <f>LEFT(L42,3)</f>
        <v>Spr</v>
      </c>
      <c r="R42" s="42" t="str">
        <f>RIGHT(L42,3)</f>
        <v>ing</v>
      </c>
      <c r="S42" s="42">
        <f>LEN(L42)</f>
        <v>6</v>
      </c>
      <c r="T42" s="3" t="str">
        <f>A42&amp;"|"&amp;B42&amp;"|"&amp;F42</f>
        <v>41|40575|17</v>
      </c>
      <c r="U42" s="3">
        <f t="shared" si="0"/>
        <v>610</v>
      </c>
      <c r="V42" s="3">
        <f t="shared" si="1"/>
        <v>120.10000000000005</v>
      </c>
      <c r="W42" s="50">
        <f t="shared" si="2"/>
        <v>8.1303845032683911E-2</v>
      </c>
      <c r="X42" s="50">
        <f t="shared" si="3"/>
        <v>0.16514794964716251</v>
      </c>
    </row>
    <row r="43" spans="1:24" x14ac:dyDescent="0.2">
      <c r="A43" s="4">
        <v>42</v>
      </c>
      <c r="B43" s="5">
        <v>40575</v>
      </c>
      <c r="C43" s="4">
        <v>1</v>
      </c>
      <c r="D43" s="4">
        <v>0</v>
      </c>
      <c r="E43" s="4">
        <v>1</v>
      </c>
      <c r="F43" s="4">
        <v>18</v>
      </c>
      <c r="G43" s="4" t="b">
        <v>0</v>
      </c>
      <c r="H43" s="4">
        <v>0</v>
      </c>
      <c r="I43" s="4">
        <v>2</v>
      </c>
      <c r="J43" s="4">
        <v>0.36</v>
      </c>
      <c r="K43" s="6" t="str">
        <f>IF(H43=0,"weekend",IF(H43=6,"weekend","weekend"))</f>
        <v>weekend</v>
      </c>
      <c r="L43" s="3" t="str">
        <f>IF(C43=1,"Spring",IF(C43=2,"Summer",IF(C43=3,"Fall","Winter")))</f>
        <v>Spring</v>
      </c>
      <c r="M43" s="3">
        <f>SUM(J43:J67)</f>
        <v>5.5200000000000014</v>
      </c>
      <c r="N43" s="3">
        <f>AVERAGE(J43:J652)</f>
        <v>0.18485061511423545</v>
      </c>
      <c r="O43" s="3">
        <f>COUNT(J43:J652)</f>
        <v>569</v>
      </c>
      <c r="P43" s="3" t="str">
        <f>TEXT(J43,"0.00")</f>
        <v>0.36</v>
      </c>
      <c r="Q43" s="3" t="str">
        <f>LEFT(L43,3)</f>
        <v>Spr</v>
      </c>
      <c r="R43" s="42" t="str">
        <f>RIGHT(L43,3)</f>
        <v>ing</v>
      </c>
      <c r="S43" s="42">
        <f>LEN(L43)</f>
        <v>6</v>
      </c>
      <c r="T43" s="3" t="str">
        <f>A43&amp;"|"&amp;B43&amp;"|"&amp;F43</f>
        <v>42|40575|18</v>
      </c>
      <c r="U43" s="3">
        <f t="shared" si="0"/>
        <v>610</v>
      </c>
      <c r="V43" s="3">
        <f t="shared" si="1"/>
        <v>120.10000000000005</v>
      </c>
      <c r="W43" s="50">
        <f t="shared" si="2"/>
        <v>8.1303845032683911E-2</v>
      </c>
      <c r="X43" s="50">
        <f t="shared" si="3"/>
        <v>0.16514794964716251</v>
      </c>
    </row>
    <row r="44" spans="1:24" x14ac:dyDescent="0.2">
      <c r="A44" s="4">
        <v>43</v>
      </c>
      <c r="B44" s="5">
        <v>40575</v>
      </c>
      <c r="C44" s="4">
        <v>1</v>
      </c>
      <c r="D44" s="4">
        <v>0</v>
      </c>
      <c r="E44" s="4">
        <v>1</v>
      </c>
      <c r="F44" s="4">
        <v>19</v>
      </c>
      <c r="G44" s="4" t="b">
        <v>0</v>
      </c>
      <c r="H44" s="4">
        <v>0</v>
      </c>
      <c r="I44" s="4">
        <v>1</v>
      </c>
      <c r="J44" s="4">
        <v>0.32</v>
      </c>
      <c r="K44" s="6" t="str">
        <f>IF(H44=0,"weekend",IF(H44=6,"weekend","weekend"))</f>
        <v>weekend</v>
      </c>
      <c r="L44" s="3" t="str">
        <f>IF(C44=1,"Spring",IF(C44=2,"Summer",IF(C44=3,"Fall","Winter")))</f>
        <v>Spring</v>
      </c>
      <c r="M44" s="3">
        <f>SUM(J44:J68)</f>
        <v>5.3400000000000007</v>
      </c>
      <c r="N44" s="3">
        <f>AVERAGE(J44:J653)</f>
        <v>0.18454225352112669</v>
      </c>
      <c r="O44" s="3">
        <f>COUNT(J44:J653)</f>
        <v>568</v>
      </c>
      <c r="P44" s="3" t="str">
        <f>TEXT(J44,"0.00")</f>
        <v>0.32</v>
      </c>
      <c r="Q44" s="3" t="str">
        <f>LEFT(L44,3)</f>
        <v>Spr</v>
      </c>
      <c r="R44" s="42" t="str">
        <f>RIGHT(L44,3)</f>
        <v>ing</v>
      </c>
      <c r="S44" s="42">
        <f>LEN(L44)</f>
        <v>6</v>
      </c>
      <c r="T44" s="3" t="str">
        <f>A44&amp;"|"&amp;B44&amp;"|"&amp;F44</f>
        <v>43|40575|19</v>
      </c>
      <c r="U44" s="3">
        <f t="shared" si="0"/>
        <v>610</v>
      </c>
      <c r="V44" s="3">
        <f t="shared" si="1"/>
        <v>120.10000000000005</v>
      </c>
      <c r="W44" s="50">
        <f t="shared" si="2"/>
        <v>8.1303845032683911E-2</v>
      </c>
      <c r="X44" s="50">
        <f t="shared" si="3"/>
        <v>0.16514794964716251</v>
      </c>
    </row>
    <row r="45" spans="1:24" x14ac:dyDescent="0.2">
      <c r="A45" s="4">
        <v>44</v>
      </c>
      <c r="B45" s="5">
        <v>40575</v>
      </c>
      <c r="C45" s="4">
        <v>1</v>
      </c>
      <c r="D45" s="4">
        <v>0</v>
      </c>
      <c r="E45" s="4">
        <v>1</v>
      </c>
      <c r="F45" s="4">
        <v>20</v>
      </c>
      <c r="G45" s="4" t="b">
        <v>0</v>
      </c>
      <c r="H45" s="4">
        <v>0</v>
      </c>
      <c r="I45" s="4">
        <v>1</v>
      </c>
      <c r="J45" s="4">
        <v>0.3</v>
      </c>
      <c r="K45" s="6" t="str">
        <f>IF(H45=0,"weekend",IF(H45=6,"weekend","weekend"))</f>
        <v>weekend</v>
      </c>
      <c r="L45" s="3" t="str">
        <f>IF(C45=1,"Spring",IF(C45=2,"Summer",IF(C45=3,"Fall","Winter")))</f>
        <v>Spring</v>
      </c>
      <c r="M45" s="3">
        <f>SUM(J45:J69)</f>
        <v>5.16</v>
      </c>
      <c r="N45" s="3">
        <f>AVERAGE(J45:J654)</f>
        <v>0.18430335097001757</v>
      </c>
      <c r="O45" s="3">
        <f>COUNT(J45:J654)</f>
        <v>567</v>
      </c>
      <c r="P45" s="3" t="str">
        <f>TEXT(J45,"0.00")</f>
        <v>0.30</v>
      </c>
      <c r="Q45" s="3" t="str">
        <f>LEFT(L45,3)</f>
        <v>Spr</v>
      </c>
      <c r="R45" s="42" t="str">
        <f>RIGHT(L45,3)</f>
        <v>ing</v>
      </c>
      <c r="S45" s="42">
        <f>LEN(L45)</f>
        <v>6</v>
      </c>
      <c r="T45" s="3" t="str">
        <f>A45&amp;"|"&amp;B45&amp;"|"&amp;F45</f>
        <v>44|40575|20</v>
      </c>
      <c r="U45" s="3">
        <f t="shared" si="0"/>
        <v>610</v>
      </c>
      <c r="V45" s="3">
        <f t="shared" si="1"/>
        <v>120.10000000000005</v>
      </c>
      <c r="W45" s="50">
        <f t="shared" si="2"/>
        <v>8.1303845032683911E-2</v>
      </c>
      <c r="X45" s="50">
        <f t="shared" si="3"/>
        <v>0.16514794964716251</v>
      </c>
    </row>
    <row r="46" spans="1:24" x14ac:dyDescent="0.2">
      <c r="A46" s="4">
        <v>45</v>
      </c>
      <c r="B46" s="5">
        <v>40575</v>
      </c>
      <c r="C46" s="4">
        <v>1</v>
      </c>
      <c r="D46" s="4">
        <v>0</v>
      </c>
      <c r="E46" s="4">
        <v>1</v>
      </c>
      <c r="F46" s="4">
        <v>21</v>
      </c>
      <c r="G46" s="4" t="b">
        <v>0</v>
      </c>
      <c r="H46" s="4">
        <v>0</v>
      </c>
      <c r="I46" s="4">
        <v>1</v>
      </c>
      <c r="J46" s="4">
        <v>0.26</v>
      </c>
      <c r="K46" s="6" t="str">
        <f>IF(H46=0,"weekend",IF(H46=6,"weekend","weekend"))</f>
        <v>weekend</v>
      </c>
      <c r="L46" s="3" t="str">
        <f>IF(C46=1,"Spring",IF(C46=2,"Summer",IF(C46=3,"Fall","Winter")))</f>
        <v>Spring</v>
      </c>
      <c r="M46" s="3">
        <f>SUM(J46:J70)</f>
        <v>5.04</v>
      </c>
      <c r="N46" s="3">
        <f>AVERAGE(J46:J655)</f>
        <v>0.18409893992932852</v>
      </c>
      <c r="O46" s="3">
        <f>COUNT(J46:J655)</f>
        <v>566</v>
      </c>
      <c r="P46" s="3" t="str">
        <f>TEXT(J46,"0.00")</f>
        <v>0.26</v>
      </c>
      <c r="Q46" s="3" t="str">
        <f>LEFT(L46,3)</f>
        <v>Spr</v>
      </c>
      <c r="R46" s="42" t="str">
        <f>RIGHT(L46,3)</f>
        <v>ing</v>
      </c>
      <c r="S46" s="42">
        <f>LEN(L46)</f>
        <v>6</v>
      </c>
      <c r="T46" s="3" t="str">
        <f>A46&amp;"|"&amp;B46&amp;"|"&amp;F46</f>
        <v>45|40575|21</v>
      </c>
      <c r="U46" s="3">
        <f t="shared" si="0"/>
        <v>610</v>
      </c>
      <c r="V46" s="3">
        <f t="shared" si="1"/>
        <v>120.10000000000005</v>
      </c>
      <c r="W46" s="50">
        <f t="shared" si="2"/>
        <v>8.1303845032683911E-2</v>
      </c>
      <c r="X46" s="50">
        <f t="shared" si="3"/>
        <v>0.16514794964716251</v>
      </c>
    </row>
    <row r="47" spans="1:24" x14ac:dyDescent="0.2">
      <c r="A47" s="4">
        <v>46</v>
      </c>
      <c r="B47" s="5">
        <v>40575</v>
      </c>
      <c r="C47" s="4">
        <v>1</v>
      </c>
      <c r="D47" s="4">
        <v>0</v>
      </c>
      <c r="E47" s="4">
        <v>1</v>
      </c>
      <c r="F47" s="4">
        <v>22</v>
      </c>
      <c r="G47" s="4" t="b">
        <v>0</v>
      </c>
      <c r="H47" s="4">
        <v>0</v>
      </c>
      <c r="I47" s="4">
        <v>1</v>
      </c>
      <c r="J47" s="4">
        <v>0.24</v>
      </c>
      <c r="K47" s="6" t="str">
        <f>IF(H47=0,"weekend",IF(H47=6,"weekend","weekend"))</f>
        <v>weekend</v>
      </c>
      <c r="L47" s="3" t="str">
        <f>IF(C47=1,"Spring",IF(C47=2,"Summer",IF(C47=3,"Fall","Winter")))</f>
        <v>Spring</v>
      </c>
      <c r="M47" s="3">
        <f>SUM(J47:J71)</f>
        <v>4.9399999999999995</v>
      </c>
      <c r="N47" s="3">
        <f>AVERAGE(J47:J656)</f>
        <v>0.18396460176991142</v>
      </c>
      <c r="O47" s="3">
        <f>COUNT(J47:J656)</f>
        <v>565</v>
      </c>
      <c r="P47" s="3" t="str">
        <f>TEXT(J47,"0.00")</f>
        <v>0.24</v>
      </c>
      <c r="Q47" s="3" t="str">
        <f>LEFT(L47,3)</f>
        <v>Spr</v>
      </c>
      <c r="R47" s="42" t="str">
        <f>RIGHT(L47,3)</f>
        <v>ing</v>
      </c>
      <c r="S47" s="42">
        <f>LEN(L47)</f>
        <v>6</v>
      </c>
      <c r="T47" s="3" t="str">
        <f>A47&amp;"|"&amp;B47&amp;"|"&amp;F47</f>
        <v>46|40575|22</v>
      </c>
      <c r="U47" s="3">
        <f t="shared" si="0"/>
        <v>610</v>
      </c>
      <c r="V47" s="3">
        <f t="shared" si="1"/>
        <v>120.10000000000005</v>
      </c>
      <c r="W47" s="50">
        <f t="shared" si="2"/>
        <v>8.1303845032683911E-2</v>
      </c>
      <c r="X47" s="50">
        <f t="shared" si="3"/>
        <v>0.16514794964716251</v>
      </c>
    </row>
    <row r="48" spans="1:24" x14ac:dyDescent="0.2">
      <c r="A48" s="4">
        <v>47</v>
      </c>
      <c r="B48" s="5">
        <v>40575</v>
      </c>
      <c r="C48" s="4">
        <v>1</v>
      </c>
      <c r="D48" s="4">
        <v>0</v>
      </c>
      <c r="E48" s="4">
        <v>1</v>
      </c>
      <c r="F48" s="4">
        <v>23</v>
      </c>
      <c r="G48" s="4" t="b">
        <v>0</v>
      </c>
      <c r="H48" s="4">
        <v>0</v>
      </c>
      <c r="I48" s="4">
        <v>1</v>
      </c>
      <c r="J48" s="4">
        <v>0.22</v>
      </c>
      <c r="K48" s="6" t="str">
        <f>IF(H48=0,"weekend",IF(H48=6,"weekend","weekend"))</f>
        <v>weekend</v>
      </c>
      <c r="L48" s="3" t="str">
        <f>IF(C48=1,"Spring",IF(C48=2,"Summer",IF(C48=3,"Fall","Winter")))</f>
        <v>Spring</v>
      </c>
      <c r="M48" s="3">
        <f>SUM(J48:J72)</f>
        <v>4.8599999999999994</v>
      </c>
      <c r="N48" s="3">
        <f>AVERAGE(J48:J657)</f>
        <v>0.18386524822695027</v>
      </c>
      <c r="O48" s="3">
        <f>COUNT(J48:J657)</f>
        <v>564</v>
      </c>
      <c r="P48" s="3" t="str">
        <f>TEXT(J48,"0.00")</f>
        <v>0.22</v>
      </c>
      <c r="Q48" s="3" t="str">
        <f>LEFT(L48,3)</f>
        <v>Spr</v>
      </c>
      <c r="R48" s="42" t="str">
        <f>RIGHT(L48,3)</f>
        <v>ing</v>
      </c>
      <c r="S48" s="42">
        <f>LEN(L48)</f>
        <v>6</v>
      </c>
      <c r="T48" s="3" t="str">
        <f>A48&amp;"|"&amp;B48&amp;"|"&amp;F48</f>
        <v>47|40575|23</v>
      </c>
      <c r="U48" s="3">
        <f t="shared" si="0"/>
        <v>610</v>
      </c>
      <c r="V48" s="3">
        <f t="shared" si="1"/>
        <v>120.10000000000005</v>
      </c>
      <c r="W48" s="50">
        <f t="shared" si="2"/>
        <v>8.1303845032683911E-2</v>
      </c>
      <c r="X48" s="50">
        <f t="shared" si="3"/>
        <v>0.16514794964716251</v>
      </c>
    </row>
    <row r="49" spans="1:24" x14ac:dyDescent="0.2">
      <c r="A49" s="4">
        <v>48</v>
      </c>
      <c r="B49" s="5">
        <v>40603</v>
      </c>
      <c r="C49" s="4">
        <v>1</v>
      </c>
      <c r="D49" s="4">
        <v>0</v>
      </c>
      <c r="E49" s="4">
        <v>1</v>
      </c>
      <c r="F49" s="4">
        <v>0</v>
      </c>
      <c r="G49" s="4" t="b">
        <v>0</v>
      </c>
      <c r="H49" s="4">
        <v>1</v>
      </c>
      <c r="I49" s="4">
        <v>1</v>
      </c>
      <c r="J49" s="4">
        <v>0.22</v>
      </c>
      <c r="K49" s="6" t="str">
        <f>IF(H49=0,"weekend",IF(H49=6,"weekend","weekend"))</f>
        <v>weekend</v>
      </c>
      <c r="L49" s="3" t="str">
        <f>IF(C49=1,"Spring",IF(C49=2,"Summer",IF(C49=3,"Fall","Winter")))</f>
        <v>Spring</v>
      </c>
      <c r="M49" s="3">
        <f>SUM(J49:J73)</f>
        <v>4.7799999999999994</v>
      </c>
      <c r="N49" s="3">
        <f>AVERAGE(J49:J658)</f>
        <v>0.1838010657193605</v>
      </c>
      <c r="O49" s="3">
        <f>COUNT(J49:J658)</f>
        <v>563</v>
      </c>
      <c r="P49" s="3" t="str">
        <f>TEXT(J49,"0.00")</f>
        <v>0.22</v>
      </c>
      <c r="Q49" s="3" t="str">
        <f>LEFT(L49,3)</f>
        <v>Spr</v>
      </c>
      <c r="R49" s="42" t="str">
        <f>RIGHT(L49,3)</f>
        <v>ing</v>
      </c>
      <c r="S49" s="42">
        <f>LEN(L49)</f>
        <v>6</v>
      </c>
      <c r="T49" s="3" t="str">
        <f>A49&amp;"|"&amp;B49&amp;"|"&amp;F49</f>
        <v>48|40603|0</v>
      </c>
      <c r="U49" s="3">
        <f t="shared" si="0"/>
        <v>610</v>
      </c>
      <c r="V49" s="3">
        <f t="shared" si="1"/>
        <v>120.10000000000005</v>
      </c>
      <c r="W49" s="50">
        <f t="shared" si="2"/>
        <v>8.1303845032683911E-2</v>
      </c>
      <c r="X49" s="50">
        <f t="shared" si="3"/>
        <v>0.16514794964716251</v>
      </c>
    </row>
    <row r="50" spans="1:24" x14ac:dyDescent="0.2">
      <c r="A50" s="4">
        <v>49</v>
      </c>
      <c r="B50" s="5">
        <v>40603</v>
      </c>
      <c r="C50" s="4">
        <v>1</v>
      </c>
      <c r="D50" s="4">
        <v>0</v>
      </c>
      <c r="E50" s="4">
        <v>1</v>
      </c>
      <c r="F50" s="4">
        <v>1</v>
      </c>
      <c r="G50" s="4" t="b">
        <v>0</v>
      </c>
      <c r="H50" s="4">
        <v>1</v>
      </c>
      <c r="I50" s="4">
        <v>1</v>
      </c>
      <c r="J50" s="4">
        <v>0.2</v>
      </c>
      <c r="K50" s="6" t="str">
        <f>IF(H50=0,"weekend",IF(H50=6,"weekend","weekend"))</f>
        <v>weekend</v>
      </c>
      <c r="L50" s="3" t="str">
        <f>IF(C50=1,"Spring",IF(C50=2,"Summer",IF(C50=3,"Fall","Winter")))</f>
        <v>Spring</v>
      </c>
      <c r="M50" s="3">
        <f>SUM(J50:J74)</f>
        <v>4.7</v>
      </c>
      <c r="N50" s="3">
        <f>AVERAGE(J50:J659)</f>
        <v>0.1837366548042704</v>
      </c>
      <c r="O50" s="3">
        <f>COUNT(J50:J659)</f>
        <v>562</v>
      </c>
      <c r="P50" s="3" t="str">
        <f>TEXT(J50,"0.00")</f>
        <v>0.20</v>
      </c>
      <c r="Q50" s="3" t="str">
        <f>LEFT(L50,3)</f>
        <v>Spr</v>
      </c>
      <c r="R50" s="42" t="str">
        <f>RIGHT(L50,3)</f>
        <v>ing</v>
      </c>
      <c r="S50" s="42">
        <f>LEN(L50)</f>
        <v>6</v>
      </c>
      <c r="T50" s="3" t="str">
        <f>A50&amp;"|"&amp;B50&amp;"|"&amp;F50</f>
        <v>49|40603|1</v>
      </c>
      <c r="U50" s="3">
        <f t="shared" si="0"/>
        <v>610</v>
      </c>
      <c r="V50" s="3">
        <f t="shared" si="1"/>
        <v>120.10000000000005</v>
      </c>
      <c r="W50" s="50">
        <f t="shared" si="2"/>
        <v>8.1303845032683911E-2</v>
      </c>
      <c r="X50" s="50">
        <f t="shared" si="3"/>
        <v>0.16514794964716251</v>
      </c>
    </row>
    <row r="51" spans="1:24" x14ac:dyDescent="0.2">
      <c r="A51" s="4">
        <v>50</v>
      </c>
      <c r="B51" s="5">
        <v>40603</v>
      </c>
      <c r="C51" s="4">
        <v>1</v>
      </c>
      <c r="D51" s="4">
        <v>0</v>
      </c>
      <c r="E51" s="4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0.16</v>
      </c>
      <c r="K51" s="6" t="str">
        <f>IF(H51=0,"weekend",IF(H51=6,"weekend","weekend"))</f>
        <v>weekend</v>
      </c>
      <c r="L51" s="3" t="str">
        <f>IF(C51=1,"Spring",IF(C51=2,"Summer",IF(C51=3,"Fall","Winter")))</f>
        <v>Spring</v>
      </c>
      <c r="M51" s="3">
        <f>SUM(J51:J75)</f>
        <v>4.62</v>
      </c>
      <c r="N51" s="3">
        <f>AVERAGE(J51:J660)</f>
        <v>0.1837076648841354</v>
      </c>
      <c r="O51" s="3">
        <f>COUNT(J51:J660)</f>
        <v>561</v>
      </c>
      <c r="P51" s="3" t="str">
        <f>TEXT(J51,"0.00")</f>
        <v>0.16</v>
      </c>
      <c r="Q51" s="3" t="str">
        <f>LEFT(L51,3)</f>
        <v>Spr</v>
      </c>
      <c r="R51" s="42" t="str">
        <f>RIGHT(L51,3)</f>
        <v>ing</v>
      </c>
      <c r="S51" s="42">
        <f>LEN(L51)</f>
        <v>6</v>
      </c>
      <c r="T51" s="3" t="str">
        <f>A51&amp;"|"&amp;B51&amp;"|"&amp;F51</f>
        <v>50|40603|4</v>
      </c>
      <c r="U51" s="3">
        <f t="shared" si="0"/>
        <v>610</v>
      </c>
      <c r="V51" s="3">
        <f t="shared" si="1"/>
        <v>120.10000000000005</v>
      </c>
      <c r="W51" s="50">
        <f t="shared" si="2"/>
        <v>8.1303845032683911E-2</v>
      </c>
      <c r="X51" s="50">
        <f t="shared" si="3"/>
        <v>0.16514794964716251</v>
      </c>
    </row>
    <row r="52" spans="1:24" x14ac:dyDescent="0.2">
      <c r="A52" s="4">
        <v>51</v>
      </c>
      <c r="B52" s="5">
        <v>40603</v>
      </c>
      <c r="C52" s="4">
        <v>1</v>
      </c>
      <c r="D52" s="4">
        <v>0</v>
      </c>
      <c r="E52" s="4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0.16</v>
      </c>
      <c r="K52" s="6" t="str">
        <f>IF(H52=0,"weekend",IF(H52=6,"weekend","weekend"))</f>
        <v>weekend</v>
      </c>
      <c r="L52" s="3" t="str">
        <f>IF(C52=1,"Spring",IF(C52=2,"Summer",IF(C52=3,"Fall","Winter")))</f>
        <v>Spring</v>
      </c>
      <c r="M52" s="3">
        <f>SUM(J52:J76)</f>
        <v>4.580000000000001</v>
      </c>
      <c r="N52" s="3">
        <f>AVERAGE(J52:J661)</f>
        <v>0.18374999999999991</v>
      </c>
      <c r="O52" s="3">
        <f>COUNT(J52:J661)</f>
        <v>560</v>
      </c>
      <c r="P52" s="3" t="str">
        <f>TEXT(J52,"0.00")</f>
        <v>0.16</v>
      </c>
      <c r="Q52" s="3" t="str">
        <f>LEFT(L52,3)</f>
        <v>Spr</v>
      </c>
      <c r="R52" s="42" t="str">
        <f>RIGHT(L52,3)</f>
        <v>ing</v>
      </c>
      <c r="S52" s="42">
        <f>LEN(L52)</f>
        <v>6</v>
      </c>
      <c r="T52" s="3" t="str">
        <f>A52&amp;"|"&amp;B52&amp;"|"&amp;F52</f>
        <v>51|40603|5</v>
      </c>
      <c r="U52" s="3">
        <f t="shared" si="0"/>
        <v>610</v>
      </c>
      <c r="V52" s="3">
        <f t="shared" si="1"/>
        <v>120.10000000000005</v>
      </c>
      <c r="W52" s="50">
        <f t="shared" si="2"/>
        <v>8.1303845032683911E-2</v>
      </c>
      <c r="X52" s="50">
        <f t="shared" si="3"/>
        <v>0.16514794964716251</v>
      </c>
    </row>
    <row r="53" spans="1:24" x14ac:dyDescent="0.2">
      <c r="A53" s="4">
        <v>52</v>
      </c>
      <c r="B53" s="5">
        <v>40603</v>
      </c>
      <c r="C53" s="4">
        <v>1</v>
      </c>
      <c r="D53" s="4">
        <v>0</v>
      </c>
      <c r="E53" s="4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0.14000000000000001</v>
      </c>
      <c r="K53" s="6" t="str">
        <f>IF(H53=0,"weekend",IF(H53=6,"weekend","weekend"))</f>
        <v>weekend</v>
      </c>
      <c r="L53" s="3" t="str">
        <f>IF(C53=1,"Spring",IF(C53=2,"Summer",IF(C53=3,"Fall","Winter")))</f>
        <v>Spring</v>
      </c>
      <c r="M53" s="3">
        <f>SUM(J53:J77)</f>
        <v>4.5400000000000018</v>
      </c>
      <c r="N53" s="3">
        <f>AVERAGE(J53:J662)</f>
        <v>0.18379248658318417</v>
      </c>
      <c r="O53" s="3">
        <f>COUNT(J53:J662)</f>
        <v>559</v>
      </c>
      <c r="P53" s="3" t="str">
        <f>TEXT(J53,"0.00")</f>
        <v>0.14</v>
      </c>
      <c r="Q53" s="3" t="str">
        <f>LEFT(L53,3)</f>
        <v>Spr</v>
      </c>
      <c r="R53" s="42" t="str">
        <f>RIGHT(L53,3)</f>
        <v>ing</v>
      </c>
      <c r="S53" s="42">
        <f>LEN(L53)</f>
        <v>6</v>
      </c>
      <c r="T53" s="3" t="str">
        <f>A53&amp;"|"&amp;B53&amp;"|"&amp;F53</f>
        <v>52|40603|6</v>
      </c>
      <c r="U53" s="3">
        <f t="shared" si="0"/>
        <v>610</v>
      </c>
      <c r="V53" s="3">
        <f t="shared" si="1"/>
        <v>120.10000000000005</v>
      </c>
      <c r="W53" s="50">
        <f t="shared" si="2"/>
        <v>8.1303845032683911E-2</v>
      </c>
      <c r="X53" s="50">
        <f t="shared" si="3"/>
        <v>0.16514794964716251</v>
      </c>
    </row>
    <row r="54" spans="1:24" x14ac:dyDescent="0.2">
      <c r="A54" s="4">
        <v>53</v>
      </c>
      <c r="B54" s="5">
        <v>40603</v>
      </c>
      <c r="C54" s="4">
        <v>1</v>
      </c>
      <c r="D54" s="4">
        <v>0</v>
      </c>
      <c r="E54" s="4">
        <v>1</v>
      </c>
      <c r="F54" s="4">
        <v>7</v>
      </c>
      <c r="G54" s="4" t="b">
        <v>0</v>
      </c>
      <c r="H54" s="4">
        <v>1</v>
      </c>
      <c r="I54" s="4">
        <v>1</v>
      </c>
      <c r="J54" s="4">
        <v>0.14000000000000001</v>
      </c>
      <c r="K54" s="6" t="str">
        <f>IF(H54=0,"weekend",IF(H54=6,"weekend","weekend"))</f>
        <v>weekend</v>
      </c>
      <c r="L54" s="3" t="str">
        <f>IF(C54=1,"Spring",IF(C54=2,"Summer",IF(C54=3,"Fall","Winter")))</f>
        <v>Spring</v>
      </c>
      <c r="M54" s="3">
        <f>SUM(J54:J78)</f>
        <v>4.5400000000000009</v>
      </c>
      <c r="N54" s="3">
        <f>AVERAGE(J54:J663)</f>
        <v>0.18387096774193537</v>
      </c>
      <c r="O54" s="3">
        <f>COUNT(J54:J663)</f>
        <v>558</v>
      </c>
      <c r="P54" s="3" t="str">
        <f>TEXT(J54,"0.00")</f>
        <v>0.14</v>
      </c>
      <c r="Q54" s="3" t="str">
        <f>LEFT(L54,3)</f>
        <v>Spr</v>
      </c>
      <c r="R54" s="42" t="str">
        <f>RIGHT(L54,3)</f>
        <v>ing</v>
      </c>
      <c r="S54" s="42">
        <f>LEN(L54)</f>
        <v>6</v>
      </c>
      <c r="T54" s="3" t="str">
        <f>A54&amp;"|"&amp;B54&amp;"|"&amp;F54</f>
        <v>53|40603|7</v>
      </c>
      <c r="U54" s="3">
        <f t="shared" si="0"/>
        <v>610</v>
      </c>
      <c r="V54" s="3">
        <f t="shared" si="1"/>
        <v>120.10000000000005</v>
      </c>
      <c r="W54" s="50">
        <f t="shared" si="2"/>
        <v>8.1303845032683911E-2</v>
      </c>
      <c r="X54" s="50">
        <f t="shared" si="3"/>
        <v>0.16514794964716251</v>
      </c>
    </row>
    <row r="55" spans="1:24" x14ac:dyDescent="0.2">
      <c r="A55" s="4">
        <v>54</v>
      </c>
      <c r="B55" s="5">
        <v>40603</v>
      </c>
      <c r="C55" s="4">
        <v>1</v>
      </c>
      <c r="D55" s="4">
        <v>0</v>
      </c>
      <c r="E55" s="4">
        <v>1</v>
      </c>
      <c r="F55" s="4">
        <v>8</v>
      </c>
      <c r="G55" s="4" t="b">
        <v>0</v>
      </c>
      <c r="H55" s="4">
        <v>1</v>
      </c>
      <c r="I55" s="4">
        <v>1</v>
      </c>
      <c r="J55" s="4">
        <v>0.14000000000000001</v>
      </c>
      <c r="K55" s="6" t="str">
        <f>IF(H55=0,"weekend",IF(H55=6,"weekend","weekend"))</f>
        <v>weekend</v>
      </c>
      <c r="L55" s="3" t="str">
        <f>IF(C55=1,"Spring",IF(C55=2,"Summer",IF(C55=3,"Fall","Winter")))</f>
        <v>Spring</v>
      </c>
      <c r="M55" s="3">
        <f>SUM(J55:J79)</f>
        <v>4.5600000000000014</v>
      </c>
      <c r="N55" s="3">
        <f>AVERAGE(J55:J664)</f>
        <v>0.18394973070017942</v>
      </c>
      <c r="O55" s="3">
        <f>COUNT(J55:J664)</f>
        <v>557</v>
      </c>
      <c r="P55" s="3" t="str">
        <f>TEXT(J55,"0.00")</f>
        <v>0.14</v>
      </c>
      <c r="Q55" s="3" t="str">
        <f>LEFT(L55,3)</f>
        <v>Spr</v>
      </c>
      <c r="R55" s="42" t="str">
        <f>RIGHT(L55,3)</f>
        <v>ing</v>
      </c>
      <c r="S55" s="42">
        <f>LEN(L55)</f>
        <v>6</v>
      </c>
      <c r="T55" s="3" t="str">
        <f>A55&amp;"|"&amp;B55&amp;"|"&amp;F55</f>
        <v>54|40603|8</v>
      </c>
      <c r="U55" s="3">
        <f t="shared" si="0"/>
        <v>610</v>
      </c>
      <c r="V55" s="3">
        <f t="shared" si="1"/>
        <v>120.10000000000005</v>
      </c>
      <c r="W55" s="50">
        <f t="shared" si="2"/>
        <v>8.1303845032683911E-2</v>
      </c>
      <c r="X55" s="50">
        <f t="shared" si="3"/>
        <v>0.16514794964716251</v>
      </c>
    </row>
    <row r="56" spans="1:24" x14ac:dyDescent="0.2">
      <c r="A56" s="4">
        <v>55</v>
      </c>
      <c r="B56" s="5">
        <v>40603</v>
      </c>
      <c r="C56" s="4">
        <v>1</v>
      </c>
      <c r="D56" s="4">
        <v>0</v>
      </c>
      <c r="E56" s="4">
        <v>1</v>
      </c>
      <c r="F56" s="4">
        <v>9</v>
      </c>
      <c r="G56" s="4" t="b">
        <v>0</v>
      </c>
      <c r="H56" s="4">
        <v>1</v>
      </c>
      <c r="I56" s="4">
        <v>1</v>
      </c>
      <c r="J56" s="4">
        <v>0.16</v>
      </c>
      <c r="K56" s="6" t="str">
        <f>IF(H56=0,"weekend",IF(H56=6,"weekend","weekend"))</f>
        <v>weekend</v>
      </c>
      <c r="L56" s="3" t="str">
        <f>IF(C56=1,"Spring",IF(C56=2,"Summer",IF(C56=3,"Fall","Winter")))</f>
        <v>Spring</v>
      </c>
      <c r="M56" s="3">
        <f>SUM(J56:J80)</f>
        <v>4.580000000000001</v>
      </c>
      <c r="N56" s="3">
        <f>AVERAGE(J56:J665)</f>
        <v>0.18402877697841716</v>
      </c>
      <c r="O56" s="3">
        <f>COUNT(J56:J665)</f>
        <v>556</v>
      </c>
      <c r="P56" s="3" t="str">
        <f>TEXT(J56,"0.00")</f>
        <v>0.16</v>
      </c>
      <c r="Q56" s="3" t="str">
        <f>LEFT(L56,3)</f>
        <v>Spr</v>
      </c>
      <c r="R56" s="42" t="str">
        <f>RIGHT(L56,3)</f>
        <v>ing</v>
      </c>
      <c r="S56" s="42">
        <f>LEN(L56)</f>
        <v>6</v>
      </c>
      <c r="T56" s="3" t="str">
        <f>A56&amp;"|"&amp;B56&amp;"|"&amp;F56</f>
        <v>55|40603|9</v>
      </c>
      <c r="U56" s="3">
        <f t="shared" si="0"/>
        <v>610</v>
      </c>
      <c r="V56" s="3">
        <f t="shared" si="1"/>
        <v>120.10000000000005</v>
      </c>
      <c r="W56" s="50">
        <f t="shared" si="2"/>
        <v>8.1303845032683911E-2</v>
      </c>
      <c r="X56" s="50">
        <f t="shared" si="3"/>
        <v>0.16514794964716251</v>
      </c>
    </row>
    <row r="57" spans="1:24" x14ac:dyDescent="0.2">
      <c r="A57" s="4">
        <v>56</v>
      </c>
      <c r="B57" s="5">
        <v>40603</v>
      </c>
      <c r="C57" s="4">
        <v>1</v>
      </c>
      <c r="D57" s="4">
        <v>0</v>
      </c>
      <c r="E57" s="4">
        <v>1</v>
      </c>
      <c r="F57" s="4">
        <v>10</v>
      </c>
      <c r="G57" s="4" t="b">
        <v>0</v>
      </c>
      <c r="H57" s="4">
        <v>1</v>
      </c>
      <c r="I57" s="4">
        <v>1</v>
      </c>
      <c r="J57" s="4">
        <v>0.18</v>
      </c>
      <c r="K57" s="6" t="str">
        <f>IF(H57=0,"weekend",IF(H57=6,"weekend","weekend"))</f>
        <v>weekend</v>
      </c>
      <c r="L57" s="3" t="str">
        <f>IF(C57=1,"Spring",IF(C57=2,"Summer",IF(C57=3,"Fall","Winter")))</f>
        <v>Spring</v>
      </c>
      <c r="M57" s="3">
        <f>SUM(J57:J81)</f>
        <v>4.6400000000000015</v>
      </c>
      <c r="N57" s="3">
        <f>AVERAGE(J57:J666)</f>
        <v>0.18407207207207196</v>
      </c>
      <c r="O57" s="3">
        <f>COUNT(J57:J666)</f>
        <v>555</v>
      </c>
      <c r="P57" s="3" t="str">
        <f>TEXT(J57,"0.00")</f>
        <v>0.18</v>
      </c>
      <c r="Q57" s="3" t="str">
        <f>LEFT(L57,3)</f>
        <v>Spr</v>
      </c>
      <c r="R57" s="42" t="str">
        <f>RIGHT(L57,3)</f>
        <v>ing</v>
      </c>
      <c r="S57" s="42">
        <f>LEN(L57)</f>
        <v>6</v>
      </c>
      <c r="T57" s="3" t="str">
        <f>A57&amp;"|"&amp;B57&amp;"|"&amp;F57</f>
        <v>56|40603|10</v>
      </c>
      <c r="U57" s="3">
        <f t="shared" si="0"/>
        <v>610</v>
      </c>
      <c r="V57" s="3">
        <f t="shared" si="1"/>
        <v>120.10000000000005</v>
      </c>
      <c r="W57" s="50">
        <f t="shared" si="2"/>
        <v>8.1303845032683911E-2</v>
      </c>
      <c r="X57" s="50">
        <f t="shared" si="3"/>
        <v>0.16514794964716251</v>
      </c>
    </row>
    <row r="58" spans="1:24" x14ac:dyDescent="0.2">
      <c r="A58" s="4">
        <v>57</v>
      </c>
      <c r="B58" s="5">
        <v>40603</v>
      </c>
      <c r="C58" s="4">
        <v>1</v>
      </c>
      <c r="D58" s="4">
        <v>0</v>
      </c>
      <c r="E58" s="4">
        <v>1</v>
      </c>
      <c r="F58" s="4">
        <v>11</v>
      </c>
      <c r="G58" s="4" t="b">
        <v>0</v>
      </c>
      <c r="H58" s="4">
        <v>1</v>
      </c>
      <c r="I58" s="4">
        <v>1</v>
      </c>
      <c r="J58" s="4">
        <v>0.2</v>
      </c>
      <c r="K58" s="6" t="str">
        <f>IF(H58=0,"weekend",IF(H58=6,"weekend","weekend"))</f>
        <v>weekend</v>
      </c>
      <c r="L58" s="3" t="str">
        <f>IF(C58=1,"Spring",IF(C58=2,"Summer",IF(C58=3,"Fall","Winter")))</f>
        <v>Spring</v>
      </c>
      <c r="M58" s="3">
        <f>SUM(J58:J82)</f>
        <v>4.6800000000000015</v>
      </c>
      <c r="N58" s="3">
        <f>AVERAGE(J58:J667)</f>
        <v>0.18407942238267136</v>
      </c>
      <c r="O58" s="3">
        <f>COUNT(J58:J667)</f>
        <v>554</v>
      </c>
      <c r="P58" s="3" t="str">
        <f>TEXT(J58,"0.00")</f>
        <v>0.20</v>
      </c>
      <c r="Q58" s="3" t="str">
        <f>LEFT(L58,3)</f>
        <v>Spr</v>
      </c>
      <c r="R58" s="42" t="str">
        <f>RIGHT(L58,3)</f>
        <v>ing</v>
      </c>
      <c r="S58" s="42">
        <f>LEN(L58)</f>
        <v>6</v>
      </c>
      <c r="T58" s="3" t="str">
        <f>A58&amp;"|"&amp;B58&amp;"|"&amp;F58</f>
        <v>57|40603|11</v>
      </c>
      <c r="U58" s="3">
        <f t="shared" si="0"/>
        <v>610</v>
      </c>
      <c r="V58" s="3">
        <f t="shared" si="1"/>
        <v>120.10000000000005</v>
      </c>
      <c r="W58" s="50">
        <f t="shared" si="2"/>
        <v>8.1303845032683911E-2</v>
      </c>
      <c r="X58" s="50">
        <f t="shared" si="3"/>
        <v>0.16514794964716251</v>
      </c>
    </row>
    <row r="59" spans="1:24" x14ac:dyDescent="0.2">
      <c r="A59" s="4">
        <v>58</v>
      </c>
      <c r="B59" s="5">
        <v>40603</v>
      </c>
      <c r="C59" s="4">
        <v>1</v>
      </c>
      <c r="D59" s="4">
        <v>0</v>
      </c>
      <c r="E59" s="4">
        <v>1</v>
      </c>
      <c r="F59" s="4">
        <v>12</v>
      </c>
      <c r="G59" s="4" t="b">
        <v>0</v>
      </c>
      <c r="H59" s="4">
        <v>1</v>
      </c>
      <c r="I59" s="4">
        <v>1</v>
      </c>
      <c r="J59" s="4">
        <v>0.22</v>
      </c>
      <c r="K59" s="6" t="str">
        <f>IF(H59=0,"weekend",IF(H59=6,"weekend","weekend"))</f>
        <v>weekend</v>
      </c>
      <c r="L59" s="3" t="str">
        <f>IF(C59=1,"Spring",IF(C59=2,"Summer",IF(C59=3,"Fall","Winter")))</f>
        <v>Spring</v>
      </c>
      <c r="M59" s="3">
        <f>SUM(J59:J83)</f>
        <v>4.7200000000000015</v>
      </c>
      <c r="N59" s="3">
        <f>AVERAGE(J59:J668)</f>
        <v>0.18405063291139231</v>
      </c>
      <c r="O59" s="3">
        <f>COUNT(J59:J668)</f>
        <v>553</v>
      </c>
      <c r="P59" s="3" t="str">
        <f>TEXT(J59,"0.00")</f>
        <v>0.22</v>
      </c>
      <c r="Q59" s="3" t="str">
        <f>LEFT(L59,3)</f>
        <v>Spr</v>
      </c>
      <c r="R59" s="42" t="str">
        <f>RIGHT(L59,3)</f>
        <v>ing</v>
      </c>
      <c r="S59" s="42">
        <f>LEN(L59)</f>
        <v>6</v>
      </c>
      <c r="T59" s="3" t="str">
        <f>A59&amp;"|"&amp;B59&amp;"|"&amp;F59</f>
        <v>58|40603|12</v>
      </c>
      <c r="U59" s="3">
        <f t="shared" si="0"/>
        <v>610</v>
      </c>
      <c r="V59" s="3">
        <f t="shared" si="1"/>
        <v>120.10000000000005</v>
      </c>
      <c r="W59" s="50">
        <f t="shared" si="2"/>
        <v>8.1303845032683911E-2</v>
      </c>
      <c r="X59" s="50">
        <f t="shared" si="3"/>
        <v>0.16514794964716251</v>
      </c>
    </row>
    <row r="60" spans="1:24" x14ac:dyDescent="0.2">
      <c r="A60" s="4">
        <v>59</v>
      </c>
      <c r="B60" s="5">
        <v>40603</v>
      </c>
      <c r="C60" s="4">
        <v>1</v>
      </c>
      <c r="D60" s="4">
        <v>0</v>
      </c>
      <c r="E60" s="4">
        <v>1</v>
      </c>
      <c r="F60" s="4">
        <v>13</v>
      </c>
      <c r="G60" s="4" t="b">
        <v>0</v>
      </c>
      <c r="H60" s="4">
        <v>1</v>
      </c>
      <c r="I60" s="4">
        <v>1</v>
      </c>
      <c r="J60" s="4">
        <v>0.24</v>
      </c>
      <c r="K60" s="6" t="str">
        <f>IF(H60=0,"weekend",IF(H60=6,"weekend","weekend"))</f>
        <v>weekend</v>
      </c>
      <c r="L60" s="3" t="str">
        <f>IF(C60=1,"Spring",IF(C60=2,"Summer",IF(C60=3,"Fall","Winter")))</f>
        <v>Spring</v>
      </c>
      <c r="M60" s="3">
        <f>SUM(J60:J84)</f>
        <v>4.7600000000000016</v>
      </c>
      <c r="N60" s="3">
        <f>AVERAGE(J60:J669)</f>
        <v>0.18398550724637672</v>
      </c>
      <c r="O60" s="3">
        <f>COUNT(J60:J669)</f>
        <v>552</v>
      </c>
      <c r="P60" s="3" t="str">
        <f>TEXT(J60,"0.00")</f>
        <v>0.24</v>
      </c>
      <c r="Q60" s="3" t="str">
        <f>LEFT(L60,3)</f>
        <v>Spr</v>
      </c>
      <c r="R60" s="42" t="str">
        <f>RIGHT(L60,3)</f>
        <v>ing</v>
      </c>
      <c r="S60" s="42">
        <f>LEN(L60)</f>
        <v>6</v>
      </c>
      <c r="T60" s="3" t="str">
        <f>A60&amp;"|"&amp;B60&amp;"|"&amp;F60</f>
        <v>59|40603|13</v>
      </c>
      <c r="U60" s="3">
        <f t="shared" si="0"/>
        <v>610</v>
      </c>
      <c r="V60" s="3">
        <f t="shared" si="1"/>
        <v>120.10000000000005</v>
      </c>
      <c r="W60" s="50">
        <f t="shared" si="2"/>
        <v>8.1303845032683911E-2</v>
      </c>
      <c r="X60" s="50">
        <f t="shared" si="3"/>
        <v>0.16514794964716251</v>
      </c>
    </row>
    <row r="61" spans="1:24" x14ac:dyDescent="0.2">
      <c r="A61" s="4">
        <v>60</v>
      </c>
      <c r="B61" s="5">
        <v>40603</v>
      </c>
      <c r="C61" s="4">
        <v>1</v>
      </c>
      <c r="D61" s="4">
        <v>0</v>
      </c>
      <c r="E61" s="4">
        <v>1</v>
      </c>
      <c r="F61" s="4">
        <v>14</v>
      </c>
      <c r="G61" s="4" t="b">
        <v>0</v>
      </c>
      <c r="H61" s="4">
        <v>1</v>
      </c>
      <c r="I61" s="4">
        <v>1</v>
      </c>
      <c r="J61" s="4">
        <v>0.26</v>
      </c>
      <c r="K61" s="6" t="str">
        <f>IF(H61=0,"weekend",IF(H61=6,"weekend","weekend"))</f>
        <v>weekend</v>
      </c>
      <c r="L61" s="3" t="str">
        <f>IF(C61=1,"Spring",IF(C61=2,"Summer",IF(C61=3,"Fall","Winter")))</f>
        <v>Spring</v>
      </c>
      <c r="M61" s="3">
        <f>SUM(J61:J85)</f>
        <v>4.8000000000000016</v>
      </c>
      <c r="N61" s="3">
        <f>AVERAGE(J61:J670)</f>
        <v>0.18388384754990916</v>
      </c>
      <c r="O61" s="3">
        <f>COUNT(J61:J670)</f>
        <v>551</v>
      </c>
      <c r="P61" s="3" t="str">
        <f>TEXT(J61,"0.00")</f>
        <v>0.26</v>
      </c>
      <c r="Q61" s="3" t="str">
        <f>LEFT(L61,3)</f>
        <v>Spr</v>
      </c>
      <c r="R61" s="42" t="str">
        <f>RIGHT(L61,3)</f>
        <v>ing</v>
      </c>
      <c r="S61" s="42">
        <f>LEN(L61)</f>
        <v>6</v>
      </c>
      <c r="T61" s="3" t="str">
        <f>A61&amp;"|"&amp;B61&amp;"|"&amp;F61</f>
        <v>60|40603|14</v>
      </c>
      <c r="U61" s="3">
        <f t="shared" si="0"/>
        <v>610</v>
      </c>
      <c r="V61" s="3">
        <f t="shared" si="1"/>
        <v>120.10000000000005</v>
      </c>
      <c r="W61" s="50">
        <f t="shared" si="2"/>
        <v>8.1303845032683911E-2</v>
      </c>
      <c r="X61" s="50">
        <f t="shared" si="3"/>
        <v>0.16514794964716251</v>
      </c>
    </row>
    <row r="62" spans="1:24" x14ac:dyDescent="0.2">
      <c r="A62" s="4">
        <v>61</v>
      </c>
      <c r="B62" s="5">
        <v>40603</v>
      </c>
      <c r="C62" s="4">
        <v>1</v>
      </c>
      <c r="D62" s="4">
        <v>0</v>
      </c>
      <c r="E62" s="4">
        <v>1</v>
      </c>
      <c r="F62" s="4">
        <v>15</v>
      </c>
      <c r="G62" s="4" t="b">
        <v>0</v>
      </c>
      <c r="H62" s="4">
        <v>1</v>
      </c>
      <c r="I62" s="4">
        <v>1</v>
      </c>
      <c r="J62" s="4">
        <v>0.26</v>
      </c>
      <c r="K62" s="6" t="str">
        <f>IF(H62=0,"weekend",IF(H62=6,"weekend","weekend"))</f>
        <v>weekend</v>
      </c>
      <c r="L62" s="3" t="str">
        <f>IF(C62=1,"Spring",IF(C62=2,"Summer",IF(C62=3,"Fall","Winter")))</f>
        <v>Spring</v>
      </c>
      <c r="M62" s="3">
        <f>SUM(J62:J86)</f>
        <v>4.8400000000000007</v>
      </c>
      <c r="N62" s="3">
        <f>AVERAGE(J62:J671)</f>
        <v>0.18374545454545443</v>
      </c>
      <c r="O62" s="3">
        <f>COUNT(J62:J671)</f>
        <v>550</v>
      </c>
      <c r="P62" s="3" t="str">
        <f>TEXT(J62,"0.00")</f>
        <v>0.26</v>
      </c>
      <c r="Q62" s="3" t="str">
        <f>LEFT(L62,3)</f>
        <v>Spr</v>
      </c>
      <c r="R62" s="42" t="str">
        <f>RIGHT(L62,3)</f>
        <v>ing</v>
      </c>
      <c r="S62" s="42">
        <f>LEN(L62)</f>
        <v>6</v>
      </c>
      <c r="T62" s="3" t="str">
        <f>A62&amp;"|"&amp;B62&amp;"|"&amp;F62</f>
        <v>61|40603|15</v>
      </c>
      <c r="U62" s="3">
        <f t="shared" si="0"/>
        <v>610</v>
      </c>
      <c r="V62" s="3">
        <f t="shared" si="1"/>
        <v>120.10000000000005</v>
      </c>
      <c r="W62" s="50">
        <f t="shared" si="2"/>
        <v>8.1303845032683911E-2</v>
      </c>
      <c r="X62" s="50">
        <f t="shared" si="3"/>
        <v>0.16514794964716251</v>
      </c>
    </row>
    <row r="63" spans="1:24" x14ac:dyDescent="0.2">
      <c r="A63" s="4">
        <v>62</v>
      </c>
      <c r="B63" s="5">
        <v>40603</v>
      </c>
      <c r="C63" s="4">
        <v>1</v>
      </c>
      <c r="D63" s="4">
        <v>0</v>
      </c>
      <c r="E63" s="4">
        <v>1</v>
      </c>
      <c r="F63" s="4">
        <v>16</v>
      </c>
      <c r="G63" s="4" t="b">
        <v>0</v>
      </c>
      <c r="H63" s="4">
        <v>1</v>
      </c>
      <c r="I63" s="4">
        <v>1</v>
      </c>
      <c r="J63" s="4">
        <v>0.26</v>
      </c>
      <c r="K63" s="6" t="str">
        <f>IF(H63=0,"weekend",IF(H63=6,"weekend","weekend"))</f>
        <v>weekend</v>
      </c>
      <c r="L63" s="3" t="str">
        <f>IF(C63=1,"Spring",IF(C63=2,"Summer",IF(C63=3,"Fall","Winter")))</f>
        <v>Spring</v>
      </c>
      <c r="M63" s="3">
        <f>SUM(J63:J87)</f>
        <v>4.8600000000000012</v>
      </c>
      <c r="N63" s="3">
        <f>AVERAGE(J63:J672)</f>
        <v>0.18360655737704909</v>
      </c>
      <c r="O63" s="3">
        <f>COUNT(J63:J672)</f>
        <v>549</v>
      </c>
      <c r="P63" s="3" t="str">
        <f>TEXT(J63,"0.00")</f>
        <v>0.26</v>
      </c>
      <c r="Q63" s="3" t="str">
        <f>LEFT(L63,3)</f>
        <v>Spr</v>
      </c>
      <c r="R63" s="42" t="str">
        <f>RIGHT(L63,3)</f>
        <v>ing</v>
      </c>
      <c r="S63" s="42">
        <f>LEN(L63)</f>
        <v>6</v>
      </c>
      <c r="T63" s="3" t="str">
        <f>A63&amp;"|"&amp;B63&amp;"|"&amp;F63</f>
        <v>62|40603|16</v>
      </c>
      <c r="U63" s="3">
        <f t="shared" si="0"/>
        <v>610</v>
      </c>
      <c r="V63" s="3">
        <f t="shared" si="1"/>
        <v>120.10000000000005</v>
      </c>
      <c r="W63" s="50">
        <f t="shared" si="2"/>
        <v>8.1303845032683911E-2</v>
      </c>
      <c r="X63" s="50">
        <f t="shared" si="3"/>
        <v>0.16514794964716251</v>
      </c>
    </row>
    <row r="64" spans="1:24" x14ac:dyDescent="0.2">
      <c r="A64" s="4">
        <v>63</v>
      </c>
      <c r="B64" s="5">
        <v>40603</v>
      </c>
      <c r="C64" s="4">
        <v>1</v>
      </c>
      <c r="D64" s="4">
        <v>0</v>
      </c>
      <c r="E64" s="4">
        <v>1</v>
      </c>
      <c r="F64" s="4">
        <v>17</v>
      </c>
      <c r="G64" s="4" t="b">
        <v>0</v>
      </c>
      <c r="H64" s="4">
        <v>1</v>
      </c>
      <c r="I64" s="4">
        <v>1</v>
      </c>
      <c r="J64" s="4">
        <v>0.24</v>
      </c>
      <c r="K64" s="6" t="str">
        <f>IF(H64=0,"weekend",IF(H64=6,"weekend","weekend"))</f>
        <v>weekend</v>
      </c>
      <c r="L64" s="3" t="str">
        <f>IF(C64=1,"Spring",IF(C64=2,"Summer",IF(C64=3,"Fall","Winter")))</f>
        <v>Spring</v>
      </c>
      <c r="M64" s="3">
        <f>SUM(J64:J88)</f>
        <v>4.8600000000000003</v>
      </c>
      <c r="N64" s="3">
        <f>AVERAGE(J64:J673)</f>
        <v>0.18346715328467145</v>
      </c>
      <c r="O64" s="3">
        <f>COUNT(J64:J673)</f>
        <v>548</v>
      </c>
      <c r="P64" s="3" t="str">
        <f>TEXT(J64,"0.00")</f>
        <v>0.24</v>
      </c>
      <c r="Q64" s="3" t="str">
        <f>LEFT(L64,3)</f>
        <v>Spr</v>
      </c>
      <c r="R64" s="42" t="str">
        <f>RIGHT(L64,3)</f>
        <v>ing</v>
      </c>
      <c r="S64" s="42">
        <f>LEN(L64)</f>
        <v>6</v>
      </c>
      <c r="T64" s="3" t="str">
        <f>A64&amp;"|"&amp;B64&amp;"|"&amp;F64</f>
        <v>63|40603|17</v>
      </c>
      <c r="U64" s="3">
        <f t="shared" si="0"/>
        <v>610</v>
      </c>
      <c r="V64" s="3">
        <f t="shared" si="1"/>
        <v>120.10000000000005</v>
      </c>
      <c r="W64" s="50">
        <f t="shared" si="2"/>
        <v>8.1303845032683911E-2</v>
      </c>
      <c r="X64" s="50">
        <f t="shared" si="3"/>
        <v>0.16514794964716251</v>
      </c>
    </row>
    <row r="65" spans="1:24" x14ac:dyDescent="0.2">
      <c r="A65" s="4">
        <v>64</v>
      </c>
      <c r="B65" s="5">
        <v>40603</v>
      </c>
      <c r="C65" s="4">
        <v>1</v>
      </c>
      <c r="D65" s="4">
        <v>0</v>
      </c>
      <c r="E65" s="4">
        <v>1</v>
      </c>
      <c r="F65" s="4">
        <v>18</v>
      </c>
      <c r="G65" s="4" t="b">
        <v>0</v>
      </c>
      <c r="H65" s="4">
        <v>1</v>
      </c>
      <c r="I65" s="4">
        <v>1</v>
      </c>
      <c r="J65" s="4">
        <v>0.24</v>
      </c>
      <c r="K65" s="6" t="str">
        <f>IF(H65=0,"weekend",IF(H65=6,"weekend","weekend"))</f>
        <v>weekend</v>
      </c>
      <c r="L65" s="3" t="str">
        <f>IF(C65=1,"Spring",IF(C65=2,"Summer",IF(C65=3,"Fall","Winter")))</f>
        <v>Spring</v>
      </c>
      <c r="M65" s="3">
        <f>SUM(J65:J89)</f>
        <v>4.8600000000000012</v>
      </c>
      <c r="N65" s="3">
        <f>AVERAGE(J65:J674)</f>
        <v>0.1833638025594149</v>
      </c>
      <c r="O65" s="3">
        <f>COUNT(J65:J674)</f>
        <v>547</v>
      </c>
      <c r="P65" s="3" t="str">
        <f>TEXT(J65,"0.00")</f>
        <v>0.24</v>
      </c>
      <c r="Q65" s="3" t="str">
        <f>LEFT(L65,3)</f>
        <v>Spr</v>
      </c>
      <c r="R65" s="42" t="str">
        <f>RIGHT(L65,3)</f>
        <v>ing</v>
      </c>
      <c r="S65" s="42">
        <f>LEN(L65)</f>
        <v>6</v>
      </c>
      <c r="T65" s="3" t="str">
        <f>A65&amp;"|"&amp;B65&amp;"|"&amp;F65</f>
        <v>64|40603|18</v>
      </c>
      <c r="U65" s="3">
        <f t="shared" si="0"/>
        <v>610</v>
      </c>
      <c r="V65" s="3">
        <f t="shared" si="1"/>
        <v>120.10000000000005</v>
      </c>
      <c r="W65" s="50">
        <f t="shared" si="2"/>
        <v>8.1303845032683911E-2</v>
      </c>
      <c r="X65" s="50">
        <f t="shared" si="3"/>
        <v>0.16514794964716251</v>
      </c>
    </row>
    <row r="66" spans="1:24" x14ac:dyDescent="0.2">
      <c r="A66" s="4">
        <v>65</v>
      </c>
      <c r="B66" s="5">
        <v>40603</v>
      </c>
      <c r="C66" s="4">
        <v>1</v>
      </c>
      <c r="D66" s="4">
        <v>0</v>
      </c>
      <c r="E66" s="4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0.2</v>
      </c>
      <c r="K66" s="6" t="str">
        <f>IF(H66=0,"weekend",IF(H66=6,"weekend","weekend"))</f>
        <v>weekend</v>
      </c>
      <c r="L66" s="3" t="str">
        <f>IF(C66=1,"Spring",IF(C66=2,"Summer",IF(C66=3,"Fall","Winter")))</f>
        <v>Spring</v>
      </c>
      <c r="M66" s="3">
        <f>SUM(J66:J90)</f>
        <v>4.8600000000000012</v>
      </c>
      <c r="N66" s="3">
        <f>AVERAGE(J66:J675)</f>
        <v>0.18326007326007318</v>
      </c>
      <c r="O66" s="3">
        <f>COUNT(J66:J675)</f>
        <v>546</v>
      </c>
      <c r="P66" s="3" t="str">
        <f>TEXT(J66,"0.00")</f>
        <v>0.20</v>
      </c>
      <c r="Q66" s="3" t="str">
        <f>LEFT(L66,3)</f>
        <v>Spr</v>
      </c>
      <c r="R66" s="42" t="str">
        <f>RIGHT(L66,3)</f>
        <v>ing</v>
      </c>
      <c r="S66" s="42">
        <f>LEN(L66)</f>
        <v>6</v>
      </c>
      <c r="T66" s="3" t="str">
        <f>A66&amp;"|"&amp;B66&amp;"|"&amp;F66</f>
        <v>65|40603|19</v>
      </c>
      <c r="U66" s="3">
        <f t="shared" ref="U66:U129" si="4">COUNTIF(K:K,"weekend")</f>
        <v>610</v>
      </c>
      <c r="V66" s="3">
        <f t="shared" ref="V66:V129" si="5">SUMIF($K:$K,"weekend",$J:$J)</f>
        <v>120.10000000000005</v>
      </c>
      <c r="W66" s="50">
        <f t="shared" ref="W66:W129" si="6">STDEV($J:$J)</f>
        <v>8.1303845032683911E-2</v>
      </c>
      <c r="X66" s="50">
        <f t="shared" ref="X66:X129" si="7">CORREL(J:J,F:F)</f>
        <v>0.16514794964716251</v>
      </c>
    </row>
    <row r="67" spans="1:24" x14ac:dyDescent="0.2">
      <c r="A67" s="4">
        <v>66</v>
      </c>
      <c r="B67" s="5">
        <v>40603</v>
      </c>
      <c r="C67" s="4">
        <v>1</v>
      </c>
      <c r="D67" s="4">
        <v>0</v>
      </c>
      <c r="E67" s="4">
        <v>1</v>
      </c>
      <c r="F67" s="4">
        <v>20</v>
      </c>
      <c r="G67" s="4" t="b">
        <v>0</v>
      </c>
      <c r="H67" s="4">
        <v>1</v>
      </c>
      <c r="I67" s="4">
        <v>1</v>
      </c>
      <c r="J67" s="4">
        <v>0.2</v>
      </c>
      <c r="K67" s="6" t="str">
        <f>IF(H67=0,"weekend",IF(H67=6,"weekend","weekend"))</f>
        <v>weekend</v>
      </c>
      <c r="L67" s="3" t="str">
        <f>IF(C67=1,"Spring",IF(C67=2,"Summer",IF(C67=3,"Fall","Winter")))</f>
        <v>Spring</v>
      </c>
      <c r="M67" s="3">
        <f>SUM(J67:J91)</f>
        <v>4.8800000000000008</v>
      </c>
      <c r="N67" s="3">
        <f>AVERAGE(J67:J676)</f>
        <v>0.18322935779816507</v>
      </c>
      <c r="O67" s="3">
        <f>COUNT(J67:J676)</f>
        <v>545</v>
      </c>
      <c r="P67" s="3" t="str">
        <f>TEXT(J67,"0.00")</f>
        <v>0.20</v>
      </c>
      <c r="Q67" s="3" t="str">
        <f>LEFT(L67,3)</f>
        <v>Spr</v>
      </c>
      <c r="R67" s="42" t="str">
        <f>RIGHT(L67,3)</f>
        <v>ing</v>
      </c>
      <c r="S67" s="42">
        <f>LEN(L67)</f>
        <v>6</v>
      </c>
      <c r="T67" s="3" t="str">
        <f>A67&amp;"|"&amp;B67&amp;"|"&amp;F67</f>
        <v>66|40603|20</v>
      </c>
      <c r="U67" s="3">
        <f t="shared" si="4"/>
        <v>610</v>
      </c>
      <c r="V67" s="3">
        <f t="shared" si="5"/>
        <v>120.10000000000005</v>
      </c>
      <c r="W67" s="50">
        <f t="shared" si="6"/>
        <v>8.1303845032683911E-2</v>
      </c>
      <c r="X67" s="50">
        <f t="shared" si="7"/>
        <v>0.16514794964716251</v>
      </c>
    </row>
    <row r="68" spans="1:24" x14ac:dyDescent="0.2">
      <c r="A68" s="4">
        <v>67</v>
      </c>
      <c r="B68" s="5">
        <v>40603</v>
      </c>
      <c r="C68" s="4">
        <v>1</v>
      </c>
      <c r="D68" s="4">
        <v>0</v>
      </c>
      <c r="E68" s="4">
        <v>1</v>
      </c>
      <c r="F68" s="4">
        <v>21</v>
      </c>
      <c r="G68" s="4" t="b">
        <v>0</v>
      </c>
      <c r="H68" s="4">
        <v>1</v>
      </c>
      <c r="I68" s="4">
        <v>1</v>
      </c>
      <c r="J68" s="4">
        <v>0.18</v>
      </c>
      <c r="K68" s="6" t="str">
        <f>IF(H68=0,"weekend",IF(H68=6,"weekend","weekend"))</f>
        <v>weekend</v>
      </c>
      <c r="L68" s="3" t="str">
        <f>IF(C68=1,"Spring",IF(C68=2,"Summer",IF(C68=3,"Fall","Winter")))</f>
        <v>Spring</v>
      </c>
      <c r="M68" s="3">
        <f>SUM(J68:J92)</f>
        <v>4.9000000000000004</v>
      </c>
      <c r="N68" s="3">
        <f>AVERAGE(J68:J677)</f>
        <v>0.18319852941176462</v>
      </c>
      <c r="O68" s="3">
        <f>COUNT(J68:J677)</f>
        <v>544</v>
      </c>
      <c r="P68" s="3" t="str">
        <f>TEXT(J68,"0.00")</f>
        <v>0.18</v>
      </c>
      <c r="Q68" s="3" t="str">
        <f>LEFT(L68,3)</f>
        <v>Spr</v>
      </c>
      <c r="R68" s="42" t="str">
        <f>RIGHT(L68,3)</f>
        <v>ing</v>
      </c>
      <c r="S68" s="42">
        <f>LEN(L68)</f>
        <v>6</v>
      </c>
      <c r="T68" s="3" t="str">
        <f>A68&amp;"|"&amp;B68&amp;"|"&amp;F68</f>
        <v>67|40603|21</v>
      </c>
      <c r="U68" s="3">
        <f t="shared" si="4"/>
        <v>610</v>
      </c>
      <c r="V68" s="3">
        <f t="shared" si="5"/>
        <v>120.10000000000005</v>
      </c>
      <c r="W68" s="50">
        <f t="shared" si="6"/>
        <v>8.1303845032683911E-2</v>
      </c>
      <c r="X68" s="50">
        <f t="shared" si="7"/>
        <v>0.16514794964716251</v>
      </c>
    </row>
    <row r="69" spans="1:24" x14ac:dyDescent="0.2">
      <c r="A69" s="4">
        <v>68</v>
      </c>
      <c r="B69" s="5">
        <v>40603</v>
      </c>
      <c r="C69" s="4">
        <v>1</v>
      </c>
      <c r="D69" s="4">
        <v>0</v>
      </c>
      <c r="E69" s="4">
        <v>1</v>
      </c>
      <c r="F69" s="4">
        <v>22</v>
      </c>
      <c r="G69" s="4" t="b">
        <v>0</v>
      </c>
      <c r="H69" s="4">
        <v>1</v>
      </c>
      <c r="I69" s="4">
        <v>1</v>
      </c>
      <c r="J69" s="4">
        <v>0.14000000000000001</v>
      </c>
      <c r="K69" s="6" t="str">
        <f>IF(H69=0,"weekend",IF(H69=6,"weekend","weekend"))</f>
        <v>weekend</v>
      </c>
      <c r="L69" s="3" t="str">
        <f>IF(C69=1,"Spring",IF(C69=2,"Summer",IF(C69=3,"Fall","Winter")))</f>
        <v>Spring</v>
      </c>
      <c r="M69" s="3">
        <f>SUM(J69:J93)</f>
        <v>4.92</v>
      </c>
      <c r="N69" s="3">
        <f>AVERAGE(J69:J678)</f>
        <v>0.18320441988950267</v>
      </c>
      <c r="O69" s="3">
        <f>COUNT(J69:J678)</f>
        <v>543</v>
      </c>
      <c r="P69" s="3" t="str">
        <f>TEXT(J69,"0.00")</f>
        <v>0.14</v>
      </c>
      <c r="Q69" s="3" t="str">
        <f>LEFT(L69,3)</f>
        <v>Spr</v>
      </c>
      <c r="R69" s="42" t="str">
        <f>RIGHT(L69,3)</f>
        <v>ing</v>
      </c>
      <c r="S69" s="42">
        <f>LEN(L69)</f>
        <v>6</v>
      </c>
      <c r="T69" s="3" t="str">
        <f>A69&amp;"|"&amp;B69&amp;"|"&amp;F69</f>
        <v>68|40603|22</v>
      </c>
      <c r="U69" s="3">
        <f t="shared" si="4"/>
        <v>610</v>
      </c>
      <c r="V69" s="3">
        <f t="shared" si="5"/>
        <v>120.10000000000005</v>
      </c>
      <c r="W69" s="50">
        <f t="shared" si="6"/>
        <v>8.1303845032683911E-2</v>
      </c>
      <c r="X69" s="50">
        <f t="shared" si="7"/>
        <v>0.16514794964716251</v>
      </c>
    </row>
    <row r="70" spans="1:24" x14ac:dyDescent="0.2">
      <c r="A70" s="4">
        <v>69</v>
      </c>
      <c r="B70" s="5">
        <v>40603</v>
      </c>
      <c r="C70" s="4">
        <v>1</v>
      </c>
      <c r="D70" s="4">
        <v>0</v>
      </c>
      <c r="E70" s="4">
        <v>1</v>
      </c>
      <c r="F70" s="4">
        <v>23</v>
      </c>
      <c r="G70" s="4" t="b">
        <v>0</v>
      </c>
      <c r="H70" s="4">
        <v>1</v>
      </c>
      <c r="I70" s="4">
        <v>1</v>
      </c>
      <c r="J70" s="4">
        <v>0.18</v>
      </c>
      <c r="K70" s="6" t="str">
        <f>IF(H70=0,"weekend",IF(H70=6,"weekend","weekend"))</f>
        <v>weekend</v>
      </c>
      <c r="L70" s="3" t="str">
        <f>IF(C70=1,"Spring",IF(C70=2,"Summer",IF(C70=3,"Fall","Winter")))</f>
        <v>Spring</v>
      </c>
      <c r="M70" s="3">
        <f>SUM(J70:J94)</f>
        <v>4.9800000000000004</v>
      </c>
      <c r="N70" s="3">
        <f>AVERAGE(J70:J679)</f>
        <v>0.1832841328413283</v>
      </c>
      <c r="O70" s="3">
        <f>COUNT(J70:J679)</f>
        <v>542</v>
      </c>
      <c r="P70" s="3" t="str">
        <f>TEXT(J70,"0.00")</f>
        <v>0.18</v>
      </c>
      <c r="Q70" s="3" t="str">
        <f>LEFT(L70,3)</f>
        <v>Spr</v>
      </c>
      <c r="R70" s="42" t="str">
        <f>RIGHT(L70,3)</f>
        <v>ing</v>
      </c>
      <c r="S70" s="42">
        <f>LEN(L70)</f>
        <v>6</v>
      </c>
      <c r="T70" s="3" t="str">
        <f>A70&amp;"|"&amp;B70&amp;"|"&amp;F70</f>
        <v>69|40603|23</v>
      </c>
      <c r="U70" s="3">
        <f t="shared" si="4"/>
        <v>610</v>
      </c>
      <c r="V70" s="3">
        <f t="shared" si="5"/>
        <v>120.10000000000005</v>
      </c>
      <c r="W70" s="50">
        <f t="shared" si="6"/>
        <v>8.1303845032683911E-2</v>
      </c>
      <c r="X70" s="50">
        <f t="shared" si="7"/>
        <v>0.16514794964716251</v>
      </c>
    </row>
    <row r="71" spans="1:24" x14ac:dyDescent="0.2">
      <c r="A71" s="4">
        <v>70</v>
      </c>
      <c r="B71" s="5">
        <v>40634</v>
      </c>
      <c r="C71" s="4">
        <v>1</v>
      </c>
      <c r="D71" s="4">
        <v>0</v>
      </c>
      <c r="E71" s="4">
        <v>1</v>
      </c>
      <c r="F71" s="4">
        <v>0</v>
      </c>
      <c r="G71" s="4" t="b">
        <v>0</v>
      </c>
      <c r="H71" s="4">
        <v>2</v>
      </c>
      <c r="I71" s="4">
        <v>1</v>
      </c>
      <c r="J71" s="4">
        <v>0.16</v>
      </c>
      <c r="K71" s="6" t="str">
        <f>IF(H71=0,"weekend",IF(H71=6,"weekend","weekend"))</f>
        <v>weekend</v>
      </c>
      <c r="L71" s="3" t="str">
        <f>IF(C71=1,"Spring",IF(C71=2,"Summer",IF(C71=3,"Fall","Winter")))</f>
        <v>Spring</v>
      </c>
      <c r="M71" s="3">
        <f>SUM(J71:J95)</f>
        <v>4.96</v>
      </c>
      <c r="N71" s="3">
        <f>AVERAGE(J71:J680)</f>
        <v>0.18329020332717183</v>
      </c>
      <c r="O71" s="3">
        <f>COUNT(J71:J680)</f>
        <v>541</v>
      </c>
      <c r="P71" s="3" t="str">
        <f>TEXT(J71,"0.00")</f>
        <v>0.16</v>
      </c>
      <c r="Q71" s="3" t="str">
        <f>LEFT(L71,3)</f>
        <v>Spr</v>
      </c>
      <c r="R71" s="42" t="str">
        <f>RIGHT(L71,3)</f>
        <v>ing</v>
      </c>
      <c r="S71" s="42">
        <f>LEN(L71)</f>
        <v>6</v>
      </c>
      <c r="T71" s="3" t="str">
        <f>A71&amp;"|"&amp;B71&amp;"|"&amp;F71</f>
        <v>70|40634|0</v>
      </c>
      <c r="U71" s="3">
        <f t="shared" si="4"/>
        <v>610</v>
      </c>
      <c r="V71" s="3">
        <f t="shared" si="5"/>
        <v>120.10000000000005</v>
      </c>
      <c r="W71" s="50">
        <f t="shared" si="6"/>
        <v>8.1303845032683911E-2</v>
      </c>
      <c r="X71" s="50">
        <f t="shared" si="7"/>
        <v>0.16514794964716251</v>
      </c>
    </row>
    <row r="72" spans="1:24" x14ac:dyDescent="0.2">
      <c r="A72" s="4">
        <v>71</v>
      </c>
      <c r="B72" s="5">
        <v>40634</v>
      </c>
      <c r="C72" s="4">
        <v>1</v>
      </c>
      <c r="D72" s="4">
        <v>0</v>
      </c>
      <c r="E72" s="4">
        <v>1</v>
      </c>
      <c r="F72" s="4">
        <v>1</v>
      </c>
      <c r="G72" s="4" t="b">
        <v>0</v>
      </c>
      <c r="H72" s="4">
        <v>2</v>
      </c>
      <c r="I72" s="4">
        <v>1</v>
      </c>
      <c r="J72" s="4">
        <v>0.16</v>
      </c>
      <c r="K72" s="6" t="str">
        <f>IF(H72=0,"weekend",IF(H72=6,"weekend","weekend"))</f>
        <v>weekend</v>
      </c>
      <c r="L72" s="3" t="str">
        <f>IF(C72=1,"Spring",IF(C72=2,"Summer",IF(C72=3,"Fall","Winter")))</f>
        <v>Spring</v>
      </c>
      <c r="M72" s="3">
        <f>SUM(J72:J96)</f>
        <v>4.9600000000000009</v>
      </c>
      <c r="N72" s="3">
        <f>AVERAGE(J72:J681)</f>
        <v>0.18333333333333324</v>
      </c>
      <c r="O72" s="3">
        <f>COUNT(J72:J681)</f>
        <v>540</v>
      </c>
      <c r="P72" s="3" t="str">
        <f>TEXT(J72,"0.00")</f>
        <v>0.16</v>
      </c>
      <c r="Q72" s="3" t="str">
        <f>LEFT(L72,3)</f>
        <v>Spr</v>
      </c>
      <c r="R72" s="42" t="str">
        <f>RIGHT(L72,3)</f>
        <v>ing</v>
      </c>
      <c r="S72" s="42">
        <f>LEN(L72)</f>
        <v>6</v>
      </c>
      <c r="T72" s="3" t="str">
        <f>A72&amp;"|"&amp;B72&amp;"|"&amp;F72</f>
        <v>71|40634|1</v>
      </c>
      <c r="U72" s="3">
        <f t="shared" si="4"/>
        <v>610</v>
      </c>
      <c r="V72" s="3">
        <f t="shared" si="5"/>
        <v>120.10000000000005</v>
      </c>
      <c r="W72" s="50">
        <f t="shared" si="6"/>
        <v>8.1303845032683911E-2</v>
      </c>
      <c r="X72" s="50">
        <f t="shared" si="7"/>
        <v>0.16514794964716251</v>
      </c>
    </row>
    <row r="73" spans="1:24" x14ac:dyDescent="0.2">
      <c r="A73" s="4">
        <v>72</v>
      </c>
      <c r="B73" s="5">
        <v>40634</v>
      </c>
      <c r="C73" s="4">
        <v>1</v>
      </c>
      <c r="D73" s="4">
        <v>0</v>
      </c>
      <c r="E73" s="4">
        <v>1</v>
      </c>
      <c r="F73" s="4">
        <v>2</v>
      </c>
      <c r="G73" s="4" t="b">
        <v>0</v>
      </c>
      <c r="H73" s="4">
        <v>2</v>
      </c>
      <c r="I73" s="4">
        <v>1</v>
      </c>
      <c r="J73" s="4">
        <v>0.14000000000000001</v>
      </c>
      <c r="K73" s="6" t="str">
        <f>IF(H73=0,"weekend",IF(H73=6,"weekend","weekend"))</f>
        <v>weekend</v>
      </c>
      <c r="L73" s="3" t="str">
        <f>IF(C73=1,"Spring",IF(C73=2,"Summer",IF(C73=3,"Fall","Winter")))</f>
        <v>Spring</v>
      </c>
      <c r="M73" s="3">
        <f>SUM(J73:J97)</f>
        <v>5.0400000000000018</v>
      </c>
      <c r="N73" s="3">
        <f>AVERAGE(J73:J682)</f>
        <v>0.18337662337662328</v>
      </c>
      <c r="O73" s="3">
        <f>COUNT(J73:J682)</f>
        <v>539</v>
      </c>
      <c r="P73" s="3" t="str">
        <f>TEXT(J73,"0.00")</f>
        <v>0.14</v>
      </c>
      <c r="Q73" s="3" t="str">
        <f>LEFT(L73,3)</f>
        <v>Spr</v>
      </c>
      <c r="R73" s="42" t="str">
        <f>RIGHT(L73,3)</f>
        <v>ing</v>
      </c>
      <c r="S73" s="42">
        <f>LEN(L73)</f>
        <v>6</v>
      </c>
      <c r="T73" s="3" t="str">
        <f>A73&amp;"|"&amp;B73&amp;"|"&amp;F73</f>
        <v>72|40634|2</v>
      </c>
      <c r="U73" s="3">
        <f t="shared" si="4"/>
        <v>610</v>
      </c>
      <c r="V73" s="3">
        <f t="shared" si="5"/>
        <v>120.10000000000005</v>
      </c>
      <c r="W73" s="50">
        <f t="shared" si="6"/>
        <v>8.1303845032683911E-2</v>
      </c>
      <c r="X73" s="50">
        <f t="shared" si="7"/>
        <v>0.16514794964716251</v>
      </c>
    </row>
    <row r="74" spans="1:24" x14ac:dyDescent="0.2">
      <c r="A74" s="4">
        <v>73</v>
      </c>
      <c r="B74" s="5">
        <v>40634</v>
      </c>
      <c r="C74" s="4">
        <v>1</v>
      </c>
      <c r="D74" s="4">
        <v>0</v>
      </c>
      <c r="E74" s="4">
        <v>1</v>
      </c>
      <c r="F74" s="4">
        <v>4</v>
      </c>
      <c r="G74" s="4" t="b">
        <v>0</v>
      </c>
      <c r="H74" s="4">
        <v>2</v>
      </c>
      <c r="I74" s="4">
        <v>1</v>
      </c>
      <c r="J74" s="4">
        <v>0.14000000000000001</v>
      </c>
      <c r="K74" s="6" t="str">
        <f>IF(H74=0,"weekend",IF(H74=6,"weekend","weekend"))</f>
        <v>weekend</v>
      </c>
      <c r="L74" s="3" t="str">
        <f>IF(C74=1,"Spring",IF(C74=2,"Summer",IF(C74=3,"Fall","Winter")))</f>
        <v>Spring</v>
      </c>
      <c r="M74" s="3">
        <f>SUM(J74:J98)</f>
        <v>5.120000000000001</v>
      </c>
      <c r="N74" s="3">
        <f>AVERAGE(J74:J683)</f>
        <v>0.18345724907063188</v>
      </c>
      <c r="O74" s="3">
        <f>COUNT(J74:J683)</f>
        <v>538</v>
      </c>
      <c r="P74" s="3" t="str">
        <f>TEXT(J74,"0.00")</f>
        <v>0.14</v>
      </c>
      <c r="Q74" s="3" t="str">
        <f>LEFT(L74,3)</f>
        <v>Spr</v>
      </c>
      <c r="R74" s="42" t="str">
        <f>RIGHT(L74,3)</f>
        <v>ing</v>
      </c>
      <c r="S74" s="42">
        <f>LEN(L74)</f>
        <v>6</v>
      </c>
      <c r="T74" s="3" t="str">
        <f>A74&amp;"|"&amp;B74&amp;"|"&amp;F74</f>
        <v>73|40634|4</v>
      </c>
      <c r="U74" s="3">
        <f t="shared" si="4"/>
        <v>610</v>
      </c>
      <c r="V74" s="3">
        <f t="shared" si="5"/>
        <v>120.10000000000005</v>
      </c>
      <c r="W74" s="50">
        <f t="shared" si="6"/>
        <v>8.1303845032683911E-2</v>
      </c>
      <c r="X74" s="50">
        <f t="shared" si="7"/>
        <v>0.16514794964716251</v>
      </c>
    </row>
    <row r="75" spans="1:24" x14ac:dyDescent="0.2">
      <c r="A75" s="4">
        <v>74</v>
      </c>
      <c r="B75" s="5">
        <v>40634</v>
      </c>
      <c r="C75" s="4">
        <v>1</v>
      </c>
      <c r="D75" s="4">
        <v>0</v>
      </c>
      <c r="E75" s="4">
        <v>1</v>
      </c>
      <c r="F75" s="4">
        <v>5</v>
      </c>
      <c r="G75" s="4" t="b">
        <v>0</v>
      </c>
      <c r="H75" s="4">
        <v>2</v>
      </c>
      <c r="I75" s="4">
        <v>1</v>
      </c>
      <c r="J75" s="4">
        <v>0.12</v>
      </c>
      <c r="K75" s="6" t="str">
        <f>IF(H75=0,"weekend",IF(H75=6,"weekend","weekend"))</f>
        <v>weekend</v>
      </c>
      <c r="L75" s="3" t="str">
        <f>IF(C75=1,"Spring",IF(C75=2,"Summer",IF(C75=3,"Fall","Winter")))</f>
        <v>Spring</v>
      </c>
      <c r="M75" s="3">
        <f>SUM(J75:J99)</f>
        <v>5.1800000000000015</v>
      </c>
      <c r="N75" s="3">
        <f>AVERAGE(J75:J684)</f>
        <v>0.18353817504655487</v>
      </c>
      <c r="O75" s="3">
        <f>COUNT(J75:J684)</f>
        <v>537</v>
      </c>
      <c r="P75" s="3" t="str">
        <f>TEXT(J75,"0.00")</f>
        <v>0.12</v>
      </c>
      <c r="Q75" s="3" t="str">
        <f>LEFT(L75,3)</f>
        <v>Spr</v>
      </c>
      <c r="R75" s="42" t="str">
        <f>RIGHT(L75,3)</f>
        <v>ing</v>
      </c>
      <c r="S75" s="42">
        <f>LEN(L75)</f>
        <v>6</v>
      </c>
      <c r="T75" s="3" t="str">
        <f>A75&amp;"|"&amp;B75&amp;"|"&amp;F75</f>
        <v>74|40634|5</v>
      </c>
      <c r="U75" s="3">
        <f t="shared" si="4"/>
        <v>610</v>
      </c>
      <c r="V75" s="3">
        <f t="shared" si="5"/>
        <v>120.10000000000005</v>
      </c>
      <c r="W75" s="50">
        <f t="shared" si="6"/>
        <v>8.1303845032683911E-2</v>
      </c>
      <c r="X75" s="50">
        <f t="shared" si="7"/>
        <v>0.16514794964716251</v>
      </c>
    </row>
    <row r="76" spans="1:24" x14ac:dyDescent="0.2">
      <c r="A76" s="4">
        <v>75</v>
      </c>
      <c r="B76" s="5">
        <v>40634</v>
      </c>
      <c r="C76" s="4">
        <v>1</v>
      </c>
      <c r="D76" s="4">
        <v>0</v>
      </c>
      <c r="E76" s="4">
        <v>1</v>
      </c>
      <c r="F76" s="4">
        <v>6</v>
      </c>
      <c r="G76" s="4" t="b">
        <v>0</v>
      </c>
      <c r="H76" s="4">
        <v>2</v>
      </c>
      <c r="I76" s="4">
        <v>1</v>
      </c>
      <c r="J76" s="4">
        <v>0.12</v>
      </c>
      <c r="K76" s="6" t="str">
        <f>IF(H76=0,"weekend",IF(H76=6,"weekend","weekend"))</f>
        <v>weekend</v>
      </c>
      <c r="L76" s="3" t="str">
        <f>IF(C76=1,"Spring",IF(C76=2,"Summer",IF(C76=3,"Fall","Winter")))</f>
        <v>Spring</v>
      </c>
      <c r="M76" s="3">
        <f>SUM(J76:J100)</f>
        <v>5.2400000000000011</v>
      </c>
      <c r="N76" s="3">
        <f>AVERAGE(J76:J685)</f>
        <v>0.1836567164179104</v>
      </c>
      <c r="O76" s="3">
        <f>COUNT(J76:J685)</f>
        <v>536</v>
      </c>
      <c r="P76" s="3" t="str">
        <f>TEXT(J76,"0.00")</f>
        <v>0.12</v>
      </c>
      <c r="Q76" s="3" t="str">
        <f>LEFT(L76,3)</f>
        <v>Spr</v>
      </c>
      <c r="R76" s="42" t="str">
        <f>RIGHT(L76,3)</f>
        <v>ing</v>
      </c>
      <c r="S76" s="42">
        <f>LEN(L76)</f>
        <v>6</v>
      </c>
      <c r="T76" s="3" t="str">
        <f>A76&amp;"|"&amp;B76&amp;"|"&amp;F76</f>
        <v>75|40634|6</v>
      </c>
      <c r="U76" s="3">
        <f t="shared" si="4"/>
        <v>610</v>
      </c>
      <c r="V76" s="3">
        <f t="shared" si="5"/>
        <v>120.10000000000005</v>
      </c>
      <c r="W76" s="50">
        <f t="shared" si="6"/>
        <v>8.1303845032683911E-2</v>
      </c>
      <c r="X76" s="50">
        <f t="shared" si="7"/>
        <v>0.16514794964716251</v>
      </c>
    </row>
    <row r="77" spans="1:24" x14ac:dyDescent="0.2">
      <c r="A77" s="4">
        <v>76</v>
      </c>
      <c r="B77" s="5">
        <v>40634</v>
      </c>
      <c r="C77" s="4">
        <v>1</v>
      </c>
      <c r="D77" s="4">
        <v>0</v>
      </c>
      <c r="E77" s="4">
        <v>1</v>
      </c>
      <c r="F77" s="4">
        <v>7</v>
      </c>
      <c r="G77" s="4" t="b">
        <v>0</v>
      </c>
      <c r="H77" s="4">
        <v>2</v>
      </c>
      <c r="I77" s="4">
        <v>1</v>
      </c>
      <c r="J77" s="4">
        <v>0.12</v>
      </c>
      <c r="K77" s="6" t="str">
        <f>IF(H77=0,"weekend",IF(H77=6,"weekend","weekend"))</f>
        <v>weekend</v>
      </c>
      <c r="L77" s="3" t="str">
        <f>IF(C77=1,"Spring",IF(C77=2,"Summer",IF(C77=3,"Fall","Winter")))</f>
        <v>Spring</v>
      </c>
      <c r="M77" s="3">
        <f>SUM(J77:J101)</f>
        <v>5.3200000000000012</v>
      </c>
      <c r="N77" s="3">
        <f>AVERAGE(J77:J686)</f>
        <v>0.18377570093457937</v>
      </c>
      <c r="O77" s="3">
        <f>COUNT(J77:J686)</f>
        <v>535</v>
      </c>
      <c r="P77" s="3" t="str">
        <f>TEXT(J77,"0.00")</f>
        <v>0.12</v>
      </c>
      <c r="Q77" s="3" t="str">
        <f>LEFT(L77,3)</f>
        <v>Spr</v>
      </c>
      <c r="R77" s="42" t="str">
        <f>RIGHT(L77,3)</f>
        <v>ing</v>
      </c>
      <c r="S77" s="42">
        <f>LEN(L77)</f>
        <v>6</v>
      </c>
      <c r="T77" s="3" t="str">
        <f>A77&amp;"|"&amp;B77&amp;"|"&amp;F77</f>
        <v>76|40634|7</v>
      </c>
      <c r="U77" s="3">
        <f t="shared" si="4"/>
        <v>610</v>
      </c>
      <c r="V77" s="3">
        <f t="shared" si="5"/>
        <v>120.10000000000005</v>
      </c>
      <c r="W77" s="50">
        <f t="shared" si="6"/>
        <v>8.1303845032683911E-2</v>
      </c>
      <c r="X77" s="50">
        <f t="shared" si="7"/>
        <v>0.16514794964716251</v>
      </c>
    </row>
    <row r="78" spans="1:24" x14ac:dyDescent="0.2">
      <c r="A78" s="4">
        <v>77</v>
      </c>
      <c r="B78" s="5">
        <v>40634</v>
      </c>
      <c r="C78" s="4">
        <v>1</v>
      </c>
      <c r="D78" s="4">
        <v>0</v>
      </c>
      <c r="E78" s="4">
        <v>1</v>
      </c>
      <c r="F78" s="4">
        <v>8</v>
      </c>
      <c r="G78" s="4" t="b">
        <v>0</v>
      </c>
      <c r="H78" s="4">
        <v>2</v>
      </c>
      <c r="I78" s="4">
        <v>1</v>
      </c>
      <c r="J78" s="4">
        <v>0.14000000000000001</v>
      </c>
      <c r="K78" s="6" t="str">
        <f>IF(H78=0,"weekend",IF(H78=6,"weekend","weekend"))</f>
        <v>weekend</v>
      </c>
      <c r="L78" s="3" t="str">
        <f>IF(C78=1,"Spring",IF(C78=2,"Summer",IF(C78=3,"Fall","Winter")))</f>
        <v>Spring</v>
      </c>
      <c r="M78" s="3">
        <f>SUM(J78:J102)</f>
        <v>5.4200000000000017</v>
      </c>
      <c r="N78" s="3">
        <f>AVERAGE(J78:J687)</f>
        <v>0.18389513108614228</v>
      </c>
      <c r="O78" s="3">
        <f>COUNT(J78:J687)</f>
        <v>534</v>
      </c>
      <c r="P78" s="3" t="str">
        <f>TEXT(J78,"0.00")</f>
        <v>0.14</v>
      </c>
      <c r="Q78" s="3" t="str">
        <f>LEFT(L78,3)</f>
        <v>Spr</v>
      </c>
      <c r="R78" s="42" t="str">
        <f>RIGHT(L78,3)</f>
        <v>ing</v>
      </c>
      <c r="S78" s="42">
        <f>LEN(L78)</f>
        <v>6</v>
      </c>
      <c r="T78" s="3" t="str">
        <f>A78&amp;"|"&amp;B78&amp;"|"&amp;F78</f>
        <v>77|40634|8</v>
      </c>
      <c r="U78" s="3">
        <f t="shared" si="4"/>
        <v>610</v>
      </c>
      <c r="V78" s="3">
        <f t="shared" si="5"/>
        <v>120.10000000000005</v>
      </c>
      <c r="W78" s="50">
        <f t="shared" si="6"/>
        <v>8.1303845032683911E-2</v>
      </c>
      <c r="X78" s="50">
        <f t="shared" si="7"/>
        <v>0.16514794964716251</v>
      </c>
    </row>
    <row r="79" spans="1:24" x14ac:dyDescent="0.2">
      <c r="A79" s="4">
        <v>78</v>
      </c>
      <c r="B79" s="5">
        <v>40634</v>
      </c>
      <c r="C79" s="4">
        <v>1</v>
      </c>
      <c r="D79" s="4">
        <v>0</v>
      </c>
      <c r="E79" s="4">
        <v>1</v>
      </c>
      <c r="F79" s="4">
        <v>9</v>
      </c>
      <c r="G79" s="4" t="b">
        <v>0</v>
      </c>
      <c r="H79" s="4">
        <v>2</v>
      </c>
      <c r="I79" s="4">
        <v>1</v>
      </c>
      <c r="J79" s="4">
        <v>0.16</v>
      </c>
      <c r="K79" s="6" t="str">
        <f>IF(H79=0,"weekend",IF(H79=6,"weekend","weekend"))</f>
        <v>weekend</v>
      </c>
      <c r="L79" s="3" t="str">
        <f>IF(C79=1,"Spring",IF(C79=2,"Summer",IF(C79=3,"Fall","Winter")))</f>
        <v>Spring</v>
      </c>
      <c r="M79" s="3">
        <f>SUM(J79:J103)</f>
        <v>5.5000000000000009</v>
      </c>
      <c r="N79" s="3">
        <f>AVERAGE(J79:J688)</f>
        <v>0.18397748592870539</v>
      </c>
      <c r="O79" s="3">
        <f>COUNT(J79:J688)</f>
        <v>533</v>
      </c>
      <c r="P79" s="3" t="str">
        <f>TEXT(J79,"0.00")</f>
        <v>0.16</v>
      </c>
      <c r="Q79" s="3" t="str">
        <f>LEFT(L79,3)</f>
        <v>Spr</v>
      </c>
      <c r="R79" s="42" t="str">
        <f>RIGHT(L79,3)</f>
        <v>ing</v>
      </c>
      <c r="S79" s="42">
        <f>LEN(L79)</f>
        <v>6</v>
      </c>
      <c r="T79" s="3" t="str">
        <f>A79&amp;"|"&amp;B79&amp;"|"&amp;F79</f>
        <v>78|40634|9</v>
      </c>
      <c r="U79" s="3">
        <f t="shared" si="4"/>
        <v>610</v>
      </c>
      <c r="V79" s="3">
        <f t="shared" si="5"/>
        <v>120.10000000000005</v>
      </c>
      <c r="W79" s="50">
        <f t="shared" si="6"/>
        <v>8.1303845032683911E-2</v>
      </c>
      <c r="X79" s="50">
        <f t="shared" si="7"/>
        <v>0.16514794964716251</v>
      </c>
    </row>
    <row r="80" spans="1:24" x14ac:dyDescent="0.2">
      <c r="A80" s="4">
        <v>79</v>
      </c>
      <c r="B80" s="5">
        <v>40634</v>
      </c>
      <c r="C80" s="4">
        <v>1</v>
      </c>
      <c r="D80" s="4">
        <v>0</v>
      </c>
      <c r="E80" s="4">
        <v>1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  <c r="K80" s="6" t="str">
        <f>IF(H80=0,"weekend",IF(H80=6,"weekend","weekend"))</f>
        <v>weekend</v>
      </c>
      <c r="L80" s="3" t="str">
        <f>IF(C80=1,"Spring",IF(C80=2,"Summer",IF(C80=3,"Fall","Winter")))</f>
        <v>Spring</v>
      </c>
      <c r="M80" s="3">
        <f>SUM(J80:J104)</f>
        <v>5.6000000000000005</v>
      </c>
      <c r="N80" s="3">
        <f>AVERAGE(J80:J689)</f>
        <v>0.18402255639097739</v>
      </c>
      <c r="O80" s="3">
        <f>COUNT(J80:J689)</f>
        <v>532</v>
      </c>
      <c r="P80" s="3" t="str">
        <f>TEXT(J80,"0.00")</f>
        <v>0.16</v>
      </c>
      <c r="Q80" s="3" t="str">
        <f>LEFT(L80,3)</f>
        <v>Spr</v>
      </c>
      <c r="R80" s="42" t="str">
        <f>RIGHT(L80,3)</f>
        <v>ing</v>
      </c>
      <c r="S80" s="42">
        <f>LEN(L80)</f>
        <v>6</v>
      </c>
      <c r="T80" s="3" t="str">
        <f>A80&amp;"|"&amp;B80&amp;"|"&amp;F80</f>
        <v>79|40634|10</v>
      </c>
      <c r="U80" s="3">
        <f t="shared" si="4"/>
        <v>610</v>
      </c>
      <c r="V80" s="3">
        <f t="shared" si="5"/>
        <v>120.10000000000005</v>
      </c>
      <c r="W80" s="50">
        <f t="shared" si="6"/>
        <v>8.1303845032683911E-2</v>
      </c>
      <c r="X80" s="50">
        <f t="shared" si="7"/>
        <v>0.16514794964716251</v>
      </c>
    </row>
    <row r="81" spans="1:24" x14ac:dyDescent="0.2">
      <c r="A81" s="4">
        <v>80</v>
      </c>
      <c r="B81" s="5">
        <v>40634</v>
      </c>
      <c r="C81" s="4">
        <v>1</v>
      </c>
      <c r="D81" s="4">
        <v>0</v>
      </c>
      <c r="E81" s="4">
        <v>1</v>
      </c>
      <c r="F81" s="4">
        <v>11</v>
      </c>
      <c r="G81" s="4" t="b">
        <v>0</v>
      </c>
      <c r="H81" s="4">
        <v>2</v>
      </c>
      <c r="I81" s="4">
        <v>1</v>
      </c>
      <c r="J81" s="4">
        <v>0.22</v>
      </c>
      <c r="K81" s="6" t="str">
        <f>IF(H81=0,"weekend",IF(H81=6,"weekend","weekend"))</f>
        <v>weekend</v>
      </c>
      <c r="L81" s="3" t="str">
        <f>IF(C81=1,"Spring",IF(C81=2,"Summer",IF(C81=3,"Fall","Winter")))</f>
        <v>Spring</v>
      </c>
      <c r="M81" s="3">
        <f>SUM(J81:J105)</f>
        <v>5.7</v>
      </c>
      <c r="N81" s="3">
        <f>AVERAGE(J81:J690)</f>
        <v>0.18406779661016945</v>
      </c>
      <c r="O81" s="3">
        <f>COUNT(J81:J690)</f>
        <v>531</v>
      </c>
      <c r="P81" s="3" t="str">
        <f>TEXT(J81,"0.00")</f>
        <v>0.22</v>
      </c>
      <c r="Q81" s="3" t="str">
        <f>LEFT(L81,3)</f>
        <v>Spr</v>
      </c>
      <c r="R81" s="42" t="str">
        <f>RIGHT(L81,3)</f>
        <v>ing</v>
      </c>
      <c r="S81" s="42">
        <f>LEN(L81)</f>
        <v>6</v>
      </c>
      <c r="T81" s="3" t="str">
        <f>A81&amp;"|"&amp;B81&amp;"|"&amp;F81</f>
        <v>80|40634|11</v>
      </c>
      <c r="U81" s="3">
        <f t="shared" si="4"/>
        <v>610</v>
      </c>
      <c r="V81" s="3">
        <f t="shared" si="5"/>
        <v>120.10000000000005</v>
      </c>
      <c r="W81" s="50">
        <f t="shared" si="6"/>
        <v>8.1303845032683911E-2</v>
      </c>
      <c r="X81" s="50">
        <f t="shared" si="7"/>
        <v>0.16514794964716251</v>
      </c>
    </row>
    <row r="82" spans="1:24" x14ac:dyDescent="0.2">
      <c r="A82" s="4">
        <v>81</v>
      </c>
      <c r="B82" s="5">
        <v>40634</v>
      </c>
      <c r="C82" s="4">
        <v>1</v>
      </c>
      <c r="D82" s="4">
        <v>0</v>
      </c>
      <c r="E82" s="4">
        <v>1</v>
      </c>
      <c r="F82" s="4">
        <v>12</v>
      </c>
      <c r="G82" s="4" t="b">
        <v>0</v>
      </c>
      <c r="H82" s="4">
        <v>2</v>
      </c>
      <c r="I82" s="4">
        <v>1</v>
      </c>
      <c r="J82" s="4">
        <v>0.22</v>
      </c>
      <c r="K82" s="6" t="str">
        <f>IF(H82=0,"weekend",IF(H82=6,"weekend","weekend"))</f>
        <v>weekend</v>
      </c>
      <c r="L82" s="3" t="str">
        <f>IF(C82=1,"Spring",IF(C82=2,"Summer",IF(C82=3,"Fall","Winter")))</f>
        <v>Spring</v>
      </c>
      <c r="M82" s="3">
        <f>SUM(J82:J106)</f>
        <v>5.7600000000000007</v>
      </c>
      <c r="N82" s="3">
        <f>AVERAGE(J82:J691)</f>
        <v>0.18399999999999997</v>
      </c>
      <c r="O82" s="3">
        <f>COUNT(J82:J691)</f>
        <v>530</v>
      </c>
      <c r="P82" s="3" t="str">
        <f>TEXT(J82,"0.00")</f>
        <v>0.22</v>
      </c>
      <c r="Q82" s="3" t="str">
        <f>LEFT(L82,3)</f>
        <v>Spr</v>
      </c>
      <c r="R82" s="42" t="str">
        <f>RIGHT(L82,3)</f>
        <v>ing</v>
      </c>
      <c r="S82" s="42">
        <f>LEN(L82)</f>
        <v>6</v>
      </c>
      <c r="T82" s="3" t="str">
        <f>A82&amp;"|"&amp;B82&amp;"|"&amp;F82</f>
        <v>81|40634|12</v>
      </c>
      <c r="U82" s="3">
        <f t="shared" si="4"/>
        <v>610</v>
      </c>
      <c r="V82" s="3">
        <f t="shared" si="5"/>
        <v>120.10000000000005</v>
      </c>
      <c r="W82" s="50">
        <f t="shared" si="6"/>
        <v>8.1303845032683911E-2</v>
      </c>
      <c r="X82" s="50">
        <f t="shared" si="7"/>
        <v>0.16514794964716251</v>
      </c>
    </row>
    <row r="83" spans="1:24" x14ac:dyDescent="0.2">
      <c r="A83" s="4">
        <v>82</v>
      </c>
      <c r="B83" s="5">
        <v>40634</v>
      </c>
      <c r="C83" s="4">
        <v>1</v>
      </c>
      <c r="D83" s="4">
        <v>0</v>
      </c>
      <c r="E83" s="4">
        <v>1</v>
      </c>
      <c r="F83" s="4">
        <v>13</v>
      </c>
      <c r="G83" s="4" t="b">
        <v>0</v>
      </c>
      <c r="H83" s="4">
        <v>2</v>
      </c>
      <c r="I83" s="4">
        <v>1</v>
      </c>
      <c r="J83" s="4">
        <v>0.24</v>
      </c>
      <c r="K83" s="6" t="str">
        <f>IF(H83=0,"weekend",IF(H83=6,"weekend","weekend"))</f>
        <v>weekend</v>
      </c>
      <c r="L83" s="3" t="str">
        <f>IF(C83=1,"Spring",IF(C83=2,"Summer",IF(C83=3,"Fall","Winter")))</f>
        <v>Spring</v>
      </c>
      <c r="M83" s="3">
        <f>SUM(J83:J107)</f>
        <v>5.8400000000000007</v>
      </c>
      <c r="N83" s="3">
        <f>AVERAGE(J83:J692)</f>
        <v>0.18393194706994329</v>
      </c>
      <c r="O83" s="3">
        <f>COUNT(J83:J692)</f>
        <v>529</v>
      </c>
      <c r="P83" s="3" t="str">
        <f>TEXT(J83,"0.00")</f>
        <v>0.24</v>
      </c>
      <c r="Q83" s="3" t="str">
        <f>LEFT(L83,3)</f>
        <v>Spr</v>
      </c>
      <c r="R83" s="42" t="str">
        <f>RIGHT(L83,3)</f>
        <v>ing</v>
      </c>
      <c r="S83" s="42">
        <f>LEN(L83)</f>
        <v>6</v>
      </c>
      <c r="T83" s="3" t="str">
        <f>A83&amp;"|"&amp;B83&amp;"|"&amp;F83</f>
        <v>82|40634|13</v>
      </c>
      <c r="U83" s="3">
        <f t="shared" si="4"/>
        <v>610</v>
      </c>
      <c r="V83" s="3">
        <f t="shared" si="5"/>
        <v>120.10000000000005</v>
      </c>
      <c r="W83" s="50">
        <f t="shared" si="6"/>
        <v>8.1303845032683911E-2</v>
      </c>
      <c r="X83" s="50">
        <f t="shared" si="7"/>
        <v>0.16514794964716251</v>
      </c>
    </row>
    <row r="84" spans="1:24" x14ac:dyDescent="0.2">
      <c r="A84" s="4">
        <v>83</v>
      </c>
      <c r="B84" s="5">
        <v>40634</v>
      </c>
      <c r="C84" s="4">
        <v>1</v>
      </c>
      <c r="D84" s="4">
        <v>0</v>
      </c>
      <c r="E84" s="4">
        <v>1</v>
      </c>
      <c r="F84" s="4">
        <v>14</v>
      </c>
      <c r="G84" s="4" t="b">
        <v>0</v>
      </c>
      <c r="H84" s="4">
        <v>2</v>
      </c>
      <c r="I84" s="4">
        <v>1</v>
      </c>
      <c r="J84" s="4">
        <v>0.26</v>
      </c>
      <c r="K84" s="6" t="str">
        <f>IF(H84=0,"weekend",IF(H84=6,"weekend","weekend"))</f>
        <v>weekend</v>
      </c>
      <c r="L84" s="3" t="str">
        <f>IF(C84=1,"Spring",IF(C84=2,"Summer",IF(C84=3,"Fall","Winter")))</f>
        <v>Spring</v>
      </c>
      <c r="M84" s="3">
        <f>SUM(J84:J108)</f>
        <v>5.9</v>
      </c>
      <c r="N84" s="3">
        <f>AVERAGE(J84:J693)</f>
        <v>0.18382575757575756</v>
      </c>
      <c r="O84" s="3">
        <f>COUNT(J84:J693)</f>
        <v>528</v>
      </c>
      <c r="P84" s="3" t="str">
        <f>TEXT(J84,"0.00")</f>
        <v>0.26</v>
      </c>
      <c r="Q84" s="3" t="str">
        <f>LEFT(L84,3)</f>
        <v>Spr</v>
      </c>
      <c r="R84" s="42" t="str">
        <f>RIGHT(L84,3)</f>
        <v>ing</v>
      </c>
      <c r="S84" s="42">
        <f>LEN(L84)</f>
        <v>6</v>
      </c>
      <c r="T84" s="3" t="str">
        <f>A84&amp;"|"&amp;B84&amp;"|"&amp;F84</f>
        <v>83|40634|14</v>
      </c>
      <c r="U84" s="3">
        <f t="shared" si="4"/>
        <v>610</v>
      </c>
      <c r="V84" s="3">
        <f t="shared" si="5"/>
        <v>120.10000000000005</v>
      </c>
      <c r="W84" s="50">
        <f t="shared" si="6"/>
        <v>8.1303845032683911E-2</v>
      </c>
      <c r="X84" s="50">
        <f t="shared" si="7"/>
        <v>0.16514794964716251</v>
      </c>
    </row>
    <row r="85" spans="1:24" x14ac:dyDescent="0.2">
      <c r="A85" s="4">
        <v>84</v>
      </c>
      <c r="B85" s="5">
        <v>40634</v>
      </c>
      <c r="C85" s="4">
        <v>1</v>
      </c>
      <c r="D85" s="4">
        <v>0</v>
      </c>
      <c r="E85" s="4">
        <v>1</v>
      </c>
      <c r="F85" s="4">
        <v>15</v>
      </c>
      <c r="G85" s="4" t="b">
        <v>0</v>
      </c>
      <c r="H85" s="4">
        <v>2</v>
      </c>
      <c r="I85" s="4">
        <v>1</v>
      </c>
      <c r="J85" s="4">
        <v>0.28000000000000003</v>
      </c>
      <c r="K85" s="6" t="str">
        <f>IF(H85=0,"weekend",IF(H85=6,"weekend","weekend"))</f>
        <v>weekend</v>
      </c>
      <c r="L85" s="3" t="str">
        <f>IF(C85=1,"Spring",IF(C85=2,"Summer",IF(C85=3,"Fall","Winter")))</f>
        <v>Spring</v>
      </c>
      <c r="M85" s="3">
        <f>SUM(J85:J109)</f>
        <v>5.94</v>
      </c>
      <c r="N85" s="3">
        <f>AVERAGE(J85:J694)</f>
        <v>0.18368121442125238</v>
      </c>
      <c r="O85" s="3">
        <f>COUNT(J85:J694)</f>
        <v>527</v>
      </c>
      <c r="P85" s="3" t="str">
        <f>TEXT(J85,"0.00")</f>
        <v>0.28</v>
      </c>
      <c r="Q85" s="3" t="str">
        <f>LEFT(L85,3)</f>
        <v>Spr</v>
      </c>
      <c r="R85" s="42" t="str">
        <f>RIGHT(L85,3)</f>
        <v>ing</v>
      </c>
      <c r="S85" s="42">
        <f>LEN(L85)</f>
        <v>6</v>
      </c>
      <c r="T85" s="3" t="str">
        <f>A85&amp;"|"&amp;B85&amp;"|"&amp;F85</f>
        <v>84|40634|15</v>
      </c>
      <c r="U85" s="3">
        <f t="shared" si="4"/>
        <v>610</v>
      </c>
      <c r="V85" s="3">
        <f t="shared" si="5"/>
        <v>120.10000000000005</v>
      </c>
      <c r="W85" s="50">
        <f t="shared" si="6"/>
        <v>8.1303845032683911E-2</v>
      </c>
      <c r="X85" s="50">
        <f t="shared" si="7"/>
        <v>0.16514794964716251</v>
      </c>
    </row>
    <row r="86" spans="1:24" x14ac:dyDescent="0.2">
      <c r="A86" s="4">
        <v>85</v>
      </c>
      <c r="B86" s="5">
        <v>40634</v>
      </c>
      <c r="C86" s="4">
        <v>1</v>
      </c>
      <c r="D86" s="4">
        <v>0</v>
      </c>
      <c r="E86" s="4">
        <v>1</v>
      </c>
      <c r="F86" s="4">
        <v>16</v>
      </c>
      <c r="G86" s="4" t="b">
        <v>0</v>
      </c>
      <c r="H86" s="4">
        <v>2</v>
      </c>
      <c r="I86" s="4">
        <v>1</v>
      </c>
      <c r="J86" s="4">
        <v>0.3</v>
      </c>
      <c r="K86" s="6" t="str">
        <f>IF(H86=0,"weekend",IF(H86=6,"weekend","weekend"))</f>
        <v>weekend</v>
      </c>
      <c r="L86" s="3" t="str">
        <f>IF(C86=1,"Spring",IF(C86=2,"Summer",IF(C86=3,"Fall","Winter")))</f>
        <v>Spring</v>
      </c>
      <c r="M86" s="3">
        <f>SUM(J86:J110)</f>
        <v>5.9000000000000012</v>
      </c>
      <c r="N86" s="3">
        <f>AVERAGE(J86:J695)</f>
        <v>0.18349809885931559</v>
      </c>
      <c r="O86" s="3">
        <f>COUNT(J86:J695)</f>
        <v>526</v>
      </c>
      <c r="P86" s="3" t="str">
        <f>TEXT(J86,"0.00")</f>
        <v>0.30</v>
      </c>
      <c r="Q86" s="3" t="str">
        <f>LEFT(L86,3)</f>
        <v>Spr</v>
      </c>
      <c r="R86" s="42" t="str">
        <f>RIGHT(L86,3)</f>
        <v>ing</v>
      </c>
      <c r="S86" s="42">
        <f>LEN(L86)</f>
        <v>6</v>
      </c>
      <c r="T86" s="3" t="str">
        <f>A86&amp;"|"&amp;B86&amp;"|"&amp;F86</f>
        <v>85|40634|16</v>
      </c>
      <c r="U86" s="3">
        <f t="shared" si="4"/>
        <v>610</v>
      </c>
      <c r="V86" s="3">
        <f t="shared" si="5"/>
        <v>120.10000000000005</v>
      </c>
      <c r="W86" s="50">
        <f t="shared" si="6"/>
        <v>8.1303845032683911E-2</v>
      </c>
      <c r="X86" s="50">
        <f t="shared" si="7"/>
        <v>0.16514794964716251</v>
      </c>
    </row>
    <row r="87" spans="1:24" x14ac:dyDescent="0.2">
      <c r="A87" s="4">
        <v>86</v>
      </c>
      <c r="B87" s="5">
        <v>40634</v>
      </c>
      <c r="C87" s="4">
        <v>1</v>
      </c>
      <c r="D87" s="4">
        <v>0</v>
      </c>
      <c r="E87" s="4">
        <v>1</v>
      </c>
      <c r="F87" s="4">
        <v>17</v>
      </c>
      <c r="G87" s="4" t="b">
        <v>0</v>
      </c>
      <c r="H87" s="4">
        <v>2</v>
      </c>
      <c r="I87" s="4">
        <v>1</v>
      </c>
      <c r="J87" s="4">
        <v>0.28000000000000003</v>
      </c>
      <c r="K87" s="6" t="str">
        <f>IF(H87=0,"weekend",IF(H87=6,"weekend","weekend"))</f>
        <v>weekend</v>
      </c>
      <c r="L87" s="3" t="str">
        <f>IF(C87=1,"Spring",IF(C87=2,"Summer",IF(C87=3,"Fall","Winter")))</f>
        <v>Spring</v>
      </c>
      <c r="M87" s="3">
        <f>SUM(J87:J111)</f>
        <v>5.8400000000000007</v>
      </c>
      <c r="N87" s="3">
        <f>AVERAGE(J87:J696)</f>
        <v>0.18327619047619045</v>
      </c>
      <c r="O87" s="3">
        <f>COUNT(J87:J696)</f>
        <v>525</v>
      </c>
      <c r="P87" s="3" t="str">
        <f>TEXT(J87,"0.00")</f>
        <v>0.28</v>
      </c>
      <c r="Q87" s="3" t="str">
        <f>LEFT(L87,3)</f>
        <v>Spr</v>
      </c>
      <c r="R87" s="42" t="str">
        <f>RIGHT(L87,3)</f>
        <v>ing</v>
      </c>
      <c r="S87" s="42">
        <f>LEN(L87)</f>
        <v>6</v>
      </c>
      <c r="T87" s="3" t="str">
        <f>A87&amp;"|"&amp;B87&amp;"|"&amp;F87</f>
        <v>86|40634|17</v>
      </c>
      <c r="U87" s="3">
        <f t="shared" si="4"/>
        <v>610</v>
      </c>
      <c r="V87" s="3">
        <f t="shared" si="5"/>
        <v>120.10000000000005</v>
      </c>
      <c r="W87" s="50">
        <f t="shared" si="6"/>
        <v>8.1303845032683911E-2</v>
      </c>
      <c r="X87" s="50">
        <f t="shared" si="7"/>
        <v>0.16514794964716251</v>
      </c>
    </row>
    <row r="88" spans="1:24" x14ac:dyDescent="0.2">
      <c r="A88" s="4">
        <v>87</v>
      </c>
      <c r="B88" s="5">
        <v>40634</v>
      </c>
      <c r="C88" s="4">
        <v>1</v>
      </c>
      <c r="D88" s="4">
        <v>0</v>
      </c>
      <c r="E88" s="4">
        <v>1</v>
      </c>
      <c r="F88" s="4">
        <v>18</v>
      </c>
      <c r="G88" s="4" t="b">
        <v>0</v>
      </c>
      <c r="H88" s="4">
        <v>2</v>
      </c>
      <c r="I88" s="4">
        <v>1</v>
      </c>
      <c r="J88" s="4">
        <v>0.26</v>
      </c>
      <c r="K88" s="6" t="str">
        <f>IF(H88=0,"weekend",IF(H88=6,"weekend","weekend"))</f>
        <v>weekend</v>
      </c>
      <c r="L88" s="3" t="str">
        <f>IF(C88=1,"Spring",IF(C88=2,"Summer",IF(C88=3,"Fall","Winter")))</f>
        <v>Spring</v>
      </c>
      <c r="M88" s="3">
        <f>SUM(J88:J112)</f>
        <v>5.8000000000000007</v>
      </c>
      <c r="N88" s="3">
        <f>AVERAGE(J88:J697)</f>
        <v>0.18309160305343508</v>
      </c>
      <c r="O88" s="3">
        <f>COUNT(J88:J697)</f>
        <v>524</v>
      </c>
      <c r="P88" s="3" t="str">
        <f>TEXT(J88,"0.00")</f>
        <v>0.26</v>
      </c>
      <c r="Q88" s="3" t="str">
        <f>LEFT(L88,3)</f>
        <v>Spr</v>
      </c>
      <c r="R88" s="42" t="str">
        <f>RIGHT(L88,3)</f>
        <v>ing</v>
      </c>
      <c r="S88" s="42">
        <f>LEN(L88)</f>
        <v>6</v>
      </c>
      <c r="T88" s="3" t="str">
        <f>A88&amp;"|"&amp;B88&amp;"|"&amp;F88</f>
        <v>87|40634|18</v>
      </c>
      <c r="U88" s="3">
        <f t="shared" si="4"/>
        <v>610</v>
      </c>
      <c r="V88" s="3">
        <f t="shared" si="5"/>
        <v>120.10000000000005</v>
      </c>
      <c r="W88" s="50">
        <f t="shared" si="6"/>
        <v>8.1303845032683911E-2</v>
      </c>
      <c r="X88" s="50">
        <f t="shared" si="7"/>
        <v>0.16514794964716251</v>
      </c>
    </row>
    <row r="89" spans="1:24" x14ac:dyDescent="0.2">
      <c r="A89" s="4">
        <v>88</v>
      </c>
      <c r="B89" s="5">
        <v>40634</v>
      </c>
      <c r="C89" s="4">
        <v>1</v>
      </c>
      <c r="D89" s="4">
        <v>0</v>
      </c>
      <c r="E89" s="4">
        <v>1</v>
      </c>
      <c r="F89" s="4">
        <v>19</v>
      </c>
      <c r="G89" s="4" t="b">
        <v>0</v>
      </c>
      <c r="H89" s="4">
        <v>2</v>
      </c>
      <c r="I89" s="4">
        <v>1</v>
      </c>
      <c r="J89" s="4">
        <v>0.24</v>
      </c>
      <c r="K89" s="6" t="str">
        <f>IF(H89=0,"weekend",IF(H89=6,"weekend","weekend"))</f>
        <v>weekend</v>
      </c>
      <c r="L89" s="3" t="str">
        <f>IF(C89=1,"Spring",IF(C89=2,"Summer",IF(C89=3,"Fall","Winter")))</f>
        <v>Spring</v>
      </c>
      <c r="M89" s="3">
        <f>SUM(J89:J113)</f>
        <v>5.7600000000000007</v>
      </c>
      <c r="N89" s="3">
        <f>AVERAGE(J89:J698)</f>
        <v>0.18294455066921603</v>
      </c>
      <c r="O89" s="3">
        <f>COUNT(J89:J698)</f>
        <v>523</v>
      </c>
      <c r="P89" s="3" t="str">
        <f>TEXT(J89,"0.00")</f>
        <v>0.24</v>
      </c>
      <c r="Q89" s="3" t="str">
        <f>LEFT(L89,3)</f>
        <v>Spr</v>
      </c>
      <c r="R89" s="42" t="str">
        <f>RIGHT(L89,3)</f>
        <v>ing</v>
      </c>
      <c r="S89" s="42">
        <f>LEN(L89)</f>
        <v>6</v>
      </c>
      <c r="T89" s="3" t="str">
        <f>A89&amp;"|"&amp;B89&amp;"|"&amp;F89</f>
        <v>88|40634|19</v>
      </c>
      <c r="U89" s="3">
        <f t="shared" si="4"/>
        <v>610</v>
      </c>
      <c r="V89" s="3">
        <f t="shared" si="5"/>
        <v>120.10000000000005</v>
      </c>
      <c r="W89" s="50">
        <f t="shared" si="6"/>
        <v>8.1303845032683911E-2</v>
      </c>
      <c r="X89" s="50">
        <f t="shared" si="7"/>
        <v>0.16514794964716251</v>
      </c>
    </row>
    <row r="90" spans="1:24" x14ac:dyDescent="0.2">
      <c r="A90" s="4">
        <v>89</v>
      </c>
      <c r="B90" s="5">
        <v>40634</v>
      </c>
      <c r="C90" s="4">
        <v>1</v>
      </c>
      <c r="D90" s="4">
        <v>0</v>
      </c>
      <c r="E90" s="4">
        <v>1</v>
      </c>
      <c r="F90" s="4">
        <v>20</v>
      </c>
      <c r="G90" s="4" t="b">
        <v>0</v>
      </c>
      <c r="H90" s="4">
        <v>2</v>
      </c>
      <c r="I90" s="4">
        <v>1</v>
      </c>
      <c r="J90" s="4">
        <v>0.24</v>
      </c>
      <c r="K90" s="6" t="str">
        <f>IF(H90=0,"weekend",IF(H90=6,"weekend","weekend"))</f>
        <v>weekend</v>
      </c>
      <c r="L90" s="3" t="str">
        <f>IF(C90=1,"Spring",IF(C90=2,"Summer",IF(C90=3,"Fall","Winter")))</f>
        <v>Spring</v>
      </c>
      <c r="M90" s="3">
        <f>SUM(J90:J114)</f>
        <v>5.7200000000000006</v>
      </c>
      <c r="N90" s="3">
        <f>AVERAGE(J90:J699)</f>
        <v>0.18283524904214557</v>
      </c>
      <c r="O90" s="3">
        <f>COUNT(J90:J699)</f>
        <v>522</v>
      </c>
      <c r="P90" s="3" t="str">
        <f>TEXT(J90,"0.00")</f>
        <v>0.24</v>
      </c>
      <c r="Q90" s="3" t="str">
        <f>LEFT(L90,3)</f>
        <v>Spr</v>
      </c>
      <c r="R90" s="42" t="str">
        <f>RIGHT(L90,3)</f>
        <v>ing</v>
      </c>
      <c r="S90" s="42">
        <f>LEN(L90)</f>
        <v>6</v>
      </c>
      <c r="T90" s="3" t="str">
        <f>A90&amp;"|"&amp;B90&amp;"|"&amp;F90</f>
        <v>89|40634|20</v>
      </c>
      <c r="U90" s="3">
        <f t="shared" si="4"/>
        <v>610</v>
      </c>
      <c r="V90" s="3">
        <f t="shared" si="5"/>
        <v>120.10000000000005</v>
      </c>
      <c r="W90" s="50">
        <f t="shared" si="6"/>
        <v>8.1303845032683911E-2</v>
      </c>
      <c r="X90" s="50">
        <f t="shared" si="7"/>
        <v>0.16514794964716251</v>
      </c>
    </row>
    <row r="91" spans="1:24" x14ac:dyDescent="0.2">
      <c r="A91" s="4">
        <v>90</v>
      </c>
      <c r="B91" s="5">
        <v>40634</v>
      </c>
      <c r="C91" s="4">
        <v>1</v>
      </c>
      <c r="D91" s="4">
        <v>0</v>
      </c>
      <c r="E91" s="4">
        <v>1</v>
      </c>
      <c r="F91" s="4">
        <v>21</v>
      </c>
      <c r="G91" s="4" t="b">
        <v>0</v>
      </c>
      <c r="H91" s="4">
        <v>2</v>
      </c>
      <c r="I91" s="4">
        <v>1</v>
      </c>
      <c r="J91" s="4">
        <v>0.22</v>
      </c>
      <c r="K91" s="6" t="str">
        <f>IF(H91=0,"weekend",IF(H91=6,"weekend","weekend"))</f>
        <v>weekend</v>
      </c>
      <c r="L91" s="3" t="str">
        <f>IF(C91=1,"Spring",IF(C91=2,"Summer",IF(C91=3,"Fall","Winter")))</f>
        <v>Spring</v>
      </c>
      <c r="M91" s="3">
        <f>SUM(J91:J115)</f>
        <v>5.66</v>
      </c>
      <c r="N91" s="3">
        <f>AVERAGE(J91:J700)</f>
        <v>0.182725527831094</v>
      </c>
      <c r="O91" s="3">
        <f>COUNT(J91:J700)</f>
        <v>521</v>
      </c>
      <c r="P91" s="3" t="str">
        <f>TEXT(J91,"0.00")</f>
        <v>0.22</v>
      </c>
      <c r="Q91" s="3" t="str">
        <f>LEFT(L91,3)</f>
        <v>Spr</v>
      </c>
      <c r="R91" s="42" t="str">
        <f>RIGHT(L91,3)</f>
        <v>ing</v>
      </c>
      <c r="S91" s="42">
        <f>LEN(L91)</f>
        <v>6</v>
      </c>
      <c r="T91" s="3" t="str">
        <f>A91&amp;"|"&amp;B91&amp;"|"&amp;F91</f>
        <v>90|40634|21</v>
      </c>
      <c r="U91" s="3">
        <f t="shared" si="4"/>
        <v>610</v>
      </c>
      <c r="V91" s="3">
        <f t="shared" si="5"/>
        <v>120.10000000000005</v>
      </c>
      <c r="W91" s="50">
        <f t="shared" si="6"/>
        <v>8.1303845032683911E-2</v>
      </c>
      <c r="X91" s="50">
        <f t="shared" si="7"/>
        <v>0.16514794964716251</v>
      </c>
    </row>
    <row r="92" spans="1:24" x14ac:dyDescent="0.2">
      <c r="A92" s="4">
        <v>91</v>
      </c>
      <c r="B92" s="5">
        <v>40634</v>
      </c>
      <c r="C92" s="4">
        <v>1</v>
      </c>
      <c r="D92" s="4">
        <v>0</v>
      </c>
      <c r="E92" s="4">
        <v>1</v>
      </c>
      <c r="F92" s="4">
        <v>22</v>
      </c>
      <c r="G92" s="4" t="b">
        <v>0</v>
      </c>
      <c r="H92" s="4">
        <v>2</v>
      </c>
      <c r="I92" s="4">
        <v>1</v>
      </c>
      <c r="J92" s="4">
        <v>0.22</v>
      </c>
      <c r="K92" s="6" t="str">
        <f>IF(H92=0,"weekend",IF(H92=6,"weekend","weekend"))</f>
        <v>weekend</v>
      </c>
      <c r="L92" s="3" t="str">
        <f>IF(C92=1,"Spring",IF(C92=2,"Summer",IF(C92=3,"Fall","Winter")))</f>
        <v>Spring</v>
      </c>
      <c r="M92" s="3">
        <f>SUM(J92:J116)</f>
        <v>5.6400000000000006</v>
      </c>
      <c r="N92" s="3">
        <f>AVERAGE(J92:J701)</f>
        <v>0.18265384615384611</v>
      </c>
      <c r="O92" s="3">
        <f>COUNT(J92:J701)</f>
        <v>520</v>
      </c>
      <c r="P92" s="3" t="str">
        <f>TEXT(J92,"0.00")</f>
        <v>0.22</v>
      </c>
      <c r="Q92" s="3" t="str">
        <f>LEFT(L92,3)</f>
        <v>Spr</v>
      </c>
      <c r="R92" s="42" t="str">
        <f>RIGHT(L92,3)</f>
        <v>ing</v>
      </c>
      <c r="S92" s="42">
        <f>LEN(L92)</f>
        <v>6</v>
      </c>
      <c r="T92" s="3" t="str">
        <f>A92&amp;"|"&amp;B92&amp;"|"&amp;F92</f>
        <v>91|40634|22</v>
      </c>
      <c r="U92" s="3">
        <f t="shared" si="4"/>
        <v>610</v>
      </c>
      <c r="V92" s="3">
        <f t="shared" si="5"/>
        <v>120.10000000000005</v>
      </c>
      <c r="W92" s="50">
        <f t="shared" si="6"/>
        <v>8.1303845032683911E-2</v>
      </c>
      <c r="X92" s="50">
        <f t="shared" si="7"/>
        <v>0.16514794964716251</v>
      </c>
    </row>
    <row r="93" spans="1:24" x14ac:dyDescent="0.2">
      <c r="A93" s="4">
        <v>92</v>
      </c>
      <c r="B93" s="5">
        <v>40634</v>
      </c>
      <c r="C93" s="4">
        <v>1</v>
      </c>
      <c r="D93" s="4">
        <v>0</v>
      </c>
      <c r="E93" s="4">
        <v>1</v>
      </c>
      <c r="F93" s="4">
        <v>23</v>
      </c>
      <c r="G93" s="4" t="b">
        <v>0</v>
      </c>
      <c r="H93" s="4">
        <v>2</v>
      </c>
      <c r="I93" s="4">
        <v>1</v>
      </c>
      <c r="J93" s="4">
        <v>0.2</v>
      </c>
      <c r="K93" s="6" t="str">
        <f>IF(H93=0,"weekend",IF(H93=6,"weekend","weekend"))</f>
        <v>weekend</v>
      </c>
      <c r="L93" s="3" t="str">
        <f>IF(C93=1,"Spring",IF(C93=2,"Summer",IF(C93=3,"Fall","Winter")))</f>
        <v>Spring</v>
      </c>
      <c r="M93" s="3">
        <f>SUM(J93:J117)</f>
        <v>5.6</v>
      </c>
      <c r="N93" s="3">
        <f>AVERAGE(J93:J702)</f>
        <v>0.18258188824662808</v>
      </c>
      <c r="O93" s="3">
        <f>COUNT(J93:J702)</f>
        <v>519</v>
      </c>
      <c r="P93" s="3" t="str">
        <f>TEXT(J93,"0.00")</f>
        <v>0.20</v>
      </c>
      <c r="Q93" s="3" t="str">
        <f>LEFT(L93,3)</f>
        <v>Spr</v>
      </c>
      <c r="R93" s="42" t="str">
        <f>RIGHT(L93,3)</f>
        <v>ing</v>
      </c>
      <c r="S93" s="42">
        <f>LEN(L93)</f>
        <v>6</v>
      </c>
      <c r="T93" s="3" t="str">
        <f>A93&amp;"|"&amp;B93&amp;"|"&amp;F93</f>
        <v>92|40634|23</v>
      </c>
      <c r="U93" s="3">
        <f t="shared" si="4"/>
        <v>610</v>
      </c>
      <c r="V93" s="3">
        <f t="shared" si="5"/>
        <v>120.10000000000005</v>
      </c>
      <c r="W93" s="50">
        <f t="shared" si="6"/>
        <v>8.1303845032683911E-2</v>
      </c>
      <c r="X93" s="50">
        <f t="shared" si="7"/>
        <v>0.16514794964716251</v>
      </c>
    </row>
    <row r="94" spans="1:24" x14ac:dyDescent="0.2">
      <c r="A94" s="4">
        <v>93</v>
      </c>
      <c r="B94" s="5">
        <v>40664</v>
      </c>
      <c r="C94" s="4">
        <v>1</v>
      </c>
      <c r="D94" s="4">
        <v>0</v>
      </c>
      <c r="E94" s="4">
        <v>1</v>
      </c>
      <c r="F94" s="4">
        <v>0</v>
      </c>
      <c r="G94" s="4" t="b">
        <v>0</v>
      </c>
      <c r="H94" s="4">
        <v>3</v>
      </c>
      <c r="I94" s="4">
        <v>1</v>
      </c>
      <c r="J94" s="4">
        <v>0.2</v>
      </c>
      <c r="K94" s="6" t="str">
        <f>IF(H94=0,"weekend",IF(H94=6,"weekend","weekend"))</f>
        <v>weekend</v>
      </c>
      <c r="L94" s="3" t="str">
        <f>IF(C94=1,"Spring",IF(C94=2,"Summer",IF(C94=3,"Fall","Winter")))</f>
        <v>Spring</v>
      </c>
      <c r="M94" s="3">
        <f>SUM(J94:J118)</f>
        <v>5.56</v>
      </c>
      <c r="N94" s="3">
        <f>AVERAGE(J94:J703)</f>
        <v>0.18254826254826251</v>
      </c>
      <c r="O94" s="3">
        <f>COUNT(J94:J703)</f>
        <v>518</v>
      </c>
      <c r="P94" s="3" t="str">
        <f>TEXT(J94,"0.00")</f>
        <v>0.20</v>
      </c>
      <c r="Q94" s="3" t="str">
        <f>LEFT(L94,3)</f>
        <v>Spr</v>
      </c>
      <c r="R94" s="42" t="str">
        <f>RIGHT(L94,3)</f>
        <v>ing</v>
      </c>
      <c r="S94" s="42">
        <f>LEN(L94)</f>
        <v>6</v>
      </c>
      <c r="T94" s="3" t="str">
        <f>A94&amp;"|"&amp;B94&amp;"|"&amp;F94</f>
        <v>93|40664|0</v>
      </c>
      <c r="U94" s="3">
        <f t="shared" si="4"/>
        <v>610</v>
      </c>
      <c r="V94" s="3">
        <f t="shared" si="5"/>
        <v>120.10000000000005</v>
      </c>
      <c r="W94" s="50">
        <f t="shared" si="6"/>
        <v>8.1303845032683911E-2</v>
      </c>
      <c r="X94" s="50">
        <f t="shared" si="7"/>
        <v>0.16514794964716251</v>
      </c>
    </row>
    <row r="95" spans="1:24" x14ac:dyDescent="0.2">
      <c r="A95" s="4">
        <v>94</v>
      </c>
      <c r="B95" s="5">
        <v>40664</v>
      </c>
      <c r="C95" s="4">
        <v>1</v>
      </c>
      <c r="D95" s="4">
        <v>0</v>
      </c>
      <c r="E95" s="4">
        <v>1</v>
      </c>
      <c r="F95" s="4">
        <v>1</v>
      </c>
      <c r="G95" s="4" t="b">
        <v>0</v>
      </c>
      <c r="H95" s="4">
        <v>3</v>
      </c>
      <c r="I95" s="4">
        <v>1</v>
      </c>
      <c r="J95" s="4">
        <v>0.16</v>
      </c>
      <c r="K95" s="6" t="str">
        <f>IF(H95=0,"weekend",IF(H95=6,"weekend","weekend"))</f>
        <v>weekend</v>
      </c>
      <c r="L95" s="3" t="str">
        <f>IF(C95=1,"Spring",IF(C95=2,"Summer",IF(C95=3,"Fall","Winter")))</f>
        <v>Spring</v>
      </c>
      <c r="M95" s="3">
        <f>SUM(J95:J119)</f>
        <v>5.52</v>
      </c>
      <c r="N95" s="3">
        <f>AVERAGE(J95:J704)</f>
        <v>0.18251450676982589</v>
      </c>
      <c r="O95" s="3">
        <f>COUNT(J95:J704)</f>
        <v>517</v>
      </c>
      <c r="P95" s="3" t="str">
        <f>TEXT(J95,"0.00")</f>
        <v>0.16</v>
      </c>
      <c r="Q95" s="3" t="str">
        <f>LEFT(L95,3)</f>
        <v>Spr</v>
      </c>
      <c r="R95" s="42" t="str">
        <f>RIGHT(L95,3)</f>
        <v>ing</v>
      </c>
      <c r="S95" s="42">
        <f>LEN(L95)</f>
        <v>6</v>
      </c>
      <c r="T95" s="3" t="str">
        <f>A95&amp;"|"&amp;B95&amp;"|"&amp;F95</f>
        <v>94|40664|1</v>
      </c>
      <c r="U95" s="3">
        <f t="shared" si="4"/>
        <v>610</v>
      </c>
      <c r="V95" s="3">
        <f t="shared" si="5"/>
        <v>120.10000000000005</v>
      </c>
      <c r="W95" s="50">
        <f t="shared" si="6"/>
        <v>8.1303845032683911E-2</v>
      </c>
      <c r="X95" s="50">
        <f t="shared" si="7"/>
        <v>0.16514794964716251</v>
      </c>
    </row>
    <row r="96" spans="1:24" x14ac:dyDescent="0.2">
      <c r="A96" s="4">
        <v>95</v>
      </c>
      <c r="B96" s="5">
        <v>40664</v>
      </c>
      <c r="C96" s="4">
        <v>1</v>
      </c>
      <c r="D96" s="4">
        <v>0</v>
      </c>
      <c r="E96" s="4">
        <v>1</v>
      </c>
      <c r="F96" s="4">
        <v>2</v>
      </c>
      <c r="G96" s="4" t="b">
        <v>0</v>
      </c>
      <c r="H96" s="4">
        <v>3</v>
      </c>
      <c r="I96" s="4">
        <v>1</v>
      </c>
      <c r="J96" s="4">
        <v>0.16</v>
      </c>
      <c r="K96" s="6" t="str">
        <f>IF(H96=0,"weekend",IF(H96=6,"weekend","weekend"))</f>
        <v>weekend</v>
      </c>
      <c r="L96" s="3" t="str">
        <f>IF(C96=1,"Spring",IF(C96=2,"Summer",IF(C96=3,"Fall","Winter")))</f>
        <v>Spring</v>
      </c>
      <c r="M96" s="3">
        <f>SUM(J96:J120)</f>
        <v>5.5200000000000005</v>
      </c>
      <c r="N96" s="3">
        <f>AVERAGE(J96:J705)</f>
        <v>0.1825581395348837</v>
      </c>
      <c r="O96" s="3">
        <f>COUNT(J96:J705)</f>
        <v>516</v>
      </c>
      <c r="P96" s="3" t="str">
        <f>TEXT(J96,"0.00")</f>
        <v>0.16</v>
      </c>
      <c r="Q96" s="3" t="str">
        <f>LEFT(L96,3)</f>
        <v>Spr</v>
      </c>
      <c r="R96" s="42" t="str">
        <f>RIGHT(L96,3)</f>
        <v>ing</v>
      </c>
      <c r="S96" s="42">
        <f>LEN(L96)</f>
        <v>6</v>
      </c>
      <c r="T96" s="3" t="str">
        <f>A96&amp;"|"&amp;B96&amp;"|"&amp;F96</f>
        <v>95|40664|2</v>
      </c>
      <c r="U96" s="3">
        <f t="shared" si="4"/>
        <v>610</v>
      </c>
      <c r="V96" s="3">
        <f t="shared" si="5"/>
        <v>120.10000000000005</v>
      </c>
      <c r="W96" s="50">
        <f t="shared" si="6"/>
        <v>8.1303845032683911E-2</v>
      </c>
      <c r="X96" s="50">
        <f t="shared" si="7"/>
        <v>0.16514794964716251</v>
      </c>
    </row>
    <row r="97" spans="1:24" x14ac:dyDescent="0.2">
      <c r="A97" s="4">
        <v>96</v>
      </c>
      <c r="B97" s="5">
        <v>40664</v>
      </c>
      <c r="C97" s="4">
        <v>1</v>
      </c>
      <c r="D97" s="4">
        <v>0</v>
      </c>
      <c r="E97" s="4">
        <v>1</v>
      </c>
      <c r="F97" s="4">
        <v>4</v>
      </c>
      <c r="G97" s="4" t="b">
        <v>0</v>
      </c>
      <c r="H97" s="4">
        <v>3</v>
      </c>
      <c r="I97" s="4">
        <v>1</v>
      </c>
      <c r="J97" s="4">
        <v>0.24</v>
      </c>
      <c r="K97" s="6" t="str">
        <f>IF(H97=0,"weekend",IF(H97=6,"weekend","weekend"))</f>
        <v>weekend</v>
      </c>
      <c r="L97" s="3" t="str">
        <f>IF(C97=1,"Spring",IF(C97=2,"Summer",IF(C97=3,"Fall","Winter")))</f>
        <v>Spring</v>
      </c>
      <c r="M97" s="3">
        <f>SUM(J97:J121)</f>
        <v>5.4999999999999991</v>
      </c>
      <c r="N97" s="3">
        <f>AVERAGE(J97:J706)</f>
        <v>0.1826019417475728</v>
      </c>
      <c r="O97" s="3">
        <f>COUNT(J97:J706)</f>
        <v>515</v>
      </c>
      <c r="P97" s="3" t="str">
        <f>TEXT(J97,"0.00")</f>
        <v>0.24</v>
      </c>
      <c r="Q97" s="3" t="str">
        <f>LEFT(L97,3)</f>
        <v>Spr</v>
      </c>
      <c r="R97" s="42" t="str">
        <f>RIGHT(L97,3)</f>
        <v>ing</v>
      </c>
      <c r="S97" s="42">
        <f>LEN(L97)</f>
        <v>6</v>
      </c>
      <c r="T97" s="3" t="str">
        <f>A97&amp;"|"&amp;B97&amp;"|"&amp;F97</f>
        <v>96|40664|4</v>
      </c>
      <c r="U97" s="3">
        <f t="shared" si="4"/>
        <v>610</v>
      </c>
      <c r="V97" s="3">
        <f t="shared" si="5"/>
        <v>120.10000000000005</v>
      </c>
      <c r="W97" s="50">
        <f t="shared" si="6"/>
        <v>8.1303845032683911E-2</v>
      </c>
      <c r="X97" s="50">
        <f t="shared" si="7"/>
        <v>0.16514794964716251</v>
      </c>
    </row>
    <row r="98" spans="1:24" x14ac:dyDescent="0.2">
      <c r="A98" s="4">
        <v>97</v>
      </c>
      <c r="B98" s="5">
        <v>40664</v>
      </c>
      <c r="C98" s="4">
        <v>1</v>
      </c>
      <c r="D98" s="4">
        <v>0</v>
      </c>
      <c r="E98" s="4">
        <v>1</v>
      </c>
      <c r="F98" s="4">
        <v>5</v>
      </c>
      <c r="G98" s="4" t="b">
        <v>0</v>
      </c>
      <c r="H98" s="4">
        <v>3</v>
      </c>
      <c r="I98" s="4">
        <v>1</v>
      </c>
      <c r="J98" s="4">
        <v>0.22</v>
      </c>
      <c r="K98" s="6" t="str">
        <f>IF(H98=0,"weekend",IF(H98=6,"weekend","weekend"))</f>
        <v>weekend</v>
      </c>
      <c r="L98" s="3" t="str">
        <f>IF(C98=1,"Spring",IF(C98=2,"Summer",IF(C98=3,"Fall","Winter")))</f>
        <v>Spring</v>
      </c>
      <c r="M98" s="3">
        <f>SUM(J98:J122)</f>
        <v>5.3999999999999995</v>
      </c>
      <c r="N98" s="3">
        <f>AVERAGE(J98:J707)</f>
        <v>0.18249027237354085</v>
      </c>
      <c r="O98" s="3">
        <f>COUNT(J98:J707)</f>
        <v>514</v>
      </c>
      <c r="P98" s="3" t="str">
        <f>TEXT(J98,"0.00")</f>
        <v>0.22</v>
      </c>
      <c r="Q98" s="3" t="str">
        <f>LEFT(L98,3)</f>
        <v>Spr</v>
      </c>
      <c r="R98" s="42" t="str">
        <f>RIGHT(L98,3)</f>
        <v>ing</v>
      </c>
      <c r="S98" s="42">
        <f>LEN(L98)</f>
        <v>6</v>
      </c>
      <c r="T98" s="3" t="str">
        <f>A98&amp;"|"&amp;B98&amp;"|"&amp;F98</f>
        <v>97|40664|5</v>
      </c>
      <c r="U98" s="3">
        <f t="shared" si="4"/>
        <v>610</v>
      </c>
      <c r="V98" s="3">
        <f t="shared" si="5"/>
        <v>120.10000000000005</v>
      </c>
      <c r="W98" s="50">
        <f t="shared" si="6"/>
        <v>8.1303845032683911E-2</v>
      </c>
      <c r="X98" s="50">
        <f t="shared" si="7"/>
        <v>0.16514794964716251</v>
      </c>
    </row>
    <row r="99" spans="1:24" x14ac:dyDescent="0.2">
      <c r="A99" s="4">
        <v>98</v>
      </c>
      <c r="B99" s="5">
        <v>40664</v>
      </c>
      <c r="C99" s="4">
        <v>1</v>
      </c>
      <c r="D99" s="4">
        <v>0</v>
      </c>
      <c r="E99" s="4">
        <v>1</v>
      </c>
      <c r="F99" s="4">
        <v>6</v>
      </c>
      <c r="G99" s="4" t="b">
        <v>0</v>
      </c>
      <c r="H99" s="4">
        <v>3</v>
      </c>
      <c r="I99" s="4">
        <v>1</v>
      </c>
      <c r="J99" s="4">
        <v>0.2</v>
      </c>
      <c r="K99" s="6" t="str">
        <f>IF(H99=0,"weekend",IF(H99=6,"weekend","weekend"))</f>
        <v>weekend</v>
      </c>
      <c r="L99" s="3" t="str">
        <f>IF(C99=1,"Spring",IF(C99=2,"Summer",IF(C99=3,"Fall","Winter")))</f>
        <v>Spring</v>
      </c>
      <c r="M99" s="3">
        <f>SUM(J99:J123)</f>
        <v>5.3400000000000007</v>
      </c>
      <c r="N99" s="3">
        <f>AVERAGE(J99:J708)</f>
        <v>0.18241715399610137</v>
      </c>
      <c r="O99" s="3">
        <f>COUNT(J99:J708)</f>
        <v>513</v>
      </c>
      <c r="P99" s="3" t="str">
        <f>TEXT(J99,"0.00")</f>
        <v>0.20</v>
      </c>
      <c r="Q99" s="3" t="str">
        <f>LEFT(L99,3)</f>
        <v>Spr</v>
      </c>
      <c r="R99" s="42" t="str">
        <f>RIGHT(L99,3)</f>
        <v>ing</v>
      </c>
      <c r="S99" s="42">
        <f>LEN(L99)</f>
        <v>6</v>
      </c>
      <c r="T99" s="3" t="str">
        <f>A99&amp;"|"&amp;B99&amp;"|"&amp;F99</f>
        <v>98|40664|6</v>
      </c>
      <c r="U99" s="3">
        <f t="shared" si="4"/>
        <v>610</v>
      </c>
      <c r="V99" s="3">
        <f t="shared" si="5"/>
        <v>120.10000000000005</v>
      </c>
      <c r="W99" s="50">
        <f t="shared" si="6"/>
        <v>8.1303845032683911E-2</v>
      </c>
      <c r="X99" s="50">
        <f t="shared" si="7"/>
        <v>0.16514794964716251</v>
      </c>
    </row>
    <row r="100" spans="1:24" x14ac:dyDescent="0.2">
      <c r="A100" s="4">
        <v>99</v>
      </c>
      <c r="B100" s="5">
        <v>40664</v>
      </c>
      <c r="C100" s="4">
        <v>1</v>
      </c>
      <c r="D100" s="4">
        <v>0</v>
      </c>
      <c r="E100" s="4">
        <v>1</v>
      </c>
      <c r="F100" s="4">
        <v>7</v>
      </c>
      <c r="G100" s="4" t="b">
        <v>0</v>
      </c>
      <c r="H100" s="4">
        <v>3</v>
      </c>
      <c r="I100" s="4">
        <v>1</v>
      </c>
      <c r="J100" s="4">
        <v>0.18</v>
      </c>
      <c r="K100" s="6" t="str">
        <f>IF(H100=0,"weekend",IF(H100=6,"weekend","weekend"))</f>
        <v>weekend</v>
      </c>
      <c r="L100" s="3" t="str">
        <f>IF(C100=1,"Spring",IF(C100=2,"Summer",IF(C100=3,"Fall","Winter")))</f>
        <v>Spring</v>
      </c>
      <c r="M100" s="3">
        <f>SUM(J100:J124)</f>
        <v>5.3000000000000007</v>
      </c>
      <c r="N100" s="3">
        <f>AVERAGE(J100:J709)</f>
        <v>0.18238281250000002</v>
      </c>
      <c r="O100" s="3">
        <f>COUNT(J100:J709)</f>
        <v>512</v>
      </c>
      <c r="P100" s="3" t="str">
        <f>TEXT(J100,"0.00")</f>
        <v>0.18</v>
      </c>
      <c r="Q100" s="3" t="str">
        <f>LEFT(L100,3)</f>
        <v>Spr</v>
      </c>
      <c r="R100" s="42" t="str">
        <f>RIGHT(L100,3)</f>
        <v>ing</v>
      </c>
      <c r="S100" s="42">
        <f>LEN(L100)</f>
        <v>6</v>
      </c>
      <c r="T100" s="3" t="str">
        <f>A100&amp;"|"&amp;B100&amp;"|"&amp;F100</f>
        <v>99|40664|7</v>
      </c>
      <c r="U100" s="3">
        <f t="shared" si="4"/>
        <v>610</v>
      </c>
      <c r="V100" s="3">
        <f t="shared" si="5"/>
        <v>120.10000000000005</v>
      </c>
      <c r="W100" s="50">
        <f t="shared" si="6"/>
        <v>8.1303845032683911E-2</v>
      </c>
      <c r="X100" s="50">
        <f t="shared" si="7"/>
        <v>0.16514794964716251</v>
      </c>
    </row>
    <row r="101" spans="1:24" x14ac:dyDescent="0.2">
      <c r="A101" s="4">
        <v>100</v>
      </c>
      <c r="B101" s="5">
        <v>40664</v>
      </c>
      <c r="C101" s="4">
        <v>1</v>
      </c>
      <c r="D101" s="4">
        <v>0</v>
      </c>
      <c r="E101" s="4">
        <v>1</v>
      </c>
      <c r="F101" s="4">
        <v>8</v>
      </c>
      <c r="G101" s="4" t="b">
        <v>0</v>
      </c>
      <c r="H101" s="4">
        <v>3</v>
      </c>
      <c r="I101" s="4">
        <v>1</v>
      </c>
      <c r="J101" s="4">
        <v>0.2</v>
      </c>
      <c r="K101" s="6" t="str">
        <f>IF(H101=0,"weekend",IF(H101=6,"weekend","weekend"))</f>
        <v>weekend</v>
      </c>
      <c r="L101" s="3" t="str">
        <f>IF(C101=1,"Spring",IF(C101=2,"Summer",IF(C101=3,"Fall","Winter")))</f>
        <v>Spring</v>
      </c>
      <c r="M101" s="3">
        <f>SUM(J101:J125)</f>
        <v>5.3000000000000007</v>
      </c>
      <c r="N101" s="3">
        <f>AVERAGE(J101:J710)</f>
        <v>0.18238747553816048</v>
      </c>
      <c r="O101" s="3">
        <f>COUNT(J101:J710)</f>
        <v>511</v>
      </c>
      <c r="P101" s="3" t="str">
        <f>TEXT(J101,"0.00")</f>
        <v>0.20</v>
      </c>
      <c r="Q101" s="3" t="str">
        <f>LEFT(L101,3)</f>
        <v>Spr</v>
      </c>
      <c r="R101" s="42" t="str">
        <f>RIGHT(L101,3)</f>
        <v>ing</v>
      </c>
      <c r="S101" s="42">
        <f>LEN(L101)</f>
        <v>6</v>
      </c>
      <c r="T101" s="3" t="str">
        <f>A101&amp;"|"&amp;B101&amp;"|"&amp;F101</f>
        <v>100|40664|8</v>
      </c>
      <c r="U101" s="3">
        <f t="shared" si="4"/>
        <v>610</v>
      </c>
      <c r="V101" s="3">
        <f t="shared" si="5"/>
        <v>120.10000000000005</v>
      </c>
      <c r="W101" s="50">
        <f t="shared" si="6"/>
        <v>8.1303845032683911E-2</v>
      </c>
      <c r="X101" s="50">
        <f t="shared" si="7"/>
        <v>0.16514794964716251</v>
      </c>
    </row>
    <row r="102" spans="1:24" x14ac:dyDescent="0.2">
      <c r="A102" s="4">
        <v>101</v>
      </c>
      <c r="B102" s="5">
        <v>40664</v>
      </c>
      <c r="C102" s="4">
        <v>1</v>
      </c>
      <c r="D102" s="4">
        <v>0</v>
      </c>
      <c r="E102" s="4">
        <v>1</v>
      </c>
      <c r="F102" s="4">
        <v>9</v>
      </c>
      <c r="G102" s="4" t="b">
        <v>0</v>
      </c>
      <c r="H102" s="4">
        <v>3</v>
      </c>
      <c r="I102" s="4">
        <v>1</v>
      </c>
      <c r="J102" s="4">
        <v>0.22</v>
      </c>
      <c r="K102" s="6" t="str">
        <f>IF(H102=0,"weekend",IF(H102=6,"weekend","weekend"))</f>
        <v>weekend</v>
      </c>
      <c r="L102" s="3" t="str">
        <f>IF(C102=1,"Spring",IF(C102=2,"Summer",IF(C102=3,"Fall","Winter")))</f>
        <v>Spring</v>
      </c>
      <c r="M102" s="3">
        <f>SUM(J102:J126)</f>
        <v>5.3000000000000007</v>
      </c>
      <c r="N102" s="3">
        <f>AVERAGE(J102:J711)</f>
        <v>0.18235294117647055</v>
      </c>
      <c r="O102" s="3">
        <f>COUNT(J102:J711)</f>
        <v>510</v>
      </c>
      <c r="P102" s="3" t="str">
        <f>TEXT(J102,"0.00")</f>
        <v>0.22</v>
      </c>
      <c r="Q102" s="3" t="str">
        <f>LEFT(L102,3)</f>
        <v>Spr</v>
      </c>
      <c r="R102" s="42" t="str">
        <f>RIGHT(L102,3)</f>
        <v>ing</v>
      </c>
      <c r="S102" s="42">
        <f>LEN(L102)</f>
        <v>6</v>
      </c>
      <c r="T102" s="3" t="str">
        <f>A102&amp;"|"&amp;B102&amp;"|"&amp;F102</f>
        <v>101|40664|9</v>
      </c>
      <c r="U102" s="3">
        <f t="shared" si="4"/>
        <v>610</v>
      </c>
      <c r="V102" s="3">
        <f t="shared" si="5"/>
        <v>120.10000000000005</v>
      </c>
      <c r="W102" s="50">
        <f t="shared" si="6"/>
        <v>8.1303845032683911E-2</v>
      </c>
      <c r="X102" s="50">
        <f t="shared" si="7"/>
        <v>0.16514794964716251</v>
      </c>
    </row>
    <row r="103" spans="1:24" x14ac:dyDescent="0.2">
      <c r="A103" s="4">
        <v>102</v>
      </c>
      <c r="B103" s="5">
        <v>40664</v>
      </c>
      <c r="C103" s="4">
        <v>1</v>
      </c>
      <c r="D103" s="4">
        <v>0</v>
      </c>
      <c r="E103" s="4">
        <v>1</v>
      </c>
      <c r="F103" s="4">
        <v>10</v>
      </c>
      <c r="G103" s="4" t="b">
        <v>0</v>
      </c>
      <c r="H103" s="4">
        <v>3</v>
      </c>
      <c r="I103" s="4">
        <v>1</v>
      </c>
      <c r="J103" s="4">
        <v>0.22</v>
      </c>
      <c r="K103" s="6" t="str">
        <f>IF(H103=0,"weekend",IF(H103=6,"weekend","weekend"))</f>
        <v>weekend</v>
      </c>
      <c r="L103" s="3" t="str">
        <f>IF(C103=1,"Spring",IF(C103=2,"Summer",IF(C103=3,"Fall","Winter")))</f>
        <v>Spring</v>
      </c>
      <c r="M103" s="3">
        <f>SUM(J103:J127)</f>
        <v>5.3000000000000007</v>
      </c>
      <c r="N103" s="3">
        <f>AVERAGE(J103:J712)</f>
        <v>0.18227897838899801</v>
      </c>
      <c r="O103" s="3">
        <f>COUNT(J103:J712)</f>
        <v>509</v>
      </c>
      <c r="P103" s="3" t="str">
        <f>TEXT(J103,"0.00")</f>
        <v>0.22</v>
      </c>
      <c r="Q103" s="3" t="str">
        <f>LEFT(L103,3)</f>
        <v>Spr</v>
      </c>
      <c r="R103" s="42" t="str">
        <f>RIGHT(L103,3)</f>
        <v>ing</v>
      </c>
      <c r="S103" s="42">
        <f>LEN(L103)</f>
        <v>6</v>
      </c>
      <c r="T103" s="3" t="str">
        <f>A103&amp;"|"&amp;B103&amp;"|"&amp;F103</f>
        <v>102|40664|10</v>
      </c>
      <c r="U103" s="3">
        <f t="shared" si="4"/>
        <v>610</v>
      </c>
      <c r="V103" s="3">
        <f t="shared" si="5"/>
        <v>120.10000000000005</v>
      </c>
      <c r="W103" s="50">
        <f t="shared" si="6"/>
        <v>8.1303845032683911E-2</v>
      </c>
      <c r="X103" s="50">
        <f t="shared" si="7"/>
        <v>0.16514794964716251</v>
      </c>
    </row>
    <row r="104" spans="1:24" x14ac:dyDescent="0.2">
      <c r="A104" s="4">
        <v>103</v>
      </c>
      <c r="B104" s="5">
        <v>40664</v>
      </c>
      <c r="C104" s="4">
        <v>1</v>
      </c>
      <c r="D104" s="4">
        <v>0</v>
      </c>
      <c r="E104" s="4">
        <v>1</v>
      </c>
      <c r="F104" s="4">
        <v>11</v>
      </c>
      <c r="G104" s="4" t="b">
        <v>0</v>
      </c>
      <c r="H104" s="4">
        <v>3</v>
      </c>
      <c r="I104" s="4">
        <v>1</v>
      </c>
      <c r="J104" s="4">
        <v>0.26</v>
      </c>
      <c r="K104" s="6" t="str">
        <f>IF(H104=0,"weekend",IF(H104=6,"weekend","weekend"))</f>
        <v>weekend</v>
      </c>
      <c r="L104" s="3" t="str">
        <f>IF(C104=1,"Spring",IF(C104=2,"Summer",IF(C104=3,"Fall","Winter")))</f>
        <v>Spring</v>
      </c>
      <c r="M104" s="3">
        <f>SUM(J104:J128)</f>
        <v>5.3400000000000007</v>
      </c>
      <c r="N104" s="3">
        <f>AVERAGE(J104:J713)</f>
        <v>0.18220472440944877</v>
      </c>
      <c r="O104" s="3">
        <f>COUNT(J104:J713)</f>
        <v>508</v>
      </c>
      <c r="P104" s="3" t="str">
        <f>TEXT(J104,"0.00")</f>
        <v>0.26</v>
      </c>
      <c r="Q104" s="3" t="str">
        <f>LEFT(L104,3)</f>
        <v>Spr</v>
      </c>
      <c r="R104" s="42" t="str">
        <f>RIGHT(L104,3)</f>
        <v>ing</v>
      </c>
      <c r="S104" s="42">
        <f>LEN(L104)</f>
        <v>6</v>
      </c>
      <c r="T104" s="3" t="str">
        <f>A104&amp;"|"&amp;B104&amp;"|"&amp;F104</f>
        <v>103|40664|11</v>
      </c>
      <c r="U104" s="3">
        <f t="shared" si="4"/>
        <v>610</v>
      </c>
      <c r="V104" s="3">
        <f t="shared" si="5"/>
        <v>120.10000000000005</v>
      </c>
      <c r="W104" s="50">
        <f t="shared" si="6"/>
        <v>8.1303845032683911E-2</v>
      </c>
      <c r="X104" s="50">
        <f t="shared" si="7"/>
        <v>0.16514794964716251</v>
      </c>
    </row>
    <row r="105" spans="1:24" x14ac:dyDescent="0.2">
      <c r="A105" s="4">
        <v>104</v>
      </c>
      <c r="B105" s="5">
        <v>40664</v>
      </c>
      <c r="C105" s="4">
        <v>1</v>
      </c>
      <c r="D105" s="4">
        <v>0</v>
      </c>
      <c r="E105" s="4">
        <v>1</v>
      </c>
      <c r="F105" s="4">
        <v>12</v>
      </c>
      <c r="G105" s="4" t="b">
        <v>0</v>
      </c>
      <c r="H105" s="4">
        <v>3</v>
      </c>
      <c r="I105" s="4">
        <v>1</v>
      </c>
      <c r="J105" s="4">
        <v>0.26</v>
      </c>
      <c r="K105" s="6" t="str">
        <f>IF(H105=0,"weekend",IF(H105=6,"weekend","weekend"))</f>
        <v>weekend</v>
      </c>
      <c r="L105" s="3" t="str">
        <f>IF(C105=1,"Spring",IF(C105=2,"Summer",IF(C105=3,"Fall","Winter")))</f>
        <v>Spring</v>
      </c>
      <c r="M105" s="3">
        <f>SUM(J105:J129)</f>
        <v>5.3400000000000007</v>
      </c>
      <c r="N105" s="3">
        <f>AVERAGE(J105:J714)</f>
        <v>0.18205128205128199</v>
      </c>
      <c r="O105" s="3">
        <f>COUNT(J105:J714)</f>
        <v>507</v>
      </c>
      <c r="P105" s="3" t="str">
        <f>TEXT(J105,"0.00")</f>
        <v>0.26</v>
      </c>
      <c r="Q105" s="3" t="str">
        <f>LEFT(L105,3)</f>
        <v>Spr</v>
      </c>
      <c r="R105" s="42" t="str">
        <f>RIGHT(L105,3)</f>
        <v>ing</v>
      </c>
      <c r="S105" s="42">
        <f>LEN(L105)</f>
        <v>6</v>
      </c>
      <c r="T105" s="3" t="str">
        <f>A105&amp;"|"&amp;B105&amp;"|"&amp;F105</f>
        <v>104|40664|12</v>
      </c>
      <c r="U105" s="3">
        <f t="shared" si="4"/>
        <v>610</v>
      </c>
      <c r="V105" s="3">
        <f t="shared" si="5"/>
        <v>120.10000000000005</v>
      </c>
      <c r="W105" s="50">
        <f t="shared" si="6"/>
        <v>8.1303845032683911E-2</v>
      </c>
      <c r="X105" s="50">
        <f t="shared" si="7"/>
        <v>0.16514794964716251</v>
      </c>
    </row>
    <row r="106" spans="1:24" x14ac:dyDescent="0.2">
      <c r="A106" s="4">
        <v>105</v>
      </c>
      <c r="B106" s="5">
        <v>40664</v>
      </c>
      <c r="C106" s="4">
        <v>1</v>
      </c>
      <c r="D106" s="4">
        <v>0</v>
      </c>
      <c r="E106" s="4">
        <v>1</v>
      </c>
      <c r="F106" s="4">
        <v>13</v>
      </c>
      <c r="G106" s="4" t="b">
        <v>0</v>
      </c>
      <c r="H106" s="4">
        <v>3</v>
      </c>
      <c r="I106" s="4">
        <v>1</v>
      </c>
      <c r="J106" s="4">
        <v>0.28000000000000003</v>
      </c>
      <c r="K106" s="6" t="str">
        <f>IF(H106=0,"weekend",IF(H106=6,"weekend","weekend"))</f>
        <v>weekend</v>
      </c>
      <c r="L106" s="3" t="str">
        <f>IF(C106=1,"Spring",IF(C106=2,"Summer",IF(C106=3,"Fall","Winter")))</f>
        <v>Spring</v>
      </c>
      <c r="M106" s="3">
        <f>SUM(J106:J130)</f>
        <v>5.3600000000000012</v>
      </c>
      <c r="N106" s="3">
        <f>AVERAGE(J106:J715)</f>
        <v>0.18189723320158097</v>
      </c>
      <c r="O106" s="3">
        <f>COUNT(J106:J715)</f>
        <v>506</v>
      </c>
      <c r="P106" s="3" t="str">
        <f>TEXT(J106,"0.00")</f>
        <v>0.28</v>
      </c>
      <c r="Q106" s="3" t="str">
        <f>LEFT(L106,3)</f>
        <v>Spr</v>
      </c>
      <c r="R106" s="42" t="str">
        <f>RIGHT(L106,3)</f>
        <v>ing</v>
      </c>
      <c r="S106" s="42">
        <f>LEN(L106)</f>
        <v>6</v>
      </c>
      <c r="T106" s="3" t="str">
        <f>A106&amp;"|"&amp;B106&amp;"|"&amp;F106</f>
        <v>105|40664|13</v>
      </c>
      <c r="U106" s="3">
        <f t="shared" si="4"/>
        <v>610</v>
      </c>
      <c r="V106" s="3">
        <f t="shared" si="5"/>
        <v>120.10000000000005</v>
      </c>
      <c r="W106" s="50">
        <f t="shared" si="6"/>
        <v>8.1303845032683911E-2</v>
      </c>
      <c r="X106" s="50">
        <f t="shared" si="7"/>
        <v>0.16514794964716251</v>
      </c>
    </row>
    <row r="107" spans="1:24" x14ac:dyDescent="0.2">
      <c r="A107" s="4">
        <v>106</v>
      </c>
      <c r="B107" s="5">
        <v>40664</v>
      </c>
      <c r="C107" s="4">
        <v>1</v>
      </c>
      <c r="D107" s="4">
        <v>0</v>
      </c>
      <c r="E107" s="4">
        <v>1</v>
      </c>
      <c r="F107" s="4">
        <v>14</v>
      </c>
      <c r="G107" s="4" t="b">
        <v>0</v>
      </c>
      <c r="H107" s="4">
        <v>3</v>
      </c>
      <c r="I107" s="4">
        <v>1</v>
      </c>
      <c r="J107" s="4">
        <v>0.3</v>
      </c>
      <c r="K107" s="6" t="str">
        <f>IF(H107=0,"weekend",IF(H107=6,"weekend","weekend"))</f>
        <v>weekend</v>
      </c>
      <c r="L107" s="3" t="str">
        <f>IF(C107=1,"Spring",IF(C107=2,"Summer",IF(C107=3,"Fall","Winter")))</f>
        <v>Spring</v>
      </c>
      <c r="M107" s="3">
        <f>SUM(J107:J131)</f>
        <v>5.3600000000000012</v>
      </c>
      <c r="N107" s="3">
        <f>AVERAGE(J107:J716)</f>
        <v>0.18170297029702967</v>
      </c>
      <c r="O107" s="3">
        <f>COUNT(J107:J716)</f>
        <v>505</v>
      </c>
      <c r="P107" s="3" t="str">
        <f>TEXT(J107,"0.00")</f>
        <v>0.30</v>
      </c>
      <c r="Q107" s="3" t="str">
        <f>LEFT(L107,3)</f>
        <v>Spr</v>
      </c>
      <c r="R107" s="42" t="str">
        <f>RIGHT(L107,3)</f>
        <v>ing</v>
      </c>
      <c r="S107" s="42">
        <f>LEN(L107)</f>
        <v>6</v>
      </c>
      <c r="T107" s="3" t="str">
        <f>A107&amp;"|"&amp;B107&amp;"|"&amp;F107</f>
        <v>106|40664|14</v>
      </c>
      <c r="U107" s="3">
        <f t="shared" si="4"/>
        <v>610</v>
      </c>
      <c r="V107" s="3">
        <f t="shared" si="5"/>
        <v>120.10000000000005</v>
      </c>
      <c r="W107" s="50">
        <f t="shared" si="6"/>
        <v>8.1303845032683911E-2</v>
      </c>
      <c r="X107" s="50">
        <f t="shared" si="7"/>
        <v>0.16514794964716251</v>
      </c>
    </row>
    <row r="108" spans="1:24" x14ac:dyDescent="0.2">
      <c r="A108" s="4">
        <v>107</v>
      </c>
      <c r="B108" s="5">
        <v>40664</v>
      </c>
      <c r="C108" s="4">
        <v>1</v>
      </c>
      <c r="D108" s="4">
        <v>0</v>
      </c>
      <c r="E108" s="4">
        <v>1</v>
      </c>
      <c r="F108" s="4">
        <v>15</v>
      </c>
      <c r="G108" s="4" t="b">
        <v>0</v>
      </c>
      <c r="H108" s="4">
        <v>3</v>
      </c>
      <c r="I108" s="4">
        <v>1</v>
      </c>
      <c r="J108" s="4">
        <v>0.3</v>
      </c>
      <c r="K108" s="6" t="str">
        <f>IF(H108=0,"weekend",IF(H108=6,"weekend","weekend"))</f>
        <v>weekend</v>
      </c>
      <c r="L108" s="3" t="str">
        <f>IF(C108=1,"Spring",IF(C108=2,"Summer",IF(C108=3,"Fall","Winter")))</f>
        <v>Spring</v>
      </c>
      <c r="M108" s="3">
        <f>SUM(J108:J132)</f>
        <v>5.3200000000000021</v>
      </c>
      <c r="N108" s="3">
        <f>AVERAGE(J108:J717)</f>
        <v>0.18146825396825392</v>
      </c>
      <c r="O108" s="3">
        <f>COUNT(J108:J717)</f>
        <v>504</v>
      </c>
      <c r="P108" s="3" t="str">
        <f>TEXT(J108,"0.00")</f>
        <v>0.30</v>
      </c>
      <c r="Q108" s="3" t="str">
        <f>LEFT(L108,3)</f>
        <v>Spr</v>
      </c>
      <c r="R108" s="42" t="str">
        <f>RIGHT(L108,3)</f>
        <v>ing</v>
      </c>
      <c r="S108" s="42">
        <f>LEN(L108)</f>
        <v>6</v>
      </c>
      <c r="T108" s="3" t="str">
        <f>A108&amp;"|"&amp;B108&amp;"|"&amp;F108</f>
        <v>107|40664|15</v>
      </c>
      <c r="U108" s="3">
        <f t="shared" si="4"/>
        <v>610</v>
      </c>
      <c r="V108" s="3">
        <f t="shared" si="5"/>
        <v>120.10000000000005</v>
      </c>
      <c r="W108" s="50">
        <f t="shared" si="6"/>
        <v>8.1303845032683911E-2</v>
      </c>
      <c r="X108" s="50">
        <f t="shared" si="7"/>
        <v>0.16514794964716251</v>
      </c>
    </row>
    <row r="109" spans="1:24" x14ac:dyDescent="0.2">
      <c r="A109" s="4">
        <v>108</v>
      </c>
      <c r="B109" s="5">
        <v>40664</v>
      </c>
      <c r="C109" s="4">
        <v>1</v>
      </c>
      <c r="D109" s="4">
        <v>0</v>
      </c>
      <c r="E109" s="4">
        <v>1</v>
      </c>
      <c r="F109" s="4">
        <v>16</v>
      </c>
      <c r="G109" s="4" t="b">
        <v>0</v>
      </c>
      <c r="H109" s="4">
        <v>3</v>
      </c>
      <c r="I109" s="4">
        <v>1</v>
      </c>
      <c r="J109" s="4">
        <v>0.3</v>
      </c>
      <c r="K109" s="6" t="str">
        <f>IF(H109=0,"weekend",IF(H109=6,"weekend","weekend"))</f>
        <v>weekend</v>
      </c>
      <c r="L109" s="3" t="str">
        <f>IF(C109=1,"Spring",IF(C109=2,"Summer",IF(C109=3,"Fall","Winter")))</f>
        <v>Spring</v>
      </c>
      <c r="M109" s="3">
        <f>SUM(J109:J133)</f>
        <v>5.2400000000000011</v>
      </c>
      <c r="N109" s="3">
        <f>AVERAGE(J109:J718)</f>
        <v>0.18123260437375741</v>
      </c>
      <c r="O109" s="3">
        <f>COUNT(J109:J718)</f>
        <v>503</v>
      </c>
      <c r="P109" s="3" t="str">
        <f>TEXT(J109,"0.00")</f>
        <v>0.30</v>
      </c>
      <c r="Q109" s="3" t="str">
        <f>LEFT(L109,3)</f>
        <v>Spr</v>
      </c>
      <c r="R109" s="42" t="str">
        <f>RIGHT(L109,3)</f>
        <v>ing</v>
      </c>
      <c r="S109" s="42">
        <f>LEN(L109)</f>
        <v>6</v>
      </c>
      <c r="T109" s="3" t="str">
        <f>A109&amp;"|"&amp;B109&amp;"|"&amp;F109</f>
        <v>108|40664|16</v>
      </c>
      <c r="U109" s="3">
        <f t="shared" si="4"/>
        <v>610</v>
      </c>
      <c r="V109" s="3">
        <f t="shared" si="5"/>
        <v>120.10000000000005</v>
      </c>
      <c r="W109" s="50">
        <f t="shared" si="6"/>
        <v>8.1303845032683911E-2</v>
      </c>
      <c r="X109" s="50">
        <f t="shared" si="7"/>
        <v>0.16514794964716251</v>
      </c>
    </row>
    <row r="110" spans="1:24" x14ac:dyDescent="0.2">
      <c r="A110" s="4">
        <v>109</v>
      </c>
      <c r="B110" s="5">
        <v>40664</v>
      </c>
      <c r="C110" s="4">
        <v>1</v>
      </c>
      <c r="D110" s="4">
        <v>0</v>
      </c>
      <c r="E110" s="4">
        <v>1</v>
      </c>
      <c r="F110" s="4">
        <v>17</v>
      </c>
      <c r="G110" s="4" t="b">
        <v>0</v>
      </c>
      <c r="H110" s="4">
        <v>3</v>
      </c>
      <c r="I110" s="4">
        <v>1</v>
      </c>
      <c r="J110" s="4">
        <v>0.24</v>
      </c>
      <c r="K110" s="6" t="str">
        <f>IF(H110=0,"weekend",IF(H110=6,"weekend","weekend"))</f>
        <v>weekend</v>
      </c>
      <c r="L110" s="3" t="str">
        <f>IF(C110=1,"Spring",IF(C110=2,"Summer",IF(C110=3,"Fall","Winter")))</f>
        <v>Spring</v>
      </c>
      <c r="M110" s="3">
        <f>SUM(J110:J134)</f>
        <v>5.16</v>
      </c>
      <c r="N110" s="3">
        <f>AVERAGE(J110:J719)</f>
        <v>0.18099601593625489</v>
      </c>
      <c r="O110" s="3">
        <f>COUNT(J110:J719)</f>
        <v>502</v>
      </c>
      <c r="P110" s="3" t="str">
        <f>TEXT(J110,"0.00")</f>
        <v>0.24</v>
      </c>
      <c r="Q110" s="3" t="str">
        <f>LEFT(L110,3)</f>
        <v>Spr</v>
      </c>
      <c r="R110" s="42" t="str">
        <f>RIGHT(L110,3)</f>
        <v>ing</v>
      </c>
      <c r="S110" s="42">
        <f>LEN(L110)</f>
        <v>6</v>
      </c>
      <c r="T110" s="3" t="str">
        <f>A110&amp;"|"&amp;B110&amp;"|"&amp;F110</f>
        <v>109|40664|17</v>
      </c>
      <c r="U110" s="3">
        <f t="shared" si="4"/>
        <v>610</v>
      </c>
      <c r="V110" s="3">
        <f t="shared" si="5"/>
        <v>120.10000000000005</v>
      </c>
      <c r="W110" s="50">
        <f t="shared" si="6"/>
        <v>8.1303845032683911E-2</v>
      </c>
      <c r="X110" s="50">
        <f t="shared" si="7"/>
        <v>0.16514794964716251</v>
      </c>
    </row>
    <row r="111" spans="1:24" x14ac:dyDescent="0.2">
      <c r="A111" s="4">
        <v>110</v>
      </c>
      <c r="B111" s="5">
        <v>40664</v>
      </c>
      <c r="C111" s="4">
        <v>1</v>
      </c>
      <c r="D111" s="4">
        <v>0</v>
      </c>
      <c r="E111" s="4">
        <v>1</v>
      </c>
      <c r="F111" s="4">
        <v>18</v>
      </c>
      <c r="G111" s="4" t="b">
        <v>0</v>
      </c>
      <c r="H111" s="4">
        <v>3</v>
      </c>
      <c r="I111" s="4">
        <v>1</v>
      </c>
      <c r="J111" s="4">
        <v>0.24</v>
      </c>
      <c r="K111" s="6" t="str">
        <f>IF(H111=0,"weekend",IF(H111=6,"weekend","weekend"))</f>
        <v>weekend</v>
      </c>
      <c r="L111" s="3" t="str">
        <f>IF(C111=1,"Spring",IF(C111=2,"Summer",IF(C111=3,"Fall","Winter")))</f>
        <v>Spring</v>
      </c>
      <c r="M111" s="3">
        <f>SUM(J111:J135)</f>
        <v>5.14</v>
      </c>
      <c r="N111" s="3">
        <f>AVERAGE(J111:J720)</f>
        <v>0.18087824351297394</v>
      </c>
      <c r="O111" s="3">
        <f>COUNT(J111:J720)</f>
        <v>501</v>
      </c>
      <c r="P111" s="3" t="str">
        <f>TEXT(J111,"0.00")</f>
        <v>0.24</v>
      </c>
      <c r="Q111" s="3" t="str">
        <f>LEFT(L111,3)</f>
        <v>Spr</v>
      </c>
      <c r="R111" s="42" t="str">
        <f>RIGHT(L111,3)</f>
        <v>ing</v>
      </c>
      <c r="S111" s="42">
        <f>LEN(L111)</f>
        <v>6</v>
      </c>
      <c r="T111" s="3" t="str">
        <f>A111&amp;"|"&amp;B111&amp;"|"&amp;F111</f>
        <v>110|40664|18</v>
      </c>
      <c r="U111" s="3">
        <f t="shared" si="4"/>
        <v>610</v>
      </c>
      <c r="V111" s="3">
        <f t="shared" si="5"/>
        <v>120.10000000000005</v>
      </c>
      <c r="W111" s="50">
        <f t="shared" si="6"/>
        <v>8.1303845032683911E-2</v>
      </c>
      <c r="X111" s="50">
        <f t="shared" si="7"/>
        <v>0.16514794964716251</v>
      </c>
    </row>
    <row r="112" spans="1:24" x14ac:dyDescent="0.2">
      <c r="A112" s="4">
        <v>111</v>
      </c>
      <c r="B112" s="5">
        <v>40664</v>
      </c>
      <c r="C112" s="4">
        <v>1</v>
      </c>
      <c r="D112" s="4">
        <v>0</v>
      </c>
      <c r="E112" s="4">
        <v>1</v>
      </c>
      <c r="F112" s="4">
        <v>19</v>
      </c>
      <c r="G112" s="4" t="b">
        <v>0</v>
      </c>
      <c r="H112" s="4">
        <v>3</v>
      </c>
      <c r="I112" s="4">
        <v>1</v>
      </c>
      <c r="J112" s="4">
        <v>0.24</v>
      </c>
      <c r="K112" s="6" t="str">
        <f>IF(H112=0,"weekend",IF(H112=6,"weekend","weekend"))</f>
        <v>weekend</v>
      </c>
      <c r="L112" s="3" t="str">
        <f>IF(C112=1,"Spring",IF(C112=2,"Summer",IF(C112=3,"Fall","Winter")))</f>
        <v>Spring</v>
      </c>
      <c r="M112" s="3">
        <f>SUM(J112:J136)</f>
        <v>5.0999999999999996</v>
      </c>
      <c r="N112" s="3">
        <f>AVERAGE(J112:J721)</f>
        <v>0.18075999999999989</v>
      </c>
      <c r="O112" s="3">
        <f>COUNT(J112:J721)</f>
        <v>500</v>
      </c>
      <c r="P112" s="3" t="str">
        <f>TEXT(J112,"0.00")</f>
        <v>0.24</v>
      </c>
      <c r="Q112" s="3" t="str">
        <f>LEFT(L112,3)</f>
        <v>Spr</v>
      </c>
      <c r="R112" s="42" t="str">
        <f>RIGHT(L112,3)</f>
        <v>ing</v>
      </c>
      <c r="S112" s="42">
        <f>LEN(L112)</f>
        <v>6</v>
      </c>
      <c r="T112" s="3" t="str">
        <f>A112&amp;"|"&amp;B112&amp;"|"&amp;F112</f>
        <v>111|40664|19</v>
      </c>
      <c r="U112" s="3">
        <f t="shared" si="4"/>
        <v>610</v>
      </c>
      <c r="V112" s="3">
        <f t="shared" si="5"/>
        <v>120.10000000000005</v>
      </c>
      <c r="W112" s="50">
        <f t="shared" si="6"/>
        <v>8.1303845032683911E-2</v>
      </c>
      <c r="X112" s="50">
        <f t="shared" si="7"/>
        <v>0.16514794964716251</v>
      </c>
    </row>
    <row r="113" spans="1:24" x14ac:dyDescent="0.2">
      <c r="A113" s="4">
        <v>112</v>
      </c>
      <c r="B113" s="5">
        <v>40664</v>
      </c>
      <c r="C113" s="4">
        <v>1</v>
      </c>
      <c r="D113" s="4">
        <v>0</v>
      </c>
      <c r="E113" s="4">
        <v>1</v>
      </c>
      <c r="F113" s="4">
        <v>20</v>
      </c>
      <c r="G113" s="4" t="b">
        <v>0</v>
      </c>
      <c r="H113" s="4">
        <v>3</v>
      </c>
      <c r="I113" s="4">
        <v>1</v>
      </c>
      <c r="J113" s="4">
        <v>0.22</v>
      </c>
      <c r="K113" s="6" t="str">
        <f>IF(H113=0,"weekend",IF(H113=6,"weekend","weekend"))</f>
        <v>weekend</v>
      </c>
      <c r="L113" s="3" t="str">
        <f>IF(C113=1,"Spring",IF(C113=2,"Summer",IF(C113=3,"Fall","Winter")))</f>
        <v>Spring</v>
      </c>
      <c r="M113" s="3">
        <f>SUM(J113:J137)</f>
        <v>5.0799999999999992</v>
      </c>
      <c r="N113" s="3">
        <f>AVERAGE(J113:J722)</f>
        <v>0.18064128256513021</v>
      </c>
      <c r="O113" s="3">
        <f>COUNT(J113:J722)</f>
        <v>499</v>
      </c>
      <c r="P113" s="3" t="str">
        <f>TEXT(J113,"0.00")</f>
        <v>0.22</v>
      </c>
      <c r="Q113" s="3" t="str">
        <f>LEFT(L113,3)</f>
        <v>Spr</v>
      </c>
      <c r="R113" s="42" t="str">
        <f>RIGHT(L113,3)</f>
        <v>ing</v>
      </c>
      <c r="S113" s="42">
        <f>LEN(L113)</f>
        <v>6</v>
      </c>
      <c r="T113" s="3" t="str">
        <f>A113&amp;"|"&amp;B113&amp;"|"&amp;F113</f>
        <v>112|40664|20</v>
      </c>
      <c r="U113" s="3">
        <f t="shared" si="4"/>
        <v>610</v>
      </c>
      <c r="V113" s="3">
        <f t="shared" si="5"/>
        <v>120.10000000000005</v>
      </c>
      <c r="W113" s="50">
        <f t="shared" si="6"/>
        <v>8.1303845032683911E-2</v>
      </c>
      <c r="X113" s="50">
        <f t="shared" si="7"/>
        <v>0.16514794964716251</v>
      </c>
    </row>
    <row r="114" spans="1:24" x14ac:dyDescent="0.2">
      <c r="A114" s="4">
        <v>113</v>
      </c>
      <c r="B114" s="5">
        <v>40664</v>
      </c>
      <c r="C114" s="4">
        <v>1</v>
      </c>
      <c r="D114" s="4">
        <v>0</v>
      </c>
      <c r="E114" s="4">
        <v>1</v>
      </c>
      <c r="F114" s="4">
        <v>21</v>
      </c>
      <c r="G114" s="4" t="b">
        <v>0</v>
      </c>
      <c r="H114" s="4">
        <v>3</v>
      </c>
      <c r="I114" s="4">
        <v>1</v>
      </c>
      <c r="J114" s="4">
        <v>0.2</v>
      </c>
      <c r="K114" s="6" t="str">
        <f>IF(H114=0,"weekend",IF(H114=6,"weekend","weekend"))</f>
        <v>weekend</v>
      </c>
      <c r="L114" s="3" t="str">
        <f>IF(C114=1,"Spring",IF(C114=2,"Summer",IF(C114=3,"Fall","Winter")))</f>
        <v>Spring</v>
      </c>
      <c r="M114" s="3">
        <f>SUM(J114:J138)</f>
        <v>5.0799999999999992</v>
      </c>
      <c r="N114" s="3">
        <f>AVERAGE(J114:J723)</f>
        <v>0.18056224899598386</v>
      </c>
      <c r="O114" s="3">
        <f>COUNT(J114:J723)</f>
        <v>498</v>
      </c>
      <c r="P114" s="3" t="str">
        <f>TEXT(J114,"0.00")</f>
        <v>0.20</v>
      </c>
      <c r="Q114" s="3" t="str">
        <f>LEFT(L114,3)</f>
        <v>Spr</v>
      </c>
      <c r="R114" s="42" t="str">
        <f>RIGHT(L114,3)</f>
        <v>ing</v>
      </c>
      <c r="S114" s="42">
        <f>LEN(L114)</f>
        <v>6</v>
      </c>
      <c r="T114" s="3" t="str">
        <f>A114&amp;"|"&amp;B114&amp;"|"&amp;F114</f>
        <v>113|40664|21</v>
      </c>
      <c r="U114" s="3">
        <f t="shared" si="4"/>
        <v>610</v>
      </c>
      <c r="V114" s="3">
        <f t="shared" si="5"/>
        <v>120.10000000000005</v>
      </c>
      <c r="W114" s="50">
        <f t="shared" si="6"/>
        <v>8.1303845032683911E-2</v>
      </c>
      <c r="X114" s="50">
        <f t="shared" si="7"/>
        <v>0.16514794964716251</v>
      </c>
    </row>
    <row r="115" spans="1:24" x14ac:dyDescent="0.2">
      <c r="A115" s="4">
        <v>114</v>
      </c>
      <c r="B115" s="5">
        <v>40664</v>
      </c>
      <c r="C115" s="4">
        <v>1</v>
      </c>
      <c r="D115" s="4">
        <v>0</v>
      </c>
      <c r="E115" s="4">
        <v>1</v>
      </c>
      <c r="F115" s="4">
        <v>22</v>
      </c>
      <c r="G115" s="4" t="b">
        <v>0</v>
      </c>
      <c r="H115" s="4">
        <v>3</v>
      </c>
      <c r="I115" s="4">
        <v>1</v>
      </c>
      <c r="J115" s="4">
        <v>0.18</v>
      </c>
      <c r="K115" s="6" t="str">
        <f>IF(H115=0,"weekend",IF(H115=6,"weekend","weekend"))</f>
        <v>weekend</v>
      </c>
      <c r="L115" s="3" t="str">
        <f>IF(C115=1,"Spring",IF(C115=2,"Summer",IF(C115=3,"Fall","Winter")))</f>
        <v>Spring</v>
      </c>
      <c r="M115" s="3">
        <f>SUM(J115:J139)</f>
        <v>5.08</v>
      </c>
      <c r="N115" s="3">
        <f>AVERAGE(J115:J724)</f>
        <v>0.18052313883299792</v>
      </c>
      <c r="O115" s="3">
        <f>COUNT(J115:J724)</f>
        <v>497</v>
      </c>
      <c r="P115" s="3" t="str">
        <f>TEXT(J115,"0.00")</f>
        <v>0.18</v>
      </c>
      <c r="Q115" s="3" t="str">
        <f>LEFT(L115,3)</f>
        <v>Spr</v>
      </c>
      <c r="R115" s="42" t="str">
        <f>RIGHT(L115,3)</f>
        <v>ing</v>
      </c>
      <c r="S115" s="42">
        <f>LEN(L115)</f>
        <v>6</v>
      </c>
      <c r="T115" s="3" t="str">
        <f>A115&amp;"|"&amp;B115&amp;"|"&amp;F115</f>
        <v>114|40664|22</v>
      </c>
      <c r="U115" s="3">
        <f t="shared" si="4"/>
        <v>610</v>
      </c>
      <c r="V115" s="3">
        <f t="shared" si="5"/>
        <v>120.10000000000005</v>
      </c>
      <c r="W115" s="50">
        <f t="shared" si="6"/>
        <v>8.1303845032683911E-2</v>
      </c>
      <c r="X115" s="50">
        <f t="shared" si="7"/>
        <v>0.16514794964716251</v>
      </c>
    </row>
    <row r="116" spans="1:24" x14ac:dyDescent="0.2">
      <c r="A116" s="4">
        <v>115</v>
      </c>
      <c r="B116" s="5">
        <v>40664</v>
      </c>
      <c r="C116" s="4">
        <v>1</v>
      </c>
      <c r="D116" s="4">
        <v>0</v>
      </c>
      <c r="E116" s="4">
        <v>1</v>
      </c>
      <c r="F116" s="4">
        <v>23</v>
      </c>
      <c r="G116" s="4" t="b">
        <v>0</v>
      </c>
      <c r="H116" s="4">
        <v>3</v>
      </c>
      <c r="I116" s="4">
        <v>1</v>
      </c>
      <c r="J116" s="4">
        <v>0.2</v>
      </c>
      <c r="K116" s="6" t="str">
        <f>IF(H116=0,"weekend",IF(H116=6,"weekend","weekend"))</f>
        <v>weekend</v>
      </c>
      <c r="L116" s="3" t="str">
        <f>IF(C116=1,"Spring",IF(C116=2,"Summer",IF(C116=3,"Fall","Winter")))</f>
        <v>Spring</v>
      </c>
      <c r="M116" s="3">
        <f>SUM(J116:J140)</f>
        <v>5.1000000000000005</v>
      </c>
      <c r="N116" s="3">
        <f>AVERAGE(J116:J725)</f>
        <v>0.18052419354838706</v>
      </c>
      <c r="O116" s="3">
        <f>COUNT(J116:J725)</f>
        <v>496</v>
      </c>
      <c r="P116" s="3" t="str">
        <f>TEXT(J116,"0.00")</f>
        <v>0.20</v>
      </c>
      <c r="Q116" s="3" t="str">
        <f>LEFT(L116,3)</f>
        <v>Spr</v>
      </c>
      <c r="R116" s="42" t="str">
        <f>RIGHT(L116,3)</f>
        <v>ing</v>
      </c>
      <c r="S116" s="42">
        <f>LEN(L116)</f>
        <v>6</v>
      </c>
      <c r="T116" s="3" t="str">
        <f>A116&amp;"|"&amp;B116&amp;"|"&amp;F116</f>
        <v>115|40664|23</v>
      </c>
      <c r="U116" s="3">
        <f t="shared" si="4"/>
        <v>610</v>
      </c>
      <c r="V116" s="3">
        <f t="shared" si="5"/>
        <v>120.10000000000005</v>
      </c>
      <c r="W116" s="50">
        <f t="shared" si="6"/>
        <v>8.1303845032683911E-2</v>
      </c>
      <c r="X116" s="50">
        <f t="shared" si="7"/>
        <v>0.16514794964716251</v>
      </c>
    </row>
    <row r="117" spans="1:24" x14ac:dyDescent="0.2">
      <c r="A117" s="4">
        <v>116</v>
      </c>
      <c r="B117" s="5">
        <v>40695</v>
      </c>
      <c r="C117" s="4">
        <v>1</v>
      </c>
      <c r="D117" s="4">
        <v>0</v>
      </c>
      <c r="E117" s="4">
        <v>1</v>
      </c>
      <c r="F117" s="4">
        <v>0</v>
      </c>
      <c r="G117" s="4" t="b">
        <v>0</v>
      </c>
      <c r="H117" s="4">
        <v>4</v>
      </c>
      <c r="I117" s="4">
        <v>1</v>
      </c>
      <c r="J117" s="4">
        <v>0.18</v>
      </c>
      <c r="K117" s="6" t="str">
        <f>IF(H117=0,"weekend",IF(H117=6,"weekend","weekend"))</f>
        <v>weekend</v>
      </c>
      <c r="L117" s="3" t="str">
        <f>IF(C117=1,"Spring",IF(C117=2,"Summer",IF(C117=3,"Fall","Winter")))</f>
        <v>Spring</v>
      </c>
      <c r="M117" s="3">
        <f>SUM(J117:J141)</f>
        <v>5.1000000000000005</v>
      </c>
      <c r="N117" s="3">
        <f>AVERAGE(J117:J726)</f>
        <v>0.18048484848484844</v>
      </c>
      <c r="O117" s="3">
        <f>COUNT(J117:J726)</f>
        <v>495</v>
      </c>
      <c r="P117" s="3" t="str">
        <f>TEXT(J117,"0.00")</f>
        <v>0.18</v>
      </c>
      <c r="Q117" s="3" t="str">
        <f>LEFT(L117,3)</f>
        <v>Spr</v>
      </c>
      <c r="R117" s="42" t="str">
        <f>RIGHT(L117,3)</f>
        <v>ing</v>
      </c>
      <c r="S117" s="42">
        <f>LEN(L117)</f>
        <v>6</v>
      </c>
      <c r="T117" s="3" t="str">
        <f>A117&amp;"|"&amp;B117&amp;"|"&amp;F117</f>
        <v>116|40695|0</v>
      </c>
      <c r="U117" s="3">
        <f t="shared" si="4"/>
        <v>610</v>
      </c>
      <c r="V117" s="3">
        <f t="shared" si="5"/>
        <v>120.10000000000005</v>
      </c>
      <c r="W117" s="50">
        <f t="shared" si="6"/>
        <v>8.1303845032683911E-2</v>
      </c>
      <c r="X117" s="50">
        <f t="shared" si="7"/>
        <v>0.16514794964716251</v>
      </c>
    </row>
    <row r="118" spans="1:24" x14ac:dyDescent="0.2">
      <c r="A118" s="4">
        <v>117</v>
      </c>
      <c r="B118" s="5">
        <v>40695</v>
      </c>
      <c r="C118" s="4">
        <v>1</v>
      </c>
      <c r="D118" s="4">
        <v>0</v>
      </c>
      <c r="E118" s="4">
        <v>1</v>
      </c>
      <c r="F118" s="4">
        <v>1</v>
      </c>
      <c r="G118" s="4" t="b">
        <v>0</v>
      </c>
      <c r="H118" s="4">
        <v>4</v>
      </c>
      <c r="I118" s="4">
        <v>1</v>
      </c>
      <c r="J118" s="4">
        <v>0.16</v>
      </c>
      <c r="K118" s="6" t="str">
        <f>IF(H118=0,"weekend",IF(H118=6,"weekend","weekend"))</f>
        <v>weekend</v>
      </c>
      <c r="L118" s="3" t="str">
        <f>IF(C118=1,"Spring",IF(C118=2,"Summer",IF(C118=3,"Fall","Winter")))</f>
        <v>Spring</v>
      </c>
      <c r="M118" s="3">
        <f>SUM(J118:J142)</f>
        <v>5.1200000000000019</v>
      </c>
      <c r="N118" s="3">
        <f>AVERAGE(J118:J727)</f>
        <v>0.18048582995951412</v>
      </c>
      <c r="O118" s="3">
        <f>COUNT(J118:J727)</f>
        <v>494</v>
      </c>
      <c r="P118" s="3" t="str">
        <f>TEXT(J118,"0.00")</f>
        <v>0.16</v>
      </c>
      <c r="Q118" s="3" t="str">
        <f>LEFT(L118,3)</f>
        <v>Spr</v>
      </c>
      <c r="R118" s="42" t="str">
        <f>RIGHT(L118,3)</f>
        <v>ing</v>
      </c>
      <c r="S118" s="42">
        <f>LEN(L118)</f>
        <v>6</v>
      </c>
      <c r="T118" s="3" t="str">
        <f>A118&amp;"|"&amp;B118&amp;"|"&amp;F118</f>
        <v>117|40695|1</v>
      </c>
      <c r="U118" s="3">
        <f t="shared" si="4"/>
        <v>610</v>
      </c>
      <c r="V118" s="3">
        <f t="shared" si="5"/>
        <v>120.10000000000005</v>
      </c>
      <c r="W118" s="50">
        <f t="shared" si="6"/>
        <v>8.1303845032683911E-2</v>
      </c>
      <c r="X118" s="50">
        <f t="shared" si="7"/>
        <v>0.16514794964716251</v>
      </c>
    </row>
    <row r="119" spans="1:24" x14ac:dyDescent="0.2">
      <c r="A119" s="4">
        <v>118</v>
      </c>
      <c r="B119" s="5">
        <v>40695</v>
      </c>
      <c r="C119" s="4">
        <v>1</v>
      </c>
      <c r="D119" s="4">
        <v>0</v>
      </c>
      <c r="E119" s="4">
        <v>1</v>
      </c>
      <c r="F119" s="4">
        <v>2</v>
      </c>
      <c r="G119" s="4" t="b">
        <v>0</v>
      </c>
      <c r="H119" s="4">
        <v>4</v>
      </c>
      <c r="I119" s="4">
        <v>1</v>
      </c>
      <c r="J119" s="4">
        <v>0.16</v>
      </c>
      <c r="K119" s="6" t="str">
        <f>IF(H119=0,"weekend",IF(H119=6,"weekend","weekend"))</f>
        <v>weekend</v>
      </c>
      <c r="L119" s="3" t="str">
        <f>IF(C119=1,"Spring",IF(C119=2,"Summer",IF(C119=3,"Fall","Winter")))</f>
        <v>Spring</v>
      </c>
      <c r="M119" s="3">
        <f>SUM(J119:J143)</f>
        <v>5.1600000000000019</v>
      </c>
      <c r="N119" s="3">
        <f>AVERAGE(J119:J728)</f>
        <v>0.18052738336713994</v>
      </c>
      <c r="O119" s="3">
        <f>COUNT(J119:J728)</f>
        <v>493</v>
      </c>
      <c r="P119" s="3" t="str">
        <f>TEXT(J119,"0.00")</f>
        <v>0.16</v>
      </c>
      <c r="Q119" s="3" t="str">
        <f>LEFT(L119,3)</f>
        <v>Spr</v>
      </c>
      <c r="R119" s="42" t="str">
        <f>RIGHT(L119,3)</f>
        <v>ing</v>
      </c>
      <c r="S119" s="42">
        <f>LEN(L119)</f>
        <v>6</v>
      </c>
      <c r="T119" s="3" t="str">
        <f>A119&amp;"|"&amp;B119&amp;"|"&amp;F119</f>
        <v>118|40695|2</v>
      </c>
      <c r="U119" s="3">
        <f t="shared" si="4"/>
        <v>610</v>
      </c>
      <c r="V119" s="3">
        <f t="shared" si="5"/>
        <v>120.10000000000005</v>
      </c>
      <c r="W119" s="50">
        <f t="shared" si="6"/>
        <v>8.1303845032683911E-2</v>
      </c>
      <c r="X119" s="50">
        <f t="shared" si="7"/>
        <v>0.16514794964716251</v>
      </c>
    </row>
    <row r="120" spans="1:24" x14ac:dyDescent="0.2">
      <c r="A120" s="4">
        <v>119</v>
      </c>
      <c r="B120" s="5">
        <v>40695</v>
      </c>
      <c r="C120" s="4">
        <v>1</v>
      </c>
      <c r="D120" s="4">
        <v>0</v>
      </c>
      <c r="E120" s="4">
        <v>1</v>
      </c>
      <c r="F120" s="4">
        <v>4</v>
      </c>
      <c r="G120" s="4" t="b">
        <v>0</v>
      </c>
      <c r="H120" s="4">
        <v>4</v>
      </c>
      <c r="I120" s="4">
        <v>2</v>
      </c>
      <c r="J120" s="4">
        <v>0.16</v>
      </c>
      <c r="K120" s="6" t="str">
        <f>IF(H120=0,"weekend",IF(H120=6,"weekend","weekend"))</f>
        <v>weekend</v>
      </c>
      <c r="L120" s="3" t="str">
        <f>IF(C120=1,"Spring",IF(C120=2,"Summer",IF(C120=3,"Fall","Winter")))</f>
        <v>Spring</v>
      </c>
      <c r="M120" s="3">
        <f>SUM(J120:J144)</f>
        <v>5.2200000000000015</v>
      </c>
      <c r="N120" s="3">
        <f>AVERAGE(J120:J729)</f>
        <v>0.18056910569105689</v>
      </c>
      <c r="O120" s="3">
        <f>COUNT(J120:J729)</f>
        <v>492</v>
      </c>
      <c r="P120" s="3" t="str">
        <f>TEXT(J120,"0.00")</f>
        <v>0.16</v>
      </c>
      <c r="Q120" s="3" t="str">
        <f>LEFT(L120,3)</f>
        <v>Spr</v>
      </c>
      <c r="R120" s="42" t="str">
        <f>RIGHT(L120,3)</f>
        <v>ing</v>
      </c>
      <c r="S120" s="42">
        <f>LEN(L120)</f>
        <v>6</v>
      </c>
      <c r="T120" s="3" t="str">
        <f>A120&amp;"|"&amp;B120&amp;"|"&amp;F120</f>
        <v>119|40695|4</v>
      </c>
      <c r="U120" s="3">
        <f t="shared" si="4"/>
        <v>610</v>
      </c>
      <c r="V120" s="3">
        <f t="shared" si="5"/>
        <v>120.10000000000005</v>
      </c>
      <c r="W120" s="50">
        <f t="shared" si="6"/>
        <v>8.1303845032683911E-2</v>
      </c>
      <c r="X120" s="50">
        <f t="shared" si="7"/>
        <v>0.16514794964716251</v>
      </c>
    </row>
    <row r="121" spans="1:24" x14ac:dyDescent="0.2">
      <c r="A121" s="4">
        <v>120</v>
      </c>
      <c r="B121" s="5">
        <v>40695</v>
      </c>
      <c r="C121" s="4">
        <v>1</v>
      </c>
      <c r="D121" s="4">
        <v>0</v>
      </c>
      <c r="E121" s="4">
        <v>1</v>
      </c>
      <c r="F121" s="4">
        <v>5</v>
      </c>
      <c r="G121" s="4" t="b">
        <v>0</v>
      </c>
      <c r="H121" s="4">
        <v>4</v>
      </c>
      <c r="I121" s="4">
        <v>2</v>
      </c>
      <c r="J121" s="4">
        <v>0.14000000000000001</v>
      </c>
      <c r="K121" s="6" t="str">
        <f>IF(H121=0,"weekend",IF(H121=6,"weekend","weekend"))</f>
        <v>weekend</v>
      </c>
      <c r="L121" s="3" t="str">
        <f>IF(C121=1,"Spring",IF(C121=2,"Summer",IF(C121=3,"Fall","Winter")))</f>
        <v>Spring</v>
      </c>
      <c r="M121" s="3">
        <f>SUM(J121:J145)</f>
        <v>5.2600000000000016</v>
      </c>
      <c r="N121" s="3">
        <f>AVERAGE(J121:J730)</f>
        <v>0.1806109979633401</v>
      </c>
      <c r="O121" s="3">
        <f>COUNT(J121:J730)</f>
        <v>491</v>
      </c>
      <c r="P121" s="3" t="str">
        <f>TEXT(J121,"0.00")</f>
        <v>0.14</v>
      </c>
      <c r="Q121" s="3" t="str">
        <f>LEFT(L121,3)</f>
        <v>Spr</v>
      </c>
      <c r="R121" s="42" t="str">
        <f>RIGHT(L121,3)</f>
        <v>ing</v>
      </c>
      <c r="S121" s="42">
        <f>LEN(L121)</f>
        <v>6</v>
      </c>
      <c r="T121" s="3" t="str">
        <f>A121&amp;"|"&amp;B121&amp;"|"&amp;F121</f>
        <v>120|40695|5</v>
      </c>
      <c r="U121" s="3">
        <f t="shared" si="4"/>
        <v>610</v>
      </c>
      <c r="V121" s="3">
        <f t="shared" si="5"/>
        <v>120.10000000000005</v>
      </c>
      <c r="W121" s="50">
        <f t="shared" si="6"/>
        <v>8.1303845032683911E-2</v>
      </c>
      <c r="X121" s="50">
        <f t="shared" si="7"/>
        <v>0.16514794964716251</v>
      </c>
    </row>
    <row r="122" spans="1:24" x14ac:dyDescent="0.2">
      <c r="A122" s="4">
        <v>121</v>
      </c>
      <c r="B122" s="5">
        <v>40695</v>
      </c>
      <c r="C122" s="4">
        <v>1</v>
      </c>
      <c r="D122" s="4">
        <v>0</v>
      </c>
      <c r="E122" s="4">
        <v>1</v>
      </c>
      <c r="F122" s="4">
        <v>6</v>
      </c>
      <c r="G122" s="4" t="b">
        <v>0</v>
      </c>
      <c r="H122" s="4">
        <v>4</v>
      </c>
      <c r="I122" s="4">
        <v>2</v>
      </c>
      <c r="J122" s="4">
        <v>0.14000000000000001</v>
      </c>
      <c r="K122" s="6" t="str">
        <f>IF(H122=0,"weekend",IF(H122=6,"weekend","weekend"))</f>
        <v>weekend</v>
      </c>
      <c r="L122" s="3" t="str">
        <f>IF(C122=1,"Spring",IF(C122=2,"Summer",IF(C122=3,"Fall","Winter")))</f>
        <v>Spring</v>
      </c>
      <c r="M122" s="3">
        <f>SUM(J122:J146)</f>
        <v>5.3200000000000021</v>
      </c>
      <c r="N122" s="3">
        <f>AVERAGE(J122:J731)</f>
        <v>0.18069387755102037</v>
      </c>
      <c r="O122" s="3">
        <f>COUNT(J122:J731)</f>
        <v>490</v>
      </c>
      <c r="P122" s="3" t="str">
        <f>TEXT(J122,"0.00")</f>
        <v>0.14</v>
      </c>
      <c r="Q122" s="3" t="str">
        <f>LEFT(L122,3)</f>
        <v>Spr</v>
      </c>
      <c r="R122" s="42" t="str">
        <f>RIGHT(L122,3)</f>
        <v>ing</v>
      </c>
      <c r="S122" s="42">
        <f>LEN(L122)</f>
        <v>6</v>
      </c>
      <c r="T122" s="3" t="str">
        <f>A122&amp;"|"&amp;B122&amp;"|"&amp;F122</f>
        <v>121|40695|6</v>
      </c>
      <c r="U122" s="3">
        <f t="shared" si="4"/>
        <v>610</v>
      </c>
      <c r="V122" s="3">
        <f t="shared" si="5"/>
        <v>120.10000000000005</v>
      </c>
      <c r="W122" s="50">
        <f t="shared" si="6"/>
        <v>8.1303845032683911E-2</v>
      </c>
      <c r="X122" s="50">
        <f t="shared" si="7"/>
        <v>0.16514794964716251</v>
      </c>
    </row>
    <row r="123" spans="1:24" x14ac:dyDescent="0.2">
      <c r="A123" s="4">
        <v>122</v>
      </c>
      <c r="B123" s="5">
        <v>40695</v>
      </c>
      <c r="C123" s="4">
        <v>1</v>
      </c>
      <c r="D123" s="4">
        <v>0</v>
      </c>
      <c r="E123" s="4">
        <v>1</v>
      </c>
      <c r="F123" s="4">
        <v>7</v>
      </c>
      <c r="G123" s="4" t="b">
        <v>0</v>
      </c>
      <c r="H123" s="4">
        <v>4</v>
      </c>
      <c r="I123" s="4">
        <v>2</v>
      </c>
      <c r="J123" s="4">
        <v>0.16</v>
      </c>
      <c r="K123" s="6" t="str">
        <f>IF(H123=0,"weekend",IF(H123=6,"weekend","weekend"))</f>
        <v>weekend</v>
      </c>
      <c r="L123" s="3" t="str">
        <f>IF(C123=1,"Spring",IF(C123=2,"Summer",IF(C123=3,"Fall","Winter")))</f>
        <v>Spring</v>
      </c>
      <c r="M123" s="3">
        <f>SUM(J123:J147)</f>
        <v>5.3800000000000017</v>
      </c>
      <c r="N123" s="3">
        <f>AVERAGE(J123:J732)</f>
        <v>0.18077709611451939</v>
      </c>
      <c r="O123" s="3">
        <f>COUNT(J123:J732)</f>
        <v>489</v>
      </c>
      <c r="P123" s="3" t="str">
        <f>TEXT(J123,"0.00")</f>
        <v>0.16</v>
      </c>
      <c r="Q123" s="3" t="str">
        <f>LEFT(L123,3)</f>
        <v>Spr</v>
      </c>
      <c r="R123" s="42" t="str">
        <f>RIGHT(L123,3)</f>
        <v>ing</v>
      </c>
      <c r="S123" s="42">
        <f>LEN(L123)</f>
        <v>6</v>
      </c>
      <c r="T123" s="3" t="str">
        <f>A123&amp;"|"&amp;B123&amp;"|"&amp;F123</f>
        <v>122|40695|7</v>
      </c>
      <c r="U123" s="3">
        <f t="shared" si="4"/>
        <v>610</v>
      </c>
      <c r="V123" s="3">
        <f t="shared" si="5"/>
        <v>120.10000000000005</v>
      </c>
      <c r="W123" s="50">
        <f t="shared" si="6"/>
        <v>8.1303845032683911E-2</v>
      </c>
      <c r="X123" s="50">
        <f t="shared" si="7"/>
        <v>0.16514794964716251</v>
      </c>
    </row>
    <row r="124" spans="1:24" x14ac:dyDescent="0.2">
      <c r="A124" s="4">
        <v>123</v>
      </c>
      <c r="B124" s="5">
        <v>40695</v>
      </c>
      <c r="C124" s="4">
        <v>1</v>
      </c>
      <c r="D124" s="4">
        <v>0</v>
      </c>
      <c r="E124" s="4">
        <v>1</v>
      </c>
      <c r="F124" s="4">
        <v>8</v>
      </c>
      <c r="G124" s="4" t="b">
        <v>0</v>
      </c>
      <c r="H124" s="4">
        <v>4</v>
      </c>
      <c r="I124" s="4">
        <v>1</v>
      </c>
      <c r="J124" s="4">
        <v>0.16</v>
      </c>
      <c r="K124" s="6" t="str">
        <f>IF(H124=0,"weekend",IF(H124=6,"weekend","weekend"))</f>
        <v>weekend</v>
      </c>
      <c r="L124" s="3" t="str">
        <f>IF(C124=1,"Spring",IF(C124=2,"Summer",IF(C124=3,"Fall","Winter")))</f>
        <v>Spring</v>
      </c>
      <c r="M124" s="3">
        <f>SUM(J124:J148)</f>
        <v>5.4200000000000026</v>
      </c>
      <c r="N124" s="3">
        <f>AVERAGE(J124:J733)</f>
        <v>0.18081967213114747</v>
      </c>
      <c r="O124" s="3">
        <f>COUNT(J124:J733)</f>
        <v>488</v>
      </c>
      <c r="P124" s="3" t="str">
        <f>TEXT(J124,"0.00")</f>
        <v>0.16</v>
      </c>
      <c r="Q124" s="3" t="str">
        <f>LEFT(L124,3)</f>
        <v>Spr</v>
      </c>
      <c r="R124" s="42" t="str">
        <f>RIGHT(L124,3)</f>
        <v>ing</v>
      </c>
      <c r="S124" s="42">
        <f>LEN(L124)</f>
        <v>6</v>
      </c>
      <c r="T124" s="3" t="str">
        <f>A124&amp;"|"&amp;B124&amp;"|"&amp;F124</f>
        <v>123|40695|8</v>
      </c>
      <c r="U124" s="3">
        <f t="shared" si="4"/>
        <v>610</v>
      </c>
      <c r="V124" s="3">
        <f t="shared" si="5"/>
        <v>120.10000000000005</v>
      </c>
      <c r="W124" s="50">
        <f t="shared" si="6"/>
        <v>8.1303845032683911E-2</v>
      </c>
      <c r="X124" s="50">
        <f t="shared" si="7"/>
        <v>0.16514794964716251</v>
      </c>
    </row>
    <row r="125" spans="1:24" x14ac:dyDescent="0.2">
      <c r="A125" s="4">
        <v>124</v>
      </c>
      <c r="B125" s="5">
        <v>40695</v>
      </c>
      <c r="C125" s="4">
        <v>1</v>
      </c>
      <c r="D125" s="4">
        <v>0</v>
      </c>
      <c r="E125" s="4">
        <v>1</v>
      </c>
      <c r="F125" s="4">
        <v>9</v>
      </c>
      <c r="G125" s="4" t="b">
        <v>0</v>
      </c>
      <c r="H125" s="4">
        <v>4</v>
      </c>
      <c r="I125" s="4">
        <v>2</v>
      </c>
      <c r="J125" s="4">
        <v>0.18</v>
      </c>
      <c r="K125" s="6" t="str">
        <f>IF(H125=0,"weekend",IF(H125=6,"weekend","weekend"))</f>
        <v>weekend</v>
      </c>
      <c r="L125" s="3" t="str">
        <f>IF(C125=1,"Spring",IF(C125=2,"Summer",IF(C125=3,"Fall","Winter")))</f>
        <v>Spring</v>
      </c>
      <c r="M125" s="3">
        <f>SUM(J125:J149)</f>
        <v>5.4800000000000022</v>
      </c>
      <c r="N125" s="3">
        <f>AVERAGE(J125:J734)</f>
        <v>0.18086242299794655</v>
      </c>
      <c r="O125" s="3">
        <f>COUNT(J125:J734)</f>
        <v>487</v>
      </c>
      <c r="P125" s="3" t="str">
        <f>TEXT(J125,"0.00")</f>
        <v>0.18</v>
      </c>
      <c r="Q125" s="3" t="str">
        <f>LEFT(L125,3)</f>
        <v>Spr</v>
      </c>
      <c r="R125" s="42" t="str">
        <f>RIGHT(L125,3)</f>
        <v>ing</v>
      </c>
      <c r="S125" s="42">
        <f>LEN(L125)</f>
        <v>6</v>
      </c>
      <c r="T125" s="3" t="str">
        <f>A125&amp;"|"&amp;B125&amp;"|"&amp;F125</f>
        <v>124|40695|9</v>
      </c>
      <c r="U125" s="3">
        <f t="shared" si="4"/>
        <v>610</v>
      </c>
      <c r="V125" s="3">
        <f t="shared" si="5"/>
        <v>120.10000000000005</v>
      </c>
      <c r="W125" s="50">
        <f t="shared" si="6"/>
        <v>8.1303845032683911E-2</v>
      </c>
      <c r="X125" s="50">
        <f t="shared" si="7"/>
        <v>0.16514794964716251</v>
      </c>
    </row>
    <row r="126" spans="1:24" x14ac:dyDescent="0.2">
      <c r="A126" s="4">
        <v>125</v>
      </c>
      <c r="B126" s="5">
        <v>40695</v>
      </c>
      <c r="C126" s="4">
        <v>1</v>
      </c>
      <c r="D126" s="4">
        <v>0</v>
      </c>
      <c r="E126" s="4">
        <v>1</v>
      </c>
      <c r="F126" s="4">
        <v>10</v>
      </c>
      <c r="G126" s="4" t="b">
        <v>0</v>
      </c>
      <c r="H126" s="4">
        <v>4</v>
      </c>
      <c r="I126" s="4">
        <v>1</v>
      </c>
      <c r="J126" s="4">
        <v>0.2</v>
      </c>
      <c r="K126" s="6" t="str">
        <f>IF(H126=0,"weekend",IF(H126=6,"weekend","weekend"))</f>
        <v>weekend</v>
      </c>
      <c r="L126" s="3" t="str">
        <f>IF(C126=1,"Spring",IF(C126=2,"Summer",IF(C126=3,"Fall","Winter")))</f>
        <v>Spring</v>
      </c>
      <c r="M126" s="3">
        <f>SUM(J126:J150)</f>
        <v>5.5000000000000018</v>
      </c>
      <c r="N126" s="3">
        <f>AVERAGE(J126:J735)</f>
        <v>0.18086419753086408</v>
      </c>
      <c r="O126" s="3">
        <f>COUNT(J126:J735)</f>
        <v>486</v>
      </c>
      <c r="P126" s="3" t="str">
        <f>TEXT(J126,"0.00")</f>
        <v>0.20</v>
      </c>
      <c r="Q126" s="3" t="str">
        <f>LEFT(L126,3)</f>
        <v>Spr</v>
      </c>
      <c r="R126" s="42" t="str">
        <f>RIGHT(L126,3)</f>
        <v>ing</v>
      </c>
      <c r="S126" s="42">
        <f>LEN(L126)</f>
        <v>6</v>
      </c>
      <c r="T126" s="3" t="str">
        <f>A126&amp;"|"&amp;B126&amp;"|"&amp;F126</f>
        <v>125|40695|10</v>
      </c>
      <c r="U126" s="3">
        <f t="shared" si="4"/>
        <v>610</v>
      </c>
      <c r="V126" s="3">
        <f t="shared" si="5"/>
        <v>120.10000000000005</v>
      </c>
      <c r="W126" s="50">
        <f t="shared" si="6"/>
        <v>8.1303845032683911E-2</v>
      </c>
      <c r="X126" s="50">
        <f t="shared" si="7"/>
        <v>0.16514794964716251</v>
      </c>
    </row>
    <row r="127" spans="1:24" x14ac:dyDescent="0.2">
      <c r="A127" s="4">
        <v>126</v>
      </c>
      <c r="B127" s="5">
        <v>40695</v>
      </c>
      <c r="C127" s="4">
        <v>1</v>
      </c>
      <c r="D127" s="4">
        <v>0</v>
      </c>
      <c r="E127" s="4">
        <v>1</v>
      </c>
      <c r="F127" s="4">
        <v>11</v>
      </c>
      <c r="G127" s="4" t="b">
        <v>0</v>
      </c>
      <c r="H127" s="4">
        <v>4</v>
      </c>
      <c r="I127" s="4">
        <v>1</v>
      </c>
      <c r="J127" s="4">
        <v>0.22</v>
      </c>
      <c r="K127" s="6" t="str">
        <f>IF(H127=0,"weekend",IF(H127=6,"weekend","weekend"))</f>
        <v>weekend</v>
      </c>
      <c r="L127" s="3" t="str">
        <f>IF(C127=1,"Spring",IF(C127=2,"Summer",IF(C127=3,"Fall","Winter")))</f>
        <v>Spring</v>
      </c>
      <c r="M127" s="3">
        <f>SUM(J127:J151)</f>
        <v>5.5000000000000027</v>
      </c>
      <c r="N127" s="3">
        <f>AVERAGE(J127:J736)</f>
        <v>0.18082474226804113</v>
      </c>
      <c r="O127" s="3">
        <f>COUNT(J127:J736)</f>
        <v>485</v>
      </c>
      <c r="P127" s="3" t="str">
        <f>TEXT(J127,"0.00")</f>
        <v>0.22</v>
      </c>
      <c r="Q127" s="3" t="str">
        <f>LEFT(L127,3)</f>
        <v>Spr</v>
      </c>
      <c r="R127" s="42" t="str">
        <f>RIGHT(L127,3)</f>
        <v>ing</v>
      </c>
      <c r="S127" s="42">
        <f>LEN(L127)</f>
        <v>6</v>
      </c>
      <c r="T127" s="3" t="str">
        <f>A127&amp;"|"&amp;B127&amp;"|"&amp;F127</f>
        <v>126|40695|11</v>
      </c>
      <c r="U127" s="3">
        <f t="shared" si="4"/>
        <v>610</v>
      </c>
      <c r="V127" s="3">
        <f t="shared" si="5"/>
        <v>120.10000000000005</v>
      </c>
      <c r="W127" s="50">
        <f t="shared" si="6"/>
        <v>8.1303845032683911E-2</v>
      </c>
      <c r="X127" s="50">
        <f t="shared" si="7"/>
        <v>0.16514794964716251</v>
      </c>
    </row>
    <row r="128" spans="1:24" x14ac:dyDescent="0.2">
      <c r="A128" s="4">
        <v>127</v>
      </c>
      <c r="B128" s="5">
        <v>40695</v>
      </c>
      <c r="C128" s="4">
        <v>1</v>
      </c>
      <c r="D128" s="4">
        <v>0</v>
      </c>
      <c r="E128" s="4">
        <v>1</v>
      </c>
      <c r="F128" s="4">
        <v>12</v>
      </c>
      <c r="G128" s="4" t="b">
        <v>0</v>
      </c>
      <c r="H128" s="4">
        <v>4</v>
      </c>
      <c r="I128" s="4">
        <v>1</v>
      </c>
      <c r="J128" s="4">
        <v>0.26</v>
      </c>
      <c r="K128" s="6" t="str">
        <f>IF(H128=0,"weekend",IF(H128=6,"weekend","weekend"))</f>
        <v>weekend</v>
      </c>
      <c r="L128" s="3" t="str">
        <f>IF(C128=1,"Spring",IF(C128=2,"Summer",IF(C128=3,"Fall","Winter")))</f>
        <v>Spring</v>
      </c>
      <c r="M128" s="3">
        <f>SUM(J128:J152)</f>
        <v>5.4800000000000022</v>
      </c>
      <c r="N128" s="3">
        <f>AVERAGE(J128:J737)</f>
        <v>0.18074380165289247</v>
      </c>
      <c r="O128" s="3">
        <f>COUNT(J128:J737)</f>
        <v>484</v>
      </c>
      <c r="P128" s="3" t="str">
        <f>TEXT(J128,"0.00")</f>
        <v>0.26</v>
      </c>
      <c r="Q128" s="3" t="str">
        <f>LEFT(L128,3)</f>
        <v>Spr</v>
      </c>
      <c r="R128" s="42" t="str">
        <f>RIGHT(L128,3)</f>
        <v>ing</v>
      </c>
      <c r="S128" s="42">
        <f>LEN(L128)</f>
        <v>6</v>
      </c>
      <c r="T128" s="3" t="str">
        <f>A128&amp;"|"&amp;B128&amp;"|"&amp;F128</f>
        <v>127|40695|12</v>
      </c>
      <c r="U128" s="3">
        <f t="shared" si="4"/>
        <v>610</v>
      </c>
      <c r="V128" s="3">
        <f t="shared" si="5"/>
        <v>120.10000000000005</v>
      </c>
      <c r="W128" s="50">
        <f t="shared" si="6"/>
        <v>8.1303845032683911E-2</v>
      </c>
      <c r="X128" s="50">
        <f t="shared" si="7"/>
        <v>0.16514794964716251</v>
      </c>
    </row>
    <row r="129" spans="1:24" x14ac:dyDescent="0.2">
      <c r="A129" s="4">
        <v>128</v>
      </c>
      <c r="B129" s="5">
        <v>40695</v>
      </c>
      <c r="C129" s="4">
        <v>1</v>
      </c>
      <c r="D129" s="4">
        <v>0</v>
      </c>
      <c r="E129" s="4">
        <v>1</v>
      </c>
      <c r="F129" s="4">
        <v>13</v>
      </c>
      <c r="G129" s="4" t="b">
        <v>0</v>
      </c>
      <c r="H129" s="4">
        <v>4</v>
      </c>
      <c r="I129" s="4">
        <v>1</v>
      </c>
      <c r="J129" s="4">
        <v>0.26</v>
      </c>
      <c r="K129" s="6" t="str">
        <f>IF(H129=0,"weekend",IF(H129=6,"weekend","weekend"))</f>
        <v>weekend</v>
      </c>
      <c r="L129" s="3" t="str">
        <f>IF(C129=1,"Spring",IF(C129=2,"Summer",IF(C129=3,"Fall","Winter")))</f>
        <v>Spring</v>
      </c>
      <c r="M129" s="3">
        <f>SUM(J129:J153)</f>
        <v>5.4200000000000026</v>
      </c>
      <c r="N129" s="3">
        <f>AVERAGE(J129:J738)</f>
        <v>0.18057971014492746</v>
      </c>
      <c r="O129" s="3">
        <f>COUNT(J129:J738)</f>
        <v>483</v>
      </c>
      <c r="P129" s="3" t="str">
        <f>TEXT(J129,"0.00")</f>
        <v>0.26</v>
      </c>
      <c r="Q129" s="3" t="str">
        <f>LEFT(L129,3)</f>
        <v>Spr</v>
      </c>
      <c r="R129" s="42" t="str">
        <f>RIGHT(L129,3)</f>
        <v>ing</v>
      </c>
      <c r="S129" s="42">
        <f>LEN(L129)</f>
        <v>6</v>
      </c>
      <c r="T129" s="3" t="str">
        <f>A129&amp;"|"&amp;B129&amp;"|"&amp;F129</f>
        <v>128|40695|13</v>
      </c>
      <c r="U129" s="3">
        <f t="shared" si="4"/>
        <v>610</v>
      </c>
      <c r="V129" s="3">
        <f t="shared" si="5"/>
        <v>120.10000000000005</v>
      </c>
      <c r="W129" s="50">
        <f t="shared" si="6"/>
        <v>8.1303845032683911E-2</v>
      </c>
      <c r="X129" s="50">
        <f t="shared" si="7"/>
        <v>0.16514794964716251</v>
      </c>
    </row>
    <row r="130" spans="1:24" x14ac:dyDescent="0.2">
      <c r="A130" s="4">
        <v>129</v>
      </c>
      <c r="B130" s="5">
        <v>40695</v>
      </c>
      <c r="C130" s="4">
        <v>1</v>
      </c>
      <c r="D130" s="4">
        <v>0</v>
      </c>
      <c r="E130" s="4">
        <v>1</v>
      </c>
      <c r="F130" s="4">
        <v>14</v>
      </c>
      <c r="G130" s="4" t="b">
        <v>0</v>
      </c>
      <c r="H130" s="4">
        <v>4</v>
      </c>
      <c r="I130" s="4">
        <v>1</v>
      </c>
      <c r="J130" s="4">
        <v>0.28000000000000003</v>
      </c>
      <c r="K130" s="6" t="str">
        <f>IF(H130=0,"weekend",IF(H130=6,"weekend","weekend"))</f>
        <v>weekend</v>
      </c>
      <c r="L130" s="3" t="str">
        <f>IF(C130=1,"Spring",IF(C130=2,"Summer",IF(C130=3,"Fall","Winter")))</f>
        <v>Spring</v>
      </c>
      <c r="M130" s="3">
        <f>SUM(J130:J154)</f>
        <v>5.3600000000000021</v>
      </c>
      <c r="N130" s="3">
        <f>AVERAGE(J130:J739)</f>
        <v>0.18041493775933604</v>
      </c>
      <c r="O130" s="3">
        <f>COUNT(J130:J739)</f>
        <v>482</v>
      </c>
      <c r="P130" s="3" t="str">
        <f>TEXT(J130,"0.00")</f>
        <v>0.28</v>
      </c>
      <c r="Q130" s="3" t="str">
        <f>LEFT(L130,3)</f>
        <v>Spr</v>
      </c>
      <c r="R130" s="42" t="str">
        <f>RIGHT(L130,3)</f>
        <v>ing</v>
      </c>
      <c r="S130" s="42">
        <f>LEN(L130)</f>
        <v>6</v>
      </c>
      <c r="T130" s="3" t="str">
        <f>A130&amp;"|"&amp;B130&amp;"|"&amp;F130</f>
        <v>129|40695|14</v>
      </c>
      <c r="U130" s="3">
        <f t="shared" ref="U130:U193" si="8">COUNTIF(K:K,"weekend")</f>
        <v>610</v>
      </c>
      <c r="V130" s="3">
        <f t="shared" ref="V130:V193" si="9">SUMIF($K:$K,"weekend",$J:$J)</f>
        <v>120.10000000000005</v>
      </c>
      <c r="W130" s="50">
        <f t="shared" ref="W130:W193" si="10">STDEV($J:$J)</f>
        <v>8.1303845032683911E-2</v>
      </c>
      <c r="X130" s="50">
        <f t="shared" ref="X130:X193" si="11">CORREL(J:J,F:F)</f>
        <v>0.16514794964716251</v>
      </c>
    </row>
    <row r="131" spans="1:24" x14ac:dyDescent="0.2">
      <c r="A131" s="4">
        <v>130</v>
      </c>
      <c r="B131" s="5">
        <v>40695</v>
      </c>
      <c r="C131" s="4">
        <v>1</v>
      </c>
      <c r="D131" s="4">
        <v>0</v>
      </c>
      <c r="E131" s="4">
        <v>1</v>
      </c>
      <c r="F131" s="4">
        <v>15</v>
      </c>
      <c r="G131" s="4" t="b">
        <v>0</v>
      </c>
      <c r="H131" s="4">
        <v>4</v>
      </c>
      <c r="I131" s="4">
        <v>1</v>
      </c>
      <c r="J131" s="4">
        <v>0.28000000000000003</v>
      </c>
      <c r="K131" s="6" t="str">
        <f>IF(H131=0,"weekend",IF(H131=6,"weekend","weekend"))</f>
        <v>weekend</v>
      </c>
      <c r="L131" s="3" t="str">
        <f>IF(C131=1,"Spring",IF(C131=2,"Summer",IF(C131=3,"Fall","Winter")))</f>
        <v>Spring</v>
      </c>
      <c r="M131" s="3">
        <f>SUM(J131:J155)</f>
        <v>5.2800000000000029</v>
      </c>
      <c r="N131" s="3">
        <f>AVERAGE(J131:J740)</f>
        <v>0.18020790020790017</v>
      </c>
      <c r="O131" s="3">
        <f>COUNT(J131:J740)</f>
        <v>481</v>
      </c>
      <c r="P131" s="3" t="str">
        <f>TEXT(J131,"0.00")</f>
        <v>0.28</v>
      </c>
      <c r="Q131" s="3" t="str">
        <f>LEFT(L131,3)</f>
        <v>Spr</v>
      </c>
      <c r="R131" s="42" t="str">
        <f>RIGHT(L131,3)</f>
        <v>ing</v>
      </c>
      <c r="S131" s="42">
        <f>LEN(L131)</f>
        <v>6</v>
      </c>
      <c r="T131" s="3" t="str">
        <f>A131&amp;"|"&amp;B131&amp;"|"&amp;F131</f>
        <v>130|40695|15</v>
      </c>
      <c r="U131" s="3">
        <f t="shared" si="8"/>
        <v>610</v>
      </c>
      <c r="V131" s="3">
        <f t="shared" si="9"/>
        <v>120.10000000000005</v>
      </c>
      <c r="W131" s="50">
        <f t="shared" si="10"/>
        <v>8.1303845032683911E-2</v>
      </c>
      <c r="X131" s="50">
        <f t="shared" si="11"/>
        <v>0.16514794964716251</v>
      </c>
    </row>
    <row r="132" spans="1:24" x14ac:dyDescent="0.2">
      <c r="A132" s="4">
        <v>131</v>
      </c>
      <c r="B132" s="5">
        <v>40695</v>
      </c>
      <c r="C132" s="4">
        <v>1</v>
      </c>
      <c r="D132" s="4">
        <v>0</v>
      </c>
      <c r="E132" s="4">
        <v>1</v>
      </c>
      <c r="F132" s="4">
        <v>16</v>
      </c>
      <c r="G132" s="4" t="b">
        <v>0</v>
      </c>
      <c r="H132" s="4">
        <v>4</v>
      </c>
      <c r="I132" s="4">
        <v>1</v>
      </c>
      <c r="J132" s="4">
        <v>0.26</v>
      </c>
      <c r="K132" s="6" t="str">
        <f>IF(H132=0,"weekend",IF(H132=6,"weekend","weekend"))</f>
        <v>weekend</v>
      </c>
      <c r="L132" s="3" t="str">
        <f>IF(C132=1,"Spring",IF(C132=2,"Summer",IF(C132=3,"Fall","Winter")))</f>
        <v>Spring</v>
      </c>
      <c r="M132" s="3">
        <f>SUM(J132:J156)</f>
        <v>5.200000000000002</v>
      </c>
      <c r="N132" s="3">
        <f>AVERAGE(J132:J741)</f>
        <v>0.17999999999999997</v>
      </c>
      <c r="O132" s="3">
        <f>COUNT(J132:J741)</f>
        <v>480</v>
      </c>
      <c r="P132" s="3" t="str">
        <f>TEXT(J132,"0.00")</f>
        <v>0.26</v>
      </c>
      <c r="Q132" s="3" t="str">
        <f>LEFT(L132,3)</f>
        <v>Spr</v>
      </c>
      <c r="R132" s="42" t="str">
        <f>RIGHT(L132,3)</f>
        <v>ing</v>
      </c>
      <c r="S132" s="42">
        <f>LEN(L132)</f>
        <v>6</v>
      </c>
      <c r="T132" s="3" t="str">
        <f>A132&amp;"|"&amp;B132&amp;"|"&amp;F132</f>
        <v>131|40695|16</v>
      </c>
      <c r="U132" s="3">
        <f t="shared" si="8"/>
        <v>610</v>
      </c>
      <c r="V132" s="3">
        <f t="shared" si="9"/>
        <v>120.10000000000005</v>
      </c>
      <c r="W132" s="50">
        <f t="shared" si="10"/>
        <v>8.1303845032683911E-2</v>
      </c>
      <c r="X132" s="50">
        <f t="shared" si="11"/>
        <v>0.16514794964716251</v>
      </c>
    </row>
    <row r="133" spans="1:24" x14ac:dyDescent="0.2">
      <c r="A133" s="4">
        <v>132</v>
      </c>
      <c r="B133" s="5">
        <v>40695</v>
      </c>
      <c r="C133" s="4">
        <v>1</v>
      </c>
      <c r="D133" s="4">
        <v>0</v>
      </c>
      <c r="E133" s="4">
        <v>1</v>
      </c>
      <c r="F133" s="4">
        <v>17</v>
      </c>
      <c r="G133" s="4" t="b">
        <v>0</v>
      </c>
      <c r="H133" s="4">
        <v>4</v>
      </c>
      <c r="I133" s="4">
        <v>1</v>
      </c>
      <c r="J133" s="4">
        <v>0.22</v>
      </c>
      <c r="K133" s="6" t="str">
        <f>IF(H133=0,"weekend",IF(H133=6,"weekend","weekend"))</f>
        <v>weekend</v>
      </c>
      <c r="L133" s="3" t="str">
        <f>IF(C133=1,"Spring",IF(C133=2,"Summer",IF(C133=3,"Fall","Winter")))</f>
        <v>Spring</v>
      </c>
      <c r="M133" s="3">
        <f>SUM(J133:J157)</f>
        <v>5.1400000000000023</v>
      </c>
      <c r="N133" s="3">
        <f>AVERAGE(J133:J742)</f>
        <v>0.17983298538622131</v>
      </c>
      <c r="O133" s="3">
        <f>COUNT(J133:J742)</f>
        <v>479</v>
      </c>
      <c r="P133" s="3" t="str">
        <f>TEXT(J133,"0.00")</f>
        <v>0.22</v>
      </c>
      <c r="Q133" s="3" t="str">
        <f>LEFT(L133,3)</f>
        <v>Spr</v>
      </c>
      <c r="R133" s="42" t="str">
        <f>RIGHT(L133,3)</f>
        <v>ing</v>
      </c>
      <c r="S133" s="42">
        <f>LEN(L133)</f>
        <v>6</v>
      </c>
      <c r="T133" s="3" t="str">
        <f>A133&amp;"|"&amp;B133&amp;"|"&amp;F133</f>
        <v>132|40695|17</v>
      </c>
      <c r="U133" s="3">
        <f t="shared" si="8"/>
        <v>610</v>
      </c>
      <c r="V133" s="3">
        <f t="shared" si="9"/>
        <v>120.10000000000005</v>
      </c>
      <c r="W133" s="50">
        <f t="shared" si="10"/>
        <v>8.1303845032683911E-2</v>
      </c>
      <c r="X133" s="50">
        <f t="shared" si="11"/>
        <v>0.16514794964716251</v>
      </c>
    </row>
    <row r="134" spans="1:24" x14ac:dyDescent="0.2">
      <c r="A134" s="4">
        <v>133</v>
      </c>
      <c r="B134" s="5">
        <v>40695</v>
      </c>
      <c r="C134" s="4">
        <v>1</v>
      </c>
      <c r="D134" s="4">
        <v>0</v>
      </c>
      <c r="E134" s="4">
        <v>1</v>
      </c>
      <c r="F134" s="4">
        <v>18</v>
      </c>
      <c r="G134" s="4" t="b">
        <v>0</v>
      </c>
      <c r="H134" s="4">
        <v>4</v>
      </c>
      <c r="I134" s="4">
        <v>1</v>
      </c>
      <c r="J134" s="4">
        <v>0.22</v>
      </c>
      <c r="K134" s="6" t="str">
        <f>IF(H134=0,"weekend",IF(H134=6,"weekend","weekend"))</f>
        <v>weekend</v>
      </c>
      <c r="L134" s="3" t="str">
        <f>IF(C134=1,"Spring",IF(C134=2,"Summer",IF(C134=3,"Fall","Winter")))</f>
        <v>Spring</v>
      </c>
      <c r="M134" s="3">
        <f>SUM(J134:J158)</f>
        <v>5.0800000000000027</v>
      </c>
      <c r="N134" s="3">
        <f>AVERAGE(J134:J743)</f>
        <v>0.1797489539748954</v>
      </c>
      <c r="O134" s="3">
        <f>COUNT(J134:J743)</f>
        <v>478</v>
      </c>
      <c r="P134" s="3" t="str">
        <f>TEXT(J134,"0.00")</f>
        <v>0.22</v>
      </c>
      <c r="Q134" s="3" t="str">
        <f>LEFT(L134,3)</f>
        <v>Spr</v>
      </c>
      <c r="R134" s="42" t="str">
        <f>RIGHT(L134,3)</f>
        <v>ing</v>
      </c>
      <c r="S134" s="42">
        <f>LEN(L134)</f>
        <v>6</v>
      </c>
      <c r="T134" s="3" t="str">
        <f>A134&amp;"|"&amp;B134&amp;"|"&amp;F134</f>
        <v>133|40695|18</v>
      </c>
      <c r="U134" s="3">
        <f t="shared" si="8"/>
        <v>610</v>
      </c>
      <c r="V134" s="3">
        <f t="shared" si="9"/>
        <v>120.10000000000005</v>
      </c>
      <c r="W134" s="50">
        <f t="shared" si="10"/>
        <v>8.1303845032683911E-2</v>
      </c>
      <c r="X134" s="50">
        <f t="shared" si="11"/>
        <v>0.16514794964716251</v>
      </c>
    </row>
    <row r="135" spans="1:24" x14ac:dyDescent="0.2">
      <c r="A135" s="4">
        <v>134</v>
      </c>
      <c r="B135" s="5">
        <v>40695</v>
      </c>
      <c r="C135" s="4">
        <v>1</v>
      </c>
      <c r="D135" s="4">
        <v>0</v>
      </c>
      <c r="E135" s="4">
        <v>1</v>
      </c>
      <c r="F135" s="4">
        <v>19</v>
      </c>
      <c r="G135" s="4" t="b">
        <v>0</v>
      </c>
      <c r="H135" s="4">
        <v>4</v>
      </c>
      <c r="I135" s="4">
        <v>1</v>
      </c>
      <c r="J135" s="4">
        <v>0.22</v>
      </c>
      <c r="K135" s="6" t="str">
        <f>IF(H135=0,"weekend",IF(H135=6,"weekend","weekend"))</f>
        <v>weekend</v>
      </c>
      <c r="L135" s="3" t="str">
        <f>IF(C135=1,"Spring",IF(C135=2,"Summer",IF(C135=3,"Fall","Winter")))</f>
        <v>Spring</v>
      </c>
      <c r="M135" s="3">
        <f>SUM(J135:J159)</f>
        <v>5.0400000000000018</v>
      </c>
      <c r="N135" s="3">
        <f>AVERAGE(J135:J744)</f>
        <v>0.17966457023060797</v>
      </c>
      <c r="O135" s="3">
        <f>COUNT(J135:J744)</f>
        <v>477</v>
      </c>
      <c r="P135" s="3" t="str">
        <f>TEXT(J135,"0.00")</f>
        <v>0.22</v>
      </c>
      <c r="Q135" s="3" t="str">
        <f>LEFT(L135,3)</f>
        <v>Spr</v>
      </c>
      <c r="R135" s="42" t="str">
        <f>RIGHT(L135,3)</f>
        <v>ing</v>
      </c>
      <c r="S135" s="42">
        <f>LEN(L135)</f>
        <v>6</v>
      </c>
      <c r="T135" s="3" t="str">
        <f>A135&amp;"|"&amp;B135&amp;"|"&amp;F135</f>
        <v>134|40695|19</v>
      </c>
      <c r="U135" s="3">
        <f t="shared" si="8"/>
        <v>610</v>
      </c>
      <c r="V135" s="3">
        <f t="shared" si="9"/>
        <v>120.10000000000005</v>
      </c>
      <c r="W135" s="50">
        <f t="shared" si="10"/>
        <v>8.1303845032683911E-2</v>
      </c>
      <c r="X135" s="50">
        <f t="shared" si="11"/>
        <v>0.16514794964716251</v>
      </c>
    </row>
    <row r="136" spans="1:24" x14ac:dyDescent="0.2">
      <c r="A136" s="4">
        <v>135</v>
      </c>
      <c r="B136" s="5">
        <v>40695</v>
      </c>
      <c r="C136" s="4">
        <v>1</v>
      </c>
      <c r="D136" s="4">
        <v>0</v>
      </c>
      <c r="E136" s="4">
        <v>1</v>
      </c>
      <c r="F136" s="4">
        <v>20</v>
      </c>
      <c r="G136" s="4" t="b">
        <v>0</v>
      </c>
      <c r="H136" s="4">
        <v>4</v>
      </c>
      <c r="I136" s="4">
        <v>1</v>
      </c>
      <c r="J136" s="4">
        <v>0.2</v>
      </c>
      <c r="K136" s="6" t="str">
        <f>IF(H136=0,"weekend",IF(H136=6,"weekend","weekend"))</f>
        <v>weekend</v>
      </c>
      <c r="L136" s="3" t="str">
        <f>IF(C136=1,"Spring",IF(C136=2,"Summer",IF(C136=3,"Fall","Winter")))</f>
        <v>Spring</v>
      </c>
      <c r="M136" s="3">
        <f>SUM(J136:J160)</f>
        <v>5.0000000000000018</v>
      </c>
      <c r="N136" s="3">
        <f>AVERAGE(J136:J745)</f>
        <v>0.17957983193277316</v>
      </c>
      <c r="O136" s="3">
        <f>COUNT(J136:J745)</f>
        <v>476</v>
      </c>
      <c r="P136" s="3" t="str">
        <f>TEXT(J136,"0.00")</f>
        <v>0.20</v>
      </c>
      <c r="Q136" s="3" t="str">
        <f>LEFT(L136,3)</f>
        <v>Spr</v>
      </c>
      <c r="R136" s="42" t="str">
        <f>RIGHT(L136,3)</f>
        <v>ing</v>
      </c>
      <c r="S136" s="42">
        <f>LEN(L136)</f>
        <v>6</v>
      </c>
      <c r="T136" s="3" t="str">
        <f>A136&amp;"|"&amp;B136&amp;"|"&amp;F136</f>
        <v>135|40695|20</v>
      </c>
      <c r="U136" s="3">
        <f t="shared" si="8"/>
        <v>610</v>
      </c>
      <c r="V136" s="3">
        <f t="shared" si="9"/>
        <v>120.10000000000005</v>
      </c>
      <c r="W136" s="50">
        <f t="shared" si="10"/>
        <v>8.1303845032683911E-2</v>
      </c>
      <c r="X136" s="50">
        <f t="shared" si="11"/>
        <v>0.16514794964716251</v>
      </c>
    </row>
    <row r="137" spans="1:24" x14ac:dyDescent="0.2">
      <c r="A137" s="4">
        <v>136</v>
      </c>
      <c r="B137" s="5">
        <v>40695</v>
      </c>
      <c r="C137" s="4">
        <v>1</v>
      </c>
      <c r="D137" s="4">
        <v>0</v>
      </c>
      <c r="E137" s="4">
        <v>1</v>
      </c>
      <c r="F137" s="4">
        <v>21</v>
      </c>
      <c r="G137" s="4" t="b">
        <v>0</v>
      </c>
      <c r="H137" s="4">
        <v>4</v>
      </c>
      <c r="I137" s="4">
        <v>2</v>
      </c>
      <c r="J137" s="4">
        <v>0.22</v>
      </c>
      <c r="K137" s="6" t="str">
        <f>IF(H137=0,"weekend",IF(H137=6,"weekend","weekend"))</f>
        <v>weekend</v>
      </c>
      <c r="L137" s="3" t="str">
        <f>IF(C137=1,"Spring",IF(C137=2,"Summer",IF(C137=3,"Fall","Winter")))</f>
        <v>Spring</v>
      </c>
      <c r="M137" s="3">
        <f>SUM(J137:J161)</f>
        <v>4.9800000000000013</v>
      </c>
      <c r="N137" s="3">
        <f>AVERAGE(J137:J746)</f>
        <v>0.17953684210526319</v>
      </c>
      <c r="O137" s="3">
        <f>COUNT(J137:J746)</f>
        <v>475</v>
      </c>
      <c r="P137" s="3" t="str">
        <f>TEXT(J137,"0.00")</f>
        <v>0.22</v>
      </c>
      <c r="Q137" s="3" t="str">
        <f>LEFT(L137,3)</f>
        <v>Spr</v>
      </c>
      <c r="R137" s="42" t="str">
        <f>RIGHT(L137,3)</f>
        <v>ing</v>
      </c>
      <c r="S137" s="42">
        <f>LEN(L137)</f>
        <v>6</v>
      </c>
      <c r="T137" s="3" t="str">
        <f>A137&amp;"|"&amp;B137&amp;"|"&amp;F137</f>
        <v>136|40695|21</v>
      </c>
      <c r="U137" s="3">
        <f t="shared" si="8"/>
        <v>610</v>
      </c>
      <c r="V137" s="3">
        <f t="shared" si="9"/>
        <v>120.10000000000005</v>
      </c>
      <c r="W137" s="50">
        <f t="shared" si="10"/>
        <v>8.1303845032683911E-2</v>
      </c>
      <c r="X137" s="50">
        <f t="shared" si="11"/>
        <v>0.16514794964716251</v>
      </c>
    </row>
    <row r="138" spans="1:24" x14ac:dyDescent="0.2">
      <c r="A138" s="4">
        <v>137</v>
      </c>
      <c r="B138" s="5">
        <v>40695</v>
      </c>
      <c r="C138" s="4">
        <v>1</v>
      </c>
      <c r="D138" s="4">
        <v>0</v>
      </c>
      <c r="E138" s="4">
        <v>1</v>
      </c>
      <c r="F138" s="4">
        <v>22</v>
      </c>
      <c r="G138" s="4" t="b">
        <v>0</v>
      </c>
      <c r="H138" s="4">
        <v>4</v>
      </c>
      <c r="I138" s="4">
        <v>2</v>
      </c>
      <c r="J138" s="4">
        <v>0.22</v>
      </c>
      <c r="K138" s="6" t="str">
        <f>IF(H138=0,"weekend",IF(H138=6,"weekend","weekend"))</f>
        <v>weekend</v>
      </c>
      <c r="L138" s="3" t="str">
        <f>IF(C138=1,"Spring",IF(C138=2,"Summer",IF(C138=3,"Fall","Winter")))</f>
        <v>Spring</v>
      </c>
      <c r="M138" s="3">
        <f>SUM(J138:J162)</f>
        <v>4.9400000000000004</v>
      </c>
      <c r="N138" s="3">
        <f>AVERAGE(J138:J747)</f>
        <v>0.17945147679324899</v>
      </c>
      <c r="O138" s="3">
        <f>COUNT(J138:J747)</f>
        <v>474</v>
      </c>
      <c r="P138" s="3" t="str">
        <f>TEXT(J138,"0.00")</f>
        <v>0.22</v>
      </c>
      <c r="Q138" s="3" t="str">
        <f>LEFT(L138,3)</f>
        <v>Spr</v>
      </c>
      <c r="R138" s="42" t="str">
        <f>RIGHT(L138,3)</f>
        <v>ing</v>
      </c>
      <c r="S138" s="42">
        <f>LEN(L138)</f>
        <v>6</v>
      </c>
      <c r="T138" s="3" t="str">
        <f>A138&amp;"|"&amp;B138&amp;"|"&amp;F138</f>
        <v>137|40695|22</v>
      </c>
      <c r="U138" s="3">
        <f t="shared" si="8"/>
        <v>610</v>
      </c>
      <c r="V138" s="3">
        <f t="shared" si="9"/>
        <v>120.10000000000005</v>
      </c>
      <c r="W138" s="50">
        <f t="shared" si="10"/>
        <v>8.1303845032683911E-2</v>
      </c>
      <c r="X138" s="50">
        <f t="shared" si="11"/>
        <v>0.16514794964716251</v>
      </c>
    </row>
    <row r="139" spans="1:24" x14ac:dyDescent="0.2">
      <c r="A139" s="4">
        <v>138</v>
      </c>
      <c r="B139" s="5">
        <v>40695</v>
      </c>
      <c r="C139" s="4">
        <v>1</v>
      </c>
      <c r="D139" s="4">
        <v>0</v>
      </c>
      <c r="E139" s="4">
        <v>1</v>
      </c>
      <c r="F139" s="4">
        <v>23</v>
      </c>
      <c r="G139" s="4" t="b">
        <v>0</v>
      </c>
      <c r="H139" s="4">
        <v>4</v>
      </c>
      <c r="I139" s="4">
        <v>2</v>
      </c>
      <c r="J139" s="4">
        <v>0.2</v>
      </c>
      <c r="K139" s="6" t="str">
        <f>IF(H139=0,"weekend",IF(H139=6,"weekend","weekend"))</f>
        <v>weekend</v>
      </c>
      <c r="L139" s="3" t="str">
        <f>IF(C139=1,"Spring",IF(C139=2,"Summer",IF(C139=3,"Fall","Winter")))</f>
        <v>Spring</v>
      </c>
      <c r="M139" s="3">
        <f>SUM(J139:J163)</f>
        <v>4.9000000000000004</v>
      </c>
      <c r="N139" s="3">
        <f>AVERAGE(J139:J748)</f>
        <v>0.17936575052854126</v>
      </c>
      <c r="O139" s="3">
        <f>COUNT(J139:J748)</f>
        <v>473</v>
      </c>
      <c r="P139" s="3" t="str">
        <f>TEXT(J139,"0.00")</f>
        <v>0.20</v>
      </c>
      <c r="Q139" s="3" t="str">
        <f>LEFT(L139,3)</f>
        <v>Spr</v>
      </c>
      <c r="R139" s="42" t="str">
        <f>RIGHT(L139,3)</f>
        <v>ing</v>
      </c>
      <c r="S139" s="42">
        <f>LEN(L139)</f>
        <v>6</v>
      </c>
      <c r="T139" s="3" t="str">
        <f>A139&amp;"|"&amp;B139&amp;"|"&amp;F139</f>
        <v>138|40695|23</v>
      </c>
      <c r="U139" s="3">
        <f t="shared" si="8"/>
        <v>610</v>
      </c>
      <c r="V139" s="3">
        <f t="shared" si="9"/>
        <v>120.10000000000005</v>
      </c>
      <c r="W139" s="50">
        <f t="shared" si="10"/>
        <v>8.1303845032683911E-2</v>
      </c>
      <c r="X139" s="50">
        <f t="shared" si="11"/>
        <v>0.16514794964716251</v>
      </c>
    </row>
    <row r="140" spans="1:24" x14ac:dyDescent="0.2">
      <c r="A140" s="4">
        <v>139</v>
      </c>
      <c r="B140" s="5">
        <v>40725</v>
      </c>
      <c r="C140" s="4">
        <v>1</v>
      </c>
      <c r="D140" s="4">
        <v>0</v>
      </c>
      <c r="E140" s="4">
        <v>1</v>
      </c>
      <c r="F140" s="4">
        <v>0</v>
      </c>
      <c r="G140" s="4" t="b">
        <v>0</v>
      </c>
      <c r="H140" s="4">
        <v>5</v>
      </c>
      <c r="I140" s="4">
        <v>2</v>
      </c>
      <c r="J140" s="4">
        <v>0.2</v>
      </c>
      <c r="K140" s="6" t="str">
        <f>IF(H140=0,"weekend",IF(H140=6,"weekend","weekend"))</f>
        <v>weekend</v>
      </c>
      <c r="L140" s="3" t="str">
        <f>IF(C140=1,"Spring",IF(C140=2,"Summer",IF(C140=3,"Fall","Winter")))</f>
        <v>Spring</v>
      </c>
      <c r="M140" s="3">
        <f>SUM(J140:J164)</f>
        <v>4.8800000000000008</v>
      </c>
      <c r="N140" s="3">
        <f>AVERAGE(J140:J749)</f>
        <v>0.17932203389830514</v>
      </c>
      <c r="O140" s="3">
        <f>COUNT(J140:J749)</f>
        <v>472</v>
      </c>
      <c r="P140" s="3" t="str">
        <f>TEXT(J140,"0.00")</f>
        <v>0.20</v>
      </c>
      <c r="Q140" s="3" t="str">
        <f>LEFT(L140,3)</f>
        <v>Spr</v>
      </c>
      <c r="R140" s="42" t="str">
        <f>RIGHT(L140,3)</f>
        <v>ing</v>
      </c>
      <c r="S140" s="42">
        <f>LEN(L140)</f>
        <v>6</v>
      </c>
      <c r="T140" s="3" t="str">
        <f>A140&amp;"|"&amp;B140&amp;"|"&amp;F140</f>
        <v>139|40725|0</v>
      </c>
      <c r="U140" s="3">
        <f t="shared" si="8"/>
        <v>610</v>
      </c>
      <c r="V140" s="3">
        <f t="shared" si="9"/>
        <v>120.10000000000005</v>
      </c>
      <c r="W140" s="50">
        <f t="shared" si="10"/>
        <v>8.1303845032683911E-2</v>
      </c>
      <c r="X140" s="50">
        <f t="shared" si="11"/>
        <v>0.16514794964716251</v>
      </c>
    </row>
    <row r="141" spans="1:24" x14ac:dyDescent="0.2">
      <c r="A141" s="4">
        <v>140</v>
      </c>
      <c r="B141" s="5">
        <v>40725</v>
      </c>
      <c r="C141" s="4">
        <v>1</v>
      </c>
      <c r="D141" s="4">
        <v>0</v>
      </c>
      <c r="E141" s="4">
        <v>1</v>
      </c>
      <c r="F141" s="4">
        <v>1</v>
      </c>
      <c r="G141" s="4" t="b">
        <v>0</v>
      </c>
      <c r="H141" s="4">
        <v>5</v>
      </c>
      <c r="I141" s="4">
        <v>2</v>
      </c>
      <c r="J141" s="4">
        <v>0.2</v>
      </c>
      <c r="K141" s="6" t="str">
        <f>IF(H141=0,"weekend",IF(H141=6,"weekend","weekend"))</f>
        <v>weekend</v>
      </c>
      <c r="L141" s="3" t="str">
        <f>IF(C141=1,"Spring",IF(C141=2,"Summer",IF(C141=3,"Fall","Winter")))</f>
        <v>Spring</v>
      </c>
      <c r="M141" s="3">
        <f>SUM(J141:J165)</f>
        <v>4.8600000000000003</v>
      </c>
      <c r="N141" s="3">
        <f>AVERAGE(J141:J750)</f>
        <v>0.17927813163481959</v>
      </c>
      <c r="O141" s="3">
        <f>COUNT(J141:J750)</f>
        <v>471</v>
      </c>
      <c r="P141" s="3" t="str">
        <f>TEXT(J141,"0.00")</f>
        <v>0.20</v>
      </c>
      <c r="Q141" s="3" t="str">
        <f>LEFT(L141,3)</f>
        <v>Spr</v>
      </c>
      <c r="R141" s="42" t="str">
        <f>RIGHT(L141,3)</f>
        <v>ing</v>
      </c>
      <c r="S141" s="42">
        <f>LEN(L141)</f>
        <v>6</v>
      </c>
      <c r="T141" s="3" t="str">
        <f>A141&amp;"|"&amp;B141&amp;"|"&amp;F141</f>
        <v>140|40725|1</v>
      </c>
      <c r="U141" s="3">
        <f t="shared" si="8"/>
        <v>610</v>
      </c>
      <c r="V141" s="3">
        <f t="shared" si="9"/>
        <v>120.10000000000005</v>
      </c>
      <c r="W141" s="50">
        <f t="shared" si="10"/>
        <v>8.1303845032683911E-2</v>
      </c>
      <c r="X141" s="50">
        <f t="shared" si="11"/>
        <v>0.16514794964716251</v>
      </c>
    </row>
    <row r="142" spans="1:24" x14ac:dyDescent="0.2">
      <c r="A142" s="4">
        <v>141</v>
      </c>
      <c r="B142" s="5">
        <v>40725</v>
      </c>
      <c r="C142" s="4">
        <v>1</v>
      </c>
      <c r="D142" s="4">
        <v>0</v>
      </c>
      <c r="E142" s="4">
        <v>1</v>
      </c>
      <c r="F142" s="4">
        <v>2</v>
      </c>
      <c r="G142" s="4" t="b">
        <v>0</v>
      </c>
      <c r="H142" s="4">
        <v>5</v>
      </c>
      <c r="I142" s="4">
        <v>2</v>
      </c>
      <c r="J142" s="4">
        <v>0.2</v>
      </c>
      <c r="K142" s="6" t="str">
        <f>IF(H142=0,"weekend",IF(H142=6,"weekend","weekend"))</f>
        <v>weekend</v>
      </c>
      <c r="L142" s="3" t="str">
        <f>IF(C142=1,"Spring",IF(C142=2,"Summer",IF(C142=3,"Fall","Winter")))</f>
        <v>Spring</v>
      </c>
      <c r="M142" s="3">
        <f>SUM(J142:J166)</f>
        <v>4.8400000000000007</v>
      </c>
      <c r="N142" s="3">
        <f>AVERAGE(J142:J751)</f>
        <v>0.17923404255319153</v>
      </c>
      <c r="O142" s="3">
        <f>COUNT(J142:J751)</f>
        <v>470</v>
      </c>
      <c r="P142" s="3" t="str">
        <f>TEXT(J142,"0.00")</f>
        <v>0.20</v>
      </c>
      <c r="Q142" s="3" t="str">
        <f>LEFT(L142,3)</f>
        <v>Spr</v>
      </c>
      <c r="R142" s="42" t="str">
        <f>RIGHT(L142,3)</f>
        <v>ing</v>
      </c>
      <c r="S142" s="42">
        <f>LEN(L142)</f>
        <v>6</v>
      </c>
      <c r="T142" s="3" t="str">
        <f>A142&amp;"|"&amp;B142&amp;"|"&amp;F142</f>
        <v>141|40725|2</v>
      </c>
      <c r="U142" s="3">
        <f t="shared" si="8"/>
        <v>610</v>
      </c>
      <c r="V142" s="3">
        <f t="shared" si="9"/>
        <v>120.10000000000005</v>
      </c>
      <c r="W142" s="50">
        <f t="shared" si="10"/>
        <v>8.1303845032683911E-2</v>
      </c>
      <c r="X142" s="50">
        <f t="shared" si="11"/>
        <v>0.16514794964716251</v>
      </c>
    </row>
    <row r="143" spans="1:24" x14ac:dyDescent="0.2">
      <c r="A143" s="4">
        <v>142</v>
      </c>
      <c r="B143" s="5">
        <v>40725</v>
      </c>
      <c r="C143" s="4">
        <v>1</v>
      </c>
      <c r="D143" s="4">
        <v>0</v>
      </c>
      <c r="E143" s="4">
        <v>1</v>
      </c>
      <c r="F143" s="4">
        <v>4</v>
      </c>
      <c r="G143" s="4" t="b">
        <v>0</v>
      </c>
      <c r="H143" s="4">
        <v>5</v>
      </c>
      <c r="I143" s="4">
        <v>2</v>
      </c>
      <c r="J143" s="4">
        <v>0.2</v>
      </c>
      <c r="K143" s="6" t="str">
        <f>IF(H143=0,"weekend",IF(H143=6,"weekend","weekend"))</f>
        <v>weekend</v>
      </c>
      <c r="L143" s="3" t="str">
        <f>IF(C143=1,"Spring",IF(C143=2,"Summer",IF(C143=3,"Fall","Winter")))</f>
        <v>Spring</v>
      </c>
      <c r="M143" s="3">
        <f>SUM(J143:J167)</f>
        <v>4.82</v>
      </c>
      <c r="N143" s="3">
        <f>AVERAGE(J143:J752)</f>
        <v>0.17918976545842222</v>
      </c>
      <c r="O143" s="3">
        <f>COUNT(J143:J752)</f>
        <v>469</v>
      </c>
      <c r="P143" s="3" t="str">
        <f>TEXT(J143,"0.00")</f>
        <v>0.20</v>
      </c>
      <c r="Q143" s="3" t="str">
        <f>LEFT(L143,3)</f>
        <v>Spr</v>
      </c>
      <c r="R143" s="42" t="str">
        <f>RIGHT(L143,3)</f>
        <v>ing</v>
      </c>
      <c r="S143" s="42">
        <f>LEN(L143)</f>
        <v>6</v>
      </c>
      <c r="T143" s="3" t="str">
        <f>A143&amp;"|"&amp;B143&amp;"|"&amp;F143</f>
        <v>142|40725|4</v>
      </c>
      <c r="U143" s="3">
        <f t="shared" si="8"/>
        <v>610</v>
      </c>
      <c r="V143" s="3">
        <f t="shared" si="9"/>
        <v>120.10000000000005</v>
      </c>
      <c r="W143" s="50">
        <f t="shared" si="10"/>
        <v>8.1303845032683911E-2</v>
      </c>
      <c r="X143" s="50">
        <f t="shared" si="11"/>
        <v>0.16514794964716251</v>
      </c>
    </row>
    <row r="144" spans="1:24" x14ac:dyDescent="0.2">
      <c r="A144" s="4">
        <v>143</v>
      </c>
      <c r="B144" s="5">
        <v>40725</v>
      </c>
      <c r="C144" s="4">
        <v>1</v>
      </c>
      <c r="D144" s="4">
        <v>0</v>
      </c>
      <c r="E144" s="4">
        <v>1</v>
      </c>
      <c r="F144" s="4">
        <v>5</v>
      </c>
      <c r="G144" s="4" t="b">
        <v>0</v>
      </c>
      <c r="H144" s="4">
        <v>5</v>
      </c>
      <c r="I144" s="4">
        <v>3</v>
      </c>
      <c r="J144" s="4">
        <v>0.22</v>
      </c>
      <c r="K144" s="6" t="str">
        <f>IF(H144=0,"weekend",IF(H144=6,"weekend","weekend"))</f>
        <v>weekend</v>
      </c>
      <c r="L144" s="3" t="str">
        <f>IF(C144=1,"Spring",IF(C144=2,"Summer",IF(C144=3,"Fall","Winter")))</f>
        <v>Spring</v>
      </c>
      <c r="M144" s="3">
        <f>SUM(J144:J168)</f>
        <v>4.7800000000000011</v>
      </c>
      <c r="N144" s="3">
        <f>AVERAGE(J144:J753)</f>
        <v>0.17914529914529917</v>
      </c>
      <c r="O144" s="3">
        <f>COUNT(J144:J753)</f>
        <v>468</v>
      </c>
      <c r="P144" s="3" t="str">
        <f>TEXT(J144,"0.00")</f>
        <v>0.22</v>
      </c>
      <c r="Q144" s="3" t="str">
        <f>LEFT(L144,3)</f>
        <v>Spr</v>
      </c>
      <c r="R144" s="42" t="str">
        <f>RIGHT(L144,3)</f>
        <v>ing</v>
      </c>
      <c r="S144" s="42">
        <f>LEN(L144)</f>
        <v>6</v>
      </c>
      <c r="T144" s="3" t="str">
        <f>A144&amp;"|"&amp;B144&amp;"|"&amp;F144</f>
        <v>143|40725|5</v>
      </c>
      <c r="U144" s="3">
        <f t="shared" si="8"/>
        <v>610</v>
      </c>
      <c r="V144" s="3">
        <f t="shared" si="9"/>
        <v>120.10000000000005</v>
      </c>
      <c r="W144" s="50">
        <f t="shared" si="10"/>
        <v>8.1303845032683911E-2</v>
      </c>
      <c r="X144" s="50">
        <f t="shared" si="11"/>
        <v>0.16514794964716251</v>
      </c>
    </row>
    <row r="145" spans="1:24" x14ac:dyDescent="0.2">
      <c r="A145" s="4">
        <v>144</v>
      </c>
      <c r="B145" s="5">
        <v>40725</v>
      </c>
      <c r="C145" s="4">
        <v>1</v>
      </c>
      <c r="D145" s="4">
        <v>0</v>
      </c>
      <c r="E145" s="4">
        <v>1</v>
      </c>
      <c r="F145" s="4">
        <v>6</v>
      </c>
      <c r="G145" s="4" t="b">
        <v>0</v>
      </c>
      <c r="H145" s="4">
        <v>5</v>
      </c>
      <c r="I145" s="4">
        <v>2</v>
      </c>
      <c r="J145" s="4">
        <v>0.2</v>
      </c>
      <c r="K145" s="6" t="str">
        <f>IF(H145=0,"weekend",IF(H145=6,"weekend","weekend"))</f>
        <v>weekend</v>
      </c>
      <c r="L145" s="3" t="str">
        <f>IF(C145=1,"Spring",IF(C145=2,"Summer",IF(C145=3,"Fall","Winter")))</f>
        <v>Spring</v>
      </c>
      <c r="M145" s="3">
        <f>SUM(J145:J169)</f>
        <v>4.7200000000000015</v>
      </c>
      <c r="N145" s="3">
        <f>AVERAGE(J145:J754)</f>
        <v>0.17905781584582445</v>
      </c>
      <c r="O145" s="3">
        <f>COUNT(J145:J754)</f>
        <v>467</v>
      </c>
      <c r="P145" s="3" t="str">
        <f>TEXT(J145,"0.00")</f>
        <v>0.20</v>
      </c>
      <c r="Q145" s="3" t="str">
        <f>LEFT(L145,3)</f>
        <v>Spr</v>
      </c>
      <c r="R145" s="42" t="str">
        <f>RIGHT(L145,3)</f>
        <v>ing</v>
      </c>
      <c r="S145" s="42">
        <f>LEN(L145)</f>
        <v>6</v>
      </c>
      <c r="T145" s="3" t="str">
        <f>A145&amp;"|"&amp;B145&amp;"|"&amp;F145</f>
        <v>144|40725|6</v>
      </c>
      <c r="U145" s="3">
        <f t="shared" si="8"/>
        <v>610</v>
      </c>
      <c r="V145" s="3">
        <f t="shared" si="9"/>
        <v>120.10000000000005</v>
      </c>
      <c r="W145" s="50">
        <f t="shared" si="10"/>
        <v>8.1303845032683911E-2</v>
      </c>
      <c r="X145" s="50">
        <f t="shared" si="11"/>
        <v>0.16514794964716251</v>
      </c>
    </row>
    <row r="146" spans="1:24" x14ac:dyDescent="0.2">
      <c r="A146" s="4">
        <v>145</v>
      </c>
      <c r="B146" s="5">
        <v>40725</v>
      </c>
      <c r="C146" s="4">
        <v>1</v>
      </c>
      <c r="D146" s="4">
        <v>0</v>
      </c>
      <c r="E146" s="4">
        <v>1</v>
      </c>
      <c r="F146" s="4">
        <v>7</v>
      </c>
      <c r="G146" s="4" t="b">
        <v>0</v>
      </c>
      <c r="H146" s="4">
        <v>5</v>
      </c>
      <c r="I146" s="4">
        <v>1</v>
      </c>
      <c r="J146" s="4">
        <v>0.2</v>
      </c>
      <c r="K146" s="6" t="str">
        <f>IF(H146=0,"weekend",IF(H146=6,"weekend","weekend"))</f>
        <v>weekend</v>
      </c>
      <c r="L146" s="3" t="str">
        <f>IF(C146=1,"Spring",IF(C146=2,"Summer",IF(C146=3,"Fall","Winter")))</f>
        <v>Spring</v>
      </c>
      <c r="M146" s="3">
        <f>SUM(J146:J170)</f>
        <v>4.6800000000000015</v>
      </c>
      <c r="N146" s="3">
        <f>AVERAGE(J146:J755)</f>
        <v>0.17901287553648071</v>
      </c>
      <c r="O146" s="3">
        <f>COUNT(J146:J755)</f>
        <v>466</v>
      </c>
      <c r="P146" s="3" t="str">
        <f>TEXT(J146,"0.00")</f>
        <v>0.20</v>
      </c>
      <c r="Q146" s="3" t="str">
        <f>LEFT(L146,3)</f>
        <v>Spr</v>
      </c>
      <c r="R146" s="42" t="str">
        <f>RIGHT(L146,3)</f>
        <v>ing</v>
      </c>
      <c r="S146" s="42">
        <f>LEN(L146)</f>
        <v>6</v>
      </c>
      <c r="T146" s="3" t="str">
        <f>A146&amp;"|"&amp;B146&amp;"|"&amp;F146</f>
        <v>145|40725|7</v>
      </c>
      <c r="U146" s="3">
        <f t="shared" si="8"/>
        <v>610</v>
      </c>
      <c r="V146" s="3">
        <f t="shared" si="9"/>
        <v>120.10000000000005</v>
      </c>
      <c r="W146" s="50">
        <f t="shared" si="10"/>
        <v>8.1303845032683911E-2</v>
      </c>
      <c r="X146" s="50">
        <f t="shared" si="11"/>
        <v>0.16514794964716251</v>
      </c>
    </row>
    <row r="147" spans="1:24" x14ac:dyDescent="0.2">
      <c r="A147" s="4">
        <v>146</v>
      </c>
      <c r="B147" s="5">
        <v>40725</v>
      </c>
      <c r="C147" s="4">
        <v>1</v>
      </c>
      <c r="D147" s="4">
        <v>0</v>
      </c>
      <c r="E147" s="4">
        <v>1</v>
      </c>
      <c r="F147" s="4">
        <v>8</v>
      </c>
      <c r="G147" s="4" t="b">
        <v>0</v>
      </c>
      <c r="H147" s="4">
        <v>5</v>
      </c>
      <c r="I147" s="4">
        <v>1</v>
      </c>
      <c r="J147" s="4">
        <v>0.2</v>
      </c>
      <c r="K147" s="6" t="str">
        <f>IF(H147=0,"weekend",IF(H147=6,"weekend","weekend"))</f>
        <v>weekend</v>
      </c>
      <c r="L147" s="3" t="str">
        <f>IF(C147=1,"Spring",IF(C147=2,"Summer",IF(C147=3,"Fall","Winter")))</f>
        <v>Spring</v>
      </c>
      <c r="M147" s="3">
        <f>SUM(J147:J171)</f>
        <v>4.6400000000000023</v>
      </c>
      <c r="N147" s="3">
        <f>AVERAGE(J147:J756)</f>
        <v>0.1789677419354839</v>
      </c>
      <c r="O147" s="3">
        <f>COUNT(J147:J756)</f>
        <v>465</v>
      </c>
      <c r="P147" s="3" t="str">
        <f>TEXT(J147,"0.00")</f>
        <v>0.20</v>
      </c>
      <c r="Q147" s="3" t="str">
        <f>LEFT(L147,3)</f>
        <v>Spr</v>
      </c>
      <c r="R147" s="42" t="str">
        <f>RIGHT(L147,3)</f>
        <v>ing</v>
      </c>
      <c r="S147" s="42">
        <f>LEN(L147)</f>
        <v>6</v>
      </c>
      <c r="T147" s="3" t="str">
        <f>A147&amp;"|"&amp;B147&amp;"|"&amp;F147</f>
        <v>146|40725|8</v>
      </c>
      <c r="U147" s="3">
        <f t="shared" si="8"/>
        <v>610</v>
      </c>
      <c r="V147" s="3">
        <f t="shared" si="9"/>
        <v>120.10000000000005</v>
      </c>
      <c r="W147" s="50">
        <f t="shared" si="10"/>
        <v>8.1303845032683911E-2</v>
      </c>
      <c r="X147" s="50">
        <f t="shared" si="11"/>
        <v>0.16514794964716251</v>
      </c>
    </row>
    <row r="148" spans="1:24" x14ac:dyDescent="0.2">
      <c r="A148" s="4">
        <v>147</v>
      </c>
      <c r="B148" s="5">
        <v>40725</v>
      </c>
      <c r="C148" s="4">
        <v>1</v>
      </c>
      <c r="D148" s="4">
        <v>0</v>
      </c>
      <c r="E148" s="4">
        <v>1</v>
      </c>
      <c r="F148" s="4">
        <v>9</v>
      </c>
      <c r="G148" s="4" t="b">
        <v>0</v>
      </c>
      <c r="H148" s="4">
        <v>5</v>
      </c>
      <c r="I148" s="4">
        <v>1</v>
      </c>
      <c r="J148" s="4">
        <v>0.2</v>
      </c>
      <c r="K148" s="6" t="str">
        <f>IF(H148=0,"weekend",IF(H148=6,"weekend","weekend"))</f>
        <v>weekend</v>
      </c>
      <c r="L148" s="3" t="str">
        <f>IF(C148=1,"Spring",IF(C148=2,"Summer",IF(C148=3,"Fall","Winter")))</f>
        <v>Spring</v>
      </c>
      <c r="M148" s="3">
        <f>SUM(J148:J172)</f>
        <v>4.6000000000000023</v>
      </c>
      <c r="N148" s="3">
        <f>AVERAGE(J148:J757)</f>
        <v>0.17892241379310347</v>
      </c>
      <c r="O148" s="3">
        <f>COUNT(J148:J757)</f>
        <v>464</v>
      </c>
      <c r="P148" s="3" t="str">
        <f>TEXT(J148,"0.00")</f>
        <v>0.20</v>
      </c>
      <c r="Q148" s="3" t="str">
        <f>LEFT(L148,3)</f>
        <v>Spr</v>
      </c>
      <c r="R148" s="42" t="str">
        <f>RIGHT(L148,3)</f>
        <v>ing</v>
      </c>
      <c r="S148" s="42">
        <f>LEN(L148)</f>
        <v>6</v>
      </c>
      <c r="T148" s="3" t="str">
        <f>A148&amp;"|"&amp;B148&amp;"|"&amp;F148</f>
        <v>147|40725|9</v>
      </c>
      <c r="U148" s="3">
        <f t="shared" si="8"/>
        <v>610</v>
      </c>
      <c r="V148" s="3">
        <f t="shared" si="9"/>
        <v>120.10000000000005</v>
      </c>
      <c r="W148" s="50">
        <f t="shared" si="10"/>
        <v>8.1303845032683911E-2</v>
      </c>
      <c r="X148" s="50">
        <f t="shared" si="11"/>
        <v>0.16514794964716251</v>
      </c>
    </row>
    <row r="149" spans="1:24" x14ac:dyDescent="0.2">
      <c r="A149" s="4">
        <v>148</v>
      </c>
      <c r="B149" s="5">
        <v>40725</v>
      </c>
      <c r="C149" s="4">
        <v>1</v>
      </c>
      <c r="D149" s="4">
        <v>0</v>
      </c>
      <c r="E149" s="4">
        <v>1</v>
      </c>
      <c r="F149" s="4">
        <v>10</v>
      </c>
      <c r="G149" s="4" t="b">
        <v>0</v>
      </c>
      <c r="H149" s="4">
        <v>5</v>
      </c>
      <c r="I149" s="4">
        <v>1</v>
      </c>
      <c r="J149" s="4">
        <v>0.22</v>
      </c>
      <c r="K149" s="6" t="str">
        <f>IF(H149=0,"weekend",IF(H149=6,"weekend","weekend"))</f>
        <v>weekend</v>
      </c>
      <c r="L149" s="3" t="str">
        <f>IF(C149=1,"Spring",IF(C149=2,"Summer",IF(C149=3,"Fall","Winter")))</f>
        <v>Spring</v>
      </c>
      <c r="M149" s="3">
        <f>SUM(J149:J173)</f>
        <v>4.580000000000001</v>
      </c>
      <c r="N149" s="3">
        <f>AVERAGE(J149:J758)</f>
        <v>0.17887688984881212</v>
      </c>
      <c r="O149" s="3">
        <f>COUNT(J149:J758)</f>
        <v>463</v>
      </c>
      <c r="P149" s="3" t="str">
        <f>TEXT(J149,"0.00")</f>
        <v>0.22</v>
      </c>
      <c r="Q149" s="3" t="str">
        <f>LEFT(L149,3)</f>
        <v>Spr</v>
      </c>
      <c r="R149" s="42" t="str">
        <f>RIGHT(L149,3)</f>
        <v>ing</v>
      </c>
      <c r="S149" s="42">
        <f>LEN(L149)</f>
        <v>6</v>
      </c>
      <c r="T149" s="3" t="str">
        <f>A149&amp;"|"&amp;B149&amp;"|"&amp;F149</f>
        <v>148|40725|10</v>
      </c>
      <c r="U149" s="3">
        <f t="shared" si="8"/>
        <v>610</v>
      </c>
      <c r="V149" s="3">
        <f t="shared" si="9"/>
        <v>120.10000000000005</v>
      </c>
      <c r="W149" s="50">
        <f t="shared" si="10"/>
        <v>8.1303845032683911E-2</v>
      </c>
      <c r="X149" s="50">
        <f t="shared" si="11"/>
        <v>0.16514794964716251</v>
      </c>
    </row>
    <row r="150" spans="1:24" x14ac:dyDescent="0.2">
      <c r="A150" s="4">
        <v>149</v>
      </c>
      <c r="B150" s="5">
        <v>40725</v>
      </c>
      <c r="C150" s="4">
        <v>1</v>
      </c>
      <c r="D150" s="4">
        <v>0</v>
      </c>
      <c r="E150" s="4">
        <v>1</v>
      </c>
      <c r="F150" s="4">
        <v>11</v>
      </c>
      <c r="G150" s="4" t="b">
        <v>0</v>
      </c>
      <c r="H150" s="4">
        <v>5</v>
      </c>
      <c r="I150" s="4">
        <v>2</v>
      </c>
      <c r="J150" s="4">
        <v>0.2</v>
      </c>
      <c r="K150" s="6" t="str">
        <f>IF(H150=0,"weekend",IF(H150=6,"weekend","weekend"))</f>
        <v>weekend</v>
      </c>
      <c r="L150" s="3" t="str">
        <f>IF(C150=1,"Spring",IF(C150=2,"Summer",IF(C150=3,"Fall","Winter")))</f>
        <v>Spring</v>
      </c>
      <c r="M150" s="3">
        <f>SUM(J150:J174)</f>
        <v>4.5600000000000014</v>
      </c>
      <c r="N150" s="3">
        <f>AVERAGE(J150:J759)</f>
        <v>0.17878787878787877</v>
      </c>
      <c r="O150" s="3">
        <f>COUNT(J150:J759)</f>
        <v>462</v>
      </c>
      <c r="P150" s="3" t="str">
        <f>TEXT(J150,"0.00")</f>
        <v>0.20</v>
      </c>
      <c r="Q150" s="3" t="str">
        <f>LEFT(L150,3)</f>
        <v>Spr</v>
      </c>
      <c r="R150" s="42" t="str">
        <f>RIGHT(L150,3)</f>
        <v>ing</v>
      </c>
      <c r="S150" s="42">
        <f>LEN(L150)</f>
        <v>6</v>
      </c>
      <c r="T150" s="3" t="str">
        <f>A150&amp;"|"&amp;B150&amp;"|"&amp;F150</f>
        <v>149|40725|11</v>
      </c>
      <c r="U150" s="3">
        <f t="shared" si="8"/>
        <v>610</v>
      </c>
      <c r="V150" s="3">
        <f t="shared" si="9"/>
        <v>120.10000000000005</v>
      </c>
      <c r="W150" s="50">
        <f t="shared" si="10"/>
        <v>8.1303845032683911E-2</v>
      </c>
      <c r="X150" s="50">
        <f t="shared" si="11"/>
        <v>0.16514794964716251</v>
      </c>
    </row>
    <row r="151" spans="1:24" x14ac:dyDescent="0.2">
      <c r="A151" s="4">
        <v>150</v>
      </c>
      <c r="B151" s="5">
        <v>40725</v>
      </c>
      <c r="C151" s="4">
        <v>1</v>
      </c>
      <c r="D151" s="4">
        <v>0</v>
      </c>
      <c r="E151" s="4">
        <v>1</v>
      </c>
      <c r="F151" s="4">
        <v>12</v>
      </c>
      <c r="G151" s="4" t="b">
        <v>0</v>
      </c>
      <c r="H151" s="4">
        <v>5</v>
      </c>
      <c r="I151" s="4">
        <v>2</v>
      </c>
      <c r="J151" s="4">
        <v>0.2</v>
      </c>
      <c r="K151" s="6" t="str">
        <f>IF(H151=0,"weekend",IF(H151=6,"weekend","weekend"))</f>
        <v>weekend</v>
      </c>
      <c r="L151" s="3" t="str">
        <f>IF(C151=1,"Spring",IF(C151=2,"Summer",IF(C151=3,"Fall","Winter")))</f>
        <v>Spring</v>
      </c>
      <c r="M151" s="3">
        <f>SUM(J151:J175)</f>
        <v>4.5600000000000014</v>
      </c>
      <c r="N151" s="3">
        <f>AVERAGE(J151:J760)</f>
        <v>0.17874186550976137</v>
      </c>
      <c r="O151" s="3">
        <f>COUNT(J151:J760)</f>
        <v>461</v>
      </c>
      <c r="P151" s="3" t="str">
        <f>TEXT(J151,"0.00")</f>
        <v>0.20</v>
      </c>
      <c r="Q151" s="3" t="str">
        <f>LEFT(L151,3)</f>
        <v>Spr</v>
      </c>
      <c r="R151" s="42" t="str">
        <f>RIGHT(L151,3)</f>
        <v>ing</v>
      </c>
      <c r="S151" s="42">
        <f>LEN(L151)</f>
        <v>6</v>
      </c>
      <c r="T151" s="3" t="str">
        <f>A151&amp;"|"&amp;B151&amp;"|"&amp;F151</f>
        <v>150|40725|12</v>
      </c>
      <c r="U151" s="3">
        <f t="shared" si="8"/>
        <v>610</v>
      </c>
      <c r="V151" s="3">
        <f t="shared" si="9"/>
        <v>120.10000000000005</v>
      </c>
      <c r="W151" s="50">
        <f t="shared" si="10"/>
        <v>8.1303845032683911E-2</v>
      </c>
      <c r="X151" s="50">
        <f t="shared" si="11"/>
        <v>0.16514794964716251</v>
      </c>
    </row>
    <row r="152" spans="1:24" x14ac:dyDescent="0.2">
      <c r="A152" s="4">
        <v>151</v>
      </c>
      <c r="B152" s="5">
        <v>40725</v>
      </c>
      <c r="C152" s="4">
        <v>1</v>
      </c>
      <c r="D152" s="4">
        <v>0</v>
      </c>
      <c r="E152" s="4">
        <v>1</v>
      </c>
      <c r="F152" s="4">
        <v>13</v>
      </c>
      <c r="G152" s="4" t="b">
        <v>0</v>
      </c>
      <c r="H152" s="4">
        <v>5</v>
      </c>
      <c r="I152" s="4">
        <v>2</v>
      </c>
      <c r="J152" s="4">
        <v>0.2</v>
      </c>
      <c r="K152" s="6" t="str">
        <f>IF(H152=0,"weekend",IF(H152=6,"weekend","weekend"))</f>
        <v>weekend</v>
      </c>
      <c r="L152" s="3" t="str">
        <f>IF(C152=1,"Spring",IF(C152=2,"Summer",IF(C152=3,"Fall","Winter")))</f>
        <v>Spring</v>
      </c>
      <c r="M152" s="3">
        <f>SUM(J152:J176)</f>
        <v>4.5600000000000014</v>
      </c>
      <c r="N152" s="3">
        <f>AVERAGE(J152:J761)</f>
        <v>0.17869565217391306</v>
      </c>
      <c r="O152" s="3">
        <f>COUNT(J152:J761)</f>
        <v>460</v>
      </c>
      <c r="P152" s="3" t="str">
        <f>TEXT(J152,"0.00")</f>
        <v>0.20</v>
      </c>
      <c r="Q152" s="3" t="str">
        <f>LEFT(L152,3)</f>
        <v>Spr</v>
      </c>
      <c r="R152" s="42" t="str">
        <f>RIGHT(L152,3)</f>
        <v>ing</v>
      </c>
      <c r="S152" s="42">
        <f>LEN(L152)</f>
        <v>6</v>
      </c>
      <c r="T152" s="3" t="str">
        <f>A152&amp;"|"&amp;B152&amp;"|"&amp;F152</f>
        <v>151|40725|13</v>
      </c>
      <c r="U152" s="3">
        <f t="shared" si="8"/>
        <v>610</v>
      </c>
      <c r="V152" s="3">
        <f t="shared" si="9"/>
        <v>120.10000000000005</v>
      </c>
      <c r="W152" s="50">
        <f t="shared" si="10"/>
        <v>8.1303845032683911E-2</v>
      </c>
      <c r="X152" s="50">
        <f t="shared" si="11"/>
        <v>0.16514794964716251</v>
      </c>
    </row>
    <row r="153" spans="1:24" x14ac:dyDescent="0.2">
      <c r="A153" s="4">
        <v>152</v>
      </c>
      <c r="B153" s="5">
        <v>40725</v>
      </c>
      <c r="C153" s="4">
        <v>1</v>
      </c>
      <c r="D153" s="4">
        <v>0</v>
      </c>
      <c r="E153" s="4">
        <v>1</v>
      </c>
      <c r="F153" s="4">
        <v>14</v>
      </c>
      <c r="G153" s="4" t="b">
        <v>0</v>
      </c>
      <c r="H153" s="4">
        <v>5</v>
      </c>
      <c r="I153" s="4">
        <v>2</v>
      </c>
      <c r="J153" s="4">
        <v>0.2</v>
      </c>
      <c r="K153" s="6" t="str">
        <f>IF(H153=0,"weekend",IF(H153=6,"weekend","weekend"))</f>
        <v>weekend</v>
      </c>
      <c r="L153" s="3" t="str">
        <f>IF(C153=1,"Spring",IF(C153=2,"Summer",IF(C153=3,"Fall","Winter")))</f>
        <v>Spring</v>
      </c>
      <c r="M153" s="3">
        <f>SUM(J153:J177)</f>
        <v>4.5600000000000014</v>
      </c>
      <c r="N153" s="3">
        <f>AVERAGE(J153:J762)</f>
        <v>0.1786492374727669</v>
      </c>
      <c r="O153" s="3">
        <f>COUNT(J153:J762)</f>
        <v>459</v>
      </c>
      <c r="P153" s="3" t="str">
        <f>TEXT(J153,"0.00")</f>
        <v>0.20</v>
      </c>
      <c r="Q153" s="3" t="str">
        <f>LEFT(L153,3)</f>
        <v>Spr</v>
      </c>
      <c r="R153" s="42" t="str">
        <f>RIGHT(L153,3)</f>
        <v>ing</v>
      </c>
      <c r="S153" s="42">
        <f>LEN(L153)</f>
        <v>6</v>
      </c>
      <c r="T153" s="3" t="str">
        <f>A153&amp;"|"&amp;B153&amp;"|"&amp;F153</f>
        <v>152|40725|14</v>
      </c>
      <c r="U153" s="3">
        <f t="shared" si="8"/>
        <v>610</v>
      </c>
      <c r="V153" s="3">
        <f t="shared" si="9"/>
        <v>120.10000000000005</v>
      </c>
      <c r="W153" s="50">
        <f t="shared" si="10"/>
        <v>8.1303845032683911E-2</v>
      </c>
      <c r="X153" s="50">
        <f t="shared" si="11"/>
        <v>0.16514794964716251</v>
      </c>
    </row>
    <row r="154" spans="1:24" x14ac:dyDescent="0.2">
      <c r="A154" s="4">
        <v>153</v>
      </c>
      <c r="B154" s="5">
        <v>40725</v>
      </c>
      <c r="C154" s="4">
        <v>1</v>
      </c>
      <c r="D154" s="4">
        <v>0</v>
      </c>
      <c r="E154" s="4">
        <v>1</v>
      </c>
      <c r="F154" s="4">
        <v>15</v>
      </c>
      <c r="G154" s="4" t="b">
        <v>0</v>
      </c>
      <c r="H154" s="4">
        <v>5</v>
      </c>
      <c r="I154" s="4">
        <v>2</v>
      </c>
      <c r="J154" s="4">
        <v>0.2</v>
      </c>
      <c r="K154" s="6" t="str">
        <f>IF(H154=0,"weekend",IF(H154=6,"weekend","weekend"))</f>
        <v>weekend</v>
      </c>
      <c r="L154" s="3" t="str">
        <f>IF(C154=1,"Spring",IF(C154=2,"Summer",IF(C154=3,"Fall","Winter")))</f>
        <v>Spring</v>
      </c>
      <c r="M154" s="3">
        <f>SUM(J154:J178)</f>
        <v>4.5600000000000023</v>
      </c>
      <c r="N154" s="3">
        <f>AVERAGE(J154:J763)</f>
        <v>0.17860262008733621</v>
      </c>
      <c r="O154" s="3">
        <f>COUNT(J154:J763)</f>
        <v>458</v>
      </c>
      <c r="P154" s="3" t="str">
        <f>TEXT(J154,"0.00")</f>
        <v>0.20</v>
      </c>
      <c r="Q154" s="3" t="str">
        <f>LEFT(L154,3)</f>
        <v>Spr</v>
      </c>
      <c r="R154" s="42" t="str">
        <f>RIGHT(L154,3)</f>
        <v>ing</v>
      </c>
      <c r="S154" s="42">
        <f>LEN(L154)</f>
        <v>6</v>
      </c>
      <c r="T154" s="3" t="str">
        <f>A154&amp;"|"&amp;B154&amp;"|"&amp;F154</f>
        <v>153|40725|15</v>
      </c>
      <c r="U154" s="3">
        <f t="shared" si="8"/>
        <v>610</v>
      </c>
      <c r="V154" s="3">
        <f t="shared" si="9"/>
        <v>120.10000000000005</v>
      </c>
      <c r="W154" s="50">
        <f t="shared" si="10"/>
        <v>8.1303845032683911E-2</v>
      </c>
      <c r="X154" s="50">
        <f t="shared" si="11"/>
        <v>0.16514794964716251</v>
      </c>
    </row>
    <row r="155" spans="1:24" x14ac:dyDescent="0.2">
      <c r="A155" s="4">
        <v>154</v>
      </c>
      <c r="B155" s="5">
        <v>40725</v>
      </c>
      <c r="C155" s="4">
        <v>1</v>
      </c>
      <c r="D155" s="4">
        <v>0</v>
      </c>
      <c r="E155" s="4">
        <v>1</v>
      </c>
      <c r="F155" s="4">
        <v>16</v>
      </c>
      <c r="G155" s="4" t="b">
        <v>0</v>
      </c>
      <c r="H155" s="4">
        <v>5</v>
      </c>
      <c r="I155" s="4">
        <v>2</v>
      </c>
      <c r="J155" s="4">
        <v>0.2</v>
      </c>
      <c r="K155" s="6" t="str">
        <f>IF(H155=0,"weekend",IF(H155=6,"weekend","weekend"))</f>
        <v>weekend</v>
      </c>
      <c r="L155" s="3" t="str">
        <f>IF(C155=1,"Spring",IF(C155=2,"Summer",IF(C155=3,"Fall","Winter")))</f>
        <v>Spring</v>
      </c>
      <c r="M155" s="3">
        <f>SUM(J155:J179)</f>
        <v>4.5400000000000018</v>
      </c>
      <c r="N155" s="3">
        <f>AVERAGE(J155:J764)</f>
        <v>0.17855579868708968</v>
      </c>
      <c r="O155" s="3">
        <f>COUNT(J155:J764)</f>
        <v>457</v>
      </c>
      <c r="P155" s="3" t="str">
        <f>TEXT(J155,"0.00")</f>
        <v>0.20</v>
      </c>
      <c r="Q155" s="3" t="str">
        <f>LEFT(L155,3)</f>
        <v>Spr</v>
      </c>
      <c r="R155" s="42" t="str">
        <f>RIGHT(L155,3)</f>
        <v>ing</v>
      </c>
      <c r="S155" s="42">
        <f>LEN(L155)</f>
        <v>6</v>
      </c>
      <c r="T155" s="3" t="str">
        <f>A155&amp;"|"&amp;B155&amp;"|"&amp;F155</f>
        <v>154|40725|16</v>
      </c>
      <c r="U155" s="3">
        <f t="shared" si="8"/>
        <v>610</v>
      </c>
      <c r="V155" s="3">
        <f t="shared" si="9"/>
        <v>120.10000000000005</v>
      </c>
      <c r="W155" s="50">
        <f t="shared" si="10"/>
        <v>8.1303845032683911E-2</v>
      </c>
      <c r="X155" s="50">
        <f t="shared" si="11"/>
        <v>0.16514794964716251</v>
      </c>
    </row>
    <row r="156" spans="1:24" x14ac:dyDescent="0.2">
      <c r="A156" s="4">
        <v>155</v>
      </c>
      <c r="B156" s="5">
        <v>40725</v>
      </c>
      <c r="C156" s="4">
        <v>1</v>
      </c>
      <c r="D156" s="4">
        <v>0</v>
      </c>
      <c r="E156" s="4">
        <v>1</v>
      </c>
      <c r="F156" s="4">
        <v>17</v>
      </c>
      <c r="G156" s="4" t="b">
        <v>0</v>
      </c>
      <c r="H156" s="4">
        <v>5</v>
      </c>
      <c r="I156" s="4">
        <v>2</v>
      </c>
      <c r="J156" s="4">
        <v>0.2</v>
      </c>
      <c r="K156" s="6" t="str">
        <f>IF(H156=0,"weekend",IF(H156=6,"weekend","weekend"))</f>
        <v>weekend</v>
      </c>
      <c r="L156" s="3" t="str">
        <f>IF(C156=1,"Spring",IF(C156=2,"Summer",IF(C156=3,"Fall","Winter")))</f>
        <v>Spring</v>
      </c>
      <c r="M156" s="3">
        <f>SUM(J156:J180)</f>
        <v>4.5000000000000009</v>
      </c>
      <c r="N156" s="3">
        <f>AVERAGE(J156:J765)</f>
        <v>0.17850877192982448</v>
      </c>
      <c r="O156" s="3">
        <f>COUNT(J156:J765)</f>
        <v>456</v>
      </c>
      <c r="P156" s="3" t="str">
        <f>TEXT(J156,"0.00")</f>
        <v>0.20</v>
      </c>
      <c r="Q156" s="3" t="str">
        <f>LEFT(L156,3)</f>
        <v>Spr</v>
      </c>
      <c r="R156" s="42" t="str">
        <f>RIGHT(L156,3)</f>
        <v>ing</v>
      </c>
      <c r="S156" s="42">
        <f>LEN(L156)</f>
        <v>6</v>
      </c>
      <c r="T156" s="3" t="str">
        <f>A156&amp;"|"&amp;B156&amp;"|"&amp;F156</f>
        <v>155|40725|17</v>
      </c>
      <c r="U156" s="3">
        <f t="shared" si="8"/>
        <v>610</v>
      </c>
      <c r="V156" s="3">
        <f t="shared" si="9"/>
        <v>120.10000000000005</v>
      </c>
      <c r="W156" s="50">
        <f t="shared" si="10"/>
        <v>8.1303845032683911E-2</v>
      </c>
      <c r="X156" s="50">
        <f t="shared" si="11"/>
        <v>0.16514794964716251</v>
      </c>
    </row>
    <row r="157" spans="1:24" x14ac:dyDescent="0.2">
      <c r="A157" s="4">
        <v>156</v>
      </c>
      <c r="B157" s="5">
        <v>40725</v>
      </c>
      <c r="C157" s="4">
        <v>1</v>
      </c>
      <c r="D157" s="4">
        <v>0</v>
      </c>
      <c r="E157" s="4">
        <v>1</v>
      </c>
      <c r="F157" s="4">
        <v>18</v>
      </c>
      <c r="G157" s="4" t="b">
        <v>0</v>
      </c>
      <c r="H157" s="4">
        <v>5</v>
      </c>
      <c r="I157" s="4">
        <v>1</v>
      </c>
      <c r="J157" s="4">
        <v>0.2</v>
      </c>
      <c r="K157" s="6" t="str">
        <f>IF(H157=0,"weekend",IF(H157=6,"weekend","weekend"))</f>
        <v>weekend</v>
      </c>
      <c r="L157" s="3" t="str">
        <f>IF(C157=1,"Spring",IF(C157=2,"Summer",IF(C157=3,"Fall","Winter")))</f>
        <v>Spring</v>
      </c>
      <c r="M157" s="3">
        <f>SUM(J157:J181)</f>
        <v>4.4400000000000013</v>
      </c>
      <c r="N157" s="3">
        <f>AVERAGE(J157:J766)</f>
        <v>0.17846153846153837</v>
      </c>
      <c r="O157" s="3">
        <f>COUNT(J157:J766)</f>
        <v>455</v>
      </c>
      <c r="P157" s="3" t="str">
        <f>TEXT(J157,"0.00")</f>
        <v>0.20</v>
      </c>
      <c r="Q157" s="3" t="str">
        <f>LEFT(L157,3)</f>
        <v>Spr</v>
      </c>
      <c r="R157" s="42" t="str">
        <f>RIGHT(L157,3)</f>
        <v>ing</v>
      </c>
      <c r="S157" s="42">
        <f>LEN(L157)</f>
        <v>6</v>
      </c>
      <c r="T157" s="3" t="str">
        <f>A157&amp;"|"&amp;B157&amp;"|"&amp;F157</f>
        <v>156|40725|18</v>
      </c>
      <c r="U157" s="3">
        <f t="shared" si="8"/>
        <v>610</v>
      </c>
      <c r="V157" s="3">
        <f t="shared" si="9"/>
        <v>120.10000000000005</v>
      </c>
      <c r="W157" s="50">
        <f t="shared" si="10"/>
        <v>8.1303845032683911E-2</v>
      </c>
      <c r="X157" s="50">
        <f t="shared" si="11"/>
        <v>0.16514794964716251</v>
      </c>
    </row>
    <row r="158" spans="1:24" x14ac:dyDescent="0.2">
      <c r="A158" s="4">
        <v>157</v>
      </c>
      <c r="B158" s="5">
        <v>40725</v>
      </c>
      <c r="C158" s="4">
        <v>1</v>
      </c>
      <c r="D158" s="4">
        <v>0</v>
      </c>
      <c r="E158" s="4">
        <v>1</v>
      </c>
      <c r="F158" s="4">
        <v>19</v>
      </c>
      <c r="G158" s="4" t="b">
        <v>0</v>
      </c>
      <c r="H158" s="4">
        <v>5</v>
      </c>
      <c r="I158" s="4">
        <v>1</v>
      </c>
      <c r="J158" s="4">
        <v>0.16</v>
      </c>
      <c r="K158" s="6" t="str">
        <f>IF(H158=0,"weekend",IF(H158=6,"weekend","weekend"))</f>
        <v>weekend</v>
      </c>
      <c r="L158" s="3" t="str">
        <f>IF(C158=1,"Spring",IF(C158=2,"Summer",IF(C158=3,"Fall","Winter")))</f>
        <v>Spring</v>
      </c>
      <c r="M158" s="3">
        <f>SUM(J158:J182)</f>
        <v>4.3800000000000008</v>
      </c>
      <c r="N158" s="3">
        <f>AVERAGE(J158:J767)</f>
        <v>0.1784140969162995</v>
      </c>
      <c r="O158" s="3">
        <f>COUNT(J158:J767)</f>
        <v>454</v>
      </c>
      <c r="P158" s="3" t="str">
        <f>TEXT(J158,"0.00")</f>
        <v>0.16</v>
      </c>
      <c r="Q158" s="3" t="str">
        <f>LEFT(L158,3)</f>
        <v>Spr</v>
      </c>
      <c r="R158" s="42" t="str">
        <f>RIGHT(L158,3)</f>
        <v>ing</v>
      </c>
      <c r="S158" s="42">
        <f>LEN(L158)</f>
        <v>6</v>
      </c>
      <c r="T158" s="3" t="str">
        <f>A158&amp;"|"&amp;B158&amp;"|"&amp;F158</f>
        <v>157|40725|19</v>
      </c>
      <c r="U158" s="3">
        <f t="shared" si="8"/>
        <v>610</v>
      </c>
      <c r="V158" s="3">
        <f t="shared" si="9"/>
        <v>120.10000000000005</v>
      </c>
      <c r="W158" s="50">
        <f t="shared" si="10"/>
        <v>8.1303845032683911E-2</v>
      </c>
      <c r="X158" s="50">
        <f t="shared" si="11"/>
        <v>0.16514794964716251</v>
      </c>
    </row>
    <row r="159" spans="1:24" x14ac:dyDescent="0.2">
      <c r="A159" s="4">
        <v>158</v>
      </c>
      <c r="B159" s="5">
        <v>40725</v>
      </c>
      <c r="C159" s="4">
        <v>1</v>
      </c>
      <c r="D159" s="4">
        <v>0</v>
      </c>
      <c r="E159" s="4">
        <v>1</v>
      </c>
      <c r="F159" s="4">
        <v>20</v>
      </c>
      <c r="G159" s="4" t="b">
        <v>0</v>
      </c>
      <c r="H159" s="4">
        <v>5</v>
      </c>
      <c r="I159" s="4">
        <v>1</v>
      </c>
      <c r="J159" s="4">
        <v>0.18</v>
      </c>
      <c r="K159" s="6" t="str">
        <f>IF(H159=0,"weekend",IF(H159=6,"weekend","weekend"))</f>
        <v>weekend</v>
      </c>
      <c r="L159" s="3" t="str">
        <f>IF(C159=1,"Spring",IF(C159=2,"Summer",IF(C159=3,"Fall","Winter")))</f>
        <v>Spring</v>
      </c>
      <c r="M159" s="3">
        <f>SUM(J159:J183)</f>
        <v>4.3400000000000007</v>
      </c>
      <c r="N159" s="3">
        <f>AVERAGE(J159:J768)</f>
        <v>0.17845474613686529</v>
      </c>
      <c r="O159" s="3">
        <f>COUNT(J159:J768)</f>
        <v>453</v>
      </c>
      <c r="P159" s="3" t="str">
        <f>TEXT(J159,"0.00")</f>
        <v>0.18</v>
      </c>
      <c r="Q159" s="3" t="str">
        <f>LEFT(L159,3)</f>
        <v>Spr</v>
      </c>
      <c r="R159" s="42" t="str">
        <f>RIGHT(L159,3)</f>
        <v>ing</v>
      </c>
      <c r="S159" s="42">
        <f>LEN(L159)</f>
        <v>6</v>
      </c>
      <c r="T159" s="3" t="str">
        <f>A159&amp;"|"&amp;B159&amp;"|"&amp;F159</f>
        <v>158|40725|20</v>
      </c>
      <c r="U159" s="3">
        <f t="shared" si="8"/>
        <v>610</v>
      </c>
      <c r="V159" s="3">
        <f t="shared" si="9"/>
        <v>120.10000000000005</v>
      </c>
      <c r="W159" s="50">
        <f t="shared" si="10"/>
        <v>8.1303845032683911E-2</v>
      </c>
      <c r="X159" s="50">
        <f t="shared" si="11"/>
        <v>0.16514794964716251</v>
      </c>
    </row>
    <row r="160" spans="1:24" x14ac:dyDescent="0.2">
      <c r="A160" s="4">
        <v>159</v>
      </c>
      <c r="B160" s="5">
        <v>40725</v>
      </c>
      <c r="C160" s="4">
        <v>1</v>
      </c>
      <c r="D160" s="4">
        <v>0</v>
      </c>
      <c r="E160" s="4">
        <v>1</v>
      </c>
      <c r="F160" s="4">
        <v>21</v>
      </c>
      <c r="G160" s="4" t="b">
        <v>0</v>
      </c>
      <c r="H160" s="4">
        <v>5</v>
      </c>
      <c r="I160" s="4">
        <v>1</v>
      </c>
      <c r="J160" s="4">
        <v>0.18</v>
      </c>
      <c r="K160" s="6" t="str">
        <f>IF(H160=0,"weekend",IF(H160=6,"weekend","weekend"))</f>
        <v>weekend</v>
      </c>
      <c r="L160" s="3" t="str">
        <f>IF(C160=1,"Spring",IF(C160=2,"Summer",IF(C160=3,"Fall","Winter")))</f>
        <v>Spring</v>
      </c>
      <c r="M160" s="3">
        <f>SUM(J160:J184)</f>
        <v>4.2800000000000011</v>
      </c>
      <c r="N160" s="3">
        <f>AVERAGE(J160:J769)</f>
        <v>0.17845132743362829</v>
      </c>
      <c r="O160" s="3">
        <f>COUNT(J160:J769)</f>
        <v>452</v>
      </c>
      <c r="P160" s="3" t="str">
        <f>TEXT(J160,"0.00")</f>
        <v>0.18</v>
      </c>
      <c r="Q160" s="3" t="str">
        <f>LEFT(L160,3)</f>
        <v>Spr</v>
      </c>
      <c r="R160" s="42" t="str">
        <f>RIGHT(L160,3)</f>
        <v>ing</v>
      </c>
      <c r="S160" s="42">
        <f>LEN(L160)</f>
        <v>6</v>
      </c>
      <c r="T160" s="3" t="str">
        <f>A160&amp;"|"&amp;B160&amp;"|"&amp;F160</f>
        <v>159|40725|21</v>
      </c>
      <c r="U160" s="3">
        <f t="shared" si="8"/>
        <v>610</v>
      </c>
      <c r="V160" s="3">
        <f t="shared" si="9"/>
        <v>120.10000000000005</v>
      </c>
      <c r="W160" s="50">
        <f t="shared" si="10"/>
        <v>8.1303845032683911E-2</v>
      </c>
      <c r="X160" s="50">
        <f t="shared" si="11"/>
        <v>0.16514794964716251</v>
      </c>
    </row>
    <row r="161" spans="1:24" x14ac:dyDescent="0.2">
      <c r="A161" s="4">
        <v>160</v>
      </c>
      <c r="B161" s="5">
        <v>40725</v>
      </c>
      <c r="C161" s="4">
        <v>1</v>
      </c>
      <c r="D161" s="4">
        <v>0</v>
      </c>
      <c r="E161" s="4">
        <v>1</v>
      </c>
      <c r="F161" s="4">
        <v>22</v>
      </c>
      <c r="G161" s="4" t="b">
        <v>0</v>
      </c>
      <c r="H161" s="4">
        <v>5</v>
      </c>
      <c r="I161" s="4">
        <v>2</v>
      </c>
      <c r="J161" s="4">
        <v>0.18</v>
      </c>
      <c r="K161" s="6" t="str">
        <f>IF(H161=0,"weekend",IF(H161=6,"weekend","weekend"))</f>
        <v>weekend</v>
      </c>
      <c r="L161" s="3" t="str">
        <f>IF(C161=1,"Spring",IF(C161=2,"Summer",IF(C161=3,"Fall","Winter")))</f>
        <v>Spring</v>
      </c>
      <c r="M161" s="3">
        <f>SUM(J161:J185)</f>
        <v>4.2200000000000015</v>
      </c>
      <c r="N161" s="3">
        <f>AVERAGE(J161:J770)</f>
        <v>0.17844789356984472</v>
      </c>
      <c r="O161" s="3">
        <f>COUNT(J161:J770)</f>
        <v>451</v>
      </c>
      <c r="P161" s="3" t="str">
        <f>TEXT(J161,"0.00")</f>
        <v>0.18</v>
      </c>
      <c r="Q161" s="3" t="str">
        <f>LEFT(L161,3)</f>
        <v>Spr</v>
      </c>
      <c r="R161" s="42" t="str">
        <f>RIGHT(L161,3)</f>
        <v>ing</v>
      </c>
      <c r="S161" s="42">
        <f>LEN(L161)</f>
        <v>6</v>
      </c>
      <c r="T161" s="3" t="str">
        <f>A161&amp;"|"&amp;B161&amp;"|"&amp;F161</f>
        <v>160|40725|22</v>
      </c>
      <c r="U161" s="3">
        <f t="shared" si="8"/>
        <v>610</v>
      </c>
      <c r="V161" s="3">
        <f t="shared" si="9"/>
        <v>120.10000000000005</v>
      </c>
      <c r="W161" s="50">
        <f t="shared" si="10"/>
        <v>8.1303845032683911E-2</v>
      </c>
      <c r="X161" s="50">
        <f t="shared" si="11"/>
        <v>0.16514794964716251</v>
      </c>
    </row>
    <row r="162" spans="1:24" x14ac:dyDescent="0.2">
      <c r="A162" s="4">
        <v>161</v>
      </c>
      <c r="B162" s="5">
        <v>40725</v>
      </c>
      <c r="C162" s="4">
        <v>1</v>
      </c>
      <c r="D162" s="4">
        <v>0</v>
      </c>
      <c r="E162" s="4">
        <v>1</v>
      </c>
      <c r="F162" s="4">
        <v>23</v>
      </c>
      <c r="G162" s="4" t="b">
        <v>0</v>
      </c>
      <c r="H162" s="4">
        <v>5</v>
      </c>
      <c r="I162" s="4">
        <v>2</v>
      </c>
      <c r="J162" s="4">
        <v>0.18</v>
      </c>
      <c r="K162" s="6" t="str">
        <f>IF(H162=0,"weekend",IF(H162=6,"weekend","weekend"))</f>
        <v>weekend</v>
      </c>
      <c r="L162" s="3" t="str">
        <f>IF(C162=1,"Spring",IF(C162=2,"Summer",IF(C162=3,"Fall","Winter")))</f>
        <v>Spring</v>
      </c>
      <c r="M162" s="3">
        <f>SUM(J162:J186)</f>
        <v>4.1400000000000006</v>
      </c>
      <c r="N162" s="3">
        <f>AVERAGE(J162:J771)</f>
        <v>0.17844444444444441</v>
      </c>
      <c r="O162" s="3">
        <f>COUNT(J162:J771)</f>
        <v>450</v>
      </c>
      <c r="P162" s="3" t="str">
        <f>TEXT(J162,"0.00")</f>
        <v>0.18</v>
      </c>
      <c r="Q162" s="3" t="str">
        <f>LEFT(L162,3)</f>
        <v>Spr</v>
      </c>
      <c r="R162" s="42" t="str">
        <f>RIGHT(L162,3)</f>
        <v>ing</v>
      </c>
      <c r="S162" s="42">
        <f>LEN(L162)</f>
        <v>6</v>
      </c>
      <c r="T162" s="3" t="str">
        <f>A162&amp;"|"&amp;B162&amp;"|"&amp;F162</f>
        <v>161|40725|23</v>
      </c>
      <c r="U162" s="3">
        <f t="shared" si="8"/>
        <v>610</v>
      </c>
      <c r="V162" s="3">
        <f t="shared" si="9"/>
        <v>120.10000000000005</v>
      </c>
      <c r="W162" s="50">
        <f t="shared" si="10"/>
        <v>8.1303845032683911E-2</v>
      </c>
      <c r="X162" s="50">
        <f t="shared" si="11"/>
        <v>0.16514794964716251</v>
      </c>
    </row>
    <row r="163" spans="1:24" x14ac:dyDescent="0.2">
      <c r="A163" s="4">
        <v>162</v>
      </c>
      <c r="B163" s="5">
        <v>40756</v>
      </c>
      <c r="C163" s="4">
        <v>1</v>
      </c>
      <c r="D163" s="4">
        <v>0</v>
      </c>
      <c r="E163" s="4">
        <v>1</v>
      </c>
      <c r="F163" s="4">
        <v>0</v>
      </c>
      <c r="G163" s="4" t="b">
        <v>0</v>
      </c>
      <c r="H163" s="4">
        <v>6</v>
      </c>
      <c r="I163" s="4">
        <v>2</v>
      </c>
      <c r="J163" s="4">
        <v>0.18</v>
      </c>
      <c r="K163" s="6" t="str">
        <f>IF(H163=0,"weekend",IF(H163=6,"weekend","weekend"))</f>
        <v>weekend</v>
      </c>
      <c r="L163" s="3" t="str">
        <f>IF(C163=1,"Spring",IF(C163=2,"Summer",IF(C163=3,"Fall","Winter")))</f>
        <v>Spring</v>
      </c>
      <c r="M163" s="3">
        <f>SUM(J163:J187)</f>
        <v>4.0600000000000014</v>
      </c>
      <c r="N163" s="3">
        <f>AVERAGE(J163:J772)</f>
        <v>0.17844097995545655</v>
      </c>
      <c r="O163" s="3">
        <f>COUNT(J163:J772)</f>
        <v>449</v>
      </c>
      <c r="P163" s="3" t="str">
        <f>TEXT(J163,"0.00")</f>
        <v>0.18</v>
      </c>
      <c r="Q163" s="3" t="str">
        <f>LEFT(L163,3)</f>
        <v>Spr</v>
      </c>
      <c r="R163" s="42" t="str">
        <f>RIGHT(L163,3)</f>
        <v>ing</v>
      </c>
      <c r="S163" s="42">
        <f>LEN(L163)</f>
        <v>6</v>
      </c>
      <c r="T163" s="3" t="str">
        <f>A163&amp;"|"&amp;B163&amp;"|"&amp;F163</f>
        <v>162|40756|0</v>
      </c>
      <c r="U163" s="3">
        <f t="shared" si="8"/>
        <v>610</v>
      </c>
      <c r="V163" s="3">
        <f t="shared" si="9"/>
        <v>120.10000000000005</v>
      </c>
      <c r="W163" s="50">
        <f t="shared" si="10"/>
        <v>8.1303845032683911E-2</v>
      </c>
      <c r="X163" s="50">
        <f t="shared" si="11"/>
        <v>0.16514794964716251</v>
      </c>
    </row>
    <row r="164" spans="1:24" x14ac:dyDescent="0.2">
      <c r="A164" s="4">
        <v>163</v>
      </c>
      <c r="B164" s="5">
        <v>40756</v>
      </c>
      <c r="C164" s="4">
        <v>1</v>
      </c>
      <c r="D164" s="4">
        <v>0</v>
      </c>
      <c r="E164" s="4">
        <v>1</v>
      </c>
      <c r="F164" s="4">
        <v>1</v>
      </c>
      <c r="G164" s="4" t="b">
        <v>0</v>
      </c>
      <c r="H164" s="4">
        <v>6</v>
      </c>
      <c r="I164" s="4">
        <v>2</v>
      </c>
      <c r="J164" s="4">
        <v>0.18</v>
      </c>
      <c r="K164" s="6" t="str">
        <f>IF(H164=0,"weekend",IF(H164=6,"weekend","weekend"))</f>
        <v>weekend</v>
      </c>
      <c r="L164" s="3" t="str">
        <f>IF(C164=1,"Spring",IF(C164=2,"Summer",IF(C164=3,"Fall","Winter")))</f>
        <v>Spring</v>
      </c>
      <c r="M164" s="3">
        <f>SUM(J164:J188)</f>
        <v>3.9800000000000013</v>
      </c>
      <c r="N164" s="3">
        <f>AVERAGE(J164:J773)</f>
        <v>0.17843749999999997</v>
      </c>
      <c r="O164" s="3">
        <f>COUNT(J164:J773)</f>
        <v>448</v>
      </c>
      <c r="P164" s="3" t="str">
        <f>TEXT(J164,"0.00")</f>
        <v>0.18</v>
      </c>
      <c r="Q164" s="3" t="str">
        <f>LEFT(L164,3)</f>
        <v>Spr</v>
      </c>
      <c r="R164" s="42" t="str">
        <f>RIGHT(L164,3)</f>
        <v>ing</v>
      </c>
      <c r="S164" s="42">
        <f>LEN(L164)</f>
        <v>6</v>
      </c>
      <c r="T164" s="3" t="str">
        <f>A164&amp;"|"&amp;B164&amp;"|"&amp;F164</f>
        <v>163|40756|1</v>
      </c>
      <c r="U164" s="3">
        <f t="shared" si="8"/>
        <v>610</v>
      </c>
      <c r="V164" s="3">
        <f t="shared" si="9"/>
        <v>120.10000000000005</v>
      </c>
      <c r="W164" s="50">
        <f t="shared" si="10"/>
        <v>8.1303845032683911E-2</v>
      </c>
      <c r="X164" s="50">
        <f t="shared" si="11"/>
        <v>0.16514794964716251</v>
      </c>
    </row>
    <row r="165" spans="1:24" x14ac:dyDescent="0.2">
      <c r="A165" s="4">
        <v>164</v>
      </c>
      <c r="B165" s="5">
        <v>40756</v>
      </c>
      <c r="C165" s="4">
        <v>1</v>
      </c>
      <c r="D165" s="4">
        <v>0</v>
      </c>
      <c r="E165" s="4">
        <v>1</v>
      </c>
      <c r="F165" s="4">
        <v>2</v>
      </c>
      <c r="G165" s="4" t="b">
        <v>0</v>
      </c>
      <c r="H165" s="4">
        <v>6</v>
      </c>
      <c r="I165" s="4">
        <v>2</v>
      </c>
      <c r="J165" s="4">
        <v>0.18</v>
      </c>
      <c r="K165" s="6" t="str">
        <f>IF(H165=0,"weekend",IF(H165=6,"weekend","weekend"))</f>
        <v>weekend</v>
      </c>
      <c r="L165" s="3" t="str">
        <f>IF(C165=1,"Spring",IF(C165=2,"Summer",IF(C165=3,"Fall","Winter")))</f>
        <v>Spring</v>
      </c>
      <c r="M165" s="3">
        <f>SUM(J165:J189)</f>
        <v>3.9000000000000012</v>
      </c>
      <c r="N165" s="3">
        <f>AVERAGE(J165:J774)</f>
        <v>0.17843400447427291</v>
      </c>
      <c r="O165" s="3">
        <f>COUNT(J165:J774)</f>
        <v>447</v>
      </c>
      <c r="P165" s="3" t="str">
        <f>TEXT(J165,"0.00")</f>
        <v>0.18</v>
      </c>
      <c r="Q165" s="3" t="str">
        <f>LEFT(L165,3)</f>
        <v>Spr</v>
      </c>
      <c r="R165" s="42" t="str">
        <f>RIGHT(L165,3)</f>
        <v>ing</v>
      </c>
      <c r="S165" s="42">
        <f>LEN(L165)</f>
        <v>6</v>
      </c>
      <c r="T165" s="3" t="str">
        <f>A165&amp;"|"&amp;B165&amp;"|"&amp;F165</f>
        <v>164|40756|2</v>
      </c>
      <c r="U165" s="3">
        <f t="shared" si="8"/>
        <v>610</v>
      </c>
      <c r="V165" s="3">
        <f t="shared" si="9"/>
        <v>120.10000000000005</v>
      </c>
      <c r="W165" s="50">
        <f t="shared" si="10"/>
        <v>8.1303845032683911E-2</v>
      </c>
      <c r="X165" s="50">
        <f t="shared" si="11"/>
        <v>0.16514794964716251</v>
      </c>
    </row>
    <row r="166" spans="1:24" x14ac:dyDescent="0.2">
      <c r="A166" s="4">
        <v>165</v>
      </c>
      <c r="B166" s="5">
        <v>40756</v>
      </c>
      <c r="C166" s="4">
        <v>1</v>
      </c>
      <c r="D166" s="4">
        <v>0</v>
      </c>
      <c r="E166" s="4">
        <v>1</v>
      </c>
      <c r="F166" s="4">
        <v>3</v>
      </c>
      <c r="G166" s="4" t="b">
        <v>0</v>
      </c>
      <c r="H166" s="4">
        <v>6</v>
      </c>
      <c r="I166" s="4">
        <v>3</v>
      </c>
      <c r="J166" s="4">
        <v>0.18</v>
      </c>
      <c r="K166" s="6" t="str">
        <f>IF(H166=0,"weekend",IF(H166=6,"weekend","weekend"))</f>
        <v>weekend</v>
      </c>
      <c r="L166" s="3" t="str">
        <f>IF(C166=1,"Spring",IF(C166=2,"Summer",IF(C166=3,"Fall","Winter")))</f>
        <v>Spring</v>
      </c>
      <c r="M166" s="3">
        <f>SUM(J166:J190)</f>
        <v>3.8200000000000012</v>
      </c>
      <c r="N166" s="3">
        <f>AVERAGE(J166:J775)</f>
        <v>0.17843049327354257</v>
      </c>
      <c r="O166" s="3">
        <f>COUNT(J166:J775)</f>
        <v>446</v>
      </c>
      <c r="P166" s="3" t="str">
        <f>TEXT(J166,"0.00")</f>
        <v>0.18</v>
      </c>
      <c r="Q166" s="3" t="str">
        <f>LEFT(L166,3)</f>
        <v>Spr</v>
      </c>
      <c r="R166" s="42" t="str">
        <f>RIGHT(L166,3)</f>
        <v>ing</v>
      </c>
      <c r="S166" s="42">
        <f>LEN(L166)</f>
        <v>6</v>
      </c>
      <c r="T166" s="3" t="str">
        <f>A166&amp;"|"&amp;B166&amp;"|"&amp;F166</f>
        <v>165|40756|3</v>
      </c>
      <c r="U166" s="3">
        <f t="shared" si="8"/>
        <v>610</v>
      </c>
      <c r="V166" s="3">
        <f t="shared" si="9"/>
        <v>120.10000000000005</v>
      </c>
      <c r="W166" s="50">
        <f t="shared" si="10"/>
        <v>8.1303845032683911E-2</v>
      </c>
      <c r="X166" s="50">
        <f t="shared" si="11"/>
        <v>0.16514794964716251</v>
      </c>
    </row>
    <row r="167" spans="1:24" x14ac:dyDescent="0.2">
      <c r="A167" s="4">
        <v>166</v>
      </c>
      <c r="B167" s="5">
        <v>40756</v>
      </c>
      <c r="C167" s="4">
        <v>1</v>
      </c>
      <c r="D167" s="4">
        <v>0</v>
      </c>
      <c r="E167" s="4">
        <v>1</v>
      </c>
      <c r="F167" s="4">
        <v>4</v>
      </c>
      <c r="G167" s="4" t="b">
        <v>0</v>
      </c>
      <c r="H167" s="4">
        <v>6</v>
      </c>
      <c r="I167" s="4">
        <v>3</v>
      </c>
      <c r="J167" s="4">
        <v>0.18</v>
      </c>
      <c r="K167" s="6" t="str">
        <f>IF(H167=0,"weekend",IF(H167=6,"weekend","weekend"))</f>
        <v>weekend</v>
      </c>
      <c r="L167" s="3" t="str">
        <f>IF(C167=1,"Spring",IF(C167=2,"Summer",IF(C167=3,"Fall","Winter")))</f>
        <v>Spring</v>
      </c>
      <c r="M167" s="3">
        <f>SUM(J167:J191)</f>
        <v>3.7200000000000015</v>
      </c>
      <c r="N167" s="3">
        <f>AVERAGE(J167:J776)</f>
        <v>0.17842696629213481</v>
      </c>
      <c r="O167" s="3">
        <f>COUNT(J167:J776)</f>
        <v>445</v>
      </c>
      <c r="P167" s="3" t="str">
        <f>TEXT(J167,"0.00")</f>
        <v>0.18</v>
      </c>
      <c r="Q167" s="3" t="str">
        <f>LEFT(L167,3)</f>
        <v>Spr</v>
      </c>
      <c r="R167" s="42" t="str">
        <f>RIGHT(L167,3)</f>
        <v>ing</v>
      </c>
      <c r="S167" s="42">
        <f>LEN(L167)</f>
        <v>6</v>
      </c>
      <c r="T167" s="3" t="str">
        <f>A167&amp;"|"&amp;B167&amp;"|"&amp;F167</f>
        <v>166|40756|4</v>
      </c>
      <c r="U167" s="3">
        <f t="shared" si="8"/>
        <v>610</v>
      </c>
      <c r="V167" s="3">
        <f t="shared" si="9"/>
        <v>120.10000000000005</v>
      </c>
      <c r="W167" s="50">
        <f t="shared" si="10"/>
        <v>8.1303845032683911E-2</v>
      </c>
      <c r="X167" s="50">
        <f t="shared" si="11"/>
        <v>0.16514794964716251</v>
      </c>
    </row>
    <row r="168" spans="1:24" x14ac:dyDescent="0.2">
      <c r="A168" s="4">
        <v>167</v>
      </c>
      <c r="B168" s="5">
        <v>40756</v>
      </c>
      <c r="C168" s="4">
        <v>1</v>
      </c>
      <c r="D168" s="4">
        <v>0</v>
      </c>
      <c r="E168" s="4">
        <v>1</v>
      </c>
      <c r="F168" s="4">
        <v>5</v>
      </c>
      <c r="G168" s="4" t="b">
        <v>0</v>
      </c>
      <c r="H168" s="4">
        <v>6</v>
      </c>
      <c r="I168" s="4">
        <v>2</v>
      </c>
      <c r="J168" s="4">
        <v>0.16</v>
      </c>
      <c r="K168" s="6" t="str">
        <f>IF(H168=0,"weekend",IF(H168=6,"weekend","weekend"))</f>
        <v>weekend</v>
      </c>
      <c r="L168" s="3" t="str">
        <f>IF(C168=1,"Spring",IF(C168=2,"Summer",IF(C168=3,"Fall","Winter")))</f>
        <v>Spring</v>
      </c>
      <c r="M168" s="3">
        <f>SUM(J168:J192)</f>
        <v>3.620000000000001</v>
      </c>
      <c r="N168" s="3">
        <f>AVERAGE(J168:J777)</f>
        <v>0.17842342342342343</v>
      </c>
      <c r="O168" s="3">
        <f>COUNT(J168:J777)</f>
        <v>444</v>
      </c>
      <c r="P168" s="3" t="str">
        <f>TEXT(J168,"0.00")</f>
        <v>0.16</v>
      </c>
      <c r="Q168" s="3" t="str">
        <f>LEFT(L168,3)</f>
        <v>Spr</v>
      </c>
      <c r="R168" s="42" t="str">
        <f>RIGHT(L168,3)</f>
        <v>ing</v>
      </c>
      <c r="S168" s="42">
        <f>LEN(L168)</f>
        <v>6</v>
      </c>
      <c r="T168" s="3" t="str">
        <f>A168&amp;"|"&amp;B168&amp;"|"&amp;F168</f>
        <v>167|40756|5</v>
      </c>
      <c r="U168" s="3">
        <f t="shared" si="8"/>
        <v>610</v>
      </c>
      <c r="V168" s="3">
        <f t="shared" si="9"/>
        <v>120.10000000000005</v>
      </c>
      <c r="W168" s="50">
        <f t="shared" si="10"/>
        <v>8.1303845032683911E-2</v>
      </c>
      <c r="X168" s="50">
        <f t="shared" si="11"/>
        <v>0.16514794964716251</v>
      </c>
    </row>
    <row r="169" spans="1:24" x14ac:dyDescent="0.2">
      <c r="A169" s="4">
        <v>168</v>
      </c>
      <c r="B169" s="5">
        <v>40756</v>
      </c>
      <c r="C169" s="4">
        <v>1</v>
      </c>
      <c r="D169" s="4">
        <v>0</v>
      </c>
      <c r="E169" s="4">
        <v>1</v>
      </c>
      <c r="F169" s="4">
        <v>6</v>
      </c>
      <c r="G169" s="4" t="b">
        <v>0</v>
      </c>
      <c r="H169" s="4">
        <v>6</v>
      </c>
      <c r="I169" s="4">
        <v>2</v>
      </c>
      <c r="J169" s="4">
        <v>0.16</v>
      </c>
      <c r="K169" s="6" t="str">
        <f>IF(H169=0,"weekend",IF(H169=6,"weekend","weekend"))</f>
        <v>weekend</v>
      </c>
      <c r="L169" s="3" t="str">
        <f>IF(C169=1,"Spring",IF(C169=2,"Summer",IF(C169=3,"Fall","Winter")))</f>
        <v>Spring</v>
      </c>
      <c r="M169" s="3">
        <f>SUM(J169:J193)</f>
        <v>3.5600000000000009</v>
      </c>
      <c r="N169" s="3">
        <f>AVERAGE(J169:J778)</f>
        <v>0.17846501128668171</v>
      </c>
      <c r="O169" s="3">
        <f>COUNT(J169:J778)</f>
        <v>443</v>
      </c>
      <c r="P169" s="3" t="str">
        <f>TEXT(J169,"0.00")</f>
        <v>0.16</v>
      </c>
      <c r="Q169" s="3" t="str">
        <f>LEFT(L169,3)</f>
        <v>Spr</v>
      </c>
      <c r="R169" s="42" t="str">
        <f>RIGHT(L169,3)</f>
        <v>ing</v>
      </c>
      <c r="S169" s="42">
        <f>LEN(L169)</f>
        <v>6</v>
      </c>
      <c r="T169" s="3" t="str">
        <f>A169&amp;"|"&amp;B169&amp;"|"&amp;F169</f>
        <v>168|40756|6</v>
      </c>
      <c r="U169" s="3">
        <f t="shared" si="8"/>
        <v>610</v>
      </c>
      <c r="V169" s="3">
        <f t="shared" si="9"/>
        <v>120.10000000000005</v>
      </c>
      <c r="W169" s="50">
        <f t="shared" si="10"/>
        <v>8.1303845032683911E-2</v>
      </c>
      <c r="X169" s="50">
        <f t="shared" si="11"/>
        <v>0.16514794964716251</v>
      </c>
    </row>
    <row r="170" spans="1:24" x14ac:dyDescent="0.2">
      <c r="A170" s="4">
        <v>169</v>
      </c>
      <c r="B170" s="5">
        <v>40756</v>
      </c>
      <c r="C170" s="4">
        <v>1</v>
      </c>
      <c r="D170" s="4">
        <v>0</v>
      </c>
      <c r="E170" s="4">
        <v>1</v>
      </c>
      <c r="F170" s="4">
        <v>7</v>
      </c>
      <c r="G170" s="4" t="b">
        <v>0</v>
      </c>
      <c r="H170" s="4">
        <v>6</v>
      </c>
      <c r="I170" s="4">
        <v>2</v>
      </c>
      <c r="J170" s="4">
        <v>0.16</v>
      </c>
      <c r="K170" s="6" t="str">
        <f>IF(H170=0,"weekend",IF(H170=6,"weekend","weekend"))</f>
        <v>weekend</v>
      </c>
      <c r="L170" s="3" t="str">
        <f>IF(C170=1,"Spring",IF(C170=2,"Summer",IF(C170=3,"Fall","Winter")))</f>
        <v>Spring</v>
      </c>
      <c r="M170" s="3">
        <f>SUM(J170:J194)</f>
        <v>3.4800000000000009</v>
      </c>
      <c r="N170" s="3">
        <f>AVERAGE(J170:J779)</f>
        <v>0.17850678733031677</v>
      </c>
      <c r="O170" s="3">
        <f>COUNT(J170:J779)</f>
        <v>442</v>
      </c>
      <c r="P170" s="3" t="str">
        <f>TEXT(J170,"0.00")</f>
        <v>0.16</v>
      </c>
      <c r="Q170" s="3" t="str">
        <f>LEFT(L170,3)</f>
        <v>Spr</v>
      </c>
      <c r="R170" s="42" t="str">
        <f>RIGHT(L170,3)</f>
        <v>ing</v>
      </c>
      <c r="S170" s="42">
        <f>LEN(L170)</f>
        <v>6</v>
      </c>
      <c r="T170" s="3" t="str">
        <f>A170&amp;"|"&amp;B170&amp;"|"&amp;F170</f>
        <v>169|40756|7</v>
      </c>
      <c r="U170" s="3">
        <f t="shared" si="8"/>
        <v>610</v>
      </c>
      <c r="V170" s="3">
        <f t="shared" si="9"/>
        <v>120.10000000000005</v>
      </c>
      <c r="W170" s="50">
        <f t="shared" si="10"/>
        <v>8.1303845032683911E-2</v>
      </c>
      <c r="X170" s="50">
        <f t="shared" si="11"/>
        <v>0.16514794964716251</v>
      </c>
    </row>
    <row r="171" spans="1:24" x14ac:dyDescent="0.2">
      <c r="A171" s="4">
        <v>170</v>
      </c>
      <c r="B171" s="5">
        <v>40756</v>
      </c>
      <c r="C171" s="4">
        <v>1</v>
      </c>
      <c r="D171" s="4">
        <v>0</v>
      </c>
      <c r="E171" s="4">
        <v>1</v>
      </c>
      <c r="F171" s="4">
        <v>8</v>
      </c>
      <c r="G171" s="4" t="b">
        <v>0</v>
      </c>
      <c r="H171" s="4">
        <v>6</v>
      </c>
      <c r="I171" s="4">
        <v>3</v>
      </c>
      <c r="J171" s="4">
        <v>0.16</v>
      </c>
      <c r="K171" s="6" t="str">
        <f>IF(H171=0,"weekend",IF(H171=6,"weekend","weekend"))</f>
        <v>weekend</v>
      </c>
      <c r="L171" s="3" t="str">
        <f>IF(C171=1,"Spring",IF(C171=2,"Summer",IF(C171=3,"Fall","Winter")))</f>
        <v>Spring</v>
      </c>
      <c r="M171" s="3">
        <f>SUM(J171:J195)</f>
        <v>3.4200000000000008</v>
      </c>
      <c r="N171" s="3">
        <f>AVERAGE(J171:J780)</f>
        <v>0.17854875283446717</v>
      </c>
      <c r="O171" s="3">
        <f>COUNT(J171:J780)</f>
        <v>441</v>
      </c>
      <c r="P171" s="3" t="str">
        <f>TEXT(J171,"0.00")</f>
        <v>0.16</v>
      </c>
      <c r="Q171" s="3" t="str">
        <f>LEFT(L171,3)</f>
        <v>Spr</v>
      </c>
      <c r="R171" s="42" t="str">
        <f>RIGHT(L171,3)</f>
        <v>ing</v>
      </c>
      <c r="S171" s="42">
        <f>LEN(L171)</f>
        <v>6</v>
      </c>
      <c r="T171" s="3" t="str">
        <f>A171&amp;"|"&amp;B171&amp;"|"&amp;F171</f>
        <v>170|40756|8</v>
      </c>
      <c r="U171" s="3">
        <f t="shared" si="8"/>
        <v>610</v>
      </c>
      <c r="V171" s="3">
        <f t="shared" si="9"/>
        <v>120.10000000000005</v>
      </c>
      <c r="W171" s="50">
        <f t="shared" si="10"/>
        <v>8.1303845032683911E-2</v>
      </c>
      <c r="X171" s="50">
        <f t="shared" si="11"/>
        <v>0.16514794964716251</v>
      </c>
    </row>
    <row r="172" spans="1:24" x14ac:dyDescent="0.2">
      <c r="A172" s="4">
        <v>171</v>
      </c>
      <c r="B172" s="5">
        <v>40756</v>
      </c>
      <c r="C172" s="4">
        <v>1</v>
      </c>
      <c r="D172" s="4">
        <v>0</v>
      </c>
      <c r="E172" s="4">
        <v>1</v>
      </c>
      <c r="F172" s="4">
        <v>9</v>
      </c>
      <c r="G172" s="4" t="b">
        <v>0</v>
      </c>
      <c r="H172" s="4">
        <v>6</v>
      </c>
      <c r="I172" s="4">
        <v>3</v>
      </c>
      <c r="J172" s="4">
        <v>0.16</v>
      </c>
      <c r="K172" s="6" t="str">
        <f>IF(H172=0,"weekend",IF(H172=6,"weekend","weekend"))</f>
        <v>weekend</v>
      </c>
      <c r="L172" s="3" t="str">
        <f>IF(C172=1,"Spring",IF(C172=2,"Summer",IF(C172=3,"Fall","Winter")))</f>
        <v>Spring</v>
      </c>
      <c r="M172" s="3">
        <f>SUM(J172:J196)</f>
        <v>3.3800000000000012</v>
      </c>
      <c r="N172" s="3">
        <f>AVERAGE(J172:J781)</f>
        <v>0.17859090909090916</v>
      </c>
      <c r="O172" s="3">
        <f>COUNT(J172:J781)</f>
        <v>440</v>
      </c>
      <c r="P172" s="3" t="str">
        <f>TEXT(J172,"0.00")</f>
        <v>0.16</v>
      </c>
      <c r="Q172" s="3" t="str">
        <f>LEFT(L172,3)</f>
        <v>Spr</v>
      </c>
      <c r="R172" s="42" t="str">
        <f>RIGHT(L172,3)</f>
        <v>ing</v>
      </c>
      <c r="S172" s="42">
        <f>LEN(L172)</f>
        <v>6</v>
      </c>
      <c r="T172" s="3" t="str">
        <f>A172&amp;"|"&amp;B172&amp;"|"&amp;F172</f>
        <v>171|40756|9</v>
      </c>
      <c r="U172" s="3">
        <f t="shared" si="8"/>
        <v>610</v>
      </c>
      <c r="V172" s="3">
        <f t="shared" si="9"/>
        <v>120.10000000000005</v>
      </c>
      <c r="W172" s="50">
        <f t="shared" si="10"/>
        <v>8.1303845032683911E-2</v>
      </c>
      <c r="X172" s="50">
        <f t="shared" si="11"/>
        <v>0.16514794964716251</v>
      </c>
    </row>
    <row r="173" spans="1:24" x14ac:dyDescent="0.2">
      <c r="A173" s="4">
        <v>172</v>
      </c>
      <c r="B173" s="5">
        <v>40756</v>
      </c>
      <c r="C173" s="4">
        <v>1</v>
      </c>
      <c r="D173" s="4">
        <v>0</v>
      </c>
      <c r="E173" s="4">
        <v>1</v>
      </c>
      <c r="F173" s="4">
        <v>10</v>
      </c>
      <c r="G173" s="4" t="b">
        <v>0</v>
      </c>
      <c r="H173" s="4">
        <v>6</v>
      </c>
      <c r="I173" s="4">
        <v>2</v>
      </c>
      <c r="J173" s="4">
        <v>0.18</v>
      </c>
      <c r="K173" s="6" t="str">
        <f>IF(H173=0,"weekend",IF(H173=6,"weekend","weekend"))</f>
        <v>weekend</v>
      </c>
      <c r="L173" s="3" t="str">
        <f>IF(C173=1,"Spring",IF(C173=2,"Summer",IF(C173=3,"Fall","Winter")))</f>
        <v>Spring</v>
      </c>
      <c r="M173" s="3">
        <f>SUM(J173:J197)</f>
        <v>3.3600000000000012</v>
      </c>
      <c r="N173" s="3">
        <f>AVERAGE(J173:J782)</f>
        <v>0.17863325740318911</v>
      </c>
      <c r="O173" s="3">
        <f>COUNT(J173:J782)</f>
        <v>439</v>
      </c>
      <c r="P173" s="3" t="str">
        <f>TEXT(J173,"0.00")</f>
        <v>0.18</v>
      </c>
      <c r="Q173" s="3" t="str">
        <f>LEFT(L173,3)</f>
        <v>Spr</v>
      </c>
      <c r="R173" s="42" t="str">
        <f>RIGHT(L173,3)</f>
        <v>ing</v>
      </c>
      <c r="S173" s="42">
        <f>LEN(L173)</f>
        <v>6</v>
      </c>
      <c r="T173" s="3" t="str">
        <f>A173&amp;"|"&amp;B173&amp;"|"&amp;F173</f>
        <v>172|40756|10</v>
      </c>
      <c r="U173" s="3">
        <f t="shared" si="8"/>
        <v>610</v>
      </c>
      <c r="V173" s="3">
        <f t="shared" si="9"/>
        <v>120.10000000000005</v>
      </c>
      <c r="W173" s="50">
        <f t="shared" si="10"/>
        <v>8.1303845032683911E-2</v>
      </c>
      <c r="X173" s="50">
        <f t="shared" si="11"/>
        <v>0.16514794964716251</v>
      </c>
    </row>
    <row r="174" spans="1:24" x14ac:dyDescent="0.2">
      <c r="A174" s="4">
        <v>173</v>
      </c>
      <c r="B174" s="5">
        <v>40756</v>
      </c>
      <c r="C174" s="4">
        <v>1</v>
      </c>
      <c r="D174" s="4">
        <v>0</v>
      </c>
      <c r="E174" s="4">
        <v>1</v>
      </c>
      <c r="F174" s="4">
        <v>11</v>
      </c>
      <c r="G174" s="4" t="b">
        <v>0</v>
      </c>
      <c r="H174" s="4">
        <v>6</v>
      </c>
      <c r="I174" s="4">
        <v>2</v>
      </c>
      <c r="J174" s="4">
        <v>0.2</v>
      </c>
      <c r="K174" s="6" t="str">
        <f>IF(H174=0,"weekend",IF(H174=6,"weekend","weekend"))</f>
        <v>weekend</v>
      </c>
      <c r="L174" s="3" t="str">
        <f>IF(C174=1,"Spring",IF(C174=2,"Summer",IF(C174=3,"Fall","Winter")))</f>
        <v>Spring</v>
      </c>
      <c r="M174" s="3">
        <f>SUM(J174:J198)</f>
        <v>3.3400000000000016</v>
      </c>
      <c r="N174" s="3">
        <f>AVERAGE(J174:J783)</f>
        <v>0.17863013698630142</v>
      </c>
      <c r="O174" s="3">
        <f>COUNT(J174:J783)</f>
        <v>438</v>
      </c>
      <c r="P174" s="3" t="str">
        <f>TEXT(J174,"0.00")</f>
        <v>0.20</v>
      </c>
      <c r="Q174" s="3" t="str">
        <f>LEFT(L174,3)</f>
        <v>Spr</v>
      </c>
      <c r="R174" s="42" t="str">
        <f>RIGHT(L174,3)</f>
        <v>ing</v>
      </c>
      <c r="S174" s="42">
        <f>LEN(L174)</f>
        <v>6</v>
      </c>
      <c r="T174" s="3" t="str">
        <f>A174&amp;"|"&amp;B174&amp;"|"&amp;F174</f>
        <v>173|40756|11</v>
      </c>
      <c r="U174" s="3">
        <f t="shared" si="8"/>
        <v>610</v>
      </c>
      <c r="V174" s="3">
        <f t="shared" si="9"/>
        <v>120.10000000000005</v>
      </c>
      <c r="W174" s="50">
        <f t="shared" si="10"/>
        <v>8.1303845032683911E-2</v>
      </c>
      <c r="X174" s="50">
        <f t="shared" si="11"/>
        <v>0.16514794964716251</v>
      </c>
    </row>
    <row r="175" spans="1:24" x14ac:dyDescent="0.2">
      <c r="A175" s="4">
        <v>174</v>
      </c>
      <c r="B175" s="5">
        <v>40756</v>
      </c>
      <c r="C175" s="4">
        <v>1</v>
      </c>
      <c r="D175" s="4">
        <v>0</v>
      </c>
      <c r="E175" s="4">
        <v>1</v>
      </c>
      <c r="F175" s="4">
        <v>12</v>
      </c>
      <c r="G175" s="4" t="b">
        <v>0</v>
      </c>
      <c r="H175" s="4">
        <v>6</v>
      </c>
      <c r="I175" s="4">
        <v>2</v>
      </c>
      <c r="J175" s="4">
        <v>0.2</v>
      </c>
      <c r="K175" s="6" t="str">
        <f>IF(H175=0,"weekend",IF(H175=6,"weekend","weekend"))</f>
        <v>weekend</v>
      </c>
      <c r="L175" s="3" t="str">
        <f>IF(C175=1,"Spring",IF(C175=2,"Summer",IF(C175=3,"Fall","Winter")))</f>
        <v>Spring</v>
      </c>
      <c r="M175" s="3">
        <f>SUM(J175:J199)</f>
        <v>3.3200000000000016</v>
      </c>
      <c r="N175" s="3">
        <f>AVERAGE(J175:J784)</f>
        <v>0.17858123569794057</v>
      </c>
      <c r="O175" s="3">
        <f>COUNT(J175:J784)</f>
        <v>437</v>
      </c>
      <c r="P175" s="3" t="str">
        <f>TEXT(J175,"0.00")</f>
        <v>0.20</v>
      </c>
      <c r="Q175" s="3" t="str">
        <f>LEFT(L175,3)</f>
        <v>Spr</v>
      </c>
      <c r="R175" s="42" t="str">
        <f>RIGHT(L175,3)</f>
        <v>ing</v>
      </c>
      <c r="S175" s="42">
        <f>LEN(L175)</f>
        <v>6</v>
      </c>
      <c r="T175" s="3" t="str">
        <f>A175&amp;"|"&amp;B175&amp;"|"&amp;F175</f>
        <v>174|40756|12</v>
      </c>
      <c r="U175" s="3">
        <f t="shared" si="8"/>
        <v>610</v>
      </c>
      <c r="V175" s="3">
        <f t="shared" si="9"/>
        <v>120.10000000000005</v>
      </c>
      <c r="W175" s="50">
        <f t="shared" si="10"/>
        <v>8.1303845032683911E-2</v>
      </c>
      <c r="X175" s="50">
        <f t="shared" si="11"/>
        <v>0.16514794964716251</v>
      </c>
    </row>
    <row r="176" spans="1:24" x14ac:dyDescent="0.2">
      <c r="A176" s="4">
        <v>175</v>
      </c>
      <c r="B176" s="5">
        <v>40756</v>
      </c>
      <c r="C176" s="4">
        <v>1</v>
      </c>
      <c r="D176" s="4">
        <v>0</v>
      </c>
      <c r="E176" s="4">
        <v>1</v>
      </c>
      <c r="F176" s="4">
        <v>13</v>
      </c>
      <c r="G176" s="4" t="b">
        <v>0</v>
      </c>
      <c r="H176" s="4">
        <v>6</v>
      </c>
      <c r="I176" s="4">
        <v>1</v>
      </c>
      <c r="J176" s="4">
        <v>0.2</v>
      </c>
      <c r="K176" s="6" t="str">
        <f>IF(H176=0,"weekend",IF(H176=6,"weekend","weekend"))</f>
        <v>weekend</v>
      </c>
      <c r="L176" s="3" t="str">
        <f>IF(C176=1,"Spring",IF(C176=2,"Summer",IF(C176=3,"Fall","Winter")))</f>
        <v>Spring</v>
      </c>
      <c r="M176" s="3">
        <f>SUM(J176:J200)</f>
        <v>3.3200000000000021</v>
      </c>
      <c r="N176" s="3">
        <f>AVERAGE(J176:J785)</f>
        <v>0.17853211009174316</v>
      </c>
      <c r="O176" s="3">
        <f>COUNT(J176:J785)</f>
        <v>436</v>
      </c>
      <c r="P176" s="3" t="str">
        <f>TEXT(J176,"0.00")</f>
        <v>0.20</v>
      </c>
      <c r="Q176" s="3" t="str">
        <f>LEFT(L176,3)</f>
        <v>Spr</v>
      </c>
      <c r="R176" s="42" t="str">
        <f>RIGHT(L176,3)</f>
        <v>ing</v>
      </c>
      <c r="S176" s="42">
        <f>LEN(L176)</f>
        <v>6</v>
      </c>
      <c r="T176" s="3" t="str">
        <f>A176&amp;"|"&amp;B176&amp;"|"&amp;F176</f>
        <v>175|40756|13</v>
      </c>
      <c r="U176" s="3">
        <f t="shared" si="8"/>
        <v>610</v>
      </c>
      <c r="V176" s="3">
        <f t="shared" si="9"/>
        <v>120.10000000000005</v>
      </c>
      <c r="W176" s="50">
        <f t="shared" si="10"/>
        <v>8.1303845032683911E-2</v>
      </c>
      <c r="X176" s="50">
        <f t="shared" si="11"/>
        <v>0.16514794964716251</v>
      </c>
    </row>
    <row r="177" spans="1:24" x14ac:dyDescent="0.2">
      <c r="A177" s="4">
        <v>176</v>
      </c>
      <c r="B177" s="5">
        <v>40756</v>
      </c>
      <c r="C177" s="4">
        <v>1</v>
      </c>
      <c r="D177" s="4">
        <v>0</v>
      </c>
      <c r="E177" s="4">
        <v>1</v>
      </c>
      <c r="F177" s="4">
        <v>14</v>
      </c>
      <c r="G177" s="4" t="b">
        <v>0</v>
      </c>
      <c r="H177" s="4">
        <v>6</v>
      </c>
      <c r="I177" s="4">
        <v>1</v>
      </c>
      <c r="J177" s="4">
        <v>0.2</v>
      </c>
      <c r="K177" s="6" t="str">
        <f>IF(H177=0,"weekend",IF(H177=6,"weekend","weekend"))</f>
        <v>weekend</v>
      </c>
      <c r="L177" s="3" t="str">
        <f>IF(C177=1,"Spring",IF(C177=2,"Summer",IF(C177=3,"Fall","Winter")))</f>
        <v>Spring</v>
      </c>
      <c r="M177" s="3">
        <f>SUM(J177:J201)</f>
        <v>3.3400000000000021</v>
      </c>
      <c r="N177" s="3">
        <f>AVERAGE(J177:J786)</f>
        <v>0.17848275862068969</v>
      </c>
      <c r="O177" s="3">
        <f>COUNT(J177:J786)</f>
        <v>435</v>
      </c>
      <c r="P177" s="3" t="str">
        <f>TEXT(J177,"0.00")</f>
        <v>0.20</v>
      </c>
      <c r="Q177" s="3" t="str">
        <f>LEFT(L177,3)</f>
        <v>Spr</v>
      </c>
      <c r="R177" s="42" t="str">
        <f>RIGHT(L177,3)</f>
        <v>ing</v>
      </c>
      <c r="S177" s="42">
        <f>LEN(L177)</f>
        <v>6</v>
      </c>
      <c r="T177" s="3" t="str">
        <f>A177&amp;"|"&amp;B177&amp;"|"&amp;F177</f>
        <v>176|40756|14</v>
      </c>
      <c r="U177" s="3">
        <f t="shared" si="8"/>
        <v>610</v>
      </c>
      <c r="V177" s="3">
        <f t="shared" si="9"/>
        <v>120.10000000000005</v>
      </c>
      <c r="W177" s="50">
        <f t="shared" si="10"/>
        <v>8.1303845032683911E-2</v>
      </c>
      <c r="X177" s="50">
        <f t="shared" si="11"/>
        <v>0.16514794964716251</v>
      </c>
    </row>
    <row r="178" spans="1:24" x14ac:dyDescent="0.2">
      <c r="A178" s="4">
        <v>177</v>
      </c>
      <c r="B178" s="5">
        <v>40756</v>
      </c>
      <c r="C178" s="4">
        <v>1</v>
      </c>
      <c r="D178" s="4">
        <v>0</v>
      </c>
      <c r="E178" s="4">
        <v>1</v>
      </c>
      <c r="F178" s="4">
        <v>15</v>
      </c>
      <c r="G178" s="4" t="b">
        <v>0</v>
      </c>
      <c r="H178" s="4">
        <v>6</v>
      </c>
      <c r="I178" s="4">
        <v>1</v>
      </c>
      <c r="J178" s="4">
        <v>0.2</v>
      </c>
      <c r="K178" s="6" t="str">
        <f>IF(H178=0,"weekend",IF(H178=6,"weekend","weekend"))</f>
        <v>weekend</v>
      </c>
      <c r="L178" s="3" t="str">
        <f>IF(C178=1,"Spring",IF(C178=2,"Summer",IF(C178=3,"Fall","Winter")))</f>
        <v>Spring</v>
      </c>
      <c r="M178" s="3">
        <f>SUM(J178:J202)</f>
        <v>3.3600000000000021</v>
      </c>
      <c r="N178" s="3">
        <f>AVERAGE(J178:J787)</f>
        <v>0.17843317972350234</v>
      </c>
      <c r="O178" s="3">
        <f>COUNT(J178:J787)</f>
        <v>434</v>
      </c>
      <c r="P178" s="3" t="str">
        <f>TEXT(J178,"0.00")</f>
        <v>0.20</v>
      </c>
      <c r="Q178" s="3" t="str">
        <f>LEFT(L178,3)</f>
        <v>Spr</v>
      </c>
      <c r="R178" s="42" t="str">
        <f>RIGHT(L178,3)</f>
        <v>ing</v>
      </c>
      <c r="S178" s="42">
        <f>LEN(L178)</f>
        <v>6</v>
      </c>
      <c r="T178" s="3" t="str">
        <f>A178&amp;"|"&amp;B178&amp;"|"&amp;F178</f>
        <v>177|40756|15</v>
      </c>
      <c r="U178" s="3">
        <f t="shared" si="8"/>
        <v>610</v>
      </c>
      <c r="V178" s="3">
        <f t="shared" si="9"/>
        <v>120.10000000000005</v>
      </c>
      <c r="W178" s="50">
        <f t="shared" si="10"/>
        <v>8.1303845032683911E-2</v>
      </c>
      <c r="X178" s="50">
        <f t="shared" si="11"/>
        <v>0.16514794964716251</v>
      </c>
    </row>
    <row r="179" spans="1:24" x14ac:dyDescent="0.2">
      <c r="A179" s="4">
        <v>178</v>
      </c>
      <c r="B179" s="5">
        <v>40756</v>
      </c>
      <c r="C179" s="4">
        <v>1</v>
      </c>
      <c r="D179" s="4">
        <v>0</v>
      </c>
      <c r="E179" s="4">
        <v>1</v>
      </c>
      <c r="F179" s="4">
        <v>16</v>
      </c>
      <c r="G179" s="4" t="b">
        <v>0</v>
      </c>
      <c r="H179" s="4">
        <v>6</v>
      </c>
      <c r="I179" s="4">
        <v>1</v>
      </c>
      <c r="J179" s="4">
        <v>0.18</v>
      </c>
      <c r="K179" s="6" t="str">
        <f>IF(H179=0,"weekend",IF(H179=6,"weekend","weekend"))</f>
        <v>weekend</v>
      </c>
      <c r="L179" s="3" t="str">
        <f>IF(C179=1,"Spring",IF(C179=2,"Summer",IF(C179=3,"Fall","Winter")))</f>
        <v>Spring</v>
      </c>
      <c r="M179" s="3">
        <f>SUM(J179:J203)</f>
        <v>3.3600000000000021</v>
      </c>
      <c r="N179" s="3">
        <f>AVERAGE(J179:J788)</f>
        <v>0.17838337182448039</v>
      </c>
      <c r="O179" s="3">
        <f>COUNT(J179:J788)</f>
        <v>433</v>
      </c>
      <c r="P179" s="3" t="str">
        <f>TEXT(J179,"0.00")</f>
        <v>0.18</v>
      </c>
      <c r="Q179" s="3" t="str">
        <f>LEFT(L179,3)</f>
        <v>Spr</v>
      </c>
      <c r="R179" s="42" t="str">
        <f>RIGHT(L179,3)</f>
        <v>ing</v>
      </c>
      <c r="S179" s="42">
        <f>LEN(L179)</f>
        <v>6</v>
      </c>
      <c r="T179" s="3" t="str">
        <f>A179&amp;"|"&amp;B179&amp;"|"&amp;F179</f>
        <v>178|40756|16</v>
      </c>
      <c r="U179" s="3">
        <f t="shared" si="8"/>
        <v>610</v>
      </c>
      <c r="V179" s="3">
        <f t="shared" si="9"/>
        <v>120.10000000000005</v>
      </c>
      <c r="W179" s="50">
        <f t="shared" si="10"/>
        <v>8.1303845032683911E-2</v>
      </c>
      <c r="X179" s="50">
        <f t="shared" si="11"/>
        <v>0.16514794964716251</v>
      </c>
    </row>
    <row r="180" spans="1:24" x14ac:dyDescent="0.2">
      <c r="A180" s="4">
        <v>179</v>
      </c>
      <c r="B180" s="5">
        <v>40756</v>
      </c>
      <c r="C180" s="4">
        <v>1</v>
      </c>
      <c r="D180" s="4">
        <v>0</v>
      </c>
      <c r="E180" s="4">
        <v>1</v>
      </c>
      <c r="F180" s="4">
        <v>17</v>
      </c>
      <c r="G180" s="4" t="b">
        <v>0</v>
      </c>
      <c r="H180" s="4">
        <v>6</v>
      </c>
      <c r="I180" s="4">
        <v>1</v>
      </c>
      <c r="J180" s="4">
        <v>0.16</v>
      </c>
      <c r="K180" s="6" t="str">
        <f>IF(H180=0,"weekend",IF(H180=6,"weekend","weekend"))</f>
        <v>weekend</v>
      </c>
      <c r="L180" s="3" t="str">
        <f>IF(C180=1,"Spring",IF(C180=2,"Summer",IF(C180=3,"Fall","Winter")))</f>
        <v>Spring</v>
      </c>
      <c r="M180" s="3">
        <f>SUM(J180:J204)</f>
        <v>3.3600000000000021</v>
      </c>
      <c r="N180" s="3">
        <f>AVERAGE(J180:J789)</f>
        <v>0.17837962962962967</v>
      </c>
      <c r="O180" s="3">
        <f>COUNT(J180:J789)</f>
        <v>432</v>
      </c>
      <c r="P180" s="3" t="str">
        <f>TEXT(J180,"0.00")</f>
        <v>0.16</v>
      </c>
      <c r="Q180" s="3" t="str">
        <f>LEFT(L180,3)</f>
        <v>Spr</v>
      </c>
      <c r="R180" s="42" t="str">
        <f>RIGHT(L180,3)</f>
        <v>ing</v>
      </c>
      <c r="S180" s="42">
        <f>LEN(L180)</f>
        <v>6</v>
      </c>
      <c r="T180" s="3" t="str">
        <f>A180&amp;"|"&amp;B180&amp;"|"&amp;F180</f>
        <v>179|40756|17</v>
      </c>
      <c r="U180" s="3">
        <f t="shared" si="8"/>
        <v>610</v>
      </c>
      <c r="V180" s="3">
        <f t="shared" si="9"/>
        <v>120.10000000000005</v>
      </c>
      <c r="W180" s="50">
        <f t="shared" si="10"/>
        <v>8.1303845032683911E-2</v>
      </c>
      <c r="X180" s="50">
        <f t="shared" si="11"/>
        <v>0.16514794964716251</v>
      </c>
    </row>
    <row r="181" spans="1:24" x14ac:dyDescent="0.2">
      <c r="A181" s="4">
        <v>180</v>
      </c>
      <c r="B181" s="5">
        <v>40756</v>
      </c>
      <c r="C181" s="4">
        <v>1</v>
      </c>
      <c r="D181" s="4">
        <v>0</v>
      </c>
      <c r="E181" s="4">
        <v>1</v>
      </c>
      <c r="F181" s="4">
        <v>18</v>
      </c>
      <c r="G181" s="4" t="b">
        <v>0</v>
      </c>
      <c r="H181" s="4">
        <v>6</v>
      </c>
      <c r="I181" s="4">
        <v>1</v>
      </c>
      <c r="J181" s="4">
        <v>0.14000000000000001</v>
      </c>
      <c r="K181" s="6" t="str">
        <f>IF(H181=0,"weekend",IF(H181=6,"weekend","weekend"))</f>
        <v>weekend</v>
      </c>
      <c r="L181" s="3" t="str">
        <f>IF(C181=1,"Spring",IF(C181=2,"Summer",IF(C181=3,"Fall","Winter")))</f>
        <v>Spring</v>
      </c>
      <c r="M181" s="3">
        <f>SUM(J181:J205)</f>
        <v>3.3600000000000021</v>
      </c>
      <c r="N181" s="3">
        <f>AVERAGE(J181:J790)</f>
        <v>0.17842227378190259</v>
      </c>
      <c r="O181" s="3">
        <f>COUNT(J181:J790)</f>
        <v>431</v>
      </c>
      <c r="P181" s="3" t="str">
        <f>TEXT(J181,"0.00")</f>
        <v>0.14</v>
      </c>
      <c r="Q181" s="3" t="str">
        <f>LEFT(L181,3)</f>
        <v>Spr</v>
      </c>
      <c r="R181" s="42" t="str">
        <f>RIGHT(L181,3)</f>
        <v>ing</v>
      </c>
      <c r="S181" s="42">
        <f>LEN(L181)</f>
        <v>6</v>
      </c>
      <c r="T181" s="3" t="str">
        <f>A181&amp;"|"&amp;B181&amp;"|"&amp;F181</f>
        <v>180|40756|18</v>
      </c>
      <c r="U181" s="3">
        <f t="shared" si="8"/>
        <v>610</v>
      </c>
      <c r="V181" s="3">
        <f t="shared" si="9"/>
        <v>120.10000000000005</v>
      </c>
      <c r="W181" s="50">
        <f t="shared" si="10"/>
        <v>8.1303845032683911E-2</v>
      </c>
      <c r="X181" s="50">
        <f t="shared" si="11"/>
        <v>0.16514794964716251</v>
      </c>
    </row>
    <row r="182" spans="1:24" x14ac:dyDescent="0.2">
      <c r="A182" s="4">
        <v>181</v>
      </c>
      <c r="B182" s="5">
        <v>40756</v>
      </c>
      <c r="C182" s="4">
        <v>1</v>
      </c>
      <c r="D182" s="4">
        <v>0</v>
      </c>
      <c r="E182" s="4">
        <v>1</v>
      </c>
      <c r="F182" s="4">
        <v>19</v>
      </c>
      <c r="G182" s="4" t="b">
        <v>0</v>
      </c>
      <c r="H182" s="4">
        <v>6</v>
      </c>
      <c r="I182" s="4">
        <v>1</v>
      </c>
      <c r="J182" s="4">
        <v>0.14000000000000001</v>
      </c>
      <c r="K182" s="6" t="str">
        <f>IF(H182=0,"weekend",IF(H182=6,"weekend","weekend"))</f>
        <v>weekend</v>
      </c>
      <c r="L182" s="3" t="str">
        <f>IF(C182=1,"Spring",IF(C182=2,"Summer",IF(C182=3,"Fall","Winter")))</f>
        <v>Spring</v>
      </c>
      <c r="M182" s="3">
        <f>SUM(J182:J206)</f>
        <v>3.3800000000000012</v>
      </c>
      <c r="N182" s="3">
        <f>AVERAGE(J182:J791)</f>
        <v>0.17851162790697678</v>
      </c>
      <c r="O182" s="3">
        <f>COUNT(J182:J791)</f>
        <v>430</v>
      </c>
      <c r="P182" s="3" t="str">
        <f>TEXT(J182,"0.00")</f>
        <v>0.14</v>
      </c>
      <c r="Q182" s="3" t="str">
        <f>LEFT(L182,3)</f>
        <v>Spr</v>
      </c>
      <c r="R182" s="42" t="str">
        <f>RIGHT(L182,3)</f>
        <v>ing</v>
      </c>
      <c r="S182" s="42">
        <f>LEN(L182)</f>
        <v>6</v>
      </c>
      <c r="T182" s="3" t="str">
        <f>A182&amp;"|"&amp;B182&amp;"|"&amp;F182</f>
        <v>181|40756|19</v>
      </c>
      <c r="U182" s="3">
        <f t="shared" si="8"/>
        <v>610</v>
      </c>
      <c r="V182" s="3">
        <f t="shared" si="9"/>
        <v>120.10000000000005</v>
      </c>
      <c r="W182" s="50">
        <f t="shared" si="10"/>
        <v>8.1303845032683911E-2</v>
      </c>
      <c r="X182" s="50">
        <f t="shared" si="11"/>
        <v>0.16514794964716251</v>
      </c>
    </row>
    <row r="183" spans="1:24" x14ac:dyDescent="0.2">
      <c r="A183" s="4">
        <v>182</v>
      </c>
      <c r="B183" s="5">
        <v>40756</v>
      </c>
      <c r="C183" s="4">
        <v>1</v>
      </c>
      <c r="D183" s="4">
        <v>0</v>
      </c>
      <c r="E183" s="4">
        <v>1</v>
      </c>
      <c r="F183" s="4">
        <v>20</v>
      </c>
      <c r="G183" s="4" t="b">
        <v>0</v>
      </c>
      <c r="H183" s="4">
        <v>6</v>
      </c>
      <c r="I183" s="4">
        <v>1</v>
      </c>
      <c r="J183" s="4">
        <v>0.12</v>
      </c>
      <c r="K183" s="6" t="str">
        <f>IF(H183=0,"weekend",IF(H183=6,"weekend","weekend"))</f>
        <v>weekend</v>
      </c>
      <c r="L183" s="3" t="str">
        <f>IF(C183=1,"Spring",IF(C183=2,"Summer",IF(C183=3,"Fall","Winter")))</f>
        <v>Spring</v>
      </c>
      <c r="M183" s="3">
        <f>SUM(J183:J207)</f>
        <v>3.3800000000000012</v>
      </c>
      <c r="N183" s="3">
        <f>AVERAGE(J183:J792)</f>
        <v>0.17860139860139865</v>
      </c>
      <c r="O183" s="3">
        <f>COUNT(J183:J792)</f>
        <v>429</v>
      </c>
      <c r="P183" s="3" t="str">
        <f>TEXT(J183,"0.00")</f>
        <v>0.12</v>
      </c>
      <c r="Q183" s="3" t="str">
        <f>LEFT(L183,3)</f>
        <v>Spr</v>
      </c>
      <c r="R183" s="42" t="str">
        <f>RIGHT(L183,3)</f>
        <v>ing</v>
      </c>
      <c r="S183" s="42">
        <f>LEN(L183)</f>
        <v>6</v>
      </c>
      <c r="T183" s="3" t="str">
        <f>A183&amp;"|"&amp;B183&amp;"|"&amp;F183</f>
        <v>182|40756|20</v>
      </c>
      <c r="U183" s="3">
        <f t="shared" si="8"/>
        <v>610</v>
      </c>
      <c r="V183" s="3">
        <f t="shared" si="9"/>
        <v>120.10000000000005</v>
      </c>
      <c r="W183" s="50">
        <f t="shared" si="10"/>
        <v>8.1303845032683911E-2</v>
      </c>
      <c r="X183" s="50">
        <f t="shared" si="11"/>
        <v>0.16514794964716251</v>
      </c>
    </row>
    <row r="184" spans="1:24" x14ac:dyDescent="0.2">
      <c r="A184" s="4">
        <v>183</v>
      </c>
      <c r="B184" s="5">
        <v>40756</v>
      </c>
      <c r="C184" s="4">
        <v>1</v>
      </c>
      <c r="D184" s="4">
        <v>0</v>
      </c>
      <c r="E184" s="4">
        <v>1</v>
      </c>
      <c r="F184" s="4">
        <v>21</v>
      </c>
      <c r="G184" s="4" t="b">
        <v>0</v>
      </c>
      <c r="H184" s="4">
        <v>6</v>
      </c>
      <c r="I184" s="4">
        <v>1</v>
      </c>
      <c r="J184" s="4">
        <v>0.12</v>
      </c>
      <c r="K184" s="6" t="str">
        <f>IF(H184=0,"weekend",IF(H184=6,"weekend","weekend"))</f>
        <v>weekend</v>
      </c>
      <c r="L184" s="3" t="str">
        <f>IF(C184=1,"Spring",IF(C184=2,"Summer",IF(C184=3,"Fall","Winter")))</f>
        <v>Spring</v>
      </c>
      <c r="M184" s="3">
        <f>SUM(J184:J208)</f>
        <v>3.4000000000000008</v>
      </c>
      <c r="N184" s="3">
        <f>AVERAGE(J184:J793)</f>
        <v>0.17873831775700938</v>
      </c>
      <c r="O184" s="3">
        <f>COUNT(J184:J793)</f>
        <v>428</v>
      </c>
      <c r="P184" s="3" t="str">
        <f>TEXT(J184,"0.00")</f>
        <v>0.12</v>
      </c>
      <c r="Q184" s="3" t="str">
        <f>LEFT(L184,3)</f>
        <v>Spr</v>
      </c>
      <c r="R184" s="42" t="str">
        <f>RIGHT(L184,3)</f>
        <v>ing</v>
      </c>
      <c r="S184" s="42">
        <f>LEN(L184)</f>
        <v>6</v>
      </c>
      <c r="T184" s="3" t="str">
        <f>A184&amp;"|"&amp;B184&amp;"|"&amp;F184</f>
        <v>183|40756|21</v>
      </c>
      <c r="U184" s="3">
        <f t="shared" si="8"/>
        <v>610</v>
      </c>
      <c r="V184" s="3">
        <f t="shared" si="9"/>
        <v>120.10000000000005</v>
      </c>
      <c r="W184" s="50">
        <f t="shared" si="10"/>
        <v>8.1303845032683911E-2</v>
      </c>
      <c r="X184" s="50">
        <f t="shared" si="11"/>
        <v>0.16514794964716251</v>
      </c>
    </row>
    <row r="185" spans="1:24" x14ac:dyDescent="0.2">
      <c r="A185" s="4">
        <v>184</v>
      </c>
      <c r="B185" s="5">
        <v>40756</v>
      </c>
      <c r="C185" s="4">
        <v>1</v>
      </c>
      <c r="D185" s="4">
        <v>0</v>
      </c>
      <c r="E185" s="4">
        <v>1</v>
      </c>
      <c r="F185" s="4">
        <v>22</v>
      </c>
      <c r="G185" s="4" t="b">
        <v>0</v>
      </c>
      <c r="H185" s="4">
        <v>6</v>
      </c>
      <c r="I185" s="4">
        <v>1</v>
      </c>
      <c r="J185" s="4">
        <v>0.12</v>
      </c>
      <c r="K185" s="6" t="str">
        <f>IF(H185=0,"weekend",IF(H185=6,"weekend","weekend"))</f>
        <v>weekend</v>
      </c>
      <c r="L185" s="3" t="str">
        <f>IF(C185=1,"Spring",IF(C185=2,"Summer",IF(C185=3,"Fall","Winter")))</f>
        <v>Spring</v>
      </c>
      <c r="M185" s="3">
        <f>SUM(J185:J209)</f>
        <v>3.4200000000000008</v>
      </c>
      <c r="N185" s="3">
        <f>AVERAGE(J185:J794)</f>
        <v>0.17887587822014053</v>
      </c>
      <c r="O185" s="3">
        <f>COUNT(J185:J794)</f>
        <v>427</v>
      </c>
      <c r="P185" s="3" t="str">
        <f>TEXT(J185,"0.00")</f>
        <v>0.12</v>
      </c>
      <c r="Q185" s="3" t="str">
        <f>LEFT(L185,3)</f>
        <v>Spr</v>
      </c>
      <c r="R185" s="42" t="str">
        <f>RIGHT(L185,3)</f>
        <v>ing</v>
      </c>
      <c r="S185" s="42">
        <f>LEN(L185)</f>
        <v>6</v>
      </c>
      <c r="T185" s="3" t="str">
        <f>A185&amp;"|"&amp;B185&amp;"|"&amp;F185</f>
        <v>184|40756|22</v>
      </c>
      <c r="U185" s="3">
        <f t="shared" si="8"/>
        <v>610</v>
      </c>
      <c r="V185" s="3">
        <f t="shared" si="9"/>
        <v>120.10000000000005</v>
      </c>
      <c r="W185" s="50">
        <f t="shared" si="10"/>
        <v>8.1303845032683911E-2</v>
      </c>
      <c r="X185" s="50">
        <f t="shared" si="11"/>
        <v>0.16514794964716251</v>
      </c>
    </row>
    <row r="186" spans="1:24" x14ac:dyDescent="0.2">
      <c r="A186" s="4">
        <v>185</v>
      </c>
      <c r="B186" s="5">
        <v>40756</v>
      </c>
      <c r="C186" s="4">
        <v>1</v>
      </c>
      <c r="D186" s="4">
        <v>0</v>
      </c>
      <c r="E186" s="4">
        <v>1</v>
      </c>
      <c r="F186" s="4">
        <v>23</v>
      </c>
      <c r="G186" s="4" t="b">
        <v>0</v>
      </c>
      <c r="H186" s="4">
        <v>6</v>
      </c>
      <c r="I186" s="4">
        <v>1</v>
      </c>
      <c r="J186" s="4">
        <v>0.1</v>
      </c>
      <c r="K186" s="6" t="str">
        <f>IF(H186=0,"weekend",IF(H186=6,"weekend","weekend"))</f>
        <v>weekend</v>
      </c>
      <c r="L186" s="3" t="str">
        <f>IF(C186=1,"Spring",IF(C186=2,"Summer",IF(C186=3,"Fall","Winter")))</f>
        <v>Spring</v>
      </c>
      <c r="M186" s="3">
        <f>SUM(J186:J210)</f>
        <v>3.4200000000000008</v>
      </c>
      <c r="N186" s="3">
        <f>AVERAGE(J186:J795)</f>
        <v>0.17901408450704226</v>
      </c>
      <c r="O186" s="3">
        <f>COUNT(J186:J795)</f>
        <v>426</v>
      </c>
      <c r="P186" s="3" t="str">
        <f>TEXT(J186,"0.00")</f>
        <v>0.10</v>
      </c>
      <c r="Q186" s="3" t="str">
        <f>LEFT(L186,3)</f>
        <v>Spr</v>
      </c>
      <c r="R186" s="42" t="str">
        <f>RIGHT(L186,3)</f>
        <v>ing</v>
      </c>
      <c r="S186" s="42">
        <f>LEN(L186)</f>
        <v>6</v>
      </c>
      <c r="T186" s="3" t="str">
        <f>A186&amp;"|"&amp;B186&amp;"|"&amp;F186</f>
        <v>185|40756|23</v>
      </c>
      <c r="U186" s="3">
        <f t="shared" si="8"/>
        <v>610</v>
      </c>
      <c r="V186" s="3">
        <f t="shared" si="9"/>
        <v>120.10000000000005</v>
      </c>
      <c r="W186" s="50">
        <f t="shared" si="10"/>
        <v>8.1303845032683911E-2</v>
      </c>
      <c r="X186" s="50">
        <f t="shared" si="11"/>
        <v>0.16514794964716251</v>
      </c>
    </row>
    <row r="187" spans="1:24" x14ac:dyDescent="0.2">
      <c r="A187" s="4">
        <v>186</v>
      </c>
      <c r="B187" s="5">
        <v>40787</v>
      </c>
      <c r="C187" s="4">
        <v>1</v>
      </c>
      <c r="D187" s="4">
        <v>0</v>
      </c>
      <c r="E187" s="4">
        <v>1</v>
      </c>
      <c r="F187" s="4">
        <v>0</v>
      </c>
      <c r="G187" s="4" t="b">
        <v>0</v>
      </c>
      <c r="H187" s="4">
        <v>0</v>
      </c>
      <c r="I187" s="4">
        <v>1</v>
      </c>
      <c r="J187" s="4">
        <v>0.1</v>
      </c>
      <c r="K187" s="6" t="str">
        <f>IF(H187=0,"weekend",IF(H187=6,"weekend","weekend"))</f>
        <v>weekend</v>
      </c>
      <c r="L187" s="3" t="str">
        <f>IF(C187=1,"Spring",IF(C187=2,"Summer",IF(C187=3,"Fall","Winter")))</f>
        <v>Spring</v>
      </c>
      <c r="M187" s="3">
        <f>SUM(J187:J211)</f>
        <v>3.4400000000000013</v>
      </c>
      <c r="N187" s="3">
        <f>AVERAGE(J187:J796)</f>
        <v>0.17920000000000005</v>
      </c>
      <c r="O187" s="3">
        <f>COUNT(J187:J796)</f>
        <v>425</v>
      </c>
      <c r="P187" s="3" t="str">
        <f>TEXT(J187,"0.00")</f>
        <v>0.10</v>
      </c>
      <c r="Q187" s="3" t="str">
        <f>LEFT(L187,3)</f>
        <v>Spr</v>
      </c>
      <c r="R187" s="42" t="str">
        <f>RIGHT(L187,3)</f>
        <v>ing</v>
      </c>
      <c r="S187" s="42">
        <f>LEN(L187)</f>
        <v>6</v>
      </c>
      <c r="T187" s="3" t="str">
        <f>A187&amp;"|"&amp;B187&amp;"|"&amp;F187</f>
        <v>186|40787|0</v>
      </c>
      <c r="U187" s="3">
        <f t="shared" si="8"/>
        <v>610</v>
      </c>
      <c r="V187" s="3">
        <f t="shared" si="9"/>
        <v>120.10000000000005</v>
      </c>
      <c r="W187" s="50">
        <f t="shared" si="10"/>
        <v>8.1303845032683911E-2</v>
      </c>
      <c r="X187" s="50">
        <f t="shared" si="11"/>
        <v>0.16514794964716251</v>
      </c>
    </row>
    <row r="188" spans="1:24" x14ac:dyDescent="0.2">
      <c r="A188" s="4">
        <v>187</v>
      </c>
      <c r="B188" s="5">
        <v>40787</v>
      </c>
      <c r="C188" s="4">
        <v>1</v>
      </c>
      <c r="D188" s="4">
        <v>0</v>
      </c>
      <c r="E188" s="4">
        <v>1</v>
      </c>
      <c r="F188" s="4">
        <v>1</v>
      </c>
      <c r="G188" s="4" t="b">
        <v>0</v>
      </c>
      <c r="H188" s="4">
        <v>0</v>
      </c>
      <c r="I188" s="4">
        <v>1</v>
      </c>
      <c r="J188" s="4">
        <v>0.1</v>
      </c>
      <c r="K188" s="6" t="str">
        <f>IF(H188=0,"weekend",IF(H188=6,"weekend","weekend"))</f>
        <v>weekend</v>
      </c>
      <c r="L188" s="3" t="str">
        <f>IF(C188=1,"Spring",IF(C188=2,"Summer",IF(C188=3,"Fall","Winter")))</f>
        <v>Spring</v>
      </c>
      <c r="M188" s="3">
        <f>SUM(J188:J212)</f>
        <v>3.4600000000000009</v>
      </c>
      <c r="N188" s="3">
        <f>AVERAGE(J188:J797)</f>
        <v>0.17938679245283023</v>
      </c>
      <c r="O188" s="3">
        <f>COUNT(J188:J797)</f>
        <v>424</v>
      </c>
      <c r="P188" s="3" t="str">
        <f>TEXT(J188,"0.00")</f>
        <v>0.10</v>
      </c>
      <c r="Q188" s="3" t="str">
        <f>LEFT(L188,3)</f>
        <v>Spr</v>
      </c>
      <c r="R188" s="42" t="str">
        <f>RIGHT(L188,3)</f>
        <v>ing</v>
      </c>
      <c r="S188" s="42">
        <f>LEN(L188)</f>
        <v>6</v>
      </c>
      <c r="T188" s="3" t="str">
        <f>A188&amp;"|"&amp;B188&amp;"|"&amp;F188</f>
        <v>187|40787|1</v>
      </c>
      <c r="U188" s="3">
        <f t="shared" si="8"/>
        <v>610</v>
      </c>
      <c r="V188" s="3">
        <f t="shared" si="9"/>
        <v>120.10000000000005</v>
      </c>
      <c r="W188" s="50">
        <f t="shared" si="10"/>
        <v>8.1303845032683911E-2</v>
      </c>
      <c r="X188" s="50">
        <f t="shared" si="11"/>
        <v>0.16514794964716251</v>
      </c>
    </row>
    <row r="189" spans="1:24" x14ac:dyDescent="0.2">
      <c r="A189" s="4">
        <v>188</v>
      </c>
      <c r="B189" s="5">
        <v>40787</v>
      </c>
      <c r="C189" s="4">
        <v>1</v>
      </c>
      <c r="D189" s="4">
        <v>0</v>
      </c>
      <c r="E189" s="4">
        <v>1</v>
      </c>
      <c r="F189" s="4">
        <v>2</v>
      </c>
      <c r="G189" s="4" t="b">
        <v>0</v>
      </c>
      <c r="H189" s="4">
        <v>0</v>
      </c>
      <c r="I189" s="4">
        <v>1</v>
      </c>
      <c r="J189" s="4">
        <v>0.1</v>
      </c>
      <c r="K189" s="6" t="str">
        <f>IF(H189=0,"weekend",IF(H189=6,"weekend","weekend"))</f>
        <v>weekend</v>
      </c>
      <c r="L189" s="3" t="str">
        <f>IF(C189=1,"Spring",IF(C189=2,"Summer",IF(C189=3,"Fall","Winter")))</f>
        <v>Spring</v>
      </c>
      <c r="M189" s="3">
        <f>SUM(J189:J213)</f>
        <v>3.4800000000000013</v>
      </c>
      <c r="N189" s="3">
        <f>AVERAGE(J189:J798)</f>
        <v>0.17957446808510644</v>
      </c>
      <c r="O189" s="3">
        <f>COUNT(J189:J798)</f>
        <v>423</v>
      </c>
      <c r="P189" s="3" t="str">
        <f>TEXT(J189,"0.00")</f>
        <v>0.10</v>
      </c>
      <c r="Q189" s="3" t="str">
        <f>LEFT(L189,3)</f>
        <v>Spr</v>
      </c>
      <c r="R189" s="42" t="str">
        <f>RIGHT(L189,3)</f>
        <v>ing</v>
      </c>
      <c r="S189" s="42">
        <f>LEN(L189)</f>
        <v>6</v>
      </c>
      <c r="T189" s="3" t="str">
        <f>A189&amp;"|"&amp;B189&amp;"|"&amp;F189</f>
        <v>188|40787|2</v>
      </c>
      <c r="U189" s="3">
        <f t="shared" si="8"/>
        <v>610</v>
      </c>
      <c r="V189" s="3">
        <f t="shared" si="9"/>
        <v>120.10000000000005</v>
      </c>
      <c r="W189" s="50">
        <f t="shared" si="10"/>
        <v>8.1303845032683911E-2</v>
      </c>
      <c r="X189" s="50">
        <f t="shared" si="11"/>
        <v>0.16514794964716251</v>
      </c>
    </row>
    <row r="190" spans="1:24" x14ac:dyDescent="0.2">
      <c r="A190" s="4">
        <v>189</v>
      </c>
      <c r="B190" s="5">
        <v>40787</v>
      </c>
      <c r="C190" s="4">
        <v>1</v>
      </c>
      <c r="D190" s="4">
        <v>0</v>
      </c>
      <c r="E190" s="4">
        <v>1</v>
      </c>
      <c r="F190" s="4">
        <v>3</v>
      </c>
      <c r="G190" s="4" t="b">
        <v>0</v>
      </c>
      <c r="H190" s="4">
        <v>0</v>
      </c>
      <c r="I190" s="4">
        <v>1</v>
      </c>
      <c r="J190" s="4">
        <v>0.1</v>
      </c>
      <c r="K190" s="6" t="str">
        <f>IF(H190=0,"weekend",IF(H190=6,"weekend","weekend"))</f>
        <v>weekend</v>
      </c>
      <c r="L190" s="3" t="str">
        <f>IF(C190=1,"Spring",IF(C190=2,"Summer",IF(C190=3,"Fall","Winter")))</f>
        <v>Spring</v>
      </c>
      <c r="M190" s="3">
        <f>SUM(J190:J214)</f>
        <v>3.5000000000000013</v>
      </c>
      <c r="N190" s="3">
        <f>AVERAGE(J190:J799)</f>
        <v>0.17976303317535547</v>
      </c>
      <c r="O190" s="3">
        <f>COUNT(J190:J799)</f>
        <v>422</v>
      </c>
      <c r="P190" s="3" t="str">
        <f>TEXT(J190,"0.00")</f>
        <v>0.10</v>
      </c>
      <c r="Q190" s="3" t="str">
        <f>LEFT(L190,3)</f>
        <v>Spr</v>
      </c>
      <c r="R190" s="42" t="str">
        <f>RIGHT(L190,3)</f>
        <v>ing</v>
      </c>
      <c r="S190" s="42">
        <f>LEN(L190)</f>
        <v>6</v>
      </c>
      <c r="T190" s="3" t="str">
        <f>A190&amp;"|"&amp;B190&amp;"|"&amp;F190</f>
        <v>189|40787|3</v>
      </c>
      <c r="U190" s="3">
        <f t="shared" si="8"/>
        <v>610</v>
      </c>
      <c r="V190" s="3">
        <f t="shared" si="9"/>
        <v>120.10000000000005</v>
      </c>
      <c r="W190" s="50">
        <f t="shared" si="10"/>
        <v>8.1303845032683911E-2</v>
      </c>
      <c r="X190" s="50">
        <f t="shared" si="11"/>
        <v>0.16514794964716251</v>
      </c>
    </row>
    <row r="191" spans="1:24" x14ac:dyDescent="0.2">
      <c r="A191" s="4">
        <v>190</v>
      </c>
      <c r="B191" s="5">
        <v>40787</v>
      </c>
      <c r="C191" s="4">
        <v>1</v>
      </c>
      <c r="D191" s="4">
        <v>0</v>
      </c>
      <c r="E191" s="4">
        <v>1</v>
      </c>
      <c r="F191" s="4">
        <v>4</v>
      </c>
      <c r="G191" s="4" t="b">
        <v>0</v>
      </c>
      <c r="H191" s="4">
        <v>0</v>
      </c>
      <c r="I191" s="4">
        <v>1</v>
      </c>
      <c r="J191" s="4">
        <v>0.08</v>
      </c>
      <c r="K191" s="6" t="str">
        <f>IF(H191=0,"weekend",IF(H191=6,"weekend","weekend"))</f>
        <v>weekend</v>
      </c>
      <c r="L191" s="3" t="str">
        <f>IF(C191=1,"Spring",IF(C191=2,"Summer",IF(C191=3,"Fall","Winter")))</f>
        <v>Spring</v>
      </c>
      <c r="M191" s="3">
        <f>SUM(J191:J215)</f>
        <v>3.5000000000000013</v>
      </c>
      <c r="N191" s="3">
        <f>AVERAGE(J191:J800)</f>
        <v>0.17995249406175776</v>
      </c>
      <c r="O191" s="3">
        <f>COUNT(J191:J800)</f>
        <v>421</v>
      </c>
      <c r="P191" s="3" t="str">
        <f>TEXT(J191,"0.00")</f>
        <v>0.08</v>
      </c>
      <c r="Q191" s="3" t="str">
        <f>LEFT(L191,3)</f>
        <v>Spr</v>
      </c>
      <c r="R191" s="42" t="str">
        <f>RIGHT(L191,3)</f>
        <v>ing</v>
      </c>
      <c r="S191" s="42">
        <f>LEN(L191)</f>
        <v>6</v>
      </c>
      <c r="T191" s="3" t="str">
        <f>A191&amp;"|"&amp;B191&amp;"|"&amp;F191</f>
        <v>190|40787|4</v>
      </c>
      <c r="U191" s="3">
        <f t="shared" si="8"/>
        <v>610</v>
      </c>
      <c r="V191" s="3">
        <f t="shared" si="9"/>
        <v>120.10000000000005</v>
      </c>
      <c r="W191" s="50">
        <f t="shared" si="10"/>
        <v>8.1303845032683911E-2</v>
      </c>
      <c r="X191" s="50">
        <f t="shared" si="11"/>
        <v>0.16514794964716251</v>
      </c>
    </row>
    <row r="192" spans="1:24" x14ac:dyDescent="0.2">
      <c r="A192" s="4">
        <v>191</v>
      </c>
      <c r="B192" s="5">
        <v>40787</v>
      </c>
      <c r="C192" s="4">
        <v>1</v>
      </c>
      <c r="D192" s="4">
        <v>0</v>
      </c>
      <c r="E192" s="4">
        <v>1</v>
      </c>
      <c r="F192" s="4">
        <v>5</v>
      </c>
      <c r="G192" s="4" t="b">
        <v>0</v>
      </c>
      <c r="H192" s="4">
        <v>0</v>
      </c>
      <c r="I192" s="4">
        <v>1</v>
      </c>
      <c r="J192" s="4">
        <v>0.08</v>
      </c>
      <c r="K192" s="6" t="str">
        <f>IF(H192=0,"weekend",IF(H192=6,"weekend","weekend"))</f>
        <v>weekend</v>
      </c>
      <c r="L192" s="3" t="str">
        <f>IF(C192=1,"Spring",IF(C192=2,"Summer",IF(C192=3,"Fall","Winter")))</f>
        <v>Spring</v>
      </c>
      <c r="M192" s="3">
        <f>SUM(J192:J216)</f>
        <v>3.5200000000000009</v>
      </c>
      <c r="N192" s="3">
        <f>AVERAGE(J192:J801)</f>
        <v>0.18019047619047621</v>
      </c>
      <c r="O192" s="3">
        <f>COUNT(J192:J801)</f>
        <v>420</v>
      </c>
      <c r="P192" s="3" t="str">
        <f>TEXT(J192,"0.00")</f>
        <v>0.08</v>
      </c>
      <c r="Q192" s="3" t="str">
        <f>LEFT(L192,3)</f>
        <v>Spr</v>
      </c>
      <c r="R192" s="42" t="str">
        <f>RIGHT(L192,3)</f>
        <v>ing</v>
      </c>
      <c r="S192" s="42">
        <f>LEN(L192)</f>
        <v>6</v>
      </c>
      <c r="T192" s="3" t="str">
        <f>A192&amp;"|"&amp;B192&amp;"|"&amp;F192</f>
        <v>191|40787|5</v>
      </c>
      <c r="U192" s="3">
        <f t="shared" si="8"/>
        <v>610</v>
      </c>
      <c r="V192" s="3">
        <f t="shared" si="9"/>
        <v>120.10000000000005</v>
      </c>
      <c r="W192" s="50">
        <f t="shared" si="10"/>
        <v>8.1303845032683911E-2</v>
      </c>
      <c r="X192" s="50">
        <f t="shared" si="11"/>
        <v>0.16514794964716251</v>
      </c>
    </row>
    <row r="193" spans="1:24" x14ac:dyDescent="0.2">
      <c r="A193" s="4">
        <v>192</v>
      </c>
      <c r="B193" s="5">
        <v>40787</v>
      </c>
      <c r="C193" s="4">
        <v>1</v>
      </c>
      <c r="D193" s="4">
        <v>0</v>
      </c>
      <c r="E193" s="4">
        <v>1</v>
      </c>
      <c r="F193" s="4">
        <v>6</v>
      </c>
      <c r="G193" s="4" t="b">
        <v>0</v>
      </c>
      <c r="H193" s="4">
        <v>0</v>
      </c>
      <c r="I193" s="4">
        <v>1</v>
      </c>
      <c r="J193" s="4">
        <v>0.1</v>
      </c>
      <c r="K193" s="6" t="str">
        <f>IF(H193=0,"weekend",IF(H193=6,"weekend","weekend"))</f>
        <v>weekend</v>
      </c>
      <c r="L193" s="3" t="str">
        <f>IF(C193=1,"Spring",IF(C193=2,"Summer",IF(C193=3,"Fall","Winter")))</f>
        <v>Spring</v>
      </c>
      <c r="M193" s="3">
        <f>SUM(J193:J217)</f>
        <v>3.5600000000000014</v>
      </c>
      <c r="N193" s="3">
        <f>AVERAGE(J193:J802)</f>
        <v>0.18042959427207639</v>
      </c>
      <c r="O193" s="3">
        <f>COUNT(J193:J802)</f>
        <v>419</v>
      </c>
      <c r="P193" s="3" t="str">
        <f>TEXT(J193,"0.00")</f>
        <v>0.10</v>
      </c>
      <c r="Q193" s="3" t="str">
        <f>LEFT(L193,3)</f>
        <v>Spr</v>
      </c>
      <c r="R193" s="42" t="str">
        <f>RIGHT(L193,3)</f>
        <v>ing</v>
      </c>
      <c r="S193" s="42">
        <f>LEN(L193)</f>
        <v>6</v>
      </c>
      <c r="T193" s="3" t="str">
        <f>A193&amp;"|"&amp;B193&amp;"|"&amp;F193</f>
        <v>192|40787|6</v>
      </c>
      <c r="U193" s="3">
        <f t="shared" si="8"/>
        <v>610</v>
      </c>
      <c r="V193" s="3">
        <f t="shared" si="9"/>
        <v>120.10000000000005</v>
      </c>
      <c r="W193" s="50">
        <f t="shared" si="10"/>
        <v>8.1303845032683911E-2</v>
      </c>
      <c r="X193" s="50">
        <f t="shared" si="11"/>
        <v>0.16514794964716251</v>
      </c>
    </row>
    <row r="194" spans="1:24" x14ac:dyDescent="0.2">
      <c r="A194" s="4">
        <v>193</v>
      </c>
      <c r="B194" s="5">
        <v>40787</v>
      </c>
      <c r="C194" s="4">
        <v>1</v>
      </c>
      <c r="D194" s="4">
        <v>0</v>
      </c>
      <c r="E194" s="4">
        <v>1</v>
      </c>
      <c r="F194" s="4">
        <v>7</v>
      </c>
      <c r="G194" s="4" t="b">
        <v>0</v>
      </c>
      <c r="H194" s="4">
        <v>0</v>
      </c>
      <c r="I194" s="4">
        <v>1</v>
      </c>
      <c r="J194" s="4">
        <v>0.08</v>
      </c>
      <c r="K194" s="6" t="str">
        <f>IF(H194=0,"weekend",IF(H194=6,"weekend","weekend"))</f>
        <v>weekend</v>
      </c>
      <c r="L194" s="3" t="str">
        <f>IF(C194=1,"Spring",IF(C194=2,"Summer",IF(C194=3,"Fall","Winter")))</f>
        <v>Spring</v>
      </c>
      <c r="M194" s="3">
        <f>SUM(J194:J218)</f>
        <v>3.580000000000001</v>
      </c>
      <c r="N194" s="3">
        <f>AVERAGE(J194:J803)</f>
        <v>0.18062200956937804</v>
      </c>
      <c r="O194" s="3">
        <f>COUNT(J194:J803)</f>
        <v>418</v>
      </c>
      <c r="P194" s="3" t="str">
        <f>TEXT(J194,"0.00")</f>
        <v>0.08</v>
      </c>
      <c r="Q194" s="3" t="str">
        <f>LEFT(L194,3)</f>
        <v>Spr</v>
      </c>
      <c r="R194" s="42" t="str">
        <f>RIGHT(L194,3)</f>
        <v>ing</v>
      </c>
      <c r="S194" s="42">
        <f>LEN(L194)</f>
        <v>6</v>
      </c>
      <c r="T194" s="3" t="str">
        <f>A194&amp;"|"&amp;B194&amp;"|"&amp;F194</f>
        <v>193|40787|7</v>
      </c>
      <c r="U194" s="3">
        <f t="shared" ref="U194:U257" si="12">COUNTIF(K:K,"weekend")</f>
        <v>610</v>
      </c>
      <c r="V194" s="3">
        <f t="shared" ref="V194:V257" si="13">SUMIF($K:$K,"weekend",$J:$J)</f>
        <v>120.10000000000005</v>
      </c>
      <c r="W194" s="50">
        <f t="shared" ref="W194:W257" si="14">STDEV($J:$J)</f>
        <v>8.1303845032683911E-2</v>
      </c>
      <c r="X194" s="50">
        <f t="shared" ref="X194:X257" si="15">CORREL(J:J,F:F)</f>
        <v>0.16514794964716251</v>
      </c>
    </row>
    <row r="195" spans="1:24" x14ac:dyDescent="0.2">
      <c r="A195" s="4">
        <v>194</v>
      </c>
      <c r="B195" s="5">
        <v>40787</v>
      </c>
      <c r="C195" s="4">
        <v>1</v>
      </c>
      <c r="D195" s="4">
        <v>0</v>
      </c>
      <c r="E195" s="4">
        <v>1</v>
      </c>
      <c r="F195" s="4">
        <v>8</v>
      </c>
      <c r="G195" s="4" t="b">
        <v>0</v>
      </c>
      <c r="H195" s="4">
        <v>0</v>
      </c>
      <c r="I195" s="4">
        <v>1</v>
      </c>
      <c r="J195" s="4">
        <v>0.1</v>
      </c>
      <c r="K195" s="6" t="str">
        <f>IF(H195=0,"weekend",IF(H195=6,"weekend","weekend"))</f>
        <v>weekend</v>
      </c>
      <c r="L195" s="3" t="str">
        <f>IF(C195=1,"Spring",IF(C195=2,"Summer",IF(C195=3,"Fall","Winter")))</f>
        <v>Spring</v>
      </c>
      <c r="M195" s="3">
        <f>SUM(J195:J219)</f>
        <v>3.620000000000001</v>
      </c>
      <c r="N195" s="3">
        <f>AVERAGE(J195:J804)</f>
        <v>0.18086330935251801</v>
      </c>
      <c r="O195" s="3">
        <f>COUNT(J195:J804)</f>
        <v>417</v>
      </c>
      <c r="P195" s="3" t="str">
        <f>TEXT(J195,"0.00")</f>
        <v>0.10</v>
      </c>
      <c r="Q195" s="3" t="str">
        <f>LEFT(L195,3)</f>
        <v>Spr</v>
      </c>
      <c r="R195" s="42" t="str">
        <f>RIGHT(L195,3)</f>
        <v>ing</v>
      </c>
      <c r="S195" s="42">
        <f>LEN(L195)</f>
        <v>6</v>
      </c>
      <c r="T195" s="3" t="str">
        <f>A195&amp;"|"&amp;B195&amp;"|"&amp;F195</f>
        <v>194|40787|8</v>
      </c>
      <c r="U195" s="3">
        <f t="shared" si="12"/>
        <v>610</v>
      </c>
      <c r="V195" s="3">
        <f t="shared" si="13"/>
        <v>120.10000000000005</v>
      </c>
      <c r="W195" s="50">
        <f t="shared" si="14"/>
        <v>8.1303845032683911E-2</v>
      </c>
      <c r="X195" s="50">
        <f t="shared" si="15"/>
        <v>0.16514794964716251</v>
      </c>
    </row>
    <row r="196" spans="1:24" x14ac:dyDescent="0.2">
      <c r="A196" s="4">
        <v>195</v>
      </c>
      <c r="B196" s="5">
        <v>40787</v>
      </c>
      <c r="C196" s="4">
        <v>1</v>
      </c>
      <c r="D196" s="4">
        <v>0</v>
      </c>
      <c r="E196" s="4">
        <v>1</v>
      </c>
      <c r="F196" s="4">
        <v>9</v>
      </c>
      <c r="G196" s="4" t="b">
        <v>0</v>
      </c>
      <c r="H196" s="4">
        <v>0</v>
      </c>
      <c r="I196" s="4">
        <v>1</v>
      </c>
      <c r="J196" s="4">
        <v>0.12</v>
      </c>
      <c r="K196" s="6" t="str">
        <f>IF(H196=0,"weekend",IF(H196=6,"weekend","weekend"))</f>
        <v>weekend</v>
      </c>
      <c r="L196" s="3" t="str">
        <f>IF(C196=1,"Spring",IF(C196=2,"Summer",IF(C196=3,"Fall","Winter")))</f>
        <v>Spring</v>
      </c>
      <c r="M196" s="3">
        <f>SUM(J196:J220)</f>
        <v>3.660000000000001</v>
      </c>
      <c r="N196" s="3">
        <f>AVERAGE(J196:J805)</f>
        <v>0.18105769230769236</v>
      </c>
      <c r="O196" s="3">
        <f>COUNT(J196:J805)</f>
        <v>416</v>
      </c>
      <c r="P196" s="3" t="str">
        <f>TEXT(J196,"0.00")</f>
        <v>0.12</v>
      </c>
      <c r="Q196" s="3" t="str">
        <f>LEFT(L196,3)</f>
        <v>Spr</v>
      </c>
      <c r="R196" s="42" t="str">
        <f>RIGHT(L196,3)</f>
        <v>ing</v>
      </c>
      <c r="S196" s="42">
        <f>LEN(L196)</f>
        <v>6</v>
      </c>
      <c r="T196" s="3" t="str">
        <f>A196&amp;"|"&amp;B196&amp;"|"&amp;F196</f>
        <v>195|40787|9</v>
      </c>
      <c r="U196" s="3">
        <f t="shared" si="12"/>
        <v>610</v>
      </c>
      <c r="V196" s="3">
        <f t="shared" si="13"/>
        <v>120.10000000000005</v>
      </c>
      <c r="W196" s="50">
        <f t="shared" si="14"/>
        <v>8.1303845032683911E-2</v>
      </c>
      <c r="X196" s="50">
        <f t="shared" si="15"/>
        <v>0.16514794964716251</v>
      </c>
    </row>
    <row r="197" spans="1:24" x14ac:dyDescent="0.2">
      <c r="A197" s="4">
        <v>196</v>
      </c>
      <c r="B197" s="5">
        <v>40787</v>
      </c>
      <c r="C197" s="4">
        <v>1</v>
      </c>
      <c r="D197" s="4">
        <v>0</v>
      </c>
      <c r="E197" s="4">
        <v>1</v>
      </c>
      <c r="F197" s="4">
        <v>10</v>
      </c>
      <c r="G197" s="4" t="b">
        <v>0</v>
      </c>
      <c r="H197" s="4">
        <v>0</v>
      </c>
      <c r="I197" s="4">
        <v>1</v>
      </c>
      <c r="J197" s="4">
        <v>0.14000000000000001</v>
      </c>
      <c r="K197" s="6" t="str">
        <f>IF(H197=0,"weekend",IF(H197=6,"weekend","weekend"))</f>
        <v>weekend</v>
      </c>
      <c r="L197" s="3" t="str">
        <f>IF(C197=1,"Spring",IF(C197=2,"Summer",IF(C197=3,"Fall","Winter")))</f>
        <v>Spring</v>
      </c>
      <c r="M197" s="3">
        <f>SUM(J197:J221)</f>
        <v>3.6800000000000015</v>
      </c>
      <c r="N197" s="3">
        <f>AVERAGE(J197:J806)</f>
        <v>0.18120481927710846</v>
      </c>
      <c r="O197" s="3">
        <f>COUNT(J197:J806)</f>
        <v>415</v>
      </c>
      <c r="P197" s="3" t="str">
        <f>TEXT(J197,"0.00")</f>
        <v>0.14</v>
      </c>
      <c r="Q197" s="3" t="str">
        <f>LEFT(L197,3)</f>
        <v>Spr</v>
      </c>
      <c r="R197" s="42" t="str">
        <f>RIGHT(L197,3)</f>
        <v>ing</v>
      </c>
      <c r="S197" s="42">
        <f>LEN(L197)</f>
        <v>6</v>
      </c>
      <c r="T197" s="3" t="str">
        <f>A197&amp;"|"&amp;B197&amp;"|"&amp;F197</f>
        <v>196|40787|10</v>
      </c>
      <c r="U197" s="3">
        <f t="shared" si="12"/>
        <v>610</v>
      </c>
      <c r="V197" s="3">
        <f t="shared" si="13"/>
        <v>120.10000000000005</v>
      </c>
      <c r="W197" s="50">
        <f t="shared" si="14"/>
        <v>8.1303845032683911E-2</v>
      </c>
      <c r="X197" s="50">
        <f t="shared" si="15"/>
        <v>0.16514794964716251</v>
      </c>
    </row>
    <row r="198" spans="1:24" x14ac:dyDescent="0.2">
      <c r="A198" s="4">
        <v>197</v>
      </c>
      <c r="B198" s="5">
        <v>40787</v>
      </c>
      <c r="C198" s="4">
        <v>1</v>
      </c>
      <c r="D198" s="4">
        <v>0</v>
      </c>
      <c r="E198" s="4">
        <v>1</v>
      </c>
      <c r="F198" s="4">
        <v>11</v>
      </c>
      <c r="G198" s="4" t="b">
        <v>0</v>
      </c>
      <c r="H198" s="4">
        <v>0</v>
      </c>
      <c r="I198" s="4">
        <v>1</v>
      </c>
      <c r="J198" s="4">
        <v>0.16</v>
      </c>
      <c r="K198" s="6" t="str">
        <f>IF(H198=0,"weekend",IF(H198=6,"weekend","weekend"))</f>
        <v>weekend</v>
      </c>
      <c r="L198" s="3" t="str">
        <f>IF(C198=1,"Spring",IF(C198=2,"Summer",IF(C198=3,"Fall","Winter")))</f>
        <v>Spring</v>
      </c>
      <c r="M198" s="3">
        <f>SUM(J198:J222)</f>
        <v>3.7000000000000015</v>
      </c>
      <c r="N198" s="3">
        <f>AVERAGE(J198:J807)</f>
        <v>0.18130434782608701</v>
      </c>
      <c r="O198" s="3">
        <f>COUNT(J198:J807)</f>
        <v>414</v>
      </c>
      <c r="P198" s="3" t="str">
        <f>TEXT(J198,"0.00")</f>
        <v>0.16</v>
      </c>
      <c r="Q198" s="3" t="str">
        <f>LEFT(L198,3)</f>
        <v>Spr</v>
      </c>
      <c r="R198" s="42" t="str">
        <f>RIGHT(L198,3)</f>
        <v>ing</v>
      </c>
      <c r="S198" s="42">
        <f>LEN(L198)</f>
        <v>6</v>
      </c>
      <c r="T198" s="3" t="str">
        <f>A198&amp;"|"&amp;B198&amp;"|"&amp;F198</f>
        <v>197|40787|11</v>
      </c>
      <c r="U198" s="3">
        <f t="shared" si="12"/>
        <v>610</v>
      </c>
      <c r="V198" s="3">
        <f t="shared" si="13"/>
        <v>120.10000000000005</v>
      </c>
      <c r="W198" s="50">
        <f t="shared" si="14"/>
        <v>8.1303845032683911E-2</v>
      </c>
      <c r="X198" s="50">
        <f t="shared" si="15"/>
        <v>0.16514794964716251</v>
      </c>
    </row>
    <row r="199" spans="1:24" x14ac:dyDescent="0.2">
      <c r="A199" s="4">
        <v>198</v>
      </c>
      <c r="B199" s="5">
        <v>40787</v>
      </c>
      <c r="C199" s="4">
        <v>1</v>
      </c>
      <c r="D199" s="4">
        <v>0</v>
      </c>
      <c r="E199" s="4">
        <v>1</v>
      </c>
      <c r="F199" s="4">
        <v>12</v>
      </c>
      <c r="G199" s="4" t="b">
        <v>0</v>
      </c>
      <c r="H199" s="4">
        <v>0</v>
      </c>
      <c r="I199" s="4">
        <v>1</v>
      </c>
      <c r="J199" s="4">
        <v>0.18</v>
      </c>
      <c r="K199" s="6" t="str">
        <f>IF(H199=0,"weekend",IF(H199=6,"weekend","weekend"))</f>
        <v>weekend</v>
      </c>
      <c r="L199" s="3" t="str">
        <f>IF(C199=1,"Spring",IF(C199=2,"Summer",IF(C199=3,"Fall","Winter")))</f>
        <v>Spring</v>
      </c>
      <c r="M199" s="3">
        <f>SUM(J199:J223)</f>
        <v>3.7400000000000015</v>
      </c>
      <c r="N199" s="3">
        <f>AVERAGE(J199:J808)</f>
        <v>0.18135593220338989</v>
      </c>
      <c r="O199" s="3">
        <f>COUNT(J199:J808)</f>
        <v>413</v>
      </c>
      <c r="P199" s="3" t="str">
        <f>TEXT(J199,"0.00")</f>
        <v>0.18</v>
      </c>
      <c r="Q199" s="3" t="str">
        <f>LEFT(L199,3)</f>
        <v>Spr</v>
      </c>
      <c r="R199" s="42" t="str">
        <f>RIGHT(L199,3)</f>
        <v>ing</v>
      </c>
      <c r="S199" s="42">
        <f>LEN(L199)</f>
        <v>6</v>
      </c>
      <c r="T199" s="3" t="str">
        <f>A199&amp;"|"&amp;B199&amp;"|"&amp;F199</f>
        <v>198|40787|12</v>
      </c>
      <c r="U199" s="3">
        <f t="shared" si="12"/>
        <v>610</v>
      </c>
      <c r="V199" s="3">
        <f t="shared" si="13"/>
        <v>120.10000000000005</v>
      </c>
      <c r="W199" s="50">
        <f t="shared" si="14"/>
        <v>8.1303845032683911E-2</v>
      </c>
      <c r="X199" s="50">
        <f t="shared" si="15"/>
        <v>0.16514794964716251</v>
      </c>
    </row>
    <row r="200" spans="1:24" x14ac:dyDescent="0.2">
      <c r="A200" s="4">
        <v>199</v>
      </c>
      <c r="B200" s="5">
        <v>40787</v>
      </c>
      <c r="C200" s="4">
        <v>1</v>
      </c>
      <c r="D200" s="4">
        <v>0</v>
      </c>
      <c r="E200" s="4">
        <v>1</v>
      </c>
      <c r="F200" s="4">
        <v>13</v>
      </c>
      <c r="G200" s="4" t="b">
        <v>0</v>
      </c>
      <c r="H200" s="4">
        <v>0</v>
      </c>
      <c r="I200" s="4">
        <v>1</v>
      </c>
      <c r="J200" s="4">
        <v>0.2</v>
      </c>
      <c r="K200" s="6" t="str">
        <f>IF(H200=0,"weekend",IF(H200=6,"weekend","weekend"))</f>
        <v>weekend</v>
      </c>
      <c r="L200" s="3" t="str">
        <f>IF(C200=1,"Spring",IF(C200=2,"Summer",IF(C200=3,"Fall","Winter")))</f>
        <v>Spring</v>
      </c>
      <c r="M200" s="3">
        <f>SUM(J200:J224)</f>
        <v>3.760000000000002</v>
      </c>
      <c r="N200" s="3">
        <f>AVERAGE(J200:J809)</f>
        <v>0.1813592233009709</v>
      </c>
      <c r="O200" s="3">
        <f>COUNT(J200:J809)</f>
        <v>412</v>
      </c>
      <c r="P200" s="3" t="str">
        <f>TEXT(J200,"0.00")</f>
        <v>0.20</v>
      </c>
      <c r="Q200" s="3" t="str">
        <f>LEFT(L200,3)</f>
        <v>Spr</v>
      </c>
      <c r="R200" s="42" t="str">
        <f>RIGHT(L200,3)</f>
        <v>ing</v>
      </c>
      <c r="S200" s="42">
        <f>LEN(L200)</f>
        <v>6</v>
      </c>
      <c r="T200" s="3" t="str">
        <f>A200&amp;"|"&amp;B200&amp;"|"&amp;F200</f>
        <v>199|40787|13</v>
      </c>
      <c r="U200" s="3">
        <f t="shared" si="12"/>
        <v>610</v>
      </c>
      <c r="V200" s="3">
        <f t="shared" si="13"/>
        <v>120.10000000000005</v>
      </c>
      <c r="W200" s="50">
        <f t="shared" si="14"/>
        <v>8.1303845032683911E-2</v>
      </c>
      <c r="X200" s="50">
        <f t="shared" si="15"/>
        <v>0.16514794964716251</v>
      </c>
    </row>
    <row r="201" spans="1:24" x14ac:dyDescent="0.2">
      <c r="A201" s="4">
        <v>200</v>
      </c>
      <c r="B201" s="5">
        <v>40787</v>
      </c>
      <c r="C201" s="4">
        <v>1</v>
      </c>
      <c r="D201" s="4">
        <v>0</v>
      </c>
      <c r="E201" s="4">
        <v>1</v>
      </c>
      <c r="F201" s="4">
        <v>14</v>
      </c>
      <c r="G201" s="4" t="b">
        <v>0</v>
      </c>
      <c r="H201" s="4">
        <v>0</v>
      </c>
      <c r="I201" s="4">
        <v>1</v>
      </c>
      <c r="J201" s="4">
        <v>0.22</v>
      </c>
      <c r="K201" s="6" t="str">
        <f>IF(H201=0,"weekend",IF(H201=6,"weekend","weekend"))</f>
        <v>weekend</v>
      </c>
      <c r="L201" s="3" t="str">
        <f>IF(C201=1,"Spring",IF(C201=2,"Summer",IF(C201=3,"Fall","Winter")))</f>
        <v>Spring</v>
      </c>
      <c r="M201" s="3">
        <f>SUM(J201:J225)</f>
        <v>3.7600000000000025</v>
      </c>
      <c r="N201" s="3">
        <f>AVERAGE(J201:J810)</f>
        <v>0.18131386861313872</v>
      </c>
      <c r="O201" s="3">
        <f>COUNT(J201:J810)</f>
        <v>411</v>
      </c>
      <c r="P201" s="3" t="str">
        <f>TEXT(J201,"0.00")</f>
        <v>0.22</v>
      </c>
      <c r="Q201" s="3" t="str">
        <f>LEFT(L201,3)</f>
        <v>Spr</v>
      </c>
      <c r="R201" s="42" t="str">
        <f>RIGHT(L201,3)</f>
        <v>ing</v>
      </c>
      <c r="S201" s="42">
        <f>LEN(L201)</f>
        <v>6</v>
      </c>
      <c r="T201" s="3" t="str">
        <f>A201&amp;"|"&amp;B201&amp;"|"&amp;F201</f>
        <v>200|40787|14</v>
      </c>
      <c r="U201" s="3">
        <f t="shared" si="12"/>
        <v>610</v>
      </c>
      <c r="V201" s="3">
        <f t="shared" si="13"/>
        <v>120.10000000000005</v>
      </c>
      <c r="W201" s="50">
        <f t="shared" si="14"/>
        <v>8.1303845032683911E-2</v>
      </c>
      <c r="X201" s="50">
        <f t="shared" si="15"/>
        <v>0.16514794964716251</v>
      </c>
    </row>
    <row r="202" spans="1:24" x14ac:dyDescent="0.2">
      <c r="A202" s="4">
        <v>201</v>
      </c>
      <c r="B202" s="5">
        <v>40787</v>
      </c>
      <c r="C202" s="4">
        <v>1</v>
      </c>
      <c r="D202" s="4">
        <v>0</v>
      </c>
      <c r="E202" s="4">
        <v>1</v>
      </c>
      <c r="F202" s="4">
        <v>15</v>
      </c>
      <c r="G202" s="4" t="b">
        <v>0</v>
      </c>
      <c r="H202" s="4">
        <v>0</v>
      </c>
      <c r="I202" s="4">
        <v>1</v>
      </c>
      <c r="J202" s="4">
        <v>0.22</v>
      </c>
      <c r="K202" s="6" t="str">
        <f>IF(H202=0,"weekend",IF(H202=6,"weekend","weekend"))</f>
        <v>weekend</v>
      </c>
      <c r="L202" s="3" t="str">
        <f>IF(C202=1,"Spring",IF(C202=2,"Summer",IF(C202=3,"Fall","Winter")))</f>
        <v>Spring</v>
      </c>
      <c r="M202" s="3">
        <f>SUM(J202:J226)</f>
        <v>3.7400000000000024</v>
      </c>
      <c r="N202" s="3">
        <f>AVERAGE(J202:J811)</f>
        <v>0.18121951219512197</v>
      </c>
      <c r="O202" s="3">
        <f>COUNT(J202:J811)</f>
        <v>410</v>
      </c>
      <c r="P202" s="3" t="str">
        <f>TEXT(J202,"0.00")</f>
        <v>0.22</v>
      </c>
      <c r="Q202" s="3" t="str">
        <f>LEFT(L202,3)</f>
        <v>Spr</v>
      </c>
      <c r="R202" s="42" t="str">
        <f>RIGHT(L202,3)</f>
        <v>ing</v>
      </c>
      <c r="S202" s="42">
        <f>LEN(L202)</f>
        <v>6</v>
      </c>
      <c r="T202" s="3" t="str">
        <f>A202&amp;"|"&amp;B202&amp;"|"&amp;F202</f>
        <v>201|40787|15</v>
      </c>
      <c r="U202" s="3">
        <f t="shared" si="12"/>
        <v>610</v>
      </c>
      <c r="V202" s="3">
        <f t="shared" si="13"/>
        <v>120.10000000000005</v>
      </c>
      <c r="W202" s="50">
        <f t="shared" si="14"/>
        <v>8.1303845032683911E-2</v>
      </c>
      <c r="X202" s="50">
        <f t="shared" si="15"/>
        <v>0.16514794964716251</v>
      </c>
    </row>
    <row r="203" spans="1:24" x14ac:dyDescent="0.2">
      <c r="A203" s="4">
        <v>202</v>
      </c>
      <c r="B203" s="5">
        <v>40787</v>
      </c>
      <c r="C203" s="4">
        <v>1</v>
      </c>
      <c r="D203" s="4">
        <v>0</v>
      </c>
      <c r="E203" s="4">
        <v>1</v>
      </c>
      <c r="F203" s="4">
        <v>16</v>
      </c>
      <c r="G203" s="4" t="b">
        <v>0</v>
      </c>
      <c r="H203" s="4">
        <v>0</v>
      </c>
      <c r="I203" s="4">
        <v>1</v>
      </c>
      <c r="J203" s="4">
        <v>0.2</v>
      </c>
      <c r="K203" s="6" t="str">
        <f>IF(H203=0,"weekend",IF(H203=6,"weekend","weekend"))</f>
        <v>weekend</v>
      </c>
      <c r="L203" s="3" t="str">
        <f>IF(C203=1,"Spring",IF(C203=2,"Summer",IF(C203=3,"Fall","Winter")))</f>
        <v>Spring</v>
      </c>
      <c r="M203" s="3">
        <f>SUM(J203:J227)</f>
        <v>3.7200000000000024</v>
      </c>
      <c r="N203" s="3">
        <f>AVERAGE(J203:J812)</f>
        <v>0.18112469437652814</v>
      </c>
      <c r="O203" s="3">
        <f>COUNT(J203:J812)</f>
        <v>409</v>
      </c>
      <c r="P203" s="3" t="str">
        <f>TEXT(J203,"0.00")</f>
        <v>0.20</v>
      </c>
      <c r="Q203" s="3" t="str">
        <f>LEFT(L203,3)</f>
        <v>Spr</v>
      </c>
      <c r="R203" s="42" t="str">
        <f>RIGHT(L203,3)</f>
        <v>ing</v>
      </c>
      <c r="S203" s="42">
        <f>LEN(L203)</f>
        <v>6</v>
      </c>
      <c r="T203" s="3" t="str">
        <f>A203&amp;"|"&amp;B203&amp;"|"&amp;F203</f>
        <v>202|40787|16</v>
      </c>
      <c r="U203" s="3">
        <f t="shared" si="12"/>
        <v>610</v>
      </c>
      <c r="V203" s="3">
        <f t="shared" si="13"/>
        <v>120.10000000000005</v>
      </c>
      <c r="W203" s="50">
        <f t="shared" si="14"/>
        <v>8.1303845032683911E-2</v>
      </c>
      <c r="X203" s="50">
        <f t="shared" si="15"/>
        <v>0.16514794964716251</v>
      </c>
    </row>
    <row r="204" spans="1:24" x14ac:dyDescent="0.2">
      <c r="A204" s="4">
        <v>203</v>
      </c>
      <c r="B204" s="5">
        <v>40787</v>
      </c>
      <c r="C204" s="4">
        <v>1</v>
      </c>
      <c r="D204" s="4">
        <v>0</v>
      </c>
      <c r="E204" s="4">
        <v>1</v>
      </c>
      <c r="F204" s="4">
        <v>17</v>
      </c>
      <c r="G204" s="4" t="b">
        <v>0</v>
      </c>
      <c r="H204" s="4">
        <v>0</v>
      </c>
      <c r="I204" s="4">
        <v>1</v>
      </c>
      <c r="J204" s="4">
        <v>0.18</v>
      </c>
      <c r="K204" s="6" t="str">
        <f>IF(H204=0,"weekend",IF(H204=6,"weekend","weekend"))</f>
        <v>weekend</v>
      </c>
      <c r="L204" s="3" t="str">
        <f>IF(C204=1,"Spring",IF(C204=2,"Summer",IF(C204=3,"Fall","Winter")))</f>
        <v>Spring</v>
      </c>
      <c r="M204" s="3">
        <f>SUM(J204:J228)</f>
        <v>3.7200000000000024</v>
      </c>
      <c r="N204" s="3">
        <f>AVERAGE(J204:J813)</f>
        <v>0.18107843137254903</v>
      </c>
      <c r="O204" s="3">
        <f>COUNT(J204:J813)</f>
        <v>408</v>
      </c>
      <c r="P204" s="3" t="str">
        <f>TEXT(J204,"0.00")</f>
        <v>0.18</v>
      </c>
      <c r="Q204" s="3" t="str">
        <f>LEFT(L204,3)</f>
        <v>Spr</v>
      </c>
      <c r="R204" s="42" t="str">
        <f>RIGHT(L204,3)</f>
        <v>ing</v>
      </c>
      <c r="S204" s="42">
        <f>LEN(L204)</f>
        <v>6</v>
      </c>
      <c r="T204" s="3" t="str">
        <f>A204&amp;"|"&amp;B204&amp;"|"&amp;F204</f>
        <v>203|40787|17</v>
      </c>
      <c r="U204" s="3">
        <f t="shared" si="12"/>
        <v>610</v>
      </c>
      <c r="V204" s="3">
        <f t="shared" si="13"/>
        <v>120.10000000000005</v>
      </c>
      <c r="W204" s="50">
        <f t="shared" si="14"/>
        <v>8.1303845032683911E-2</v>
      </c>
      <c r="X204" s="50">
        <f t="shared" si="15"/>
        <v>0.16514794964716251</v>
      </c>
    </row>
    <row r="205" spans="1:24" x14ac:dyDescent="0.2">
      <c r="A205" s="4">
        <v>204</v>
      </c>
      <c r="B205" s="5">
        <v>40787</v>
      </c>
      <c r="C205" s="4">
        <v>1</v>
      </c>
      <c r="D205" s="4">
        <v>0</v>
      </c>
      <c r="E205" s="4">
        <v>1</v>
      </c>
      <c r="F205" s="4">
        <v>18</v>
      </c>
      <c r="G205" s="4" t="b">
        <v>0</v>
      </c>
      <c r="H205" s="4">
        <v>0</v>
      </c>
      <c r="I205" s="4">
        <v>1</v>
      </c>
      <c r="J205" s="4">
        <v>0.16</v>
      </c>
      <c r="K205" s="6" t="str">
        <f>IF(H205=0,"weekend",IF(H205=6,"weekend","weekend"))</f>
        <v>weekend</v>
      </c>
      <c r="L205" s="3" t="str">
        <f>IF(C205=1,"Spring",IF(C205=2,"Summer",IF(C205=3,"Fall","Winter")))</f>
        <v>Spring</v>
      </c>
      <c r="M205" s="3">
        <f>SUM(J205:J229)</f>
        <v>3.7400000000000024</v>
      </c>
      <c r="N205" s="3">
        <f>AVERAGE(J205:J814)</f>
        <v>0.18108108108108112</v>
      </c>
      <c r="O205" s="3">
        <f>COUNT(J205:J814)</f>
        <v>407</v>
      </c>
      <c r="P205" s="3" t="str">
        <f>TEXT(J205,"0.00")</f>
        <v>0.16</v>
      </c>
      <c r="Q205" s="3" t="str">
        <f>LEFT(L205,3)</f>
        <v>Spr</v>
      </c>
      <c r="R205" s="42" t="str">
        <f>RIGHT(L205,3)</f>
        <v>ing</v>
      </c>
      <c r="S205" s="42">
        <f>LEN(L205)</f>
        <v>6</v>
      </c>
      <c r="T205" s="3" t="str">
        <f>A205&amp;"|"&amp;B205&amp;"|"&amp;F205</f>
        <v>204|40787|18</v>
      </c>
      <c r="U205" s="3">
        <f t="shared" si="12"/>
        <v>610</v>
      </c>
      <c r="V205" s="3">
        <f t="shared" si="13"/>
        <v>120.10000000000005</v>
      </c>
      <c r="W205" s="50">
        <f t="shared" si="14"/>
        <v>8.1303845032683911E-2</v>
      </c>
      <c r="X205" s="50">
        <f t="shared" si="15"/>
        <v>0.16514794964716251</v>
      </c>
    </row>
    <row r="206" spans="1:24" x14ac:dyDescent="0.2">
      <c r="A206" s="4">
        <v>205</v>
      </c>
      <c r="B206" s="5">
        <v>40787</v>
      </c>
      <c r="C206" s="4">
        <v>1</v>
      </c>
      <c r="D206" s="4">
        <v>0</v>
      </c>
      <c r="E206" s="4">
        <v>1</v>
      </c>
      <c r="F206" s="4">
        <v>19</v>
      </c>
      <c r="G206" s="4" t="b">
        <v>0</v>
      </c>
      <c r="H206" s="4">
        <v>0</v>
      </c>
      <c r="I206" s="4">
        <v>1</v>
      </c>
      <c r="J206" s="4">
        <v>0.16</v>
      </c>
      <c r="K206" s="6" t="str">
        <f>IF(H206=0,"weekend",IF(H206=6,"weekend","weekend"))</f>
        <v>weekend</v>
      </c>
      <c r="L206" s="3" t="str">
        <f>IF(C206=1,"Spring",IF(C206=2,"Summer",IF(C206=3,"Fall","Winter")))</f>
        <v>Spring</v>
      </c>
      <c r="M206" s="3">
        <f>SUM(J206:J230)</f>
        <v>3.7400000000000024</v>
      </c>
      <c r="N206" s="3">
        <f>AVERAGE(J206:J815)</f>
        <v>0.18113300492610843</v>
      </c>
      <c r="O206" s="3">
        <f>COUNT(J206:J815)</f>
        <v>406</v>
      </c>
      <c r="P206" s="3" t="str">
        <f>TEXT(J206,"0.00")</f>
        <v>0.16</v>
      </c>
      <c r="Q206" s="3" t="str">
        <f>LEFT(L206,3)</f>
        <v>Spr</v>
      </c>
      <c r="R206" s="42" t="str">
        <f>RIGHT(L206,3)</f>
        <v>ing</v>
      </c>
      <c r="S206" s="42">
        <f>LEN(L206)</f>
        <v>6</v>
      </c>
      <c r="T206" s="3" t="str">
        <f>A206&amp;"|"&amp;B206&amp;"|"&amp;F206</f>
        <v>205|40787|19</v>
      </c>
      <c r="U206" s="3">
        <f t="shared" si="12"/>
        <v>610</v>
      </c>
      <c r="V206" s="3">
        <f t="shared" si="13"/>
        <v>120.10000000000005</v>
      </c>
      <c r="W206" s="50">
        <f t="shared" si="14"/>
        <v>8.1303845032683911E-2</v>
      </c>
      <c r="X206" s="50">
        <f t="shared" si="15"/>
        <v>0.16514794964716251</v>
      </c>
    </row>
    <row r="207" spans="1:24" x14ac:dyDescent="0.2">
      <c r="A207" s="4">
        <v>206</v>
      </c>
      <c r="B207" s="5">
        <v>40787</v>
      </c>
      <c r="C207" s="4">
        <v>1</v>
      </c>
      <c r="D207" s="4">
        <v>0</v>
      </c>
      <c r="E207" s="4">
        <v>1</v>
      </c>
      <c r="F207" s="4">
        <v>20</v>
      </c>
      <c r="G207" s="4" t="b">
        <v>0</v>
      </c>
      <c r="H207" s="4">
        <v>0</v>
      </c>
      <c r="I207" s="4">
        <v>1</v>
      </c>
      <c r="J207" s="4">
        <v>0.14000000000000001</v>
      </c>
      <c r="K207" s="6" t="str">
        <f>IF(H207=0,"weekend",IF(H207=6,"weekend","weekend"))</f>
        <v>weekend</v>
      </c>
      <c r="L207" s="3" t="str">
        <f>IF(C207=1,"Spring",IF(C207=2,"Summer",IF(C207=3,"Fall","Winter")))</f>
        <v>Spring</v>
      </c>
      <c r="M207" s="3">
        <f>SUM(J207:J231)</f>
        <v>3.7400000000000024</v>
      </c>
      <c r="N207" s="3">
        <f>AVERAGE(J207:J816)</f>
        <v>0.1811851851851852</v>
      </c>
      <c r="O207" s="3">
        <f>COUNT(J207:J816)</f>
        <v>405</v>
      </c>
      <c r="P207" s="3" t="str">
        <f>TEXT(J207,"0.00")</f>
        <v>0.14</v>
      </c>
      <c r="Q207" s="3" t="str">
        <f>LEFT(L207,3)</f>
        <v>Spr</v>
      </c>
      <c r="R207" s="42" t="str">
        <f>RIGHT(L207,3)</f>
        <v>ing</v>
      </c>
      <c r="S207" s="42">
        <f>LEN(L207)</f>
        <v>6</v>
      </c>
      <c r="T207" s="3" t="str">
        <f>A207&amp;"|"&amp;B207&amp;"|"&amp;F207</f>
        <v>206|40787|20</v>
      </c>
      <c r="U207" s="3">
        <f t="shared" si="12"/>
        <v>610</v>
      </c>
      <c r="V207" s="3">
        <f t="shared" si="13"/>
        <v>120.10000000000005</v>
      </c>
      <c r="W207" s="50">
        <f t="shared" si="14"/>
        <v>8.1303845032683911E-2</v>
      </c>
      <c r="X207" s="50">
        <f t="shared" si="15"/>
        <v>0.16514794964716251</v>
      </c>
    </row>
    <row r="208" spans="1:24" x14ac:dyDescent="0.2">
      <c r="A208" s="4">
        <v>207</v>
      </c>
      <c r="B208" s="5">
        <v>40787</v>
      </c>
      <c r="C208" s="4">
        <v>1</v>
      </c>
      <c r="D208" s="4">
        <v>0</v>
      </c>
      <c r="E208" s="4">
        <v>1</v>
      </c>
      <c r="F208" s="4">
        <v>21</v>
      </c>
      <c r="G208" s="4" t="b">
        <v>0</v>
      </c>
      <c r="H208" s="4">
        <v>0</v>
      </c>
      <c r="I208" s="4">
        <v>1</v>
      </c>
      <c r="J208" s="4">
        <v>0.14000000000000001</v>
      </c>
      <c r="K208" s="6" t="str">
        <f>IF(H208=0,"weekend",IF(H208=6,"weekend","weekend"))</f>
        <v>weekend</v>
      </c>
      <c r="L208" s="3" t="str">
        <f>IF(C208=1,"Spring",IF(C208=2,"Summer",IF(C208=3,"Fall","Winter")))</f>
        <v>Spring</v>
      </c>
      <c r="M208" s="3">
        <f>SUM(J208:J232)</f>
        <v>3.740000000000002</v>
      </c>
      <c r="N208" s="3">
        <f>AVERAGE(J208:J817)</f>
        <v>0.18128712871287134</v>
      </c>
      <c r="O208" s="3">
        <f>COUNT(J208:J817)</f>
        <v>404</v>
      </c>
      <c r="P208" s="3" t="str">
        <f>TEXT(J208,"0.00")</f>
        <v>0.14</v>
      </c>
      <c r="Q208" s="3" t="str">
        <f>LEFT(L208,3)</f>
        <v>Spr</v>
      </c>
      <c r="R208" s="42" t="str">
        <f>RIGHT(L208,3)</f>
        <v>ing</v>
      </c>
      <c r="S208" s="42">
        <f>LEN(L208)</f>
        <v>6</v>
      </c>
      <c r="T208" s="3" t="str">
        <f>A208&amp;"|"&amp;B208&amp;"|"&amp;F208</f>
        <v>207|40787|21</v>
      </c>
      <c r="U208" s="3">
        <f t="shared" si="12"/>
        <v>610</v>
      </c>
      <c r="V208" s="3">
        <f t="shared" si="13"/>
        <v>120.10000000000005</v>
      </c>
      <c r="W208" s="50">
        <f t="shared" si="14"/>
        <v>8.1303845032683911E-2</v>
      </c>
      <c r="X208" s="50">
        <f t="shared" si="15"/>
        <v>0.16514794964716251</v>
      </c>
    </row>
    <row r="209" spans="1:24" x14ac:dyDescent="0.2">
      <c r="A209" s="4">
        <v>208</v>
      </c>
      <c r="B209" s="5">
        <v>40787</v>
      </c>
      <c r="C209" s="4">
        <v>1</v>
      </c>
      <c r="D209" s="4">
        <v>0</v>
      </c>
      <c r="E209" s="4">
        <v>1</v>
      </c>
      <c r="F209" s="4">
        <v>22</v>
      </c>
      <c r="G209" s="4" t="b">
        <v>0</v>
      </c>
      <c r="H209" s="4">
        <v>0</v>
      </c>
      <c r="I209" s="4">
        <v>1</v>
      </c>
      <c r="J209" s="4">
        <v>0.14000000000000001</v>
      </c>
      <c r="K209" s="6" t="str">
        <f>IF(H209=0,"weekend",IF(H209=6,"weekend","weekend"))</f>
        <v>weekend</v>
      </c>
      <c r="L209" s="3" t="str">
        <f>IF(C209=1,"Spring",IF(C209=2,"Summer",IF(C209=3,"Fall","Winter")))</f>
        <v>Spring</v>
      </c>
      <c r="M209" s="3">
        <f>SUM(J209:J233)</f>
        <v>3.740000000000002</v>
      </c>
      <c r="N209" s="3">
        <f>AVERAGE(J209:J818)</f>
        <v>0.18138957816377177</v>
      </c>
      <c r="O209" s="3">
        <f>COUNT(J209:J818)</f>
        <v>403</v>
      </c>
      <c r="P209" s="3" t="str">
        <f>TEXT(J209,"0.00")</f>
        <v>0.14</v>
      </c>
      <c r="Q209" s="3" t="str">
        <f>LEFT(L209,3)</f>
        <v>Spr</v>
      </c>
      <c r="R209" s="42" t="str">
        <f>RIGHT(L209,3)</f>
        <v>ing</v>
      </c>
      <c r="S209" s="42">
        <f>LEN(L209)</f>
        <v>6</v>
      </c>
      <c r="T209" s="3" t="str">
        <f>A209&amp;"|"&amp;B209&amp;"|"&amp;F209</f>
        <v>208|40787|22</v>
      </c>
      <c r="U209" s="3">
        <f t="shared" si="12"/>
        <v>610</v>
      </c>
      <c r="V209" s="3">
        <f t="shared" si="13"/>
        <v>120.10000000000005</v>
      </c>
      <c r="W209" s="50">
        <f t="shared" si="14"/>
        <v>8.1303845032683911E-2</v>
      </c>
      <c r="X209" s="50">
        <f t="shared" si="15"/>
        <v>0.16514794964716251</v>
      </c>
    </row>
    <row r="210" spans="1:24" x14ac:dyDescent="0.2">
      <c r="A210" s="4">
        <v>209</v>
      </c>
      <c r="B210" s="5">
        <v>40787</v>
      </c>
      <c r="C210" s="4">
        <v>1</v>
      </c>
      <c r="D210" s="4">
        <v>0</v>
      </c>
      <c r="E210" s="4">
        <v>1</v>
      </c>
      <c r="F210" s="4">
        <v>23</v>
      </c>
      <c r="G210" s="4" t="b">
        <v>0</v>
      </c>
      <c r="H210" s="4">
        <v>0</v>
      </c>
      <c r="I210" s="4">
        <v>1</v>
      </c>
      <c r="J210" s="4">
        <v>0.12</v>
      </c>
      <c r="K210" s="6" t="str">
        <f>IF(H210=0,"weekend",IF(H210=6,"weekend","weekend"))</f>
        <v>weekend</v>
      </c>
      <c r="L210" s="3" t="str">
        <f>IF(C210=1,"Spring",IF(C210=2,"Summer",IF(C210=3,"Fall","Winter")))</f>
        <v>Spring</v>
      </c>
      <c r="M210" s="3">
        <f>SUM(J210:J234)</f>
        <v>3.740000000000002</v>
      </c>
      <c r="N210" s="3">
        <f>AVERAGE(J210:J819)</f>
        <v>0.18149253731343284</v>
      </c>
      <c r="O210" s="3">
        <f>COUNT(J210:J819)</f>
        <v>402</v>
      </c>
      <c r="P210" s="3" t="str">
        <f>TEXT(J210,"0.00")</f>
        <v>0.12</v>
      </c>
      <c r="Q210" s="3" t="str">
        <f>LEFT(L210,3)</f>
        <v>Spr</v>
      </c>
      <c r="R210" s="42" t="str">
        <f>RIGHT(L210,3)</f>
        <v>ing</v>
      </c>
      <c r="S210" s="42">
        <f>LEN(L210)</f>
        <v>6</v>
      </c>
      <c r="T210" s="3" t="str">
        <f>A210&amp;"|"&amp;B210&amp;"|"&amp;F210</f>
        <v>209|40787|23</v>
      </c>
      <c r="U210" s="3">
        <f t="shared" si="12"/>
        <v>610</v>
      </c>
      <c r="V210" s="3">
        <f t="shared" si="13"/>
        <v>120.10000000000005</v>
      </c>
      <c r="W210" s="50">
        <f t="shared" si="14"/>
        <v>8.1303845032683911E-2</v>
      </c>
      <c r="X210" s="50">
        <f t="shared" si="15"/>
        <v>0.16514794964716251</v>
      </c>
    </row>
    <row r="211" spans="1:24" x14ac:dyDescent="0.2">
      <c r="A211" s="4">
        <v>210</v>
      </c>
      <c r="B211" s="5">
        <v>40817</v>
      </c>
      <c r="C211" s="4">
        <v>1</v>
      </c>
      <c r="D211" s="4">
        <v>0</v>
      </c>
      <c r="E211" s="4">
        <v>1</v>
      </c>
      <c r="F211" s="4">
        <v>0</v>
      </c>
      <c r="G211" s="4" t="b">
        <v>0</v>
      </c>
      <c r="H211" s="4">
        <v>1</v>
      </c>
      <c r="I211" s="4">
        <v>1</v>
      </c>
      <c r="J211" s="4">
        <v>0.12</v>
      </c>
      <c r="K211" s="6" t="str">
        <f>IF(H211=0,"weekend",IF(H211=6,"weekend","weekend"))</f>
        <v>weekend</v>
      </c>
      <c r="L211" s="3" t="str">
        <f>IF(C211=1,"Spring",IF(C211=2,"Summer",IF(C211=3,"Fall","Winter")))</f>
        <v>Spring</v>
      </c>
      <c r="M211" s="3">
        <f>SUM(J211:J235)</f>
        <v>3.7600000000000016</v>
      </c>
      <c r="N211" s="3">
        <f>AVERAGE(J211:J820)</f>
        <v>0.18164588528678305</v>
      </c>
      <c r="O211" s="3">
        <f>COUNT(J211:J820)</f>
        <v>401</v>
      </c>
      <c r="P211" s="3" t="str">
        <f>TEXT(J211,"0.00")</f>
        <v>0.12</v>
      </c>
      <c r="Q211" s="3" t="str">
        <f>LEFT(L211,3)</f>
        <v>Spr</v>
      </c>
      <c r="R211" s="42" t="str">
        <f>RIGHT(L211,3)</f>
        <v>ing</v>
      </c>
      <c r="S211" s="42">
        <f>LEN(L211)</f>
        <v>6</v>
      </c>
      <c r="T211" s="3" t="str">
        <f>A211&amp;"|"&amp;B211&amp;"|"&amp;F211</f>
        <v>210|40817|0</v>
      </c>
      <c r="U211" s="3">
        <f t="shared" si="12"/>
        <v>610</v>
      </c>
      <c r="V211" s="3">
        <f t="shared" si="13"/>
        <v>120.10000000000005</v>
      </c>
      <c r="W211" s="50">
        <f t="shared" si="14"/>
        <v>8.1303845032683911E-2</v>
      </c>
      <c r="X211" s="50">
        <f t="shared" si="15"/>
        <v>0.16514794964716251</v>
      </c>
    </row>
    <row r="212" spans="1:24" x14ac:dyDescent="0.2">
      <c r="A212" s="4">
        <v>211</v>
      </c>
      <c r="B212" s="5">
        <v>40817</v>
      </c>
      <c r="C212" s="4">
        <v>1</v>
      </c>
      <c r="D212" s="4">
        <v>0</v>
      </c>
      <c r="E212" s="4">
        <v>1</v>
      </c>
      <c r="F212" s="4">
        <v>1</v>
      </c>
      <c r="G212" s="4" t="b">
        <v>0</v>
      </c>
      <c r="H212" s="4">
        <v>1</v>
      </c>
      <c r="I212" s="4">
        <v>1</v>
      </c>
      <c r="J212" s="4">
        <v>0.12</v>
      </c>
      <c r="K212" s="6" t="str">
        <f>IF(H212=0,"weekend",IF(H212=6,"weekend","weekend"))</f>
        <v>weekend</v>
      </c>
      <c r="L212" s="3" t="str">
        <f>IF(C212=1,"Spring",IF(C212=2,"Summer",IF(C212=3,"Fall","Winter")))</f>
        <v>Spring</v>
      </c>
      <c r="M212" s="3">
        <f>SUM(J212:J236)</f>
        <v>3.7800000000000016</v>
      </c>
      <c r="N212" s="3">
        <f>AVERAGE(J212:J821)</f>
        <v>0.18180000000000004</v>
      </c>
      <c r="O212" s="3">
        <f>COUNT(J212:J821)</f>
        <v>400</v>
      </c>
      <c r="P212" s="3" t="str">
        <f>TEXT(J212,"0.00")</f>
        <v>0.12</v>
      </c>
      <c r="Q212" s="3" t="str">
        <f>LEFT(L212,3)</f>
        <v>Spr</v>
      </c>
      <c r="R212" s="42" t="str">
        <f>RIGHT(L212,3)</f>
        <v>ing</v>
      </c>
      <c r="S212" s="42">
        <f>LEN(L212)</f>
        <v>6</v>
      </c>
      <c r="T212" s="3" t="str">
        <f>A212&amp;"|"&amp;B212&amp;"|"&amp;F212</f>
        <v>211|40817|1</v>
      </c>
      <c r="U212" s="3">
        <f t="shared" si="12"/>
        <v>610</v>
      </c>
      <c r="V212" s="3">
        <f t="shared" si="13"/>
        <v>120.10000000000005</v>
      </c>
      <c r="W212" s="50">
        <f t="shared" si="14"/>
        <v>8.1303845032683911E-2</v>
      </c>
      <c r="X212" s="50">
        <f t="shared" si="15"/>
        <v>0.16514794964716251</v>
      </c>
    </row>
    <row r="213" spans="1:24" x14ac:dyDescent="0.2">
      <c r="A213" s="4">
        <v>212</v>
      </c>
      <c r="B213" s="5">
        <v>40817</v>
      </c>
      <c r="C213" s="4">
        <v>1</v>
      </c>
      <c r="D213" s="4">
        <v>0</v>
      </c>
      <c r="E213" s="4">
        <v>1</v>
      </c>
      <c r="F213" s="4">
        <v>2</v>
      </c>
      <c r="G213" s="4" t="b">
        <v>0</v>
      </c>
      <c r="H213" s="4">
        <v>1</v>
      </c>
      <c r="I213" s="4">
        <v>1</v>
      </c>
      <c r="J213" s="4">
        <v>0.12</v>
      </c>
      <c r="K213" s="6" t="str">
        <f>IF(H213=0,"weekend",IF(H213=6,"weekend","weekend"))</f>
        <v>weekend</v>
      </c>
      <c r="L213" s="3" t="str">
        <f>IF(C213=1,"Spring",IF(C213=2,"Summer",IF(C213=3,"Fall","Winter")))</f>
        <v>Spring</v>
      </c>
      <c r="M213" s="3">
        <f>SUM(J213:J237)</f>
        <v>3.8200000000000016</v>
      </c>
      <c r="N213" s="3">
        <f>AVERAGE(J213:J822)</f>
        <v>0.18195488721804515</v>
      </c>
      <c r="O213" s="3">
        <f>COUNT(J213:J822)</f>
        <v>399</v>
      </c>
      <c r="P213" s="3" t="str">
        <f>TEXT(J213,"0.00")</f>
        <v>0.12</v>
      </c>
      <c r="Q213" s="3" t="str">
        <f>LEFT(L213,3)</f>
        <v>Spr</v>
      </c>
      <c r="R213" s="42" t="str">
        <f>RIGHT(L213,3)</f>
        <v>ing</v>
      </c>
      <c r="S213" s="42">
        <f>LEN(L213)</f>
        <v>6</v>
      </c>
      <c r="T213" s="3" t="str">
        <f>A213&amp;"|"&amp;B213&amp;"|"&amp;F213</f>
        <v>212|40817|2</v>
      </c>
      <c r="U213" s="3">
        <f t="shared" si="12"/>
        <v>610</v>
      </c>
      <c r="V213" s="3">
        <f t="shared" si="13"/>
        <v>120.10000000000005</v>
      </c>
      <c r="W213" s="50">
        <f t="shared" si="14"/>
        <v>8.1303845032683911E-2</v>
      </c>
      <c r="X213" s="50">
        <f t="shared" si="15"/>
        <v>0.16514794964716251</v>
      </c>
    </row>
    <row r="214" spans="1:24" x14ac:dyDescent="0.2">
      <c r="A214" s="4">
        <v>213</v>
      </c>
      <c r="B214" s="5">
        <v>40817</v>
      </c>
      <c r="C214" s="4">
        <v>1</v>
      </c>
      <c r="D214" s="4">
        <v>0</v>
      </c>
      <c r="E214" s="4">
        <v>1</v>
      </c>
      <c r="F214" s="4">
        <v>3</v>
      </c>
      <c r="G214" s="4" t="b">
        <v>0</v>
      </c>
      <c r="H214" s="4">
        <v>1</v>
      </c>
      <c r="I214" s="4">
        <v>1</v>
      </c>
      <c r="J214" s="4">
        <v>0.12</v>
      </c>
      <c r="K214" s="6" t="str">
        <f>IF(H214=0,"weekend",IF(H214=6,"weekend","weekend"))</f>
        <v>weekend</v>
      </c>
      <c r="L214" s="3" t="str">
        <f>IF(C214=1,"Spring",IF(C214=2,"Summer",IF(C214=3,"Fall","Winter")))</f>
        <v>Spring</v>
      </c>
      <c r="M214" s="3">
        <f>SUM(J214:J238)</f>
        <v>3.8600000000000017</v>
      </c>
      <c r="N214" s="3">
        <f>AVERAGE(J214:J823)</f>
        <v>0.18211055276381913</v>
      </c>
      <c r="O214" s="3">
        <f>COUNT(J214:J823)</f>
        <v>398</v>
      </c>
      <c r="P214" s="3" t="str">
        <f>TEXT(J214,"0.00")</f>
        <v>0.12</v>
      </c>
      <c r="Q214" s="3" t="str">
        <f>LEFT(L214,3)</f>
        <v>Spr</v>
      </c>
      <c r="R214" s="42" t="str">
        <f>RIGHT(L214,3)</f>
        <v>ing</v>
      </c>
      <c r="S214" s="42">
        <f>LEN(L214)</f>
        <v>6</v>
      </c>
      <c r="T214" s="3" t="str">
        <f>A214&amp;"|"&amp;B214&amp;"|"&amp;F214</f>
        <v>213|40817|3</v>
      </c>
      <c r="U214" s="3">
        <f t="shared" si="12"/>
        <v>610</v>
      </c>
      <c r="V214" s="3">
        <f t="shared" si="13"/>
        <v>120.10000000000005</v>
      </c>
      <c r="W214" s="50">
        <f t="shared" si="14"/>
        <v>8.1303845032683911E-2</v>
      </c>
      <c r="X214" s="50">
        <f t="shared" si="15"/>
        <v>0.16514794964716251</v>
      </c>
    </row>
    <row r="215" spans="1:24" x14ac:dyDescent="0.2">
      <c r="A215" s="4">
        <v>214</v>
      </c>
      <c r="B215" s="5">
        <v>40817</v>
      </c>
      <c r="C215" s="4">
        <v>1</v>
      </c>
      <c r="D215" s="4">
        <v>0</v>
      </c>
      <c r="E215" s="4">
        <v>1</v>
      </c>
      <c r="F215" s="4">
        <v>4</v>
      </c>
      <c r="G215" s="4" t="b">
        <v>0</v>
      </c>
      <c r="H215" s="4">
        <v>1</v>
      </c>
      <c r="I215" s="4">
        <v>1</v>
      </c>
      <c r="J215" s="4">
        <v>0.1</v>
      </c>
      <c r="K215" s="6" t="str">
        <f>IF(H215=0,"weekend",IF(H215=6,"weekend","weekend"))</f>
        <v>weekend</v>
      </c>
      <c r="L215" s="3" t="str">
        <f>IF(C215=1,"Spring",IF(C215=2,"Summer",IF(C215=3,"Fall","Winter")))</f>
        <v>Spring</v>
      </c>
      <c r="M215" s="3">
        <f>SUM(J215:J239)</f>
        <v>3.9000000000000012</v>
      </c>
      <c r="N215" s="3">
        <f>AVERAGE(J215:J824)</f>
        <v>0.18226700251889175</v>
      </c>
      <c r="O215" s="3">
        <f>COUNT(J215:J824)</f>
        <v>397</v>
      </c>
      <c r="P215" s="3" t="str">
        <f>TEXT(J215,"0.00")</f>
        <v>0.10</v>
      </c>
      <c r="Q215" s="3" t="str">
        <f>LEFT(L215,3)</f>
        <v>Spr</v>
      </c>
      <c r="R215" s="42" t="str">
        <f>RIGHT(L215,3)</f>
        <v>ing</v>
      </c>
      <c r="S215" s="42">
        <f>LEN(L215)</f>
        <v>6</v>
      </c>
      <c r="T215" s="3" t="str">
        <f>A215&amp;"|"&amp;B215&amp;"|"&amp;F215</f>
        <v>214|40817|4</v>
      </c>
      <c r="U215" s="3">
        <f t="shared" si="12"/>
        <v>610</v>
      </c>
      <c r="V215" s="3">
        <f t="shared" si="13"/>
        <v>120.10000000000005</v>
      </c>
      <c r="W215" s="50">
        <f t="shared" si="14"/>
        <v>8.1303845032683911E-2</v>
      </c>
      <c r="X215" s="50">
        <f t="shared" si="15"/>
        <v>0.16514794964716251</v>
      </c>
    </row>
    <row r="216" spans="1:24" x14ac:dyDescent="0.2">
      <c r="A216" s="4">
        <v>215</v>
      </c>
      <c r="B216" s="5">
        <v>40817</v>
      </c>
      <c r="C216" s="4">
        <v>1</v>
      </c>
      <c r="D216" s="4">
        <v>0</v>
      </c>
      <c r="E216" s="4">
        <v>1</v>
      </c>
      <c r="F216" s="4">
        <v>5</v>
      </c>
      <c r="G216" s="4" t="b">
        <v>0</v>
      </c>
      <c r="H216" s="4">
        <v>1</v>
      </c>
      <c r="I216" s="4">
        <v>1</v>
      </c>
      <c r="J216" s="4">
        <v>0.1</v>
      </c>
      <c r="K216" s="6" t="str">
        <f>IF(H216=0,"weekend",IF(H216=6,"weekend","weekend"))</f>
        <v>weekend</v>
      </c>
      <c r="L216" s="3" t="str">
        <f>IF(C216=1,"Spring",IF(C216=2,"Summer",IF(C216=3,"Fall","Winter")))</f>
        <v>Spring</v>
      </c>
      <c r="M216" s="3">
        <f>SUM(J216:J240)</f>
        <v>3.9600000000000017</v>
      </c>
      <c r="N216" s="3">
        <f>AVERAGE(J216:J825)</f>
        <v>0.18247474747474757</v>
      </c>
      <c r="O216" s="3">
        <f>COUNT(J216:J825)</f>
        <v>396</v>
      </c>
      <c r="P216" s="3" t="str">
        <f>TEXT(J216,"0.00")</f>
        <v>0.10</v>
      </c>
      <c r="Q216" s="3" t="str">
        <f>LEFT(L216,3)</f>
        <v>Spr</v>
      </c>
      <c r="R216" s="42" t="str">
        <f>RIGHT(L216,3)</f>
        <v>ing</v>
      </c>
      <c r="S216" s="42">
        <f>LEN(L216)</f>
        <v>6</v>
      </c>
      <c r="T216" s="3" t="str">
        <f>A216&amp;"|"&amp;B216&amp;"|"&amp;F216</f>
        <v>215|40817|5</v>
      </c>
      <c r="U216" s="3">
        <f t="shared" si="12"/>
        <v>610</v>
      </c>
      <c r="V216" s="3">
        <f t="shared" si="13"/>
        <v>120.10000000000005</v>
      </c>
      <c r="W216" s="50">
        <f t="shared" si="14"/>
        <v>8.1303845032683911E-2</v>
      </c>
      <c r="X216" s="50">
        <f t="shared" si="15"/>
        <v>0.16514794964716251</v>
      </c>
    </row>
    <row r="217" spans="1:24" x14ac:dyDescent="0.2">
      <c r="A217" s="4">
        <v>216</v>
      </c>
      <c r="B217" s="5">
        <v>40817</v>
      </c>
      <c r="C217" s="4">
        <v>1</v>
      </c>
      <c r="D217" s="4">
        <v>0</v>
      </c>
      <c r="E217" s="4">
        <v>1</v>
      </c>
      <c r="F217" s="4">
        <v>6</v>
      </c>
      <c r="G217" s="4" t="b">
        <v>0</v>
      </c>
      <c r="H217" s="4">
        <v>1</v>
      </c>
      <c r="I217" s="4">
        <v>1</v>
      </c>
      <c r="J217" s="4">
        <v>0.12</v>
      </c>
      <c r="K217" s="6" t="str">
        <f>IF(H217=0,"weekend",IF(H217=6,"weekend","weekend"))</f>
        <v>weekend</v>
      </c>
      <c r="L217" s="3" t="str">
        <f>IF(C217=1,"Spring",IF(C217=2,"Summer",IF(C217=3,"Fall","Winter")))</f>
        <v>Spring</v>
      </c>
      <c r="M217" s="3">
        <f>SUM(J217:J241)</f>
        <v>4.0400000000000009</v>
      </c>
      <c r="N217" s="3">
        <f>AVERAGE(J217:J826)</f>
        <v>0.18268354430379752</v>
      </c>
      <c r="O217" s="3">
        <f>COUNT(J217:J826)</f>
        <v>395</v>
      </c>
      <c r="P217" s="3" t="str">
        <f>TEXT(J217,"0.00")</f>
        <v>0.12</v>
      </c>
      <c r="Q217" s="3" t="str">
        <f>LEFT(L217,3)</f>
        <v>Spr</v>
      </c>
      <c r="R217" s="42" t="str">
        <f>RIGHT(L217,3)</f>
        <v>ing</v>
      </c>
      <c r="S217" s="42">
        <f>LEN(L217)</f>
        <v>6</v>
      </c>
      <c r="T217" s="3" t="str">
        <f>A217&amp;"|"&amp;B217&amp;"|"&amp;F217</f>
        <v>216|40817|6</v>
      </c>
      <c r="U217" s="3">
        <f t="shared" si="12"/>
        <v>610</v>
      </c>
      <c r="V217" s="3">
        <f t="shared" si="13"/>
        <v>120.10000000000005</v>
      </c>
      <c r="W217" s="50">
        <f t="shared" si="14"/>
        <v>8.1303845032683911E-2</v>
      </c>
      <c r="X217" s="50">
        <f t="shared" si="15"/>
        <v>0.16514794964716251</v>
      </c>
    </row>
    <row r="218" spans="1:24" x14ac:dyDescent="0.2">
      <c r="A218" s="4">
        <v>217</v>
      </c>
      <c r="B218" s="5">
        <v>40817</v>
      </c>
      <c r="C218" s="4">
        <v>1</v>
      </c>
      <c r="D218" s="4">
        <v>0</v>
      </c>
      <c r="E218" s="4">
        <v>1</v>
      </c>
      <c r="F218" s="4">
        <v>7</v>
      </c>
      <c r="G218" s="4" t="b">
        <v>0</v>
      </c>
      <c r="H218" s="4">
        <v>1</v>
      </c>
      <c r="I218" s="4">
        <v>1</v>
      </c>
      <c r="J218" s="4">
        <v>0.12</v>
      </c>
      <c r="K218" s="6" t="str">
        <f>IF(H218=0,"weekend",IF(H218=6,"weekend","weekend"))</f>
        <v>weekend</v>
      </c>
      <c r="L218" s="3" t="str">
        <f>IF(C218=1,"Spring",IF(C218=2,"Summer",IF(C218=3,"Fall","Winter")))</f>
        <v>Spring</v>
      </c>
      <c r="M218" s="3">
        <f>SUM(J218:J242)</f>
        <v>4.1000000000000014</v>
      </c>
      <c r="N218" s="3">
        <f>AVERAGE(J218:J827)</f>
        <v>0.18284263959390867</v>
      </c>
      <c r="O218" s="3">
        <f>COUNT(J218:J827)</f>
        <v>394</v>
      </c>
      <c r="P218" s="3" t="str">
        <f>TEXT(J218,"0.00")</f>
        <v>0.12</v>
      </c>
      <c r="Q218" s="3" t="str">
        <f>LEFT(L218,3)</f>
        <v>Spr</v>
      </c>
      <c r="R218" s="42" t="str">
        <f>RIGHT(L218,3)</f>
        <v>ing</v>
      </c>
      <c r="S218" s="42">
        <f>LEN(L218)</f>
        <v>6</v>
      </c>
      <c r="T218" s="3" t="str">
        <f>A218&amp;"|"&amp;B218&amp;"|"&amp;F218</f>
        <v>217|40817|7</v>
      </c>
      <c r="U218" s="3">
        <f t="shared" si="12"/>
        <v>610</v>
      </c>
      <c r="V218" s="3">
        <f t="shared" si="13"/>
        <v>120.10000000000005</v>
      </c>
      <c r="W218" s="50">
        <f t="shared" si="14"/>
        <v>8.1303845032683911E-2</v>
      </c>
      <c r="X218" s="50">
        <f t="shared" si="15"/>
        <v>0.16514794964716251</v>
      </c>
    </row>
    <row r="219" spans="1:24" x14ac:dyDescent="0.2">
      <c r="A219" s="4">
        <v>218</v>
      </c>
      <c r="B219" s="5">
        <v>40817</v>
      </c>
      <c r="C219" s="4">
        <v>1</v>
      </c>
      <c r="D219" s="4">
        <v>0</v>
      </c>
      <c r="E219" s="4">
        <v>1</v>
      </c>
      <c r="F219" s="4">
        <v>8</v>
      </c>
      <c r="G219" s="4" t="b">
        <v>0</v>
      </c>
      <c r="H219" s="4">
        <v>1</v>
      </c>
      <c r="I219" s="4">
        <v>2</v>
      </c>
      <c r="J219" s="4">
        <v>0.12</v>
      </c>
      <c r="K219" s="6" t="str">
        <f>IF(H219=0,"weekend",IF(H219=6,"weekend","weekend"))</f>
        <v>weekend</v>
      </c>
      <c r="L219" s="3" t="str">
        <f>IF(C219=1,"Spring",IF(C219=2,"Summer",IF(C219=3,"Fall","Winter")))</f>
        <v>Spring</v>
      </c>
      <c r="M219" s="3">
        <f>SUM(J219:J243)</f>
        <v>4.1800000000000015</v>
      </c>
      <c r="N219" s="3">
        <f>AVERAGE(J219:J828)</f>
        <v>0.18300254452926215</v>
      </c>
      <c r="O219" s="3">
        <f>COUNT(J219:J828)</f>
        <v>393</v>
      </c>
      <c r="P219" s="3" t="str">
        <f>TEXT(J219,"0.00")</f>
        <v>0.12</v>
      </c>
      <c r="Q219" s="3" t="str">
        <f>LEFT(L219,3)</f>
        <v>Spr</v>
      </c>
      <c r="R219" s="42" t="str">
        <f>RIGHT(L219,3)</f>
        <v>ing</v>
      </c>
      <c r="S219" s="42">
        <f>LEN(L219)</f>
        <v>6</v>
      </c>
      <c r="T219" s="3" t="str">
        <f>A219&amp;"|"&amp;B219&amp;"|"&amp;F219</f>
        <v>218|40817|8</v>
      </c>
      <c r="U219" s="3">
        <f t="shared" si="12"/>
        <v>610</v>
      </c>
      <c r="V219" s="3">
        <f t="shared" si="13"/>
        <v>120.10000000000005</v>
      </c>
      <c r="W219" s="50">
        <f t="shared" si="14"/>
        <v>8.1303845032683911E-2</v>
      </c>
      <c r="X219" s="50">
        <f t="shared" si="15"/>
        <v>0.16514794964716251</v>
      </c>
    </row>
    <row r="220" spans="1:24" x14ac:dyDescent="0.2">
      <c r="A220" s="4">
        <v>219</v>
      </c>
      <c r="B220" s="5">
        <v>40817</v>
      </c>
      <c r="C220" s="4">
        <v>1</v>
      </c>
      <c r="D220" s="4">
        <v>0</v>
      </c>
      <c r="E220" s="4">
        <v>1</v>
      </c>
      <c r="F220" s="4">
        <v>9</v>
      </c>
      <c r="G220" s="4" t="b">
        <v>0</v>
      </c>
      <c r="H220" s="4">
        <v>1</v>
      </c>
      <c r="I220" s="4">
        <v>2</v>
      </c>
      <c r="J220" s="4">
        <v>0.14000000000000001</v>
      </c>
      <c r="K220" s="6" t="str">
        <f>IF(H220=0,"weekend",IF(H220=6,"weekend","weekend"))</f>
        <v>weekend</v>
      </c>
      <c r="L220" s="3" t="str">
        <f>IF(C220=1,"Spring",IF(C220=2,"Summer",IF(C220=3,"Fall","Winter")))</f>
        <v>Spring</v>
      </c>
      <c r="M220" s="3">
        <f>SUM(J220:J244)</f>
        <v>4.2600000000000016</v>
      </c>
      <c r="N220" s="3">
        <f>AVERAGE(J220:J829)</f>
        <v>0.18316326530612251</v>
      </c>
      <c r="O220" s="3">
        <f>COUNT(J220:J829)</f>
        <v>392</v>
      </c>
      <c r="P220" s="3" t="str">
        <f>TEXT(J220,"0.00")</f>
        <v>0.14</v>
      </c>
      <c r="Q220" s="3" t="str">
        <f>LEFT(L220,3)</f>
        <v>Spr</v>
      </c>
      <c r="R220" s="42" t="str">
        <f>RIGHT(L220,3)</f>
        <v>ing</v>
      </c>
      <c r="S220" s="42">
        <f>LEN(L220)</f>
        <v>6</v>
      </c>
      <c r="T220" s="3" t="str">
        <f>A220&amp;"|"&amp;B220&amp;"|"&amp;F220</f>
        <v>219|40817|9</v>
      </c>
      <c r="U220" s="3">
        <f t="shared" si="12"/>
        <v>610</v>
      </c>
      <c r="V220" s="3">
        <f t="shared" si="13"/>
        <v>120.10000000000005</v>
      </c>
      <c r="W220" s="50">
        <f t="shared" si="14"/>
        <v>8.1303845032683911E-2</v>
      </c>
      <c r="X220" s="50">
        <f t="shared" si="15"/>
        <v>0.16514794964716251</v>
      </c>
    </row>
    <row r="221" spans="1:24" x14ac:dyDescent="0.2">
      <c r="A221" s="4">
        <v>220</v>
      </c>
      <c r="B221" s="5">
        <v>40817</v>
      </c>
      <c r="C221" s="4">
        <v>1</v>
      </c>
      <c r="D221" s="4">
        <v>0</v>
      </c>
      <c r="E221" s="4">
        <v>1</v>
      </c>
      <c r="F221" s="4">
        <v>10</v>
      </c>
      <c r="G221" s="4" t="b">
        <v>0</v>
      </c>
      <c r="H221" s="4">
        <v>1</v>
      </c>
      <c r="I221" s="4">
        <v>2</v>
      </c>
      <c r="J221" s="4">
        <v>0.14000000000000001</v>
      </c>
      <c r="K221" s="6" t="str">
        <f>IF(H221=0,"weekend",IF(H221=6,"weekend","weekend"))</f>
        <v>weekend</v>
      </c>
      <c r="L221" s="3" t="str">
        <f>IF(C221=1,"Spring",IF(C221=2,"Summer",IF(C221=3,"Fall","Winter")))</f>
        <v>Spring</v>
      </c>
      <c r="M221" s="3">
        <f>SUM(J221:J245)</f>
        <v>4.3200000000000012</v>
      </c>
      <c r="N221" s="3">
        <f>AVERAGE(J221:J830)</f>
        <v>0.18327365728900263</v>
      </c>
      <c r="O221" s="3">
        <f>COUNT(J221:J830)</f>
        <v>391</v>
      </c>
      <c r="P221" s="3" t="str">
        <f>TEXT(J221,"0.00")</f>
        <v>0.14</v>
      </c>
      <c r="Q221" s="3" t="str">
        <f>LEFT(L221,3)</f>
        <v>Spr</v>
      </c>
      <c r="R221" s="42" t="str">
        <f>RIGHT(L221,3)</f>
        <v>ing</v>
      </c>
      <c r="S221" s="42">
        <f>LEN(L221)</f>
        <v>6</v>
      </c>
      <c r="T221" s="3" t="str">
        <f>A221&amp;"|"&amp;B221&amp;"|"&amp;F221</f>
        <v>220|40817|10</v>
      </c>
      <c r="U221" s="3">
        <f t="shared" si="12"/>
        <v>610</v>
      </c>
      <c r="V221" s="3">
        <f t="shared" si="13"/>
        <v>120.10000000000005</v>
      </c>
      <c r="W221" s="50">
        <f t="shared" si="14"/>
        <v>8.1303845032683911E-2</v>
      </c>
      <c r="X221" s="50">
        <f t="shared" si="15"/>
        <v>0.16514794964716251</v>
      </c>
    </row>
    <row r="222" spans="1:24" x14ac:dyDescent="0.2">
      <c r="A222" s="4">
        <v>221</v>
      </c>
      <c r="B222" s="5">
        <v>40817</v>
      </c>
      <c r="C222" s="4">
        <v>1</v>
      </c>
      <c r="D222" s="4">
        <v>0</v>
      </c>
      <c r="E222" s="4">
        <v>1</v>
      </c>
      <c r="F222" s="4">
        <v>11</v>
      </c>
      <c r="G222" s="4" t="b">
        <v>0</v>
      </c>
      <c r="H222" s="4">
        <v>1</v>
      </c>
      <c r="I222" s="4">
        <v>2</v>
      </c>
      <c r="J222" s="4">
        <v>0.16</v>
      </c>
      <c r="K222" s="6" t="str">
        <f>IF(H222=0,"weekend",IF(H222=6,"weekend","weekend"))</f>
        <v>weekend</v>
      </c>
      <c r="L222" s="3" t="str">
        <f>IF(C222=1,"Spring",IF(C222=2,"Summer",IF(C222=3,"Fall","Winter")))</f>
        <v>Spring</v>
      </c>
      <c r="M222" s="3">
        <f>SUM(J222:J246)</f>
        <v>4.3800000000000017</v>
      </c>
      <c r="N222" s="3">
        <f>AVERAGE(J222:J831)</f>
        <v>0.18338461538461545</v>
      </c>
      <c r="O222" s="3">
        <f>COUNT(J222:J831)</f>
        <v>390</v>
      </c>
      <c r="P222" s="3" t="str">
        <f>TEXT(J222,"0.00")</f>
        <v>0.16</v>
      </c>
      <c r="Q222" s="3" t="str">
        <f>LEFT(L222,3)</f>
        <v>Spr</v>
      </c>
      <c r="R222" s="42" t="str">
        <f>RIGHT(L222,3)</f>
        <v>ing</v>
      </c>
      <c r="S222" s="42">
        <f>LEN(L222)</f>
        <v>6</v>
      </c>
      <c r="T222" s="3" t="str">
        <f>A222&amp;"|"&amp;B222&amp;"|"&amp;F222</f>
        <v>221|40817|11</v>
      </c>
      <c r="U222" s="3">
        <f t="shared" si="12"/>
        <v>610</v>
      </c>
      <c r="V222" s="3">
        <f t="shared" si="13"/>
        <v>120.10000000000005</v>
      </c>
      <c r="W222" s="50">
        <f t="shared" si="14"/>
        <v>8.1303845032683911E-2</v>
      </c>
      <c r="X222" s="50">
        <f t="shared" si="15"/>
        <v>0.16514794964716251</v>
      </c>
    </row>
    <row r="223" spans="1:24" x14ac:dyDescent="0.2">
      <c r="A223" s="4">
        <v>222</v>
      </c>
      <c r="B223" s="5">
        <v>40817</v>
      </c>
      <c r="C223" s="4">
        <v>1</v>
      </c>
      <c r="D223" s="4">
        <v>0</v>
      </c>
      <c r="E223" s="4">
        <v>1</v>
      </c>
      <c r="F223" s="4">
        <v>12</v>
      </c>
      <c r="G223" s="4" t="b">
        <v>0</v>
      </c>
      <c r="H223" s="4">
        <v>1</v>
      </c>
      <c r="I223" s="4">
        <v>2</v>
      </c>
      <c r="J223" s="4">
        <v>0.2</v>
      </c>
      <c r="K223" s="6" t="str">
        <f>IF(H223=0,"weekend",IF(H223=6,"weekend","weekend"))</f>
        <v>weekend</v>
      </c>
      <c r="L223" s="3" t="str">
        <f>IF(C223=1,"Spring",IF(C223=2,"Summer",IF(C223=3,"Fall","Winter")))</f>
        <v>Spring</v>
      </c>
      <c r="M223" s="3">
        <f>SUM(J223:J247)</f>
        <v>4.4200000000000017</v>
      </c>
      <c r="N223" s="3">
        <f>AVERAGE(J223:J832)</f>
        <v>0.18344473007712089</v>
      </c>
      <c r="O223" s="3">
        <f>COUNT(J223:J832)</f>
        <v>389</v>
      </c>
      <c r="P223" s="3" t="str">
        <f>TEXT(J223,"0.00")</f>
        <v>0.20</v>
      </c>
      <c r="Q223" s="3" t="str">
        <f>LEFT(L223,3)</f>
        <v>Spr</v>
      </c>
      <c r="R223" s="42" t="str">
        <f>RIGHT(L223,3)</f>
        <v>ing</v>
      </c>
      <c r="S223" s="42">
        <f>LEN(L223)</f>
        <v>6</v>
      </c>
      <c r="T223" s="3" t="str">
        <f>A223&amp;"|"&amp;B223&amp;"|"&amp;F223</f>
        <v>222|40817|12</v>
      </c>
      <c r="U223" s="3">
        <f t="shared" si="12"/>
        <v>610</v>
      </c>
      <c r="V223" s="3">
        <f t="shared" si="13"/>
        <v>120.10000000000005</v>
      </c>
      <c r="W223" s="50">
        <f t="shared" si="14"/>
        <v>8.1303845032683911E-2</v>
      </c>
      <c r="X223" s="50">
        <f t="shared" si="15"/>
        <v>0.16514794964716251</v>
      </c>
    </row>
    <row r="224" spans="1:24" x14ac:dyDescent="0.2">
      <c r="A224" s="4">
        <v>223</v>
      </c>
      <c r="B224" s="5">
        <v>40817</v>
      </c>
      <c r="C224" s="4">
        <v>1</v>
      </c>
      <c r="D224" s="4">
        <v>0</v>
      </c>
      <c r="E224" s="4">
        <v>1</v>
      </c>
      <c r="F224" s="4">
        <v>13</v>
      </c>
      <c r="G224" s="4" t="b">
        <v>0</v>
      </c>
      <c r="H224" s="4">
        <v>1</v>
      </c>
      <c r="I224" s="4">
        <v>2</v>
      </c>
      <c r="J224" s="4">
        <v>0.2</v>
      </c>
      <c r="K224" s="6" t="str">
        <f>IF(H224=0,"weekend",IF(H224=6,"weekend","weekend"))</f>
        <v>weekend</v>
      </c>
      <c r="L224" s="3" t="str">
        <f>IF(C224=1,"Spring",IF(C224=2,"Summer",IF(C224=3,"Fall","Winter")))</f>
        <v>Spring</v>
      </c>
      <c r="M224" s="3">
        <f>SUM(J224:J248)</f>
        <v>4.3800000000000017</v>
      </c>
      <c r="N224" s="3">
        <f>AVERAGE(J224:J833)</f>
        <v>0.18340206185567018</v>
      </c>
      <c r="O224" s="3">
        <f>COUNT(J224:J833)</f>
        <v>388</v>
      </c>
      <c r="P224" s="3" t="str">
        <f>TEXT(J224,"0.00")</f>
        <v>0.20</v>
      </c>
      <c r="Q224" s="3" t="str">
        <f>LEFT(L224,3)</f>
        <v>Spr</v>
      </c>
      <c r="R224" s="42" t="str">
        <f>RIGHT(L224,3)</f>
        <v>ing</v>
      </c>
      <c r="S224" s="42">
        <f>LEN(L224)</f>
        <v>6</v>
      </c>
      <c r="T224" s="3" t="str">
        <f>A224&amp;"|"&amp;B224&amp;"|"&amp;F224</f>
        <v>223|40817|13</v>
      </c>
      <c r="U224" s="3">
        <f t="shared" si="12"/>
        <v>610</v>
      </c>
      <c r="V224" s="3">
        <f t="shared" si="13"/>
        <v>120.10000000000005</v>
      </c>
      <c r="W224" s="50">
        <f t="shared" si="14"/>
        <v>8.1303845032683911E-2</v>
      </c>
      <c r="X224" s="50">
        <f t="shared" si="15"/>
        <v>0.16514794964716251</v>
      </c>
    </row>
    <row r="225" spans="1:24" x14ac:dyDescent="0.2">
      <c r="A225" s="4">
        <v>224</v>
      </c>
      <c r="B225" s="5">
        <v>40817</v>
      </c>
      <c r="C225" s="4">
        <v>1</v>
      </c>
      <c r="D225" s="4">
        <v>0</v>
      </c>
      <c r="E225" s="4">
        <v>1</v>
      </c>
      <c r="F225" s="4">
        <v>14</v>
      </c>
      <c r="G225" s="4" t="b">
        <v>0</v>
      </c>
      <c r="H225" s="4">
        <v>1</v>
      </c>
      <c r="I225" s="4">
        <v>2</v>
      </c>
      <c r="J225" s="4">
        <v>0.2</v>
      </c>
      <c r="K225" s="6" t="str">
        <f>IF(H225=0,"weekend",IF(H225=6,"weekend","weekend"))</f>
        <v>weekend</v>
      </c>
      <c r="L225" s="3" t="str">
        <f>IF(C225=1,"Spring",IF(C225=2,"Summer",IF(C225=3,"Fall","Winter")))</f>
        <v>Spring</v>
      </c>
      <c r="M225" s="3">
        <f>SUM(J225:J249)</f>
        <v>4.3400000000000025</v>
      </c>
      <c r="N225" s="3">
        <f>AVERAGE(J225:J834)</f>
        <v>0.18335917312661509</v>
      </c>
      <c r="O225" s="3">
        <f>COUNT(J225:J834)</f>
        <v>387</v>
      </c>
      <c r="P225" s="3" t="str">
        <f>TEXT(J225,"0.00")</f>
        <v>0.20</v>
      </c>
      <c r="Q225" s="3" t="str">
        <f>LEFT(L225,3)</f>
        <v>Spr</v>
      </c>
      <c r="R225" s="42" t="str">
        <f>RIGHT(L225,3)</f>
        <v>ing</v>
      </c>
      <c r="S225" s="42">
        <f>LEN(L225)</f>
        <v>6</v>
      </c>
      <c r="T225" s="3" t="str">
        <f>A225&amp;"|"&amp;B225&amp;"|"&amp;F225</f>
        <v>224|40817|14</v>
      </c>
      <c r="U225" s="3">
        <f t="shared" si="12"/>
        <v>610</v>
      </c>
      <c r="V225" s="3">
        <f t="shared" si="13"/>
        <v>120.10000000000005</v>
      </c>
      <c r="W225" s="50">
        <f t="shared" si="14"/>
        <v>8.1303845032683911E-2</v>
      </c>
      <c r="X225" s="50">
        <f t="shared" si="15"/>
        <v>0.16514794964716251</v>
      </c>
    </row>
    <row r="226" spans="1:24" x14ac:dyDescent="0.2">
      <c r="A226" s="4">
        <v>225</v>
      </c>
      <c r="B226" s="5">
        <v>40817</v>
      </c>
      <c r="C226" s="4">
        <v>1</v>
      </c>
      <c r="D226" s="4">
        <v>0</v>
      </c>
      <c r="E226" s="4">
        <v>1</v>
      </c>
      <c r="F226" s="4">
        <v>15</v>
      </c>
      <c r="G226" s="4" t="b">
        <v>0</v>
      </c>
      <c r="H226" s="4">
        <v>1</v>
      </c>
      <c r="I226" s="4">
        <v>2</v>
      </c>
      <c r="J226" s="4">
        <v>0.2</v>
      </c>
      <c r="K226" s="6" t="str">
        <f>IF(H226=0,"weekend",IF(H226=6,"weekend","weekend"))</f>
        <v>weekend</v>
      </c>
      <c r="L226" s="3" t="str">
        <f>IF(C226=1,"Spring",IF(C226=2,"Summer",IF(C226=3,"Fall","Winter")))</f>
        <v>Spring</v>
      </c>
      <c r="M226" s="3">
        <f>SUM(J226:J250)</f>
        <v>4.3000000000000025</v>
      </c>
      <c r="N226" s="3">
        <f>AVERAGE(J226:J835)</f>
        <v>0.18331606217616592</v>
      </c>
      <c r="O226" s="3">
        <f>COUNT(J226:J835)</f>
        <v>386</v>
      </c>
      <c r="P226" s="3" t="str">
        <f>TEXT(J226,"0.00")</f>
        <v>0.20</v>
      </c>
      <c r="Q226" s="3" t="str">
        <f>LEFT(L226,3)</f>
        <v>Spr</v>
      </c>
      <c r="R226" s="42" t="str">
        <f>RIGHT(L226,3)</f>
        <v>ing</v>
      </c>
      <c r="S226" s="42">
        <f>LEN(L226)</f>
        <v>6</v>
      </c>
      <c r="T226" s="3" t="str">
        <f>A226&amp;"|"&amp;B226&amp;"|"&amp;F226</f>
        <v>225|40817|15</v>
      </c>
      <c r="U226" s="3">
        <f t="shared" si="12"/>
        <v>610</v>
      </c>
      <c r="V226" s="3">
        <f t="shared" si="13"/>
        <v>120.10000000000005</v>
      </c>
      <c r="W226" s="50">
        <f t="shared" si="14"/>
        <v>8.1303845032683911E-2</v>
      </c>
      <c r="X226" s="50">
        <f t="shared" si="15"/>
        <v>0.16514794964716251</v>
      </c>
    </row>
    <row r="227" spans="1:24" x14ac:dyDescent="0.2">
      <c r="A227" s="4">
        <v>226</v>
      </c>
      <c r="B227" s="5">
        <v>40817</v>
      </c>
      <c r="C227" s="4">
        <v>1</v>
      </c>
      <c r="D227" s="4">
        <v>0</v>
      </c>
      <c r="E227" s="4">
        <v>1</v>
      </c>
      <c r="F227" s="4">
        <v>16</v>
      </c>
      <c r="G227" s="4" t="b">
        <v>0</v>
      </c>
      <c r="H227" s="4">
        <v>1</v>
      </c>
      <c r="I227" s="4">
        <v>1</v>
      </c>
      <c r="J227" s="4">
        <v>0.2</v>
      </c>
      <c r="K227" s="6" t="str">
        <f>IF(H227=0,"weekend",IF(H227=6,"weekend","weekend"))</f>
        <v>weekend</v>
      </c>
      <c r="L227" s="3" t="str">
        <f>IF(C227=1,"Spring",IF(C227=2,"Summer",IF(C227=3,"Fall","Winter")))</f>
        <v>Spring</v>
      </c>
      <c r="M227" s="3">
        <f>SUM(J227:J251)</f>
        <v>4.2600000000000025</v>
      </c>
      <c r="N227" s="3">
        <f>AVERAGE(J227:J836)</f>
        <v>0.18327272727272739</v>
      </c>
      <c r="O227" s="3">
        <f>COUNT(J227:J836)</f>
        <v>385</v>
      </c>
      <c r="P227" s="3" t="str">
        <f>TEXT(J227,"0.00")</f>
        <v>0.20</v>
      </c>
      <c r="Q227" s="3" t="str">
        <f>LEFT(L227,3)</f>
        <v>Spr</v>
      </c>
      <c r="R227" s="42" t="str">
        <f>RIGHT(L227,3)</f>
        <v>ing</v>
      </c>
      <c r="S227" s="42">
        <f>LEN(L227)</f>
        <v>6</v>
      </c>
      <c r="T227" s="3" t="str">
        <f>A227&amp;"|"&amp;B227&amp;"|"&amp;F227</f>
        <v>226|40817|16</v>
      </c>
      <c r="U227" s="3">
        <f t="shared" si="12"/>
        <v>610</v>
      </c>
      <c r="V227" s="3">
        <f t="shared" si="13"/>
        <v>120.10000000000005</v>
      </c>
      <c r="W227" s="50">
        <f t="shared" si="14"/>
        <v>8.1303845032683911E-2</v>
      </c>
      <c r="X227" s="50">
        <f t="shared" si="15"/>
        <v>0.16514794964716251</v>
      </c>
    </row>
    <row r="228" spans="1:24" x14ac:dyDescent="0.2">
      <c r="A228" s="4">
        <v>227</v>
      </c>
      <c r="B228" s="5">
        <v>40817</v>
      </c>
      <c r="C228" s="4">
        <v>1</v>
      </c>
      <c r="D228" s="4">
        <v>0</v>
      </c>
      <c r="E228" s="4">
        <v>1</v>
      </c>
      <c r="F228" s="4">
        <v>17</v>
      </c>
      <c r="G228" s="4" t="b">
        <v>0</v>
      </c>
      <c r="H228" s="4">
        <v>1</v>
      </c>
      <c r="I228" s="4">
        <v>1</v>
      </c>
      <c r="J228" s="4">
        <v>0.2</v>
      </c>
      <c r="K228" s="6" t="str">
        <f>IF(H228=0,"weekend",IF(H228=6,"weekend","weekend"))</f>
        <v>weekend</v>
      </c>
      <c r="L228" s="3" t="str">
        <f>IF(C228=1,"Spring",IF(C228=2,"Summer",IF(C228=3,"Fall","Winter")))</f>
        <v>Spring</v>
      </c>
      <c r="M228" s="3">
        <f>SUM(J228:J252)</f>
        <v>4.2200000000000015</v>
      </c>
      <c r="N228" s="3">
        <f>AVERAGE(J228:J837)</f>
        <v>0.18322916666666678</v>
      </c>
      <c r="O228" s="3">
        <f>COUNT(J228:J837)</f>
        <v>384</v>
      </c>
      <c r="P228" s="3" t="str">
        <f>TEXT(J228,"0.00")</f>
        <v>0.20</v>
      </c>
      <c r="Q228" s="3" t="str">
        <f>LEFT(L228,3)</f>
        <v>Spr</v>
      </c>
      <c r="R228" s="42" t="str">
        <f>RIGHT(L228,3)</f>
        <v>ing</v>
      </c>
      <c r="S228" s="42">
        <f>LEN(L228)</f>
        <v>6</v>
      </c>
      <c r="T228" s="3" t="str">
        <f>A228&amp;"|"&amp;B228&amp;"|"&amp;F228</f>
        <v>227|40817|17</v>
      </c>
      <c r="U228" s="3">
        <f t="shared" si="12"/>
        <v>610</v>
      </c>
      <c r="V228" s="3">
        <f t="shared" si="13"/>
        <v>120.10000000000005</v>
      </c>
      <c r="W228" s="50">
        <f t="shared" si="14"/>
        <v>8.1303845032683911E-2</v>
      </c>
      <c r="X228" s="50">
        <f t="shared" si="15"/>
        <v>0.16514794964716251</v>
      </c>
    </row>
    <row r="229" spans="1:24" x14ac:dyDescent="0.2">
      <c r="A229" s="4">
        <v>228</v>
      </c>
      <c r="B229" s="5">
        <v>40817</v>
      </c>
      <c r="C229" s="4">
        <v>1</v>
      </c>
      <c r="D229" s="4">
        <v>0</v>
      </c>
      <c r="E229" s="4">
        <v>1</v>
      </c>
      <c r="F229" s="4">
        <v>18</v>
      </c>
      <c r="G229" s="4" t="b">
        <v>0</v>
      </c>
      <c r="H229" s="4">
        <v>1</v>
      </c>
      <c r="I229" s="4">
        <v>1</v>
      </c>
      <c r="J229" s="4">
        <v>0.2</v>
      </c>
      <c r="K229" s="6" t="str">
        <f>IF(H229=0,"weekend",IF(H229=6,"weekend","weekend"))</f>
        <v>weekend</v>
      </c>
      <c r="L229" s="3" t="str">
        <f>IF(C229=1,"Spring",IF(C229=2,"Summer",IF(C229=3,"Fall","Winter")))</f>
        <v>Spring</v>
      </c>
      <c r="M229" s="3">
        <f>SUM(J229:J253)</f>
        <v>4.1800000000000015</v>
      </c>
      <c r="N229" s="3">
        <f>AVERAGE(J229:J838)</f>
        <v>0.18318537859007844</v>
      </c>
      <c r="O229" s="3">
        <f>COUNT(J229:J838)</f>
        <v>383</v>
      </c>
      <c r="P229" s="3" t="str">
        <f>TEXT(J229,"0.00")</f>
        <v>0.20</v>
      </c>
      <c r="Q229" s="3" t="str">
        <f>LEFT(L229,3)</f>
        <v>Spr</v>
      </c>
      <c r="R229" s="42" t="str">
        <f>RIGHT(L229,3)</f>
        <v>ing</v>
      </c>
      <c r="S229" s="42">
        <f>LEN(L229)</f>
        <v>6</v>
      </c>
      <c r="T229" s="3" t="str">
        <f>A229&amp;"|"&amp;B229&amp;"|"&amp;F229</f>
        <v>228|40817|18</v>
      </c>
      <c r="U229" s="3">
        <f t="shared" si="12"/>
        <v>610</v>
      </c>
      <c r="V229" s="3">
        <f t="shared" si="13"/>
        <v>120.10000000000005</v>
      </c>
      <c r="W229" s="50">
        <f t="shared" si="14"/>
        <v>8.1303845032683911E-2</v>
      </c>
      <c r="X229" s="50">
        <f t="shared" si="15"/>
        <v>0.16514794964716251</v>
      </c>
    </row>
    <row r="230" spans="1:24" x14ac:dyDescent="0.2">
      <c r="A230" s="4">
        <v>229</v>
      </c>
      <c r="B230" s="5">
        <v>40817</v>
      </c>
      <c r="C230" s="4">
        <v>1</v>
      </c>
      <c r="D230" s="4">
        <v>0</v>
      </c>
      <c r="E230" s="4">
        <v>1</v>
      </c>
      <c r="F230" s="4">
        <v>19</v>
      </c>
      <c r="G230" s="4" t="b">
        <v>0</v>
      </c>
      <c r="H230" s="4">
        <v>1</v>
      </c>
      <c r="I230" s="4">
        <v>1</v>
      </c>
      <c r="J230" s="4">
        <v>0.16</v>
      </c>
      <c r="K230" s="6" t="str">
        <f>IF(H230=0,"weekend",IF(H230=6,"weekend","weekend"))</f>
        <v>weekend</v>
      </c>
      <c r="L230" s="3" t="str">
        <f>IF(C230=1,"Spring",IF(C230=2,"Summer",IF(C230=3,"Fall","Winter")))</f>
        <v>Spring</v>
      </c>
      <c r="M230" s="3">
        <f>SUM(J230:J254)</f>
        <v>4.1400000000000015</v>
      </c>
      <c r="N230" s="3">
        <f>AVERAGE(J230:J839)</f>
        <v>0.18314136125654459</v>
      </c>
      <c r="O230" s="3">
        <f>COUNT(J230:J839)</f>
        <v>382</v>
      </c>
      <c r="P230" s="3" t="str">
        <f>TEXT(J230,"0.00")</f>
        <v>0.16</v>
      </c>
      <c r="Q230" s="3" t="str">
        <f>LEFT(L230,3)</f>
        <v>Spr</v>
      </c>
      <c r="R230" s="42" t="str">
        <f>RIGHT(L230,3)</f>
        <v>ing</v>
      </c>
      <c r="S230" s="42">
        <f>LEN(L230)</f>
        <v>6</v>
      </c>
      <c r="T230" s="3" t="str">
        <f>A230&amp;"|"&amp;B230&amp;"|"&amp;F230</f>
        <v>229|40817|19</v>
      </c>
      <c r="U230" s="3">
        <f t="shared" si="12"/>
        <v>610</v>
      </c>
      <c r="V230" s="3">
        <f t="shared" si="13"/>
        <v>120.10000000000005</v>
      </c>
      <c r="W230" s="50">
        <f t="shared" si="14"/>
        <v>8.1303845032683911E-2</v>
      </c>
      <c r="X230" s="50">
        <f t="shared" si="15"/>
        <v>0.16514794964716251</v>
      </c>
    </row>
    <row r="231" spans="1:24" x14ac:dyDescent="0.2">
      <c r="A231" s="4">
        <v>230</v>
      </c>
      <c r="B231" s="5">
        <v>40817</v>
      </c>
      <c r="C231" s="4">
        <v>1</v>
      </c>
      <c r="D231" s="4">
        <v>0</v>
      </c>
      <c r="E231" s="4">
        <v>1</v>
      </c>
      <c r="F231" s="4">
        <v>20</v>
      </c>
      <c r="G231" s="4" t="b">
        <v>0</v>
      </c>
      <c r="H231" s="4">
        <v>1</v>
      </c>
      <c r="I231" s="4">
        <v>1</v>
      </c>
      <c r="J231" s="4">
        <v>0.16</v>
      </c>
      <c r="K231" s="6" t="str">
        <f>IF(H231=0,"weekend",IF(H231=6,"weekend","weekend"))</f>
        <v>weekend</v>
      </c>
      <c r="L231" s="3" t="str">
        <f>IF(C231=1,"Spring",IF(C231=2,"Summer",IF(C231=3,"Fall","Winter")))</f>
        <v>Spring</v>
      </c>
      <c r="M231" s="3">
        <f>SUM(J231:J255)</f>
        <v>4.1400000000000015</v>
      </c>
      <c r="N231" s="3">
        <f>AVERAGE(J231:J840)</f>
        <v>0.1832020997375329</v>
      </c>
      <c r="O231" s="3">
        <f>COUNT(J231:J840)</f>
        <v>381</v>
      </c>
      <c r="P231" s="3" t="str">
        <f>TEXT(J231,"0.00")</f>
        <v>0.16</v>
      </c>
      <c r="Q231" s="3" t="str">
        <f>LEFT(L231,3)</f>
        <v>Spr</v>
      </c>
      <c r="R231" s="42" t="str">
        <f>RIGHT(L231,3)</f>
        <v>ing</v>
      </c>
      <c r="S231" s="42">
        <f>LEN(L231)</f>
        <v>6</v>
      </c>
      <c r="T231" s="3" t="str">
        <f>A231&amp;"|"&amp;B231&amp;"|"&amp;F231</f>
        <v>230|40817|20</v>
      </c>
      <c r="U231" s="3">
        <f t="shared" si="12"/>
        <v>610</v>
      </c>
      <c r="V231" s="3">
        <f t="shared" si="13"/>
        <v>120.10000000000005</v>
      </c>
      <c r="W231" s="50">
        <f t="shared" si="14"/>
        <v>8.1303845032683911E-2</v>
      </c>
      <c r="X231" s="50">
        <f t="shared" si="15"/>
        <v>0.16514794964716251</v>
      </c>
    </row>
    <row r="232" spans="1:24" x14ac:dyDescent="0.2">
      <c r="A232" s="4">
        <v>231</v>
      </c>
      <c r="B232" s="5">
        <v>40817</v>
      </c>
      <c r="C232" s="4">
        <v>1</v>
      </c>
      <c r="D232" s="4">
        <v>0</v>
      </c>
      <c r="E232" s="4">
        <v>1</v>
      </c>
      <c r="F232" s="4">
        <v>21</v>
      </c>
      <c r="G232" s="4" t="b">
        <v>0</v>
      </c>
      <c r="H232" s="4">
        <v>1</v>
      </c>
      <c r="I232" s="4">
        <v>1</v>
      </c>
      <c r="J232" s="4">
        <v>0.14000000000000001</v>
      </c>
      <c r="K232" s="6" t="str">
        <f>IF(H232=0,"weekend",IF(H232=6,"weekend","weekend"))</f>
        <v>weekend</v>
      </c>
      <c r="L232" s="3" t="str">
        <f>IF(C232=1,"Spring",IF(C232=2,"Summer",IF(C232=3,"Fall","Winter")))</f>
        <v>Spring</v>
      </c>
      <c r="M232" s="3">
        <f>SUM(J232:J256)</f>
        <v>4.1400000000000015</v>
      </c>
      <c r="N232" s="3">
        <f>AVERAGE(J232:J841)</f>
        <v>0.18326315789473696</v>
      </c>
      <c r="O232" s="3">
        <f>COUNT(J232:J841)</f>
        <v>380</v>
      </c>
      <c r="P232" s="3" t="str">
        <f>TEXT(J232,"0.00")</f>
        <v>0.14</v>
      </c>
      <c r="Q232" s="3" t="str">
        <f>LEFT(L232,3)</f>
        <v>Spr</v>
      </c>
      <c r="R232" s="42" t="str">
        <f>RIGHT(L232,3)</f>
        <v>ing</v>
      </c>
      <c r="S232" s="42">
        <f>LEN(L232)</f>
        <v>6</v>
      </c>
      <c r="T232" s="3" t="str">
        <f>A232&amp;"|"&amp;B232&amp;"|"&amp;F232</f>
        <v>231|40817|21</v>
      </c>
      <c r="U232" s="3">
        <f t="shared" si="12"/>
        <v>610</v>
      </c>
      <c r="V232" s="3">
        <f t="shared" si="13"/>
        <v>120.10000000000005</v>
      </c>
      <c r="W232" s="50">
        <f t="shared" si="14"/>
        <v>8.1303845032683911E-2</v>
      </c>
      <c r="X232" s="50">
        <f t="shared" si="15"/>
        <v>0.16514794964716251</v>
      </c>
    </row>
    <row r="233" spans="1:24" x14ac:dyDescent="0.2">
      <c r="A233" s="4">
        <v>232</v>
      </c>
      <c r="B233" s="5">
        <v>40817</v>
      </c>
      <c r="C233" s="4">
        <v>1</v>
      </c>
      <c r="D233" s="4">
        <v>0</v>
      </c>
      <c r="E233" s="4">
        <v>1</v>
      </c>
      <c r="F233" s="4">
        <v>22</v>
      </c>
      <c r="G233" s="4" t="b">
        <v>0</v>
      </c>
      <c r="H233" s="4">
        <v>1</v>
      </c>
      <c r="I233" s="4">
        <v>1</v>
      </c>
      <c r="J233" s="4">
        <v>0.14000000000000001</v>
      </c>
      <c r="K233" s="6" t="str">
        <f>IF(H233=0,"weekend",IF(H233=6,"weekend","weekend"))</f>
        <v>weekend</v>
      </c>
      <c r="L233" s="3" t="str">
        <f>IF(C233=1,"Spring",IF(C233=2,"Summer",IF(C233=3,"Fall","Winter")))</f>
        <v>Spring</v>
      </c>
      <c r="M233" s="3">
        <f>SUM(J233:J257)</f>
        <v>4.160000000000001</v>
      </c>
      <c r="N233" s="3">
        <f>AVERAGE(J233:J842)</f>
        <v>0.1833773087071241</v>
      </c>
      <c r="O233" s="3">
        <f>COUNT(J233:J842)</f>
        <v>379</v>
      </c>
      <c r="P233" s="3" t="str">
        <f>TEXT(J233,"0.00")</f>
        <v>0.14</v>
      </c>
      <c r="Q233" s="3" t="str">
        <f>LEFT(L233,3)</f>
        <v>Spr</v>
      </c>
      <c r="R233" s="42" t="str">
        <f>RIGHT(L233,3)</f>
        <v>ing</v>
      </c>
      <c r="S233" s="42">
        <f>LEN(L233)</f>
        <v>6</v>
      </c>
      <c r="T233" s="3" t="str">
        <f>A233&amp;"|"&amp;B233&amp;"|"&amp;F233</f>
        <v>232|40817|22</v>
      </c>
      <c r="U233" s="3">
        <f t="shared" si="12"/>
        <v>610</v>
      </c>
      <c r="V233" s="3">
        <f t="shared" si="13"/>
        <v>120.10000000000005</v>
      </c>
      <c r="W233" s="50">
        <f t="shared" si="14"/>
        <v>8.1303845032683911E-2</v>
      </c>
      <c r="X233" s="50">
        <f t="shared" si="15"/>
        <v>0.16514794964716251</v>
      </c>
    </row>
    <row r="234" spans="1:24" x14ac:dyDescent="0.2">
      <c r="A234" s="4">
        <v>233</v>
      </c>
      <c r="B234" s="5">
        <v>40817</v>
      </c>
      <c r="C234" s="4">
        <v>1</v>
      </c>
      <c r="D234" s="4">
        <v>0</v>
      </c>
      <c r="E234" s="4">
        <v>1</v>
      </c>
      <c r="F234" s="4">
        <v>23</v>
      </c>
      <c r="G234" s="4" t="b">
        <v>0</v>
      </c>
      <c r="H234" s="4">
        <v>1</v>
      </c>
      <c r="I234" s="4">
        <v>1</v>
      </c>
      <c r="J234" s="4">
        <v>0.14000000000000001</v>
      </c>
      <c r="K234" s="6" t="str">
        <f>IF(H234=0,"weekend",IF(H234=6,"weekend","weekend"))</f>
        <v>weekend</v>
      </c>
      <c r="L234" s="3" t="str">
        <f>IF(C234=1,"Spring",IF(C234=2,"Summer",IF(C234=3,"Fall","Winter")))</f>
        <v>Spring</v>
      </c>
      <c r="M234" s="3">
        <f>SUM(J234:J258)</f>
        <v>4.1800000000000015</v>
      </c>
      <c r="N234" s="3">
        <f>AVERAGE(J234:J843)</f>
        <v>0.18349206349206357</v>
      </c>
      <c r="O234" s="3">
        <f>COUNT(J234:J843)</f>
        <v>378</v>
      </c>
      <c r="P234" s="3" t="str">
        <f>TEXT(J234,"0.00")</f>
        <v>0.14</v>
      </c>
      <c r="Q234" s="3" t="str">
        <f>LEFT(L234,3)</f>
        <v>Spr</v>
      </c>
      <c r="R234" s="42" t="str">
        <f>RIGHT(L234,3)</f>
        <v>ing</v>
      </c>
      <c r="S234" s="42">
        <f>LEN(L234)</f>
        <v>6</v>
      </c>
      <c r="T234" s="3" t="str">
        <f>A234&amp;"|"&amp;B234&amp;"|"&amp;F234</f>
        <v>233|40817|23</v>
      </c>
      <c r="U234" s="3">
        <f t="shared" si="12"/>
        <v>610</v>
      </c>
      <c r="V234" s="3">
        <f t="shared" si="13"/>
        <v>120.10000000000005</v>
      </c>
      <c r="W234" s="50">
        <f t="shared" si="14"/>
        <v>8.1303845032683911E-2</v>
      </c>
      <c r="X234" s="50">
        <f t="shared" si="15"/>
        <v>0.16514794964716251</v>
      </c>
    </row>
    <row r="235" spans="1:24" x14ac:dyDescent="0.2">
      <c r="A235" s="4">
        <v>234</v>
      </c>
      <c r="B235" s="5">
        <v>40848</v>
      </c>
      <c r="C235" s="4">
        <v>1</v>
      </c>
      <c r="D235" s="4">
        <v>0</v>
      </c>
      <c r="E235" s="4">
        <v>1</v>
      </c>
      <c r="F235" s="4">
        <v>0</v>
      </c>
      <c r="G235" s="4" t="b">
        <v>0</v>
      </c>
      <c r="H235" s="4">
        <v>2</v>
      </c>
      <c r="I235" s="4">
        <v>1</v>
      </c>
      <c r="J235" s="4">
        <v>0.14000000000000001</v>
      </c>
      <c r="K235" s="6" t="str">
        <f>IF(H235=0,"weekend",IF(H235=6,"weekend","weekend"))</f>
        <v>weekend</v>
      </c>
      <c r="L235" s="3" t="str">
        <f>IF(C235=1,"Spring",IF(C235=2,"Summer",IF(C235=3,"Fall","Winter")))</f>
        <v>Spring</v>
      </c>
      <c r="M235" s="3">
        <f>SUM(J235:J259)</f>
        <v>4.1800000000000015</v>
      </c>
      <c r="N235" s="3">
        <f>AVERAGE(J235:J844)</f>
        <v>0.18360742705570299</v>
      </c>
      <c r="O235" s="3">
        <f>COUNT(J235:J844)</f>
        <v>377</v>
      </c>
      <c r="P235" s="3" t="str">
        <f>TEXT(J235,"0.00")</f>
        <v>0.14</v>
      </c>
      <c r="Q235" s="3" t="str">
        <f>LEFT(L235,3)</f>
        <v>Spr</v>
      </c>
      <c r="R235" s="42" t="str">
        <f>RIGHT(L235,3)</f>
        <v>ing</v>
      </c>
      <c r="S235" s="42">
        <f>LEN(L235)</f>
        <v>6</v>
      </c>
      <c r="T235" s="3" t="str">
        <f>A235&amp;"|"&amp;B235&amp;"|"&amp;F235</f>
        <v>234|40848|0</v>
      </c>
      <c r="U235" s="3">
        <f t="shared" si="12"/>
        <v>610</v>
      </c>
      <c r="V235" s="3">
        <f t="shared" si="13"/>
        <v>120.10000000000005</v>
      </c>
      <c r="W235" s="50">
        <f t="shared" si="14"/>
        <v>8.1303845032683911E-2</v>
      </c>
      <c r="X235" s="50">
        <f t="shared" si="15"/>
        <v>0.16514794964716251</v>
      </c>
    </row>
    <row r="236" spans="1:24" x14ac:dyDescent="0.2">
      <c r="A236" s="4">
        <v>235</v>
      </c>
      <c r="B236" s="5">
        <v>40848</v>
      </c>
      <c r="C236" s="4">
        <v>1</v>
      </c>
      <c r="D236" s="4">
        <v>0</v>
      </c>
      <c r="E236" s="4">
        <v>1</v>
      </c>
      <c r="F236" s="4">
        <v>1</v>
      </c>
      <c r="G236" s="4" t="b">
        <v>0</v>
      </c>
      <c r="H236" s="4">
        <v>2</v>
      </c>
      <c r="I236" s="4">
        <v>1</v>
      </c>
      <c r="J236" s="4">
        <v>0.14000000000000001</v>
      </c>
      <c r="K236" s="6" t="str">
        <f>IF(H236=0,"weekend",IF(H236=6,"weekend","weekend"))</f>
        <v>weekend</v>
      </c>
      <c r="L236" s="3" t="str">
        <f>IF(C236=1,"Spring",IF(C236=2,"Summer",IF(C236=3,"Fall","Winter")))</f>
        <v>Spring</v>
      </c>
      <c r="M236" s="3">
        <f>SUM(J236:J260)</f>
        <v>4.1800000000000015</v>
      </c>
      <c r="N236" s="3">
        <f>AVERAGE(J236:J845)</f>
        <v>0.18372340425531922</v>
      </c>
      <c r="O236" s="3">
        <f>COUNT(J236:J845)</f>
        <v>376</v>
      </c>
      <c r="P236" s="3" t="str">
        <f>TEXT(J236,"0.00")</f>
        <v>0.14</v>
      </c>
      <c r="Q236" s="3" t="str">
        <f>LEFT(L236,3)</f>
        <v>Spr</v>
      </c>
      <c r="R236" s="42" t="str">
        <f>RIGHT(L236,3)</f>
        <v>ing</v>
      </c>
      <c r="S236" s="42">
        <f>LEN(L236)</f>
        <v>6</v>
      </c>
      <c r="T236" s="3" t="str">
        <f>A236&amp;"|"&amp;B236&amp;"|"&amp;F236</f>
        <v>235|40848|1</v>
      </c>
      <c r="U236" s="3">
        <f t="shared" si="12"/>
        <v>610</v>
      </c>
      <c r="V236" s="3">
        <f t="shared" si="13"/>
        <v>120.10000000000005</v>
      </c>
      <c r="W236" s="50">
        <f t="shared" si="14"/>
        <v>8.1303845032683911E-2</v>
      </c>
      <c r="X236" s="50">
        <f t="shared" si="15"/>
        <v>0.16514794964716251</v>
      </c>
    </row>
    <row r="237" spans="1:24" x14ac:dyDescent="0.2">
      <c r="A237" s="4">
        <v>236</v>
      </c>
      <c r="B237" s="5">
        <v>40848</v>
      </c>
      <c r="C237" s="4">
        <v>1</v>
      </c>
      <c r="D237" s="4">
        <v>0</v>
      </c>
      <c r="E237" s="4">
        <v>1</v>
      </c>
      <c r="F237" s="4">
        <v>2</v>
      </c>
      <c r="G237" s="4" t="b">
        <v>0</v>
      </c>
      <c r="H237" s="4">
        <v>2</v>
      </c>
      <c r="I237" s="4">
        <v>2</v>
      </c>
      <c r="J237" s="4">
        <v>0.16</v>
      </c>
      <c r="K237" s="6" t="str">
        <f>IF(H237=0,"weekend",IF(H237=6,"weekend","weekend"))</f>
        <v>weekend</v>
      </c>
      <c r="L237" s="3" t="str">
        <f>IF(C237=1,"Spring",IF(C237=2,"Summer",IF(C237=3,"Fall","Winter")))</f>
        <v>Spring</v>
      </c>
      <c r="M237" s="3">
        <f>SUM(J237:J261)</f>
        <v>4.160000000000001</v>
      </c>
      <c r="N237" s="3">
        <f>AVERAGE(J237:J846)</f>
        <v>0.18384000000000006</v>
      </c>
      <c r="O237" s="3">
        <f>COUNT(J237:J846)</f>
        <v>375</v>
      </c>
      <c r="P237" s="3" t="str">
        <f>TEXT(J237,"0.00")</f>
        <v>0.16</v>
      </c>
      <c r="Q237" s="3" t="str">
        <f>LEFT(L237,3)</f>
        <v>Spr</v>
      </c>
      <c r="R237" s="42" t="str">
        <f>RIGHT(L237,3)</f>
        <v>ing</v>
      </c>
      <c r="S237" s="42">
        <f>LEN(L237)</f>
        <v>6</v>
      </c>
      <c r="T237" s="3" t="str">
        <f>A237&amp;"|"&amp;B237&amp;"|"&amp;F237</f>
        <v>236|40848|2</v>
      </c>
      <c r="U237" s="3">
        <f t="shared" si="12"/>
        <v>610</v>
      </c>
      <c r="V237" s="3">
        <f t="shared" si="13"/>
        <v>120.10000000000005</v>
      </c>
      <c r="W237" s="50">
        <f t="shared" si="14"/>
        <v>8.1303845032683911E-2</v>
      </c>
      <c r="X237" s="50">
        <f t="shared" si="15"/>
        <v>0.16514794964716251</v>
      </c>
    </row>
    <row r="238" spans="1:24" x14ac:dyDescent="0.2">
      <c r="A238" s="4">
        <v>237</v>
      </c>
      <c r="B238" s="5">
        <v>40848</v>
      </c>
      <c r="C238" s="4">
        <v>1</v>
      </c>
      <c r="D238" s="4">
        <v>0</v>
      </c>
      <c r="E238" s="4">
        <v>1</v>
      </c>
      <c r="F238" s="4">
        <v>5</v>
      </c>
      <c r="G238" s="4" t="b">
        <v>0</v>
      </c>
      <c r="H238" s="4">
        <v>2</v>
      </c>
      <c r="I238" s="4">
        <v>2</v>
      </c>
      <c r="J238" s="4">
        <v>0.16</v>
      </c>
      <c r="K238" s="6" t="str">
        <f>IF(H238=0,"weekend",IF(H238=6,"weekend","weekend"))</f>
        <v>weekend</v>
      </c>
      <c r="L238" s="3" t="str">
        <f>IF(C238=1,"Spring",IF(C238=2,"Summer",IF(C238=3,"Fall","Winter")))</f>
        <v>Spring</v>
      </c>
      <c r="M238" s="3">
        <f>SUM(J238:J262)</f>
        <v>4.1400000000000006</v>
      </c>
      <c r="N238" s="3">
        <f>AVERAGE(J238:J847)</f>
        <v>0.1839037433155081</v>
      </c>
      <c r="O238" s="3">
        <f>COUNT(J238:J847)</f>
        <v>374</v>
      </c>
      <c r="P238" s="3" t="str">
        <f>TEXT(J238,"0.00")</f>
        <v>0.16</v>
      </c>
      <c r="Q238" s="3" t="str">
        <f>LEFT(L238,3)</f>
        <v>Spr</v>
      </c>
      <c r="R238" s="42" t="str">
        <f>RIGHT(L238,3)</f>
        <v>ing</v>
      </c>
      <c r="S238" s="42">
        <f>LEN(L238)</f>
        <v>6</v>
      </c>
      <c r="T238" s="3" t="str">
        <f>A238&amp;"|"&amp;B238&amp;"|"&amp;F238</f>
        <v>237|40848|5</v>
      </c>
      <c r="U238" s="3">
        <f t="shared" si="12"/>
        <v>610</v>
      </c>
      <c r="V238" s="3">
        <f t="shared" si="13"/>
        <v>120.10000000000005</v>
      </c>
      <c r="W238" s="50">
        <f t="shared" si="14"/>
        <v>8.1303845032683911E-2</v>
      </c>
      <c r="X238" s="50">
        <f t="shared" si="15"/>
        <v>0.16514794964716251</v>
      </c>
    </row>
    <row r="239" spans="1:24" x14ac:dyDescent="0.2">
      <c r="A239" s="4">
        <v>238</v>
      </c>
      <c r="B239" s="5">
        <v>40848</v>
      </c>
      <c r="C239" s="4">
        <v>1</v>
      </c>
      <c r="D239" s="4">
        <v>0</v>
      </c>
      <c r="E239" s="4">
        <v>1</v>
      </c>
      <c r="F239" s="4">
        <v>6</v>
      </c>
      <c r="G239" s="4" t="b">
        <v>0</v>
      </c>
      <c r="H239" s="4">
        <v>2</v>
      </c>
      <c r="I239" s="4">
        <v>2</v>
      </c>
      <c r="J239" s="4">
        <v>0.16</v>
      </c>
      <c r="K239" s="6" t="str">
        <f>IF(H239=0,"weekend",IF(H239=6,"weekend","weekend"))</f>
        <v>weekend</v>
      </c>
      <c r="L239" s="3" t="str">
        <f>IF(C239=1,"Spring",IF(C239=2,"Summer",IF(C239=3,"Fall","Winter")))</f>
        <v>Spring</v>
      </c>
      <c r="M239" s="3">
        <f>SUM(J239:J263)</f>
        <v>4.1400000000000015</v>
      </c>
      <c r="N239" s="3">
        <f>AVERAGE(J239:J848)</f>
        <v>0.18396782841823064</v>
      </c>
      <c r="O239" s="3">
        <f>COUNT(J239:J848)</f>
        <v>373</v>
      </c>
      <c r="P239" s="3" t="str">
        <f>TEXT(J239,"0.00")</f>
        <v>0.16</v>
      </c>
      <c r="Q239" s="3" t="str">
        <f>LEFT(L239,3)</f>
        <v>Spr</v>
      </c>
      <c r="R239" s="42" t="str">
        <f>RIGHT(L239,3)</f>
        <v>ing</v>
      </c>
      <c r="S239" s="42">
        <f>LEN(L239)</f>
        <v>6</v>
      </c>
      <c r="T239" s="3" t="str">
        <f>A239&amp;"|"&amp;B239&amp;"|"&amp;F239</f>
        <v>238|40848|6</v>
      </c>
      <c r="U239" s="3">
        <f t="shared" si="12"/>
        <v>610</v>
      </c>
      <c r="V239" s="3">
        <f t="shared" si="13"/>
        <v>120.10000000000005</v>
      </c>
      <c r="W239" s="50">
        <f t="shared" si="14"/>
        <v>8.1303845032683911E-2</v>
      </c>
      <c r="X239" s="50">
        <f t="shared" si="15"/>
        <v>0.16514794964716251</v>
      </c>
    </row>
    <row r="240" spans="1:24" x14ac:dyDescent="0.2">
      <c r="A240" s="4">
        <v>239</v>
      </c>
      <c r="B240" s="5">
        <v>40848</v>
      </c>
      <c r="C240" s="4">
        <v>1</v>
      </c>
      <c r="D240" s="4">
        <v>0</v>
      </c>
      <c r="E240" s="4">
        <v>1</v>
      </c>
      <c r="F240" s="4">
        <v>7</v>
      </c>
      <c r="G240" s="4" t="b">
        <v>0</v>
      </c>
      <c r="H240" s="4">
        <v>2</v>
      </c>
      <c r="I240" s="4">
        <v>2</v>
      </c>
      <c r="J240" s="4">
        <v>0.16</v>
      </c>
      <c r="K240" s="6" t="str">
        <f>IF(H240=0,"weekend",IF(H240=6,"weekend","weekend"))</f>
        <v>weekend</v>
      </c>
      <c r="L240" s="3" t="str">
        <f>IF(C240=1,"Spring",IF(C240=2,"Summer",IF(C240=3,"Fall","Winter")))</f>
        <v>Spring</v>
      </c>
      <c r="M240" s="3">
        <f>SUM(J240:J264)</f>
        <v>4.1400000000000015</v>
      </c>
      <c r="N240" s="3">
        <f>AVERAGE(J240:J849)</f>
        <v>0.1840322580645162</v>
      </c>
      <c r="O240" s="3">
        <f>COUNT(J240:J849)</f>
        <v>372</v>
      </c>
      <c r="P240" s="3" t="str">
        <f>TEXT(J240,"0.00")</f>
        <v>0.16</v>
      </c>
      <c r="Q240" s="3" t="str">
        <f>LEFT(L240,3)</f>
        <v>Spr</v>
      </c>
      <c r="R240" s="42" t="str">
        <f>RIGHT(L240,3)</f>
        <v>ing</v>
      </c>
      <c r="S240" s="42">
        <f>LEN(L240)</f>
        <v>6</v>
      </c>
      <c r="T240" s="3" t="str">
        <f>A240&amp;"|"&amp;B240&amp;"|"&amp;F240</f>
        <v>239|40848|7</v>
      </c>
      <c r="U240" s="3">
        <f t="shared" si="12"/>
        <v>610</v>
      </c>
      <c r="V240" s="3">
        <f t="shared" si="13"/>
        <v>120.10000000000005</v>
      </c>
      <c r="W240" s="50">
        <f t="shared" si="14"/>
        <v>8.1303845032683911E-2</v>
      </c>
      <c r="X240" s="50">
        <f t="shared" si="15"/>
        <v>0.16514794964716251</v>
      </c>
    </row>
    <row r="241" spans="1:24" x14ac:dyDescent="0.2">
      <c r="A241" s="4">
        <v>240</v>
      </c>
      <c r="B241" s="5">
        <v>40848</v>
      </c>
      <c r="C241" s="4">
        <v>1</v>
      </c>
      <c r="D241" s="4">
        <v>0</v>
      </c>
      <c r="E241" s="4">
        <v>1</v>
      </c>
      <c r="F241" s="4">
        <v>8</v>
      </c>
      <c r="G241" s="4" t="b">
        <v>0</v>
      </c>
      <c r="H241" s="4">
        <v>2</v>
      </c>
      <c r="I241" s="4">
        <v>2</v>
      </c>
      <c r="J241" s="4">
        <v>0.18</v>
      </c>
      <c r="K241" s="6" t="str">
        <f>IF(H241=0,"weekend",IF(H241=6,"weekend","weekend"))</f>
        <v>weekend</v>
      </c>
      <c r="L241" s="3" t="str">
        <f>IF(C241=1,"Spring",IF(C241=2,"Summer",IF(C241=3,"Fall","Winter")))</f>
        <v>Spring</v>
      </c>
      <c r="M241" s="3">
        <f>SUM(J241:J265)</f>
        <v>4.160000000000001</v>
      </c>
      <c r="N241" s="3">
        <f>AVERAGE(J241:J850)</f>
        <v>0.18409703504043137</v>
      </c>
      <c r="O241" s="3">
        <f>COUNT(J241:J850)</f>
        <v>371</v>
      </c>
      <c r="P241" s="3" t="str">
        <f>TEXT(J241,"0.00")</f>
        <v>0.18</v>
      </c>
      <c r="Q241" s="3" t="str">
        <f>LEFT(L241,3)</f>
        <v>Spr</v>
      </c>
      <c r="R241" s="42" t="str">
        <f>RIGHT(L241,3)</f>
        <v>ing</v>
      </c>
      <c r="S241" s="42">
        <f>LEN(L241)</f>
        <v>6</v>
      </c>
      <c r="T241" s="3" t="str">
        <f>A241&amp;"|"&amp;B241&amp;"|"&amp;F241</f>
        <v>240|40848|8</v>
      </c>
      <c r="U241" s="3">
        <f t="shared" si="12"/>
        <v>610</v>
      </c>
      <c r="V241" s="3">
        <f t="shared" si="13"/>
        <v>120.10000000000005</v>
      </c>
      <c r="W241" s="50">
        <f t="shared" si="14"/>
        <v>8.1303845032683911E-2</v>
      </c>
      <c r="X241" s="50">
        <f t="shared" si="15"/>
        <v>0.16514794964716251</v>
      </c>
    </row>
    <row r="242" spans="1:24" x14ac:dyDescent="0.2">
      <c r="A242" s="4">
        <v>241</v>
      </c>
      <c r="B242" s="5">
        <v>40848</v>
      </c>
      <c r="C242" s="4">
        <v>1</v>
      </c>
      <c r="D242" s="4">
        <v>0</v>
      </c>
      <c r="E242" s="4">
        <v>1</v>
      </c>
      <c r="F242" s="4">
        <v>9</v>
      </c>
      <c r="G242" s="4" t="b">
        <v>0</v>
      </c>
      <c r="H242" s="4">
        <v>2</v>
      </c>
      <c r="I242" s="4">
        <v>2</v>
      </c>
      <c r="J242" s="4">
        <v>0.18</v>
      </c>
      <c r="K242" s="6" t="str">
        <f>IF(H242=0,"weekend",IF(H242=6,"weekend","weekend"))</f>
        <v>weekend</v>
      </c>
      <c r="L242" s="3" t="str">
        <f>IF(C242=1,"Spring",IF(C242=2,"Summer",IF(C242=3,"Fall","Winter")))</f>
        <v>Spring</v>
      </c>
      <c r="M242" s="3">
        <f>SUM(J242:J266)</f>
        <v>4.1800000000000015</v>
      </c>
      <c r="N242" s="3">
        <f>AVERAGE(J242:J851)</f>
        <v>0.18410810810810821</v>
      </c>
      <c r="O242" s="3">
        <f>COUNT(J242:J851)</f>
        <v>370</v>
      </c>
      <c r="P242" s="3" t="str">
        <f>TEXT(J242,"0.00")</f>
        <v>0.18</v>
      </c>
      <c r="Q242" s="3" t="str">
        <f>LEFT(L242,3)</f>
        <v>Spr</v>
      </c>
      <c r="R242" s="42" t="str">
        <f>RIGHT(L242,3)</f>
        <v>ing</v>
      </c>
      <c r="S242" s="42">
        <f>LEN(L242)</f>
        <v>6</v>
      </c>
      <c r="T242" s="3" t="str">
        <f>A242&amp;"|"&amp;B242&amp;"|"&amp;F242</f>
        <v>241|40848|9</v>
      </c>
      <c r="U242" s="3">
        <f t="shared" si="12"/>
        <v>610</v>
      </c>
      <c r="V242" s="3">
        <f t="shared" si="13"/>
        <v>120.10000000000005</v>
      </c>
      <c r="W242" s="50">
        <f t="shared" si="14"/>
        <v>8.1303845032683911E-2</v>
      </c>
      <c r="X242" s="50">
        <f t="shared" si="15"/>
        <v>0.16514794964716251</v>
      </c>
    </row>
    <row r="243" spans="1:24" x14ac:dyDescent="0.2">
      <c r="A243" s="4">
        <v>242</v>
      </c>
      <c r="B243" s="5">
        <v>40848</v>
      </c>
      <c r="C243" s="4">
        <v>1</v>
      </c>
      <c r="D243" s="4">
        <v>0</v>
      </c>
      <c r="E243" s="4">
        <v>1</v>
      </c>
      <c r="F243" s="4">
        <v>10</v>
      </c>
      <c r="G243" s="4" t="b">
        <v>0</v>
      </c>
      <c r="H243" s="4">
        <v>2</v>
      </c>
      <c r="I243" s="4">
        <v>2</v>
      </c>
      <c r="J243" s="4">
        <v>0.2</v>
      </c>
      <c r="K243" s="6" t="str">
        <f>IF(H243=0,"weekend",IF(H243=6,"weekend","weekend"))</f>
        <v>weekend</v>
      </c>
      <c r="L243" s="3" t="str">
        <f>IF(C243=1,"Spring",IF(C243=2,"Summer",IF(C243=3,"Fall","Winter")))</f>
        <v>Spring</v>
      </c>
      <c r="M243" s="3">
        <f>SUM(J243:J267)</f>
        <v>4.2000000000000011</v>
      </c>
      <c r="N243" s="3">
        <f>AVERAGE(J243:J852)</f>
        <v>0.18411924119241202</v>
      </c>
      <c r="O243" s="3">
        <f>COUNT(J243:J852)</f>
        <v>369</v>
      </c>
      <c r="P243" s="3" t="str">
        <f>TEXT(J243,"0.00")</f>
        <v>0.20</v>
      </c>
      <c r="Q243" s="3" t="str">
        <f>LEFT(L243,3)</f>
        <v>Spr</v>
      </c>
      <c r="R243" s="42" t="str">
        <f>RIGHT(L243,3)</f>
        <v>ing</v>
      </c>
      <c r="S243" s="42">
        <f>LEN(L243)</f>
        <v>6</v>
      </c>
      <c r="T243" s="3" t="str">
        <f>A243&amp;"|"&amp;B243&amp;"|"&amp;F243</f>
        <v>242|40848|10</v>
      </c>
      <c r="U243" s="3">
        <f t="shared" si="12"/>
        <v>610</v>
      </c>
      <c r="V243" s="3">
        <f t="shared" si="13"/>
        <v>120.10000000000005</v>
      </c>
      <c r="W243" s="50">
        <f t="shared" si="14"/>
        <v>8.1303845032683911E-2</v>
      </c>
      <c r="X243" s="50">
        <f t="shared" si="15"/>
        <v>0.16514794964716251</v>
      </c>
    </row>
    <row r="244" spans="1:24" x14ac:dyDescent="0.2">
      <c r="A244" s="4">
        <v>243</v>
      </c>
      <c r="B244" s="5">
        <v>40848</v>
      </c>
      <c r="C244" s="4">
        <v>1</v>
      </c>
      <c r="D244" s="4">
        <v>0</v>
      </c>
      <c r="E244" s="4">
        <v>1</v>
      </c>
      <c r="F244" s="4">
        <v>11</v>
      </c>
      <c r="G244" s="4" t="b">
        <v>0</v>
      </c>
      <c r="H244" s="4">
        <v>2</v>
      </c>
      <c r="I244" s="4">
        <v>2</v>
      </c>
      <c r="J244" s="4">
        <v>0.2</v>
      </c>
      <c r="K244" s="6" t="str">
        <f>IF(H244=0,"weekend",IF(H244=6,"weekend","weekend"))</f>
        <v>weekend</v>
      </c>
      <c r="L244" s="3" t="str">
        <f>IF(C244=1,"Spring",IF(C244=2,"Summer",IF(C244=3,"Fall","Winter")))</f>
        <v>Spring</v>
      </c>
      <c r="M244" s="3">
        <f>SUM(J244:J268)</f>
        <v>4.2200000000000006</v>
      </c>
      <c r="N244" s="3">
        <f>AVERAGE(J244:J853)</f>
        <v>0.18407608695652181</v>
      </c>
      <c r="O244" s="3">
        <f>COUNT(J244:J853)</f>
        <v>368</v>
      </c>
      <c r="P244" s="3" t="str">
        <f>TEXT(J244,"0.00")</f>
        <v>0.20</v>
      </c>
      <c r="Q244" s="3" t="str">
        <f>LEFT(L244,3)</f>
        <v>Spr</v>
      </c>
      <c r="R244" s="42" t="str">
        <f>RIGHT(L244,3)</f>
        <v>ing</v>
      </c>
      <c r="S244" s="42">
        <f>LEN(L244)</f>
        <v>6</v>
      </c>
      <c r="T244" s="3" t="str">
        <f>A244&amp;"|"&amp;B244&amp;"|"&amp;F244</f>
        <v>243|40848|11</v>
      </c>
      <c r="U244" s="3">
        <f t="shared" si="12"/>
        <v>610</v>
      </c>
      <c r="V244" s="3">
        <f t="shared" si="13"/>
        <v>120.10000000000005</v>
      </c>
      <c r="W244" s="50">
        <f t="shared" si="14"/>
        <v>8.1303845032683911E-2</v>
      </c>
      <c r="X244" s="50">
        <f t="shared" si="15"/>
        <v>0.16514794964716251</v>
      </c>
    </row>
    <row r="245" spans="1:24" x14ac:dyDescent="0.2">
      <c r="A245" s="4">
        <v>244</v>
      </c>
      <c r="B245" s="5">
        <v>40848</v>
      </c>
      <c r="C245" s="4">
        <v>1</v>
      </c>
      <c r="D245" s="4">
        <v>0</v>
      </c>
      <c r="E245" s="4">
        <v>1</v>
      </c>
      <c r="F245" s="4">
        <v>12</v>
      </c>
      <c r="G245" s="4" t="b">
        <v>0</v>
      </c>
      <c r="H245" s="4">
        <v>2</v>
      </c>
      <c r="I245" s="4">
        <v>2</v>
      </c>
      <c r="J245" s="4">
        <v>0.2</v>
      </c>
      <c r="K245" s="6" t="str">
        <f>IF(H245=0,"weekend",IF(H245=6,"weekend","weekend"))</f>
        <v>weekend</v>
      </c>
      <c r="L245" s="3" t="str">
        <f>IF(C245=1,"Spring",IF(C245=2,"Summer",IF(C245=3,"Fall","Winter")))</f>
        <v>Spring</v>
      </c>
      <c r="M245" s="3">
        <f>SUM(J245:J269)</f>
        <v>4.2200000000000015</v>
      </c>
      <c r="N245" s="3">
        <f>AVERAGE(J245:J854)</f>
        <v>0.18403269754768398</v>
      </c>
      <c r="O245" s="3">
        <f>COUNT(J245:J854)</f>
        <v>367</v>
      </c>
      <c r="P245" s="3" t="str">
        <f>TEXT(J245,"0.00")</f>
        <v>0.20</v>
      </c>
      <c r="Q245" s="3" t="str">
        <f>LEFT(L245,3)</f>
        <v>Spr</v>
      </c>
      <c r="R245" s="42" t="str">
        <f>RIGHT(L245,3)</f>
        <v>ing</v>
      </c>
      <c r="S245" s="42">
        <f>LEN(L245)</f>
        <v>6</v>
      </c>
      <c r="T245" s="3" t="str">
        <f>A245&amp;"|"&amp;B245&amp;"|"&amp;F245</f>
        <v>244|40848|12</v>
      </c>
      <c r="U245" s="3">
        <f t="shared" si="12"/>
        <v>610</v>
      </c>
      <c r="V245" s="3">
        <f t="shared" si="13"/>
        <v>120.10000000000005</v>
      </c>
      <c r="W245" s="50">
        <f t="shared" si="14"/>
        <v>8.1303845032683911E-2</v>
      </c>
      <c r="X245" s="50">
        <f t="shared" si="15"/>
        <v>0.16514794964716251</v>
      </c>
    </row>
    <row r="246" spans="1:24" x14ac:dyDescent="0.2">
      <c r="A246" s="4">
        <v>245</v>
      </c>
      <c r="B246" s="5">
        <v>40848</v>
      </c>
      <c r="C246" s="4">
        <v>1</v>
      </c>
      <c r="D246" s="4">
        <v>0</v>
      </c>
      <c r="E246" s="4">
        <v>1</v>
      </c>
      <c r="F246" s="4">
        <v>13</v>
      </c>
      <c r="G246" s="4" t="b">
        <v>0</v>
      </c>
      <c r="H246" s="4">
        <v>2</v>
      </c>
      <c r="I246" s="4">
        <v>2</v>
      </c>
      <c r="J246" s="4">
        <v>0.2</v>
      </c>
      <c r="K246" s="6" t="str">
        <f>IF(H246=0,"weekend",IF(H246=6,"weekend","weekend"))</f>
        <v>weekend</v>
      </c>
      <c r="L246" s="3" t="str">
        <f>IF(C246=1,"Spring",IF(C246=2,"Summer",IF(C246=3,"Fall","Winter")))</f>
        <v>Spring</v>
      </c>
      <c r="M246" s="3">
        <f>SUM(J246:J270)</f>
        <v>4.2200000000000015</v>
      </c>
      <c r="N246" s="3">
        <f>AVERAGE(J246:J855)</f>
        <v>0.18398907103825141</v>
      </c>
      <c r="O246" s="3">
        <f>COUNT(J246:J855)</f>
        <v>366</v>
      </c>
      <c r="P246" s="3" t="str">
        <f>TEXT(J246,"0.00")</f>
        <v>0.20</v>
      </c>
      <c r="Q246" s="3" t="str">
        <f>LEFT(L246,3)</f>
        <v>Spr</v>
      </c>
      <c r="R246" s="42" t="str">
        <f>RIGHT(L246,3)</f>
        <v>ing</v>
      </c>
      <c r="S246" s="42">
        <f>LEN(L246)</f>
        <v>6</v>
      </c>
      <c r="T246" s="3" t="str">
        <f>A246&amp;"|"&amp;B246&amp;"|"&amp;F246</f>
        <v>245|40848|13</v>
      </c>
      <c r="U246" s="3">
        <f t="shared" si="12"/>
        <v>610</v>
      </c>
      <c r="V246" s="3">
        <f t="shared" si="13"/>
        <v>120.10000000000005</v>
      </c>
      <c r="W246" s="50">
        <f t="shared" si="14"/>
        <v>8.1303845032683911E-2</v>
      </c>
      <c r="X246" s="50">
        <f t="shared" si="15"/>
        <v>0.16514794964716251</v>
      </c>
    </row>
    <row r="247" spans="1:24" x14ac:dyDescent="0.2">
      <c r="A247" s="4">
        <v>246</v>
      </c>
      <c r="B247" s="5">
        <v>40848</v>
      </c>
      <c r="C247" s="4">
        <v>1</v>
      </c>
      <c r="D247" s="4">
        <v>0</v>
      </c>
      <c r="E247" s="4">
        <v>1</v>
      </c>
      <c r="F247" s="4">
        <v>14</v>
      </c>
      <c r="G247" s="4" t="b">
        <v>0</v>
      </c>
      <c r="H247" s="4">
        <v>2</v>
      </c>
      <c r="I247" s="4">
        <v>2</v>
      </c>
      <c r="J247" s="4">
        <v>0.2</v>
      </c>
      <c r="K247" s="6" t="str">
        <f>IF(H247=0,"weekend",IF(H247=6,"weekend","weekend"))</f>
        <v>weekend</v>
      </c>
      <c r="L247" s="3" t="str">
        <f>IF(C247=1,"Spring",IF(C247=2,"Summer",IF(C247=3,"Fall","Winter")))</f>
        <v>Spring</v>
      </c>
      <c r="M247" s="3">
        <f>SUM(J247:J271)</f>
        <v>4.2400000000000011</v>
      </c>
      <c r="N247" s="3">
        <f>AVERAGE(J247:J856)</f>
        <v>0.18394520547945209</v>
      </c>
      <c r="O247" s="3">
        <f>COUNT(J247:J856)</f>
        <v>365</v>
      </c>
      <c r="P247" s="3" t="str">
        <f>TEXT(J247,"0.00")</f>
        <v>0.20</v>
      </c>
      <c r="Q247" s="3" t="str">
        <f>LEFT(L247,3)</f>
        <v>Spr</v>
      </c>
      <c r="R247" s="42" t="str">
        <f>RIGHT(L247,3)</f>
        <v>ing</v>
      </c>
      <c r="S247" s="42">
        <f>LEN(L247)</f>
        <v>6</v>
      </c>
      <c r="T247" s="3" t="str">
        <f>A247&amp;"|"&amp;B247&amp;"|"&amp;F247</f>
        <v>246|40848|14</v>
      </c>
      <c r="U247" s="3">
        <f t="shared" si="12"/>
        <v>610</v>
      </c>
      <c r="V247" s="3">
        <f t="shared" si="13"/>
        <v>120.10000000000005</v>
      </c>
      <c r="W247" s="50">
        <f t="shared" si="14"/>
        <v>8.1303845032683911E-2</v>
      </c>
      <c r="X247" s="50">
        <f t="shared" si="15"/>
        <v>0.16514794964716251</v>
      </c>
    </row>
    <row r="248" spans="1:24" x14ac:dyDescent="0.2">
      <c r="A248" s="4">
        <v>247</v>
      </c>
      <c r="B248" s="5">
        <v>40848</v>
      </c>
      <c r="C248" s="4">
        <v>1</v>
      </c>
      <c r="D248" s="4">
        <v>0</v>
      </c>
      <c r="E248" s="4">
        <v>1</v>
      </c>
      <c r="F248" s="4">
        <v>15</v>
      </c>
      <c r="G248" s="4" t="b">
        <v>0</v>
      </c>
      <c r="H248" s="4">
        <v>2</v>
      </c>
      <c r="I248" s="4">
        <v>2</v>
      </c>
      <c r="J248" s="4">
        <v>0.16</v>
      </c>
      <c r="K248" s="6" t="str">
        <f>IF(H248=0,"weekend",IF(H248=6,"weekend","weekend"))</f>
        <v>weekend</v>
      </c>
      <c r="L248" s="3" t="str">
        <f>IF(C248=1,"Spring",IF(C248=2,"Summer",IF(C248=3,"Fall","Winter")))</f>
        <v>Spring</v>
      </c>
      <c r="M248" s="3">
        <f>SUM(J248:J272)</f>
        <v>4.240000000000002</v>
      </c>
      <c r="N248" s="3">
        <f>AVERAGE(J248:J857)</f>
        <v>0.18390109890109893</v>
      </c>
      <c r="O248" s="3">
        <f>COUNT(J248:J857)</f>
        <v>364</v>
      </c>
      <c r="P248" s="3" t="str">
        <f>TEXT(J248,"0.00")</f>
        <v>0.16</v>
      </c>
      <c r="Q248" s="3" t="str">
        <f>LEFT(L248,3)</f>
        <v>Spr</v>
      </c>
      <c r="R248" s="42" t="str">
        <f>RIGHT(L248,3)</f>
        <v>ing</v>
      </c>
      <c r="S248" s="42">
        <f>LEN(L248)</f>
        <v>6</v>
      </c>
      <c r="T248" s="3" t="str">
        <f>A248&amp;"|"&amp;B248&amp;"|"&amp;F248</f>
        <v>247|40848|15</v>
      </c>
      <c r="U248" s="3">
        <f t="shared" si="12"/>
        <v>610</v>
      </c>
      <c r="V248" s="3">
        <f t="shared" si="13"/>
        <v>120.10000000000005</v>
      </c>
      <c r="W248" s="50">
        <f t="shared" si="14"/>
        <v>8.1303845032683911E-2</v>
      </c>
      <c r="X248" s="50">
        <f t="shared" si="15"/>
        <v>0.16514794964716251</v>
      </c>
    </row>
    <row r="249" spans="1:24" x14ac:dyDescent="0.2">
      <c r="A249" s="4">
        <v>248</v>
      </c>
      <c r="B249" s="5">
        <v>40848</v>
      </c>
      <c r="C249" s="4">
        <v>1</v>
      </c>
      <c r="D249" s="4">
        <v>0</v>
      </c>
      <c r="E249" s="4">
        <v>1</v>
      </c>
      <c r="F249" s="4">
        <v>16</v>
      </c>
      <c r="G249" s="4" t="b">
        <v>0</v>
      </c>
      <c r="H249" s="4">
        <v>2</v>
      </c>
      <c r="I249" s="4">
        <v>2</v>
      </c>
      <c r="J249" s="4">
        <v>0.16</v>
      </c>
      <c r="K249" s="6" t="str">
        <f>IF(H249=0,"weekend",IF(H249=6,"weekend","weekend"))</f>
        <v>weekend</v>
      </c>
      <c r="L249" s="3" t="str">
        <f>IF(C249=1,"Spring",IF(C249=2,"Summer",IF(C249=3,"Fall","Winter")))</f>
        <v>Spring</v>
      </c>
      <c r="M249" s="3">
        <f>SUM(J249:J273)</f>
        <v>4.280000000000002</v>
      </c>
      <c r="N249" s="3">
        <f>AVERAGE(J249:J858)</f>
        <v>0.18396694214876033</v>
      </c>
      <c r="O249" s="3">
        <f>COUNT(J249:J858)</f>
        <v>363</v>
      </c>
      <c r="P249" s="3" t="str">
        <f>TEXT(J249,"0.00")</f>
        <v>0.16</v>
      </c>
      <c r="Q249" s="3" t="str">
        <f>LEFT(L249,3)</f>
        <v>Spr</v>
      </c>
      <c r="R249" s="42" t="str">
        <f>RIGHT(L249,3)</f>
        <v>ing</v>
      </c>
      <c r="S249" s="42">
        <f>LEN(L249)</f>
        <v>6</v>
      </c>
      <c r="T249" s="3" t="str">
        <f>A249&amp;"|"&amp;B249&amp;"|"&amp;F249</f>
        <v>248|40848|16</v>
      </c>
      <c r="U249" s="3">
        <f t="shared" si="12"/>
        <v>610</v>
      </c>
      <c r="V249" s="3">
        <f t="shared" si="13"/>
        <v>120.10000000000005</v>
      </c>
      <c r="W249" s="50">
        <f t="shared" si="14"/>
        <v>8.1303845032683911E-2</v>
      </c>
      <c r="X249" s="50">
        <f t="shared" si="15"/>
        <v>0.16514794964716251</v>
      </c>
    </row>
    <row r="250" spans="1:24" x14ac:dyDescent="0.2">
      <c r="A250" s="4">
        <v>249</v>
      </c>
      <c r="B250" s="5">
        <v>40848</v>
      </c>
      <c r="C250" s="4">
        <v>1</v>
      </c>
      <c r="D250" s="4">
        <v>0</v>
      </c>
      <c r="E250" s="4">
        <v>1</v>
      </c>
      <c r="F250" s="4">
        <v>17</v>
      </c>
      <c r="G250" s="4" t="b">
        <v>0</v>
      </c>
      <c r="H250" s="4">
        <v>2</v>
      </c>
      <c r="I250" s="4">
        <v>2</v>
      </c>
      <c r="J250" s="4">
        <v>0.16</v>
      </c>
      <c r="K250" s="6" t="str">
        <f>IF(H250=0,"weekend",IF(H250=6,"weekend","weekend"))</f>
        <v>weekend</v>
      </c>
      <c r="L250" s="3" t="str">
        <f>IF(C250=1,"Spring",IF(C250=2,"Summer",IF(C250=3,"Fall","Winter")))</f>
        <v>Spring</v>
      </c>
      <c r="M250" s="3">
        <f>SUM(J250:J274)</f>
        <v>4.3000000000000016</v>
      </c>
      <c r="N250" s="3">
        <f>AVERAGE(J250:J859)</f>
        <v>0.1840331491712707</v>
      </c>
      <c r="O250" s="3">
        <f>COUNT(J250:J859)</f>
        <v>362</v>
      </c>
      <c r="P250" s="3" t="str">
        <f>TEXT(J250,"0.00")</f>
        <v>0.16</v>
      </c>
      <c r="Q250" s="3" t="str">
        <f>LEFT(L250,3)</f>
        <v>Spr</v>
      </c>
      <c r="R250" s="42" t="str">
        <f>RIGHT(L250,3)</f>
        <v>ing</v>
      </c>
      <c r="S250" s="42">
        <f>LEN(L250)</f>
        <v>6</v>
      </c>
      <c r="T250" s="3" t="str">
        <f>A250&amp;"|"&amp;B250&amp;"|"&amp;F250</f>
        <v>249|40848|17</v>
      </c>
      <c r="U250" s="3">
        <f t="shared" si="12"/>
        <v>610</v>
      </c>
      <c r="V250" s="3">
        <f t="shared" si="13"/>
        <v>120.10000000000005</v>
      </c>
      <c r="W250" s="50">
        <f t="shared" si="14"/>
        <v>8.1303845032683911E-2</v>
      </c>
      <c r="X250" s="50">
        <f t="shared" si="15"/>
        <v>0.16514794964716251</v>
      </c>
    </row>
    <row r="251" spans="1:24" x14ac:dyDescent="0.2">
      <c r="A251" s="4">
        <v>250</v>
      </c>
      <c r="B251" s="5">
        <v>40848</v>
      </c>
      <c r="C251" s="4">
        <v>1</v>
      </c>
      <c r="D251" s="4">
        <v>0</v>
      </c>
      <c r="E251" s="4">
        <v>1</v>
      </c>
      <c r="F251" s="4">
        <v>18</v>
      </c>
      <c r="G251" s="4" t="b">
        <v>0</v>
      </c>
      <c r="H251" s="4">
        <v>2</v>
      </c>
      <c r="I251" s="4">
        <v>3</v>
      </c>
      <c r="J251" s="4">
        <v>0.16</v>
      </c>
      <c r="K251" s="6" t="str">
        <f>IF(H251=0,"weekend",IF(H251=6,"weekend","weekend"))</f>
        <v>weekend</v>
      </c>
      <c r="L251" s="3" t="str">
        <f>IF(C251=1,"Spring",IF(C251=2,"Summer",IF(C251=3,"Fall","Winter")))</f>
        <v>Spring</v>
      </c>
      <c r="M251" s="3">
        <f>SUM(J251:J275)</f>
        <v>4.3000000000000016</v>
      </c>
      <c r="N251" s="3">
        <f>AVERAGE(J251:J860)</f>
        <v>0.18409972299168972</v>
      </c>
      <c r="O251" s="3">
        <f>COUNT(J251:J860)</f>
        <v>361</v>
      </c>
      <c r="P251" s="3" t="str">
        <f>TEXT(J251,"0.00")</f>
        <v>0.16</v>
      </c>
      <c r="Q251" s="3" t="str">
        <f>LEFT(L251,3)</f>
        <v>Spr</v>
      </c>
      <c r="R251" s="42" t="str">
        <f>RIGHT(L251,3)</f>
        <v>ing</v>
      </c>
      <c r="S251" s="42">
        <f>LEN(L251)</f>
        <v>6</v>
      </c>
      <c r="T251" s="3" t="str">
        <f>A251&amp;"|"&amp;B251&amp;"|"&amp;F251</f>
        <v>250|40848|18</v>
      </c>
      <c r="U251" s="3">
        <f t="shared" si="12"/>
        <v>610</v>
      </c>
      <c r="V251" s="3">
        <f t="shared" si="13"/>
        <v>120.10000000000005</v>
      </c>
      <c r="W251" s="50">
        <f t="shared" si="14"/>
        <v>8.1303845032683911E-2</v>
      </c>
      <c r="X251" s="50">
        <f t="shared" si="15"/>
        <v>0.16514794964716251</v>
      </c>
    </row>
    <row r="252" spans="1:24" x14ac:dyDescent="0.2">
      <c r="A252" s="4">
        <v>251</v>
      </c>
      <c r="B252" s="5">
        <v>40848</v>
      </c>
      <c r="C252" s="4">
        <v>1</v>
      </c>
      <c r="D252" s="4">
        <v>0</v>
      </c>
      <c r="E252" s="4">
        <v>1</v>
      </c>
      <c r="F252" s="4">
        <v>19</v>
      </c>
      <c r="G252" s="4" t="b">
        <v>0</v>
      </c>
      <c r="H252" s="4">
        <v>2</v>
      </c>
      <c r="I252" s="4">
        <v>3</v>
      </c>
      <c r="J252" s="4">
        <v>0.16</v>
      </c>
      <c r="K252" s="6" t="str">
        <f>IF(H252=0,"weekend",IF(H252=6,"weekend","weekend"))</f>
        <v>weekend</v>
      </c>
      <c r="L252" s="3" t="str">
        <f>IF(C252=1,"Spring",IF(C252=2,"Summer",IF(C252=3,"Fall","Winter")))</f>
        <v>Spring</v>
      </c>
      <c r="M252" s="3">
        <f>SUM(J252:J276)</f>
        <v>4.3000000000000025</v>
      </c>
      <c r="N252" s="3">
        <f>AVERAGE(J252:J861)</f>
        <v>0.18416666666666665</v>
      </c>
      <c r="O252" s="3">
        <f>COUNT(J252:J861)</f>
        <v>360</v>
      </c>
      <c r="P252" s="3" t="str">
        <f>TEXT(J252,"0.00")</f>
        <v>0.16</v>
      </c>
      <c r="Q252" s="3" t="str">
        <f>LEFT(L252,3)</f>
        <v>Spr</v>
      </c>
      <c r="R252" s="42" t="str">
        <f>RIGHT(L252,3)</f>
        <v>ing</v>
      </c>
      <c r="S252" s="42">
        <f>LEN(L252)</f>
        <v>6</v>
      </c>
      <c r="T252" s="3" t="str">
        <f>A252&amp;"|"&amp;B252&amp;"|"&amp;F252</f>
        <v>251|40848|19</v>
      </c>
      <c r="U252" s="3">
        <f t="shared" si="12"/>
        <v>610</v>
      </c>
      <c r="V252" s="3">
        <f t="shared" si="13"/>
        <v>120.10000000000005</v>
      </c>
      <c r="W252" s="50">
        <f t="shared" si="14"/>
        <v>8.1303845032683911E-2</v>
      </c>
      <c r="X252" s="50">
        <f t="shared" si="15"/>
        <v>0.16514794964716251</v>
      </c>
    </row>
    <row r="253" spans="1:24" x14ac:dyDescent="0.2">
      <c r="A253" s="4">
        <v>252</v>
      </c>
      <c r="B253" s="5">
        <v>40848</v>
      </c>
      <c r="C253" s="4">
        <v>1</v>
      </c>
      <c r="D253" s="4">
        <v>0</v>
      </c>
      <c r="E253" s="4">
        <v>1</v>
      </c>
      <c r="F253" s="4">
        <v>20</v>
      </c>
      <c r="G253" s="4" t="b">
        <v>0</v>
      </c>
      <c r="H253" s="4">
        <v>2</v>
      </c>
      <c r="I253" s="4">
        <v>3</v>
      </c>
      <c r="J253" s="4">
        <v>0.16</v>
      </c>
      <c r="K253" s="6" t="str">
        <f>IF(H253=0,"weekend",IF(H253=6,"weekend","weekend"))</f>
        <v>weekend</v>
      </c>
      <c r="L253" s="3" t="str">
        <f>IF(C253=1,"Spring",IF(C253=2,"Summer",IF(C253=3,"Fall","Winter")))</f>
        <v>Spring</v>
      </c>
      <c r="M253" s="3">
        <f>SUM(J253:J277)</f>
        <v>4.3000000000000025</v>
      </c>
      <c r="N253" s="3">
        <f>AVERAGE(J253:J862)</f>
        <v>0.18423398328690804</v>
      </c>
      <c r="O253" s="3">
        <f>COUNT(J253:J862)</f>
        <v>359</v>
      </c>
      <c r="P253" s="3" t="str">
        <f>TEXT(J253,"0.00")</f>
        <v>0.16</v>
      </c>
      <c r="Q253" s="3" t="str">
        <f>LEFT(L253,3)</f>
        <v>Spr</v>
      </c>
      <c r="R253" s="42" t="str">
        <f>RIGHT(L253,3)</f>
        <v>ing</v>
      </c>
      <c r="S253" s="42">
        <f>LEN(L253)</f>
        <v>6</v>
      </c>
      <c r="T253" s="3" t="str">
        <f>A253&amp;"|"&amp;B253&amp;"|"&amp;F253</f>
        <v>252|40848|20</v>
      </c>
      <c r="U253" s="3">
        <f t="shared" si="12"/>
        <v>610</v>
      </c>
      <c r="V253" s="3">
        <f t="shared" si="13"/>
        <v>120.10000000000005</v>
      </c>
      <c r="W253" s="50">
        <f t="shared" si="14"/>
        <v>8.1303845032683911E-2</v>
      </c>
      <c r="X253" s="50">
        <f t="shared" si="15"/>
        <v>0.16514794964716251</v>
      </c>
    </row>
    <row r="254" spans="1:24" x14ac:dyDescent="0.2">
      <c r="A254" s="4">
        <v>253</v>
      </c>
      <c r="B254" s="5">
        <v>40848</v>
      </c>
      <c r="C254" s="4">
        <v>1</v>
      </c>
      <c r="D254" s="4">
        <v>0</v>
      </c>
      <c r="E254" s="4">
        <v>1</v>
      </c>
      <c r="F254" s="4">
        <v>21</v>
      </c>
      <c r="G254" s="4" t="b">
        <v>0</v>
      </c>
      <c r="H254" s="4">
        <v>2</v>
      </c>
      <c r="I254" s="4">
        <v>3</v>
      </c>
      <c r="J254" s="4">
        <v>0.16</v>
      </c>
      <c r="K254" s="6" t="str">
        <f>IF(H254=0,"weekend",IF(H254=6,"weekend","weekend"))</f>
        <v>weekend</v>
      </c>
      <c r="L254" s="3" t="str">
        <f>IF(C254=1,"Spring",IF(C254=2,"Summer",IF(C254=3,"Fall","Winter")))</f>
        <v>Spring</v>
      </c>
      <c r="M254" s="3">
        <f>SUM(J254:J278)</f>
        <v>4.2800000000000011</v>
      </c>
      <c r="N254" s="3">
        <f>AVERAGE(J254:J863)</f>
        <v>0.1843016759776536</v>
      </c>
      <c r="O254" s="3">
        <f>COUNT(J254:J863)</f>
        <v>358</v>
      </c>
      <c r="P254" s="3" t="str">
        <f>TEXT(J254,"0.00")</f>
        <v>0.16</v>
      </c>
      <c r="Q254" s="3" t="str">
        <f>LEFT(L254,3)</f>
        <v>Spr</v>
      </c>
      <c r="R254" s="42" t="str">
        <f>RIGHT(L254,3)</f>
        <v>ing</v>
      </c>
      <c r="S254" s="42">
        <f>LEN(L254)</f>
        <v>6</v>
      </c>
      <c r="T254" s="3" t="str">
        <f>A254&amp;"|"&amp;B254&amp;"|"&amp;F254</f>
        <v>253|40848|21</v>
      </c>
      <c r="U254" s="3">
        <f t="shared" si="12"/>
        <v>610</v>
      </c>
      <c r="V254" s="3">
        <f t="shared" si="13"/>
        <v>120.10000000000005</v>
      </c>
      <c r="W254" s="50">
        <f t="shared" si="14"/>
        <v>8.1303845032683911E-2</v>
      </c>
      <c r="X254" s="50">
        <f t="shared" si="15"/>
        <v>0.16514794964716251</v>
      </c>
    </row>
    <row r="255" spans="1:24" x14ac:dyDescent="0.2">
      <c r="A255" s="4">
        <v>254</v>
      </c>
      <c r="B255" s="5">
        <v>40848</v>
      </c>
      <c r="C255" s="4">
        <v>1</v>
      </c>
      <c r="D255" s="4">
        <v>0</v>
      </c>
      <c r="E255" s="4">
        <v>1</v>
      </c>
      <c r="F255" s="4">
        <v>22</v>
      </c>
      <c r="G255" s="4" t="b">
        <v>0</v>
      </c>
      <c r="H255" s="4">
        <v>2</v>
      </c>
      <c r="I255" s="4">
        <v>3</v>
      </c>
      <c r="J255" s="4">
        <v>0.16</v>
      </c>
      <c r="K255" s="6" t="str">
        <f>IF(H255=0,"weekend",IF(H255=6,"weekend","weekend"))</f>
        <v>weekend</v>
      </c>
      <c r="L255" s="3" t="str">
        <f>IF(C255=1,"Spring",IF(C255=2,"Summer",IF(C255=3,"Fall","Winter")))</f>
        <v>Spring</v>
      </c>
      <c r="M255" s="3">
        <f>SUM(J255:J279)</f>
        <v>4.2600000000000016</v>
      </c>
      <c r="N255" s="3">
        <f>AVERAGE(J255:J864)</f>
        <v>0.18436974789915961</v>
      </c>
      <c r="O255" s="3">
        <f>COUNT(J255:J864)</f>
        <v>357</v>
      </c>
      <c r="P255" s="3" t="str">
        <f>TEXT(J255,"0.00")</f>
        <v>0.16</v>
      </c>
      <c r="Q255" s="3" t="str">
        <f>LEFT(L255,3)</f>
        <v>Spr</v>
      </c>
      <c r="R255" s="42" t="str">
        <f>RIGHT(L255,3)</f>
        <v>ing</v>
      </c>
      <c r="S255" s="42">
        <f>LEN(L255)</f>
        <v>6</v>
      </c>
      <c r="T255" s="3" t="str">
        <f>A255&amp;"|"&amp;B255&amp;"|"&amp;F255</f>
        <v>254|40848|22</v>
      </c>
      <c r="U255" s="3">
        <f t="shared" si="12"/>
        <v>610</v>
      </c>
      <c r="V255" s="3">
        <f t="shared" si="13"/>
        <v>120.10000000000005</v>
      </c>
      <c r="W255" s="50">
        <f t="shared" si="14"/>
        <v>8.1303845032683911E-2</v>
      </c>
      <c r="X255" s="50">
        <f t="shared" si="15"/>
        <v>0.16514794964716251</v>
      </c>
    </row>
    <row r="256" spans="1:24" x14ac:dyDescent="0.2">
      <c r="A256" s="4">
        <v>255</v>
      </c>
      <c r="B256" s="5">
        <v>40848</v>
      </c>
      <c r="C256" s="4">
        <v>1</v>
      </c>
      <c r="D256" s="4">
        <v>0</v>
      </c>
      <c r="E256" s="4">
        <v>1</v>
      </c>
      <c r="F256" s="4">
        <v>23</v>
      </c>
      <c r="G256" s="4" t="b">
        <v>0</v>
      </c>
      <c r="H256" s="4">
        <v>2</v>
      </c>
      <c r="I256" s="4">
        <v>3</v>
      </c>
      <c r="J256" s="4">
        <v>0.16</v>
      </c>
      <c r="K256" s="6" t="str">
        <f>IF(H256=0,"weekend",IF(H256=6,"weekend","weekend"))</f>
        <v>weekend</v>
      </c>
      <c r="L256" s="3" t="str">
        <f>IF(C256=1,"Spring",IF(C256=2,"Summer",IF(C256=3,"Fall","Winter")))</f>
        <v>Spring</v>
      </c>
      <c r="M256" s="3">
        <f>SUM(J256:J280)</f>
        <v>4.2400000000000011</v>
      </c>
      <c r="N256" s="3">
        <f>AVERAGE(J256:J865)</f>
        <v>0.18443820224719096</v>
      </c>
      <c r="O256" s="3">
        <f>COUNT(J256:J865)</f>
        <v>356</v>
      </c>
      <c r="P256" s="3" t="str">
        <f>TEXT(J256,"0.00")</f>
        <v>0.16</v>
      </c>
      <c r="Q256" s="3" t="str">
        <f>LEFT(L256,3)</f>
        <v>Spr</v>
      </c>
      <c r="R256" s="42" t="str">
        <f>RIGHT(L256,3)</f>
        <v>ing</v>
      </c>
      <c r="S256" s="42">
        <f>LEN(L256)</f>
        <v>6</v>
      </c>
      <c r="T256" s="3" t="str">
        <f>A256&amp;"|"&amp;B256&amp;"|"&amp;F256</f>
        <v>255|40848|23</v>
      </c>
      <c r="U256" s="3">
        <f t="shared" si="12"/>
        <v>610</v>
      </c>
      <c r="V256" s="3">
        <f t="shared" si="13"/>
        <v>120.10000000000005</v>
      </c>
      <c r="W256" s="50">
        <f t="shared" si="14"/>
        <v>8.1303845032683911E-2</v>
      </c>
      <c r="X256" s="50">
        <f t="shared" si="15"/>
        <v>0.16514794964716251</v>
      </c>
    </row>
    <row r="257" spans="1:24" x14ac:dyDescent="0.2">
      <c r="A257" s="4">
        <v>256</v>
      </c>
      <c r="B257" s="5">
        <v>40878</v>
      </c>
      <c r="C257" s="4">
        <v>1</v>
      </c>
      <c r="D257" s="4">
        <v>0</v>
      </c>
      <c r="E257" s="4">
        <v>1</v>
      </c>
      <c r="F257" s="4">
        <v>0</v>
      </c>
      <c r="G257" s="4" t="b">
        <v>0</v>
      </c>
      <c r="H257" s="4">
        <v>3</v>
      </c>
      <c r="I257" s="4">
        <v>2</v>
      </c>
      <c r="J257" s="4">
        <v>0.16</v>
      </c>
      <c r="K257" s="6" t="str">
        <f>IF(H257=0,"weekend",IF(H257=6,"weekend","weekend"))</f>
        <v>weekend</v>
      </c>
      <c r="L257" s="3" t="str">
        <f>IF(C257=1,"Spring",IF(C257=2,"Summer",IF(C257=3,"Fall","Winter")))</f>
        <v>Spring</v>
      </c>
      <c r="M257" s="3">
        <f>SUM(J257:J281)</f>
        <v>4.2200000000000006</v>
      </c>
      <c r="N257" s="3">
        <f>AVERAGE(J257:J866)</f>
        <v>0.18450704225352108</v>
      </c>
      <c r="O257" s="3">
        <f>COUNT(J257:J866)</f>
        <v>355</v>
      </c>
      <c r="P257" s="3" t="str">
        <f>TEXT(J257,"0.00")</f>
        <v>0.16</v>
      </c>
      <c r="Q257" s="3" t="str">
        <f>LEFT(L257,3)</f>
        <v>Spr</v>
      </c>
      <c r="R257" s="42" t="str">
        <f>RIGHT(L257,3)</f>
        <v>ing</v>
      </c>
      <c r="S257" s="42">
        <f>LEN(L257)</f>
        <v>6</v>
      </c>
      <c r="T257" s="3" t="str">
        <f>A257&amp;"|"&amp;B257&amp;"|"&amp;F257</f>
        <v>256|40878|0</v>
      </c>
      <c r="U257" s="3">
        <f t="shared" si="12"/>
        <v>610</v>
      </c>
      <c r="V257" s="3">
        <f t="shared" si="13"/>
        <v>120.10000000000005</v>
      </c>
      <c r="W257" s="50">
        <f t="shared" si="14"/>
        <v>8.1303845032683911E-2</v>
      </c>
      <c r="X257" s="50">
        <f t="shared" si="15"/>
        <v>0.16514794964716251</v>
      </c>
    </row>
    <row r="258" spans="1:24" x14ac:dyDescent="0.2">
      <c r="A258" s="4">
        <v>257</v>
      </c>
      <c r="B258" s="5">
        <v>40878</v>
      </c>
      <c r="C258" s="4">
        <v>1</v>
      </c>
      <c r="D258" s="4">
        <v>0</v>
      </c>
      <c r="E258" s="4">
        <v>1</v>
      </c>
      <c r="F258" s="4">
        <v>1</v>
      </c>
      <c r="G258" s="4" t="b">
        <v>0</v>
      </c>
      <c r="H258" s="4">
        <v>3</v>
      </c>
      <c r="I258" s="4">
        <v>2</v>
      </c>
      <c r="J258" s="4">
        <v>0.16</v>
      </c>
      <c r="K258" s="6" t="str">
        <f>IF(H258=0,"weekend",IF(H258=6,"weekend","weekend"))</f>
        <v>weekend</v>
      </c>
      <c r="L258" s="3" t="str">
        <f>IF(C258=1,"Spring",IF(C258=2,"Summer",IF(C258=3,"Fall","Winter")))</f>
        <v>Spring</v>
      </c>
      <c r="M258" s="3">
        <f>SUM(J258:J282)</f>
        <v>4.2000000000000011</v>
      </c>
      <c r="N258" s="3">
        <f>AVERAGE(J258:J867)</f>
        <v>0.18457627118644065</v>
      </c>
      <c r="O258" s="3">
        <f>COUNT(J258:J867)</f>
        <v>354</v>
      </c>
      <c r="P258" s="3" t="str">
        <f>TEXT(J258,"0.00")</f>
        <v>0.16</v>
      </c>
      <c r="Q258" s="3" t="str">
        <f>LEFT(L258,3)</f>
        <v>Spr</v>
      </c>
      <c r="R258" s="42" t="str">
        <f>RIGHT(L258,3)</f>
        <v>ing</v>
      </c>
      <c r="S258" s="42">
        <f>LEN(L258)</f>
        <v>6</v>
      </c>
      <c r="T258" s="3" t="str">
        <f>A258&amp;"|"&amp;B258&amp;"|"&amp;F258</f>
        <v>257|40878|1</v>
      </c>
      <c r="U258" s="3">
        <f t="shared" ref="U258:U321" si="16">COUNTIF(K:K,"weekend")</f>
        <v>610</v>
      </c>
      <c r="V258" s="3">
        <f t="shared" ref="V258:V321" si="17">SUMIF($K:$K,"weekend",$J:$J)</f>
        <v>120.10000000000005</v>
      </c>
      <c r="W258" s="50">
        <f t="shared" ref="W258:W321" si="18">STDEV($J:$J)</f>
        <v>8.1303845032683911E-2</v>
      </c>
      <c r="X258" s="50">
        <f t="shared" ref="X258:X321" si="19">CORREL(J:J,F:F)</f>
        <v>0.16514794964716251</v>
      </c>
    </row>
    <row r="259" spans="1:24" x14ac:dyDescent="0.2">
      <c r="A259" s="4">
        <v>258</v>
      </c>
      <c r="B259" s="5">
        <v>40878</v>
      </c>
      <c r="C259" s="4">
        <v>1</v>
      </c>
      <c r="D259" s="4">
        <v>0</v>
      </c>
      <c r="E259" s="4">
        <v>1</v>
      </c>
      <c r="F259" s="4">
        <v>2</v>
      </c>
      <c r="G259" s="4" t="b">
        <v>0</v>
      </c>
      <c r="H259" s="4">
        <v>3</v>
      </c>
      <c r="I259" s="4">
        <v>1</v>
      </c>
      <c r="J259" s="4">
        <v>0.14000000000000001</v>
      </c>
      <c r="K259" s="6" t="str">
        <f>IF(H259=0,"weekend",IF(H259=6,"weekend","weekend"))</f>
        <v>weekend</v>
      </c>
      <c r="L259" s="3" t="str">
        <f>IF(C259=1,"Spring",IF(C259=2,"Summer",IF(C259=3,"Fall","Winter")))</f>
        <v>Spring</v>
      </c>
      <c r="M259" s="3">
        <f>SUM(J259:J283)</f>
        <v>4.1800000000000015</v>
      </c>
      <c r="N259" s="3">
        <f>AVERAGE(J259:J868)</f>
        <v>0.18464589235127474</v>
      </c>
      <c r="O259" s="3">
        <f>COUNT(J259:J868)</f>
        <v>353</v>
      </c>
      <c r="P259" s="3" t="str">
        <f>TEXT(J259,"0.00")</f>
        <v>0.14</v>
      </c>
      <c r="Q259" s="3" t="str">
        <f>LEFT(L259,3)</f>
        <v>Spr</v>
      </c>
      <c r="R259" s="42" t="str">
        <f>RIGHT(L259,3)</f>
        <v>ing</v>
      </c>
      <c r="S259" s="42">
        <f>LEN(L259)</f>
        <v>6</v>
      </c>
      <c r="T259" s="3" t="str">
        <f>A259&amp;"|"&amp;B259&amp;"|"&amp;F259</f>
        <v>258|40878|2</v>
      </c>
      <c r="U259" s="3">
        <f t="shared" si="16"/>
        <v>610</v>
      </c>
      <c r="V259" s="3">
        <f t="shared" si="17"/>
        <v>120.10000000000005</v>
      </c>
      <c r="W259" s="50">
        <f t="shared" si="18"/>
        <v>8.1303845032683911E-2</v>
      </c>
      <c r="X259" s="50">
        <f t="shared" si="19"/>
        <v>0.16514794964716251</v>
      </c>
    </row>
    <row r="260" spans="1:24" x14ac:dyDescent="0.2">
      <c r="A260" s="4">
        <v>259</v>
      </c>
      <c r="B260" s="5">
        <v>40878</v>
      </c>
      <c r="C260" s="4">
        <v>1</v>
      </c>
      <c r="D260" s="4">
        <v>0</v>
      </c>
      <c r="E260" s="4">
        <v>1</v>
      </c>
      <c r="F260" s="4">
        <v>5</v>
      </c>
      <c r="G260" s="4" t="b">
        <v>0</v>
      </c>
      <c r="H260" s="4">
        <v>3</v>
      </c>
      <c r="I260" s="4">
        <v>1</v>
      </c>
      <c r="J260" s="4">
        <v>0.14000000000000001</v>
      </c>
      <c r="K260" s="6" t="str">
        <f>IF(H260=0,"weekend",IF(H260=6,"weekend","weekend"))</f>
        <v>weekend</v>
      </c>
      <c r="L260" s="3" t="str">
        <f>IF(C260=1,"Spring",IF(C260=2,"Summer",IF(C260=3,"Fall","Winter")))</f>
        <v>Spring</v>
      </c>
      <c r="M260" s="3">
        <f>SUM(J260:J284)</f>
        <v>4.1800000000000015</v>
      </c>
      <c r="N260" s="3">
        <f>AVERAGE(J260:J869)</f>
        <v>0.1847727272727272</v>
      </c>
      <c r="O260" s="3">
        <f>COUNT(J260:J869)</f>
        <v>352</v>
      </c>
      <c r="P260" s="3" t="str">
        <f>TEXT(J260,"0.00")</f>
        <v>0.14</v>
      </c>
      <c r="Q260" s="3" t="str">
        <f>LEFT(L260,3)</f>
        <v>Spr</v>
      </c>
      <c r="R260" s="42" t="str">
        <f>RIGHT(L260,3)</f>
        <v>ing</v>
      </c>
      <c r="S260" s="42">
        <f>LEN(L260)</f>
        <v>6</v>
      </c>
      <c r="T260" s="3" t="str">
        <f>A260&amp;"|"&amp;B260&amp;"|"&amp;F260</f>
        <v>259|40878|5</v>
      </c>
      <c r="U260" s="3">
        <f t="shared" si="16"/>
        <v>610</v>
      </c>
      <c r="V260" s="3">
        <f t="shared" si="17"/>
        <v>120.10000000000005</v>
      </c>
      <c r="W260" s="50">
        <f t="shared" si="18"/>
        <v>8.1303845032683911E-2</v>
      </c>
      <c r="X260" s="50">
        <f t="shared" si="19"/>
        <v>0.16514794964716251</v>
      </c>
    </row>
    <row r="261" spans="1:24" x14ac:dyDescent="0.2">
      <c r="A261" s="4">
        <v>260</v>
      </c>
      <c r="B261" s="5">
        <v>40878</v>
      </c>
      <c r="C261" s="4">
        <v>1</v>
      </c>
      <c r="D261" s="4">
        <v>0</v>
      </c>
      <c r="E261" s="4">
        <v>1</v>
      </c>
      <c r="F261" s="4">
        <v>6</v>
      </c>
      <c r="G261" s="4" t="b">
        <v>0</v>
      </c>
      <c r="H261" s="4">
        <v>3</v>
      </c>
      <c r="I261" s="4">
        <v>1</v>
      </c>
      <c r="J261" s="4">
        <v>0.12</v>
      </c>
      <c r="K261" s="6" t="str">
        <f>IF(H261=0,"weekend",IF(H261=6,"weekend","weekend"))</f>
        <v>weekend</v>
      </c>
      <c r="L261" s="3" t="str">
        <f>IF(C261=1,"Spring",IF(C261=2,"Summer",IF(C261=3,"Fall","Winter")))</f>
        <v>Spring</v>
      </c>
      <c r="M261" s="3">
        <f>SUM(J261:J285)</f>
        <v>4.160000000000001</v>
      </c>
      <c r="N261" s="3">
        <f>AVERAGE(J261:J870)</f>
        <v>0.18490028490028479</v>
      </c>
      <c r="O261" s="3">
        <f>COUNT(J261:J870)</f>
        <v>351</v>
      </c>
      <c r="P261" s="3" t="str">
        <f>TEXT(J261,"0.00")</f>
        <v>0.12</v>
      </c>
      <c r="Q261" s="3" t="str">
        <f>LEFT(L261,3)</f>
        <v>Spr</v>
      </c>
      <c r="R261" s="42" t="str">
        <f>RIGHT(L261,3)</f>
        <v>ing</v>
      </c>
      <c r="S261" s="42">
        <f>LEN(L261)</f>
        <v>6</v>
      </c>
      <c r="T261" s="3" t="str">
        <f>A261&amp;"|"&amp;B261&amp;"|"&amp;F261</f>
        <v>260|40878|6</v>
      </c>
      <c r="U261" s="3">
        <f t="shared" si="16"/>
        <v>610</v>
      </c>
      <c r="V261" s="3">
        <f t="shared" si="17"/>
        <v>120.10000000000005</v>
      </c>
      <c r="W261" s="50">
        <f t="shared" si="18"/>
        <v>8.1303845032683911E-2</v>
      </c>
      <c r="X261" s="50">
        <f t="shared" si="19"/>
        <v>0.16514794964716251</v>
      </c>
    </row>
    <row r="262" spans="1:24" x14ac:dyDescent="0.2">
      <c r="A262" s="4">
        <v>261</v>
      </c>
      <c r="B262" s="5">
        <v>40878</v>
      </c>
      <c r="C262" s="4">
        <v>1</v>
      </c>
      <c r="D262" s="4">
        <v>0</v>
      </c>
      <c r="E262" s="4">
        <v>1</v>
      </c>
      <c r="F262" s="4">
        <v>7</v>
      </c>
      <c r="G262" s="4" t="b">
        <v>0</v>
      </c>
      <c r="H262" s="4">
        <v>3</v>
      </c>
      <c r="I262" s="4">
        <v>1</v>
      </c>
      <c r="J262" s="4">
        <v>0.14000000000000001</v>
      </c>
      <c r="K262" s="6" t="str">
        <f>IF(H262=0,"weekend",IF(H262=6,"weekend","weekend"))</f>
        <v>weekend</v>
      </c>
      <c r="L262" s="3" t="str">
        <f>IF(C262=1,"Spring",IF(C262=2,"Summer",IF(C262=3,"Fall","Winter")))</f>
        <v>Spring</v>
      </c>
      <c r="M262" s="3">
        <f>SUM(J262:J286)</f>
        <v>4.1600000000000019</v>
      </c>
      <c r="N262" s="3">
        <f>AVERAGE(J262:J871)</f>
        <v>0.18508571428571416</v>
      </c>
      <c r="O262" s="3">
        <f>COUNT(J262:J871)</f>
        <v>350</v>
      </c>
      <c r="P262" s="3" t="str">
        <f>TEXT(J262,"0.00")</f>
        <v>0.14</v>
      </c>
      <c r="Q262" s="3" t="str">
        <f>LEFT(L262,3)</f>
        <v>Spr</v>
      </c>
      <c r="R262" s="42" t="str">
        <f>RIGHT(L262,3)</f>
        <v>ing</v>
      </c>
      <c r="S262" s="42">
        <f>LEN(L262)</f>
        <v>6</v>
      </c>
      <c r="T262" s="3" t="str">
        <f>A262&amp;"|"&amp;B262&amp;"|"&amp;F262</f>
        <v>261|40878|7</v>
      </c>
      <c r="U262" s="3">
        <f t="shared" si="16"/>
        <v>610</v>
      </c>
      <c r="V262" s="3">
        <f t="shared" si="17"/>
        <v>120.10000000000005</v>
      </c>
      <c r="W262" s="50">
        <f t="shared" si="18"/>
        <v>8.1303845032683911E-2</v>
      </c>
      <c r="X262" s="50">
        <f t="shared" si="19"/>
        <v>0.16514794964716251</v>
      </c>
    </row>
    <row r="263" spans="1:24" x14ac:dyDescent="0.2">
      <c r="A263" s="4">
        <v>262</v>
      </c>
      <c r="B263" s="5">
        <v>40878</v>
      </c>
      <c r="C263" s="4">
        <v>1</v>
      </c>
      <c r="D263" s="4">
        <v>0</v>
      </c>
      <c r="E263" s="4">
        <v>1</v>
      </c>
      <c r="F263" s="4">
        <v>8</v>
      </c>
      <c r="G263" s="4" t="b">
        <v>0</v>
      </c>
      <c r="H263" s="4">
        <v>3</v>
      </c>
      <c r="I263" s="4">
        <v>1</v>
      </c>
      <c r="J263" s="4">
        <v>0.16</v>
      </c>
      <c r="K263" s="6" t="str">
        <f>IF(H263=0,"weekend",IF(H263=6,"weekend","weekend"))</f>
        <v>weekend</v>
      </c>
      <c r="L263" s="3" t="str">
        <f>IF(C263=1,"Spring",IF(C263=2,"Summer",IF(C263=3,"Fall","Winter")))</f>
        <v>Spring</v>
      </c>
      <c r="M263" s="3">
        <f>SUM(J263:J287)</f>
        <v>4.160000000000001</v>
      </c>
      <c r="N263" s="3">
        <f>AVERAGE(J263:J872)</f>
        <v>0.18521489971346694</v>
      </c>
      <c r="O263" s="3">
        <f>COUNT(J263:J872)</f>
        <v>349</v>
      </c>
      <c r="P263" s="3" t="str">
        <f>TEXT(J263,"0.00")</f>
        <v>0.16</v>
      </c>
      <c r="Q263" s="3" t="str">
        <f>LEFT(L263,3)</f>
        <v>Spr</v>
      </c>
      <c r="R263" s="42" t="str">
        <f>RIGHT(L263,3)</f>
        <v>ing</v>
      </c>
      <c r="S263" s="42">
        <f>LEN(L263)</f>
        <v>6</v>
      </c>
      <c r="T263" s="3" t="str">
        <f>A263&amp;"|"&amp;B263&amp;"|"&amp;F263</f>
        <v>262|40878|8</v>
      </c>
      <c r="U263" s="3">
        <f t="shared" si="16"/>
        <v>610</v>
      </c>
      <c r="V263" s="3">
        <f t="shared" si="17"/>
        <v>120.10000000000005</v>
      </c>
      <c r="W263" s="50">
        <f t="shared" si="18"/>
        <v>8.1303845032683911E-2</v>
      </c>
      <c r="X263" s="50">
        <f t="shared" si="19"/>
        <v>0.16514794964716251</v>
      </c>
    </row>
    <row r="264" spans="1:24" x14ac:dyDescent="0.2">
      <c r="A264" s="4">
        <v>263</v>
      </c>
      <c r="B264" s="5">
        <v>40878</v>
      </c>
      <c r="C264" s="4">
        <v>1</v>
      </c>
      <c r="D264" s="4">
        <v>0</v>
      </c>
      <c r="E264" s="4">
        <v>1</v>
      </c>
      <c r="F264" s="4">
        <v>9</v>
      </c>
      <c r="G264" s="4" t="b">
        <v>0</v>
      </c>
      <c r="H264" s="4">
        <v>3</v>
      </c>
      <c r="I264" s="4">
        <v>1</v>
      </c>
      <c r="J264" s="4">
        <v>0.16</v>
      </c>
      <c r="K264" s="6" t="str">
        <f>IF(H264=0,"weekend",IF(H264=6,"weekend","weekend"))</f>
        <v>weekend</v>
      </c>
      <c r="L264" s="3" t="str">
        <f>IF(C264=1,"Spring",IF(C264=2,"Summer",IF(C264=3,"Fall","Winter")))</f>
        <v>Spring</v>
      </c>
      <c r="M264" s="3">
        <f>SUM(J264:J288)</f>
        <v>4.1400000000000006</v>
      </c>
      <c r="N264" s="3">
        <f>AVERAGE(J264:J873)</f>
        <v>0.18528735632183893</v>
      </c>
      <c r="O264" s="3">
        <f>COUNT(J264:J873)</f>
        <v>348</v>
      </c>
      <c r="P264" s="3" t="str">
        <f>TEXT(J264,"0.00")</f>
        <v>0.16</v>
      </c>
      <c r="Q264" s="3" t="str">
        <f>LEFT(L264,3)</f>
        <v>Spr</v>
      </c>
      <c r="R264" s="42" t="str">
        <f>RIGHT(L264,3)</f>
        <v>ing</v>
      </c>
      <c r="S264" s="42">
        <f>LEN(L264)</f>
        <v>6</v>
      </c>
      <c r="T264" s="3" t="str">
        <f>A264&amp;"|"&amp;B264&amp;"|"&amp;F264</f>
        <v>263|40878|9</v>
      </c>
      <c r="U264" s="3">
        <f t="shared" si="16"/>
        <v>610</v>
      </c>
      <c r="V264" s="3">
        <f t="shared" si="17"/>
        <v>120.10000000000005</v>
      </c>
      <c r="W264" s="50">
        <f t="shared" si="18"/>
        <v>8.1303845032683911E-2</v>
      </c>
      <c r="X264" s="50">
        <f t="shared" si="19"/>
        <v>0.16514794964716251</v>
      </c>
    </row>
    <row r="265" spans="1:24" x14ac:dyDescent="0.2">
      <c r="A265" s="4">
        <v>264</v>
      </c>
      <c r="B265" s="5">
        <v>40878</v>
      </c>
      <c r="C265" s="4">
        <v>1</v>
      </c>
      <c r="D265" s="4">
        <v>0</v>
      </c>
      <c r="E265" s="4">
        <v>1</v>
      </c>
      <c r="F265" s="4">
        <v>10</v>
      </c>
      <c r="G265" s="4" t="b">
        <v>0</v>
      </c>
      <c r="H265" s="4">
        <v>3</v>
      </c>
      <c r="I265" s="4">
        <v>1</v>
      </c>
      <c r="J265" s="4">
        <v>0.18</v>
      </c>
      <c r="K265" s="6" t="str">
        <f>IF(H265=0,"weekend",IF(H265=6,"weekend","weekend"))</f>
        <v>weekend</v>
      </c>
      <c r="L265" s="3" t="str">
        <f>IF(C265=1,"Spring",IF(C265=2,"Summer",IF(C265=3,"Fall","Winter")))</f>
        <v>Spring</v>
      </c>
      <c r="M265" s="3">
        <f>SUM(J265:J289)</f>
        <v>4.1400000000000015</v>
      </c>
      <c r="N265" s="3">
        <f>AVERAGE(J265:J874)</f>
        <v>0.1853602305475503</v>
      </c>
      <c r="O265" s="3">
        <f>COUNT(J265:J874)</f>
        <v>347</v>
      </c>
      <c r="P265" s="3" t="str">
        <f>TEXT(J265,"0.00")</f>
        <v>0.18</v>
      </c>
      <c r="Q265" s="3" t="str">
        <f>LEFT(L265,3)</f>
        <v>Spr</v>
      </c>
      <c r="R265" s="42" t="str">
        <f>RIGHT(L265,3)</f>
        <v>ing</v>
      </c>
      <c r="S265" s="42">
        <f>LEN(L265)</f>
        <v>6</v>
      </c>
      <c r="T265" s="3" t="str">
        <f>A265&amp;"|"&amp;B265&amp;"|"&amp;F265</f>
        <v>264|40878|10</v>
      </c>
      <c r="U265" s="3">
        <f t="shared" si="16"/>
        <v>610</v>
      </c>
      <c r="V265" s="3">
        <f t="shared" si="17"/>
        <v>120.10000000000005</v>
      </c>
      <c r="W265" s="50">
        <f t="shared" si="18"/>
        <v>8.1303845032683911E-2</v>
      </c>
      <c r="X265" s="50">
        <f t="shared" si="19"/>
        <v>0.16514794964716251</v>
      </c>
    </row>
    <row r="266" spans="1:24" x14ac:dyDescent="0.2">
      <c r="A266" s="4">
        <v>265</v>
      </c>
      <c r="B266" s="5">
        <v>40878</v>
      </c>
      <c r="C266" s="4">
        <v>1</v>
      </c>
      <c r="D266" s="4">
        <v>0</v>
      </c>
      <c r="E266" s="4">
        <v>1</v>
      </c>
      <c r="F266" s="4">
        <v>11</v>
      </c>
      <c r="G266" s="4" t="b">
        <v>0</v>
      </c>
      <c r="H266" s="4">
        <v>3</v>
      </c>
      <c r="I266" s="4">
        <v>1</v>
      </c>
      <c r="J266" s="4">
        <v>0.2</v>
      </c>
      <c r="K266" s="6" t="str">
        <f>IF(H266=0,"weekend",IF(H266=6,"weekend","weekend"))</f>
        <v>weekend</v>
      </c>
      <c r="L266" s="3" t="str">
        <f>IF(C266=1,"Spring",IF(C266=2,"Summer",IF(C266=3,"Fall","Winter")))</f>
        <v>Spring</v>
      </c>
      <c r="M266" s="3">
        <f>SUM(J266:J290)</f>
        <v>4.160000000000001</v>
      </c>
      <c r="N266" s="3">
        <f>AVERAGE(J266:J875)</f>
        <v>0.18537572254335244</v>
      </c>
      <c r="O266" s="3">
        <f>COUNT(J266:J875)</f>
        <v>346</v>
      </c>
      <c r="P266" s="3" t="str">
        <f>TEXT(J266,"0.00")</f>
        <v>0.20</v>
      </c>
      <c r="Q266" s="3" t="str">
        <f>LEFT(L266,3)</f>
        <v>Spr</v>
      </c>
      <c r="R266" s="42" t="str">
        <f>RIGHT(L266,3)</f>
        <v>ing</v>
      </c>
      <c r="S266" s="42">
        <f>LEN(L266)</f>
        <v>6</v>
      </c>
      <c r="T266" s="3" t="str">
        <f>A266&amp;"|"&amp;B266&amp;"|"&amp;F266</f>
        <v>265|40878|11</v>
      </c>
      <c r="U266" s="3">
        <f t="shared" si="16"/>
        <v>610</v>
      </c>
      <c r="V266" s="3">
        <f t="shared" si="17"/>
        <v>120.10000000000005</v>
      </c>
      <c r="W266" s="50">
        <f t="shared" si="18"/>
        <v>8.1303845032683911E-2</v>
      </c>
      <c r="X266" s="50">
        <f t="shared" si="19"/>
        <v>0.16514794964716251</v>
      </c>
    </row>
    <row r="267" spans="1:24" x14ac:dyDescent="0.2">
      <c r="A267" s="4">
        <v>266</v>
      </c>
      <c r="B267" s="5">
        <v>40878</v>
      </c>
      <c r="C267" s="4">
        <v>1</v>
      </c>
      <c r="D267" s="4">
        <v>0</v>
      </c>
      <c r="E267" s="4">
        <v>1</v>
      </c>
      <c r="F267" s="4">
        <v>12</v>
      </c>
      <c r="G267" s="4" t="b">
        <v>0</v>
      </c>
      <c r="H267" s="4">
        <v>3</v>
      </c>
      <c r="I267" s="4">
        <v>1</v>
      </c>
      <c r="J267" s="4">
        <v>0.2</v>
      </c>
      <c r="K267" s="6" t="str">
        <f>IF(H267=0,"weekend",IF(H267=6,"weekend","weekend"))</f>
        <v>weekend</v>
      </c>
      <c r="L267" s="3" t="str">
        <f>IF(C267=1,"Spring",IF(C267=2,"Summer",IF(C267=3,"Fall","Winter")))</f>
        <v>Spring</v>
      </c>
      <c r="M267" s="3">
        <f>SUM(J267:J291)</f>
        <v>4.160000000000001</v>
      </c>
      <c r="N267" s="3">
        <f>AVERAGE(J267:J876)</f>
        <v>0.18533333333333316</v>
      </c>
      <c r="O267" s="3">
        <f>COUNT(J267:J876)</f>
        <v>345</v>
      </c>
      <c r="P267" s="3" t="str">
        <f>TEXT(J267,"0.00")</f>
        <v>0.20</v>
      </c>
      <c r="Q267" s="3" t="str">
        <f>LEFT(L267,3)</f>
        <v>Spr</v>
      </c>
      <c r="R267" s="42" t="str">
        <f>RIGHT(L267,3)</f>
        <v>ing</v>
      </c>
      <c r="S267" s="42">
        <f>LEN(L267)</f>
        <v>6</v>
      </c>
      <c r="T267" s="3" t="str">
        <f>A267&amp;"|"&amp;B267&amp;"|"&amp;F267</f>
        <v>266|40878|12</v>
      </c>
      <c r="U267" s="3">
        <f t="shared" si="16"/>
        <v>610</v>
      </c>
      <c r="V267" s="3">
        <f t="shared" si="17"/>
        <v>120.10000000000005</v>
      </c>
      <c r="W267" s="50">
        <f t="shared" si="18"/>
        <v>8.1303845032683911E-2</v>
      </c>
      <c r="X267" s="50">
        <f t="shared" si="19"/>
        <v>0.16514794964716251</v>
      </c>
    </row>
    <row r="268" spans="1:24" x14ac:dyDescent="0.2">
      <c r="A268" s="4">
        <v>267</v>
      </c>
      <c r="B268" s="5">
        <v>40878</v>
      </c>
      <c r="C268" s="4">
        <v>1</v>
      </c>
      <c r="D268" s="4">
        <v>0</v>
      </c>
      <c r="E268" s="4">
        <v>1</v>
      </c>
      <c r="F268" s="4">
        <v>13</v>
      </c>
      <c r="G268" s="4" t="b">
        <v>0</v>
      </c>
      <c r="H268" s="4">
        <v>3</v>
      </c>
      <c r="I268" s="4">
        <v>1</v>
      </c>
      <c r="J268" s="4">
        <v>0.22</v>
      </c>
      <c r="K268" s="6" t="str">
        <f>IF(H268=0,"weekend",IF(H268=6,"weekend","weekend"))</f>
        <v>weekend</v>
      </c>
      <c r="L268" s="3" t="str">
        <f>IF(C268=1,"Spring",IF(C268=2,"Summer",IF(C268=3,"Fall","Winter")))</f>
        <v>Spring</v>
      </c>
      <c r="M268" s="3">
        <f>SUM(J268:J292)</f>
        <v>4.1800000000000015</v>
      </c>
      <c r="N268" s="3">
        <f>AVERAGE(J268:J877)</f>
        <v>0.18529069767441844</v>
      </c>
      <c r="O268" s="3">
        <f>COUNT(J268:J877)</f>
        <v>344</v>
      </c>
      <c r="P268" s="3" t="str">
        <f>TEXT(J268,"0.00")</f>
        <v>0.22</v>
      </c>
      <c r="Q268" s="3" t="str">
        <f>LEFT(L268,3)</f>
        <v>Spr</v>
      </c>
      <c r="R268" s="42" t="str">
        <f>RIGHT(L268,3)</f>
        <v>ing</v>
      </c>
      <c r="S268" s="42">
        <f>LEN(L268)</f>
        <v>6</v>
      </c>
      <c r="T268" s="3" t="str">
        <f>A268&amp;"|"&amp;B268&amp;"|"&amp;F268</f>
        <v>267|40878|13</v>
      </c>
      <c r="U268" s="3">
        <f t="shared" si="16"/>
        <v>610</v>
      </c>
      <c r="V268" s="3">
        <f t="shared" si="17"/>
        <v>120.10000000000005</v>
      </c>
      <c r="W268" s="50">
        <f t="shared" si="18"/>
        <v>8.1303845032683911E-2</v>
      </c>
      <c r="X268" s="50">
        <f t="shared" si="19"/>
        <v>0.16514794964716251</v>
      </c>
    </row>
    <row r="269" spans="1:24" x14ac:dyDescent="0.2">
      <c r="A269" s="4">
        <v>268</v>
      </c>
      <c r="B269" s="5">
        <v>40878</v>
      </c>
      <c r="C269" s="4">
        <v>1</v>
      </c>
      <c r="D269" s="4">
        <v>0</v>
      </c>
      <c r="E269" s="4">
        <v>1</v>
      </c>
      <c r="F269" s="4">
        <v>14</v>
      </c>
      <c r="G269" s="4" t="b">
        <v>0</v>
      </c>
      <c r="H269" s="4">
        <v>3</v>
      </c>
      <c r="I269" s="4">
        <v>1</v>
      </c>
      <c r="J269" s="4">
        <v>0.2</v>
      </c>
      <c r="K269" s="6" t="str">
        <f>IF(H269=0,"weekend",IF(H269=6,"weekend","weekend"))</f>
        <v>weekend</v>
      </c>
      <c r="L269" s="3" t="str">
        <f>IF(C269=1,"Spring",IF(C269=2,"Summer",IF(C269=3,"Fall","Winter")))</f>
        <v>Spring</v>
      </c>
      <c r="M269" s="3">
        <f>SUM(J269:J293)</f>
        <v>4.1800000000000015</v>
      </c>
      <c r="N269" s="3">
        <f>AVERAGE(J269:J878)</f>
        <v>0.18518950437317766</v>
      </c>
      <c r="O269" s="3">
        <f>COUNT(J269:J878)</f>
        <v>343</v>
      </c>
      <c r="P269" s="3" t="str">
        <f>TEXT(J269,"0.00")</f>
        <v>0.20</v>
      </c>
      <c r="Q269" s="3" t="str">
        <f>LEFT(L269,3)</f>
        <v>Spr</v>
      </c>
      <c r="R269" s="42" t="str">
        <f>RIGHT(L269,3)</f>
        <v>ing</v>
      </c>
      <c r="S269" s="42">
        <f>LEN(L269)</f>
        <v>6</v>
      </c>
      <c r="T269" s="3" t="str">
        <f>A269&amp;"|"&amp;B269&amp;"|"&amp;F269</f>
        <v>268|40878|14</v>
      </c>
      <c r="U269" s="3">
        <f t="shared" si="16"/>
        <v>610</v>
      </c>
      <c r="V269" s="3">
        <f t="shared" si="17"/>
        <v>120.10000000000005</v>
      </c>
      <c r="W269" s="50">
        <f t="shared" si="18"/>
        <v>8.1303845032683911E-2</v>
      </c>
      <c r="X269" s="50">
        <f t="shared" si="19"/>
        <v>0.16514794964716251</v>
      </c>
    </row>
    <row r="270" spans="1:24" x14ac:dyDescent="0.2">
      <c r="A270" s="4">
        <v>269</v>
      </c>
      <c r="B270" s="5">
        <v>40878</v>
      </c>
      <c r="C270" s="4">
        <v>1</v>
      </c>
      <c r="D270" s="4">
        <v>0</v>
      </c>
      <c r="E270" s="4">
        <v>1</v>
      </c>
      <c r="F270" s="4">
        <v>15</v>
      </c>
      <c r="G270" s="4" t="b">
        <v>0</v>
      </c>
      <c r="H270" s="4">
        <v>3</v>
      </c>
      <c r="I270" s="4">
        <v>1</v>
      </c>
      <c r="J270" s="4">
        <v>0.2</v>
      </c>
      <c r="K270" s="6" t="str">
        <f>IF(H270=0,"weekend",IF(H270=6,"weekend","weekend"))</f>
        <v>weekend</v>
      </c>
      <c r="L270" s="3" t="str">
        <f>IF(C270=1,"Spring",IF(C270=2,"Summer",IF(C270=3,"Fall","Winter")))</f>
        <v>Spring</v>
      </c>
      <c r="M270" s="3">
        <f>SUM(J270:J294)</f>
        <v>4.2200000000000015</v>
      </c>
      <c r="N270" s="3">
        <f>AVERAGE(J270:J879)</f>
        <v>0.1851461988304092</v>
      </c>
      <c r="O270" s="3">
        <f>COUNT(J270:J879)</f>
        <v>342</v>
      </c>
      <c r="P270" s="3" t="str">
        <f>TEXT(J270,"0.00")</f>
        <v>0.20</v>
      </c>
      <c r="Q270" s="3" t="str">
        <f>LEFT(L270,3)</f>
        <v>Spr</v>
      </c>
      <c r="R270" s="42" t="str">
        <f>RIGHT(L270,3)</f>
        <v>ing</v>
      </c>
      <c r="S270" s="42">
        <f>LEN(L270)</f>
        <v>6</v>
      </c>
      <c r="T270" s="3" t="str">
        <f>A270&amp;"|"&amp;B270&amp;"|"&amp;F270</f>
        <v>269|40878|15</v>
      </c>
      <c r="U270" s="3">
        <f t="shared" si="16"/>
        <v>610</v>
      </c>
      <c r="V270" s="3">
        <f t="shared" si="17"/>
        <v>120.10000000000005</v>
      </c>
      <c r="W270" s="50">
        <f t="shared" si="18"/>
        <v>8.1303845032683911E-2</v>
      </c>
      <c r="X270" s="50">
        <f t="shared" si="19"/>
        <v>0.16514794964716251</v>
      </c>
    </row>
    <row r="271" spans="1:24" x14ac:dyDescent="0.2">
      <c r="A271" s="4">
        <v>270</v>
      </c>
      <c r="B271" s="5">
        <v>40878</v>
      </c>
      <c r="C271" s="4">
        <v>1</v>
      </c>
      <c r="D271" s="4">
        <v>0</v>
      </c>
      <c r="E271" s="4">
        <v>1</v>
      </c>
      <c r="F271" s="4">
        <v>16</v>
      </c>
      <c r="G271" s="4" t="b">
        <v>0</v>
      </c>
      <c r="H271" s="4">
        <v>3</v>
      </c>
      <c r="I271" s="4">
        <v>1</v>
      </c>
      <c r="J271" s="4">
        <v>0.22</v>
      </c>
      <c r="K271" s="6" t="str">
        <f>IF(H271=0,"weekend",IF(H271=6,"weekend","weekend"))</f>
        <v>weekend</v>
      </c>
      <c r="L271" s="3" t="str">
        <f>IF(C271=1,"Spring",IF(C271=2,"Summer",IF(C271=3,"Fall","Winter")))</f>
        <v>Spring</v>
      </c>
      <c r="M271" s="3">
        <f>SUM(J271:J295)</f>
        <v>4.2600000000000025</v>
      </c>
      <c r="N271" s="3">
        <f>AVERAGE(J271:J880)</f>
        <v>0.18510263929618748</v>
      </c>
      <c r="O271" s="3">
        <f>COUNT(J271:J880)</f>
        <v>341</v>
      </c>
      <c r="P271" s="3" t="str">
        <f>TEXT(J271,"0.00")</f>
        <v>0.22</v>
      </c>
      <c r="Q271" s="3" t="str">
        <f>LEFT(L271,3)</f>
        <v>Spr</v>
      </c>
      <c r="R271" s="42" t="str">
        <f>RIGHT(L271,3)</f>
        <v>ing</v>
      </c>
      <c r="S271" s="42">
        <f>LEN(L271)</f>
        <v>6</v>
      </c>
      <c r="T271" s="3" t="str">
        <f>A271&amp;"|"&amp;B271&amp;"|"&amp;F271</f>
        <v>270|40878|16</v>
      </c>
      <c r="U271" s="3">
        <f t="shared" si="16"/>
        <v>610</v>
      </c>
      <c r="V271" s="3">
        <f t="shared" si="17"/>
        <v>120.10000000000005</v>
      </c>
      <c r="W271" s="50">
        <f t="shared" si="18"/>
        <v>8.1303845032683911E-2</v>
      </c>
      <c r="X271" s="50">
        <f t="shared" si="19"/>
        <v>0.16514794964716251</v>
      </c>
    </row>
    <row r="272" spans="1:24" x14ac:dyDescent="0.2">
      <c r="A272" s="4">
        <v>271</v>
      </c>
      <c r="B272" s="5">
        <v>40878</v>
      </c>
      <c r="C272" s="4">
        <v>1</v>
      </c>
      <c r="D272" s="4">
        <v>0</v>
      </c>
      <c r="E272" s="4">
        <v>1</v>
      </c>
      <c r="F272" s="4">
        <v>17</v>
      </c>
      <c r="G272" s="4" t="b">
        <v>0</v>
      </c>
      <c r="H272" s="4">
        <v>3</v>
      </c>
      <c r="I272" s="4">
        <v>1</v>
      </c>
      <c r="J272" s="4">
        <v>0.2</v>
      </c>
      <c r="K272" s="6" t="str">
        <f>IF(H272=0,"weekend",IF(H272=6,"weekend","weekend"))</f>
        <v>weekend</v>
      </c>
      <c r="L272" s="3" t="str">
        <f>IF(C272=1,"Spring",IF(C272=2,"Summer",IF(C272=3,"Fall","Winter")))</f>
        <v>Spring</v>
      </c>
      <c r="M272" s="3">
        <f>SUM(J272:J296)</f>
        <v>4.2400000000000029</v>
      </c>
      <c r="N272" s="3">
        <f>AVERAGE(J272:J881)</f>
        <v>0.1849999999999998</v>
      </c>
      <c r="O272" s="3">
        <f>COUNT(J272:J881)</f>
        <v>340</v>
      </c>
      <c r="P272" s="3" t="str">
        <f>TEXT(J272,"0.00")</f>
        <v>0.20</v>
      </c>
      <c r="Q272" s="3" t="str">
        <f>LEFT(L272,3)</f>
        <v>Spr</v>
      </c>
      <c r="R272" s="42" t="str">
        <f>RIGHT(L272,3)</f>
        <v>ing</v>
      </c>
      <c r="S272" s="42">
        <f>LEN(L272)</f>
        <v>6</v>
      </c>
      <c r="T272" s="3" t="str">
        <f>A272&amp;"|"&amp;B272&amp;"|"&amp;F272</f>
        <v>271|40878|17</v>
      </c>
      <c r="U272" s="3">
        <f t="shared" si="16"/>
        <v>610</v>
      </c>
      <c r="V272" s="3">
        <f t="shared" si="17"/>
        <v>120.10000000000005</v>
      </c>
      <c r="W272" s="50">
        <f t="shared" si="18"/>
        <v>8.1303845032683911E-2</v>
      </c>
      <c r="X272" s="50">
        <f t="shared" si="19"/>
        <v>0.16514794964716251</v>
      </c>
    </row>
    <row r="273" spans="1:24" x14ac:dyDescent="0.2">
      <c r="A273" s="4">
        <v>272</v>
      </c>
      <c r="B273" s="5">
        <v>40878</v>
      </c>
      <c r="C273" s="4">
        <v>1</v>
      </c>
      <c r="D273" s="4">
        <v>0</v>
      </c>
      <c r="E273" s="4">
        <v>1</v>
      </c>
      <c r="F273" s="4">
        <v>18</v>
      </c>
      <c r="G273" s="4" t="b">
        <v>0</v>
      </c>
      <c r="H273" s="4">
        <v>3</v>
      </c>
      <c r="I273" s="4">
        <v>1</v>
      </c>
      <c r="J273" s="4">
        <v>0.2</v>
      </c>
      <c r="K273" s="6" t="str">
        <f>IF(H273=0,"weekend",IF(H273=6,"weekend","weekend"))</f>
        <v>weekend</v>
      </c>
      <c r="L273" s="3" t="str">
        <f>IF(C273=1,"Spring",IF(C273=2,"Summer",IF(C273=3,"Fall","Winter")))</f>
        <v>Spring</v>
      </c>
      <c r="M273" s="3">
        <f>SUM(J273:J297)</f>
        <v>4.2400000000000029</v>
      </c>
      <c r="N273" s="3">
        <f>AVERAGE(J273:J882)</f>
        <v>0.18495575221238919</v>
      </c>
      <c r="O273" s="3">
        <f>COUNT(J273:J882)</f>
        <v>339</v>
      </c>
      <c r="P273" s="3" t="str">
        <f>TEXT(J273,"0.00")</f>
        <v>0.20</v>
      </c>
      <c r="Q273" s="3" t="str">
        <f>LEFT(L273,3)</f>
        <v>Spr</v>
      </c>
      <c r="R273" s="42" t="str">
        <f>RIGHT(L273,3)</f>
        <v>ing</v>
      </c>
      <c r="S273" s="42">
        <f>LEN(L273)</f>
        <v>6</v>
      </c>
      <c r="T273" s="3" t="str">
        <f>A273&amp;"|"&amp;B273&amp;"|"&amp;F273</f>
        <v>272|40878|18</v>
      </c>
      <c r="U273" s="3">
        <f t="shared" si="16"/>
        <v>610</v>
      </c>
      <c r="V273" s="3">
        <f t="shared" si="17"/>
        <v>120.10000000000005</v>
      </c>
      <c r="W273" s="50">
        <f t="shared" si="18"/>
        <v>8.1303845032683911E-2</v>
      </c>
      <c r="X273" s="50">
        <f t="shared" si="19"/>
        <v>0.16514794964716251</v>
      </c>
    </row>
    <row r="274" spans="1:24" x14ac:dyDescent="0.2">
      <c r="A274" s="4">
        <v>273</v>
      </c>
      <c r="B274" s="5">
        <v>40878</v>
      </c>
      <c r="C274" s="4">
        <v>1</v>
      </c>
      <c r="D274" s="4">
        <v>0</v>
      </c>
      <c r="E274" s="4">
        <v>1</v>
      </c>
      <c r="F274" s="4">
        <v>19</v>
      </c>
      <c r="G274" s="4" t="b">
        <v>0</v>
      </c>
      <c r="H274" s="4">
        <v>3</v>
      </c>
      <c r="I274" s="4">
        <v>1</v>
      </c>
      <c r="J274" s="4">
        <v>0.18</v>
      </c>
      <c r="K274" s="6" t="str">
        <f>IF(H274=0,"weekend",IF(H274=6,"weekend","weekend"))</f>
        <v>weekend</v>
      </c>
      <c r="L274" s="3" t="str">
        <f>IF(C274=1,"Spring",IF(C274=2,"Summer",IF(C274=3,"Fall","Winter")))</f>
        <v>Spring</v>
      </c>
      <c r="M274" s="3">
        <f>SUM(J274:J298)</f>
        <v>4.2000000000000028</v>
      </c>
      <c r="N274" s="3">
        <f>AVERAGE(J274:J883)</f>
        <v>0.18491124260355007</v>
      </c>
      <c r="O274" s="3">
        <f>COUNT(J274:J883)</f>
        <v>338</v>
      </c>
      <c r="P274" s="3" t="str">
        <f>TEXT(J274,"0.00")</f>
        <v>0.18</v>
      </c>
      <c r="Q274" s="3" t="str">
        <f>LEFT(L274,3)</f>
        <v>Spr</v>
      </c>
      <c r="R274" s="42" t="str">
        <f>RIGHT(L274,3)</f>
        <v>ing</v>
      </c>
      <c r="S274" s="42">
        <f>LEN(L274)</f>
        <v>6</v>
      </c>
      <c r="T274" s="3" t="str">
        <f>A274&amp;"|"&amp;B274&amp;"|"&amp;F274</f>
        <v>273|40878|19</v>
      </c>
      <c r="U274" s="3">
        <f t="shared" si="16"/>
        <v>610</v>
      </c>
      <c r="V274" s="3">
        <f t="shared" si="17"/>
        <v>120.10000000000005</v>
      </c>
      <c r="W274" s="50">
        <f t="shared" si="18"/>
        <v>8.1303845032683911E-2</v>
      </c>
      <c r="X274" s="50">
        <f t="shared" si="19"/>
        <v>0.16514794964716251</v>
      </c>
    </row>
    <row r="275" spans="1:24" x14ac:dyDescent="0.2">
      <c r="A275" s="4">
        <v>274</v>
      </c>
      <c r="B275" s="5">
        <v>40878</v>
      </c>
      <c r="C275" s="4">
        <v>1</v>
      </c>
      <c r="D275" s="4">
        <v>0</v>
      </c>
      <c r="E275" s="4">
        <v>1</v>
      </c>
      <c r="F275" s="4">
        <v>20</v>
      </c>
      <c r="G275" s="4" t="b">
        <v>0</v>
      </c>
      <c r="H275" s="4">
        <v>3</v>
      </c>
      <c r="I275" s="4">
        <v>1</v>
      </c>
      <c r="J275" s="4">
        <v>0.16</v>
      </c>
      <c r="K275" s="6" t="str">
        <f>IF(H275=0,"weekend",IF(H275=6,"weekend","weekend"))</f>
        <v>weekend</v>
      </c>
      <c r="L275" s="3" t="str">
        <f>IF(C275=1,"Spring",IF(C275=2,"Summer",IF(C275=3,"Fall","Winter")))</f>
        <v>Spring</v>
      </c>
      <c r="M275" s="3">
        <f>SUM(J275:J299)</f>
        <v>4.1800000000000024</v>
      </c>
      <c r="N275" s="3">
        <f>AVERAGE(J275:J884)</f>
        <v>0.18492581602373867</v>
      </c>
      <c r="O275" s="3">
        <f>COUNT(J275:J884)</f>
        <v>337</v>
      </c>
      <c r="P275" s="3" t="str">
        <f>TEXT(J275,"0.00")</f>
        <v>0.16</v>
      </c>
      <c r="Q275" s="3" t="str">
        <f>LEFT(L275,3)</f>
        <v>Spr</v>
      </c>
      <c r="R275" s="42" t="str">
        <f>RIGHT(L275,3)</f>
        <v>ing</v>
      </c>
      <c r="S275" s="42">
        <f>LEN(L275)</f>
        <v>6</v>
      </c>
      <c r="T275" s="3" t="str">
        <f>A275&amp;"|"&amp;B275&amp;"|"&amp;F275</f>
        <v>274|40878|20</v>
      </c>
      <c r="U275" s="3">
        <f t="shared" si="16"/>
        <v>610</v>
      </c>
      <c r="V275" s="3">
        <f t="shared" si="17"/>
        <v>120.10000000000005</v>
      </c>
      <c r="W275" s="50">
        <f t="shared" si="18"/>
        <v>8.1303845032683911E-2</v>
      </c>
      <c r="X275" s="50">
        <f t="shared" si="19"/>
        <v>0.16514794964716251</v>
      </c>
    </row>
    <row r="276" spans="1:24" x14ac:dyDescent="0.2">
      <c r="A276" s="4">
        <v>275</v>
      </c>
      <c r="B276" s="5">
        <v>40878</v>
      </c>
      <c r="C276" s="4">
        <v>1</v>
      </c>
      <c r="D276" s="4">
        <v>0</v>
      </c>
      <c r="E276" s="4">
        <v>1</v>
      </c>
      <c r="F276" s="4">
        <v>21</v>
      </c>
      <c r="G276" s="4" t="b">
        <v>0</v>
      </c>
      <c r="H276" s="4">
        <v>3</v>
      </c>
      <c r="I276" s="4">
        <v>1</v>
      </c>
      <c r="J276" s="4">
        <v>0.16</v>
      </c>
      <c r="K276" s="6" t="str">
        <f>IF(H276=0,"weekend",IF(H276=6,"weekend","weekend"))</f>
        <v>weekend</v>
      </c>
      <c r="L276" s="3" t="str">
        <f>IF(C276=1,"Spring",IF(C276=2,"Summer",IF(C276=3,"Fall","Winter")))</f>
        <v>Spring</v>
      </c>
      <c r="M276" s="3">
        <f>SUM(J276:J300)</f>
        <v>4.1600000000000019</v>
      </c>
      <c r="N276" s="3">
        <f>AVERAGE(J276:J885)</f>
        <v>0.1849999999999998</v>
      </c>
      <c r="O276" s="3">
        <f>COUNT(J276:J885)</f>
        <v>336</v>
      </c>
      <c r="P276" s="3" t="str">
        <f>TEXT(J276,"0.00")</f>
        <v>0.16</v>
      </c>
      <c r="Q276" s="3" t="str">
        <f>LEFT(L276,3)</f>
        <v>Spr</v>
      </c>
      <c r="R276" s="42" t="str">
        <f>RIGHT(L276,3)</f>
        <v>ing</v>
      </c>
      <c r="S276" s="42">
        <f>LEN(L276)</f>
        <v>6</v>
      </c>
      <c r="T276" s="3" t="str">
        <f>A276&amp;"|"&amp;B276&amp;"|"&amp;F276</f>
        <v>275|40878|21</v>
      </c>
      <c r="U276" s="3">
        <f t="shared" si="16"/>
        <v>610</v>
      </c>
      <c r="V276" s="3">
        <f t="shared" si="17"/>
        <v>120.10000000000005</v>
      </c>
      <c r="W276" s="50">
        <f t="shared" si="18"/>
        <v>8.1303845032683911E-2</v>
      </c>
      <c r="X276" s="50">
        <f t="shared" si="19"/>
        <v>0.16514794964716251</v>
      </c>
    </row>
    <row r="277" spans="1:24" x14ac:dyDescent="0.2">
      <c r="A277" s="4">
        <v>276</v>
      </c>
      <c r="B277" s="5">
        <v>40878</v>
      </c>
      <c r="C277" s="4">
        <v>1</v>
      </c>
      <c r="D277" s="4">
        <v>0</v>
      </c>
      <c r="E277" s="4">
        <v>1</v>
      </c>
      <c r="F277" s="4">
        <v>22</v>
      </c>
      <c r="G277" s="4" t="b">
        <v>0</v>
      </c>
      <c r="H277" s="4">
        <v>3</v>
      </c>
      <c r="I277" s="4">
        <v>1</v>
      </c>
      <c r="J277" s="4">
        <v>0.16</v>
      </c>
      <c r="K277" s="6" t="str">
        <f>IF(H277=0,"weekend",IF(H277=6,"weekend","weekend"))</f>
        <v>weekend</v>
      </c>
      <c r="L277" s="3" t="str">
        <f>IF(C277=1,"Spring",IF(C277=2,"Summer",IF(C277=3,"Fall","Winter")))</f>
        <v>Spring</v>
      </c>
      <c r="M277" s="3">
        <f>SUM(J277:J301)</f>
        <v>4.1400000000000015</v>
      </c>
      <c r="N277" s="3">
        <f>AVERAGE(J277:J886)</f>
        <v>0.18507462686567144</v>
      </c>
      <c r="O277" s="3">
        <f>COUNT(J277:J886)</f>
        <v>335</v>
      </c>
      <c r="P277" s="3" t="str">
        <f>TEXT(J277,"0.00")</f>
        <v>0.16</v>
      </c>
      <c r="Q277" s="3" t="str">
        <f>LEFT(L277,3)</f>
        <v>Spr</v>
      </c>
      <c r="R277" s="42" t="str">
        <f>RIGHT(L277,3)</f>
        <v>ing</v>
      </c>
      <c r="S277" s="42">
        <f>LEN(L277)</f>
        <v>6</v>
      </c>
      <c r="T277" s="3" t="str">
        <f>A277&amp;"|"&amp;B277&amp;"|"&amp;F277</f>
        <v>276|40878|22</v>
      </c>
      <c r="U277" s="3">
        <f t="shared" si="16"/>
        <v>610</v>
      </c>
      <c r="V277" s="3">
        <f t="shared" si="17"/>
        <v>120.10000000000005</v>
      </c>
      <c r="W277" s="50">
        <f t="shared" si="18"/>
        <v>8.1303845032683911E-2</v>
      </c>
      <c r="X277" s="50">
        <f t="shared" si="19"/>
        <v>0.16514794964716251</v>
      </c>
    </row>
    <row r="278" spans="1:24" x14ac:dyDescent="0.2">
      <c r="A278" s="4">
        <v>277</v>
      </c>
      <c r="B278" s="5">
        <v>40878</v>
      </c>
      <c r="C278" s="4">
        <v>1</v>
      </c>
      <c r="D278" s="4">
        <v>0</v>
      </c>
      <c r="E278" s="4">
        <v>1</v>
      </c>
      <c r="F278" s="4">
        <v>23</v>
      </c>
      <c r="G278" s="4" t="b">
        <v>0</v>
      </c>
      <c r="H278" s="4">
        <v>3</v>
      </c>
      <c r="I278" s="4">
        <v>1</v>
      </c>
      <c r="J278" s="4">
        <v>0.14000000000000001</v>
      </c>
      <c r="K278" s="6" t="str">
        <f>IF(H278=0,"weekend",IF(H278=6,"weekend","weekend"))</f>
        <v>weekend</v>
      </c>
      <c r="L278" s="3" t="str">
        <f>IF(C278=1,"Spring",IF(C278=2,"Summer",IF(C278=3,"Fall","Winter")))</f>
        <v>Spring</v>
      </c>
      <c r="M278" s="3">
        <f>SUM(J278:J302)</f>
        <v>4.1000000000000023</v>
      </c>
      <c r="N278" s="3">
        <f>AVERAGE(J278:J887)</f>
        <v>0.1851497005988022</v>
      </c>
      <c r="O278" s="3">
        <f>COUNT(J278:J887)</f>
        <v>334</v>
      </c>
      <c r="P278" s="3" t="str">
        <f>TEXT(J278,"0.00")</f>
        <v>0.14</v>
      </c>
      <c r="Q278" s="3" t="str">
        <f>LEFT(L278,3)</f>
        <v>Spr</v>
      </c>
      <c r="R278" s="42" t="str">
        <f>RIGHT(L278,3)</f>
        <v>ing</v>
      </c>
      <c r="S278" s="42">
        <f>LEN(L278)</f>
        <v>6</v>
      </c>
      <c r="T278" s="3" t="str">
        <f>A278&amp;"|"&amp;B278&amp;"|"&amp;F278</f>
        <v>277|40878|23</v>
      </c>
      <c r="U278" s="3">
        <f t="shared" si="16"/>
        <v>610</v>
      </c>
      <c r="V278" s="3">
        <f t="shared" si="17"/>
        <v>120.10000000000005</v>
      </c>
      <c r="W278" s="50">
        <f t="shared" si="18"/>
        <v>8.1303845032683911E-2</v>
      </c>
      <c r="X278" s="50">
        <f t="shared" si="19"/>
        <v>0.16514794964716251</v>
      </c>
    </row>
    <row r="279" spans="1:24" x14ac:dyDescent="0.2">
      <c r="A279" s="4">
        <v>278</v>
      </c>
      <c r="B279" s="4" t="s">
        <v>27</v>
      </c>
      <c r="C279" s="4">
        <v>1</v>
      </c>
      <c r="D279" s="4">
        <v>0</v>
      </c>
      <c r="E279" s="4">
        <v>1</v>
      </c>
      <c r="F279" s="4">
        <v>0</v>
      </c>
      <c r="G279" s="4" t="b">
        <v>0</v>
      </c>
      <c r="H279" s="4">
        <v>4</v>
      </c>
      <c r="I279" s="4">
        <v>1</v>
      </c>
      <c r="J279" s="4">
        <v>0.14000000000000001</v>
      </c>
      <c r="K279" s="6" t="str">
        <f>IF(H279=0,"weekend",IF(H279=6,"weekend","weekend"))</f>
        <v>weekend</v>
      </c>
      <c r="L279" s="3" t="str">
        <f>IF(C279=1,"Spring",IF(C279=2,"Summer",IF(C279=3,"Fall","Winter")))</f>
        <v>Spring</v>
      </c>
      <c r="M279" s="3">
        <f>SUM(J279:J303)</f>
        <v>4.0800000000000018</v>
      </c>
      <c r="N279" s="3">
        <f>AVERAGE(J279:J888)</f>
        <v>0.1852852852852851</v>
      </c>
      <c r="O279" s="3">
        <f>COUNT(J279:J888)</f>
        <v>333</v>
      </c>
      <c r="P279" s="3" t="str">
        <f>TEXT(J279,"0.00")</f>
        <v>0.14</v>
      </c>
      <c r="Q279" s="3" t="str">
        <f>LEFT(L279,3)</f>
        <v>Spr</v>
      </c>
      <c r="R279" s="42" t="str">
        <f>RIGHT(L279,3)</f>
        <v>ing</v>
      </c>
      <c r="S279" s="42">
        <f>LEN(L279)</f>
        <v>6</v>
      </c>
      <c r="T279" s="3" t="str">
        <f>A279&amp;"|"&amp;B279&amp;"|"&amp;F279</f>
        <v>278|13-01-2011|0</v>
      </c>
      <c r="U279" s="3">
        <f t="shared" si="16"/>
        <v>610</v>
      </c>
      <c r="V279" s="3">
        <f t="shared" si="17"/>
        <v>120.10000000000005</v>
      </c>
      <c r="W279" s="50">
        <f t="shared" si="18"/>
        <v>8.1303845032683911E-2</v>
      </c>
      <c r="X279" s="50">
        <f t="shared" si="19"/>
        <v>0.16514794964716251</v>
      </c>
    </row>
    <row r="280" spans="1:24" x14ac:dyDescent="0.2">
      <c r="A280" s="4">
        <v>279</v>
      </c>
      <c r="B280" s="4" t="s">
        <v>27</v>
      </c>
      <c r="C280" s="4">
        <v>1</v>
      </c>
      <c r="D280" s="4">
        <v>0</v>
      </c>
      <c r="E280" s="4">
        <v>1</v>
      </c>
      <c r="F280" s="4">
        <v>1</v>
      </c>
      <c r="G280" s="4" t="b">
        <v>0</v>
      </c>
      <c r="H280" s="4">
        <v>4</v>
      </c>
      <c r="I280" s="4">
        <v>1</v>
      </c>
      <c r="J280" s="4">
        <v>0.14000000000000001</v>
      </c>
      <c r="K280" s="6" t="str">
        <f>IF(H280=0,"weekend",IF(H280=6,"weekend","weekend"))</f>
        <v>weekend</v>
      </c>
      <c r="L280" s="3" t="str">
        <f>IF(C280=1,"Spring",IF(C280=2,"Summer",IF(C280=3,"Fall","Winter")))</f>
        <v>Spring</v>
      </c>
      <c r="M280" s="3">
        <f>SUM(J280:J304)</f>
        <v>4.0400000000000009</v>
      </c>
      <c r="N280" s="3">
        <f>AVERAGE(J280:J889)</f>
        <v>0.18542168674698778</v>
      </c>
      <c r="O280" s="3">
        <f>COUNT(J280:J889)</f>
        <v>332</v>
      </c>
      <c r="P280" s="3" t="str">
        <f>TEXT(J280,"0.00")</f>
        <v>0.14</v>
      </c>
      <c r="Q280" s="3" t="str">
        <f>LEFT(L280,3)</f>
        <v>Spr</v>
      </c>
      <c r="R280" s="42" t="str">
        <f>RIGHT(L280,3)</f>
        <v>ing</v>
      </c>
      <c r="S280" s="42">
        <f>LEN(L280)</f>
        <v>6</v>
      </c>
      <c r="T280" s="3" t="str">
        <f>A280&amp;"|"&amp;B280&amp;"|"&amp;F280</f>
        <v>279|13-01-2011|1</v>
      </c>
      <c r="U280" s="3">
        <f t="shared" si="16"/>
        <v>610</v>
      </c>
      <c r="V280" s="3">
        <f t="shared" si="17"/>
        <v>120.10000000000005</v>
      </c>
      <c r="W280" s="50">
        <f t="shared" si="18"/>
        <v>8.1303845032683911E-2</v>
      </c>
      <c r="X280" s="50">
        <f t="shared" si="19"/>
        <v>0.16514794964716251</v>
      </c>
    </row>
    <row r="281" spans="1:24" x14ac:dyDescent="0.2">
      <c r="A281" s="4">
        <v>280</v>
      </c>
      <c r="B281" s="4" t="s">
        <v>27</v>
      </c>
      <c r="C281" s="4">
        <v>1</v>
      </c>
      <c r="D281" s="4">
        <v>0</v>
      </c>
      <c r="E281" s="4">
        <v>1</v>
      </c>
      <c r="F281" s="4">
        <v>2</v>
      </c>
      <c r="G281" s="4" t="b">
        <v>0</v>
      </c>
      <c r="H281" s="4">
        <v>4</v>
      </c>
      <c r="I281" s="4">
        <v>1</v>
      </c>
      <c r="J281" s="4">
        <v>0.14000000000000001</v>
      </c>
      <c r="K281" s="6" t="str">
        <f>IF(H281=0,"weekend",IF(H281=6,"weekend","weekend"))</f>
        <v>weekend</v>
      </c>
      <c r="L281" s="3" t="str">
        <f>IF(C281=1,"Spring",IF(C281=2,"Summer",IF(C281=3,"Fall","Winter")))</f>
        <v>Spring</v>
      </c>
      <c r="M281" s="3">
        <f>SUM(J281:J305)</f>
        <v>4.0000000000000018</v>
      </c>
      <c r="N281" s="3">
        <f>AVERAGE(J281:J890)</f>
        <v>0.18555891238670677</v>
      </c>
      <c r="O281" s="3">
        <f>COUNT(J281:J890)</f>
        <v>331</v>
      </c>
      <c r="P281" s="3" t="str">
        <f>TEXT(J281,"0.00")</f>
        <v>0.14</v>
      </c>
      <c r="Q281" s="3" t="str">
        <f>LEFT(L281,3)</f>
        <v>Spr</v>
      </c>
      <c r="R281" s="42" t="str">
        <f>RIGHT(L281,3)</f>
        <v>ing</v>
      </c>
      <c r="S281" s="42">
        <f>LEN(L281)</f>
        <v>6</v>
      </c>
      <c r="T281" s="3" t="str">
        <f>A281&amp;"|"&amp;B281&amp;"|"&amp;F281</f>
        <v>280|13-01-2011|2</v>
      </c>
      <c r="U281" s="3">
        <f t="shared" si="16"/>
        <v>610</v>
      </c>
      <c r="V281" s="3">
        <f t="shared" si="17"/>
        <v>120.10000000000005</v>
      </c>
      <c r="W281" s="50">
        <f t="shared" si="18"/>
        <v>8.1303845032683911E-2</v>
      </c>
      <c r="X281" s="50">
        <f t="shared" si="19"/>
        <v>0.16514794964716251</v>
      </c>
    </row>
    <row r="282" spans="1:24" x14ac:dyDescent="0.2">
      <c r="A282" s="4">
        <v>281</v>
      </c>
      <c r="B282" s="4" t="s">
        <v>27</v>
      </c>
      <c r="C282" s="4">
        <v>1</v>
      </c>
      <c r="D282" s="4">
        <v>0</v>
      </c>
      <c r="E282" s="4">
        <v>1</v>
      </c>
      <c r="F282" s="4">
        <v>3</v>
      </c>
      <c r="G282" s="4" t="b">
        <v>0</v>
      </c>
      <c r="H282" s="4">
        <v>4</v>
      </c>
      <c r="I282" s="4">
        <v>1</v>
      </c>
      <c r="J282" s="4">
        <v>0.14000000000000001</v>
      </c>
      <c r="K282" s="6" t="str">
        <f>IF(H282=0,"weekend",IF(H282=6,"weekend","weekend"))</f>
        <v>weekend</v>
      </c>
      <c r="L282" s="3" t="str">
        <f>IF(C282=1,"Spring",IF(C282=2,"Summer",IF(C282=3,"Fall","Winter")))</f>
        <v>Spring</v>
      </c>
      <c r="M282" s="3">
        <f>SUM(J282:J306)</f>
        <v>3.9600000000000013</v>
      </c>
      <c r="N282" s="3">
        <f>AVERAGE(J282:J891)</f>
        <v>0.18569696969696955</v>
      </c>
      <c r="O282" s="3">
        <f>COUNT(J282:J891)</f>
        <v>330</v>
      </c>
      <c r="P282" s="3" t="str">
        <f>TEXT(J282,"0.00")</f>
        <v>0.14</v>
      </c>
      <c r="Q282" s="3" t="str">
        <f>LEFT(L282,3)</f>
        <v>Spr</v>
      </c>
      <c r="R282" s="42" t="str">
        <f>RIGHT(L282,3)</f>
        <v>ing</v>
      </c>
      <c r="S282" s="42">
        <f>LEN(L282)</f>
        <v>6</v>
      </c>
      <c r="T282" s="3" t="str">
        <f>A282&amp;"|"&amp;B282&amp;"|"&amp;F282</f>
        <v>281|13-01-2011|3</v>
      </c>
      <c r="U282" s="3">
        <f t="shared" si="16"/>
        <v>610</v>
      </c>
      <c r="V282" s="3">
        <f t="shared" si="17"/>
        <v>120.10000000000005</v>
      </c>
      <c r="W282" s="50">
        <f t="shared" si="18"/>
        <v>8.1303845032683911E-2</v>
      </c>
      <c r="X282" s="50">
        <f t="shared" si="19"/>
        <v>0.16514794964716251</v>
      </c>
    </row>
    <row r="283" spans="1:24" x14ac:dyDescent="0.2">
      <c r="A283" s="4">
        <v>282</v>
      </c>
      <c r="B283" s="4" t="s">
        <v>27</v>
      </c>
      <c r="C283" s="4">
        <v>1</v>
      </c>
      <c r="D283" s="4">
        <v>0</v>
      </c>
      <c r="E283" s="4">
        <v>1</v>
      </c>
      <c r="F283" s="4">
        <v>4</v>
      </c>
      <c r="G283" s="4" t="b">
        <v>0</v>
      </c>
      <c r="H283" s="4">
        <v>4</v>
      </c>
      <c r="I283" s="4">
        <v>1</v>
      </c>
      <c r="J283" s="4">
        <v>0.14000000000000001</v>
      </c>
      <c r="K283" s="6" t="str">
        <f>IF(H283=0,"weekend",IF(H283=6,"weekend","weekend"))</f>
        <v>weekend</v>
      </c>
      <c r="L283" s="3" t="str">
        <f>IF(C283=1,"Spring",IF(C283=2,"Summer",IF(C283=3,"Fall","Winter")))</f>
        <v>Spring</v>
      </c>
      <c r="M283" s="3">
        <f>SUM(J283:J307)</f>
        <v>3.9200000000000017</v>
      </c>
      <c r="N283" s="3">
        <f>AVERAGE(J283:J892)</f>
        <v>0.18583586626139803</v>
      </c>
      <c r="O283" s="3">
        <f>COUNT(J283:J892)</f>
        <v>329</v>
      </c>
      <c r="P283" s="3" t="str">
        <f>TEXT(J283,"0.00")</f>
        <v>0.14</v>
      </c>
      <c r="Q283" s="3" t="str">
        <f>LEFT(L283,3)</f>
        <v>Spr</v>
      </c>
      <c r="R283" s="42" t="str">
        <f>RIGHT(L283,3)</f>
        <v>ing</v>
      </c>
      <c r="S283" s="42">
        <f>LEN(L283)</f>
        <v>6</v>
      </c>
      <c r="T283" s="3" t="str">
        <f>A283&amp;"|"&amp;B283&amp;"|"&amp;F283</f>
        <v>282|13-01-2011|4</v>
      </c>
      <c r="U283" s="3">
        <f t="shared" si="16"/>
        <v>610</v>
      </c>
      <c r="V283" s="3">
        <f t="shared" si="17"/>
        <v>120.10000000000005</v>
      </c>
      <c r="W283" s="50">
        <f t="shared" si="18"/>
        <v>8.1303845032683911E-2</v>
      </c>
      <c r="X283" s="50">
        <f t="shared" si="19"/>
        <v>0.16514794964716251</v>
      </c>
    </row>
    <row r="284" spans="1:24" x14ac:dyDescent="0.2">
      <c r="A284" s="4">
        <v>283</v>
      </c>
      <c r="B284" s="4" t="s">
        <v>27</v>
      </c>
      <c r="C284" s="4">
        <v>1</v>
      </c>
      <c r="D284" s="4">
        <v>0</v>
      </c>
      <c r="E284" s="4">
        <v>1</v>
      </c>
      <c r="F284" s="4">
        <v>5</v>
      </c>
      <c r="G284" s="4" t="b">
        <v>0</v>
      </c>
      <c r="H284" s="4">
        <v>4</v>
      </c>
      <c r="I284" s="4">
        <v>1</v>
      </c>
      <c r="J284" s="4">
        <v>0.14000000000000001</v>
      </c>
      <c r="K284" s="6" t="str">
        <f>IF(H284=0,"weekend",IF(H284=6,"weekend","weekend"))</f>
        <v>weekend</v>
      </c>
      <c r="L284" s="3" t="str">
        <f>IF(C284=1,"Spring",IF(C284=2,"Summer",IF(C284=3,"Fall","Winter")))</f>
        <v>Spring</v>
      </c>
      <c r="M284" s="3">
        <f>SUM(J284:J308)</f>
        <v>3.8800000000000012</v>
      </c>
      <c r="N284" s="3">
        <f>AVERAGE(J284:J893)</f>
        <v>0.18597560975609742</v>
      </c>
      <c r="O284" s="3">
        <f>COUNT(J284:J893)</f>
        <v>328</v>
      </c>
      <c r="P284" s="3" t="str">
        <f>TEXT(J284,"0.00")</f>
        <v>0.14</v>
      </c>
      <c r="Q284" s="3" t="str">
        <f>LEFT(L284,3)</f>
        <v>Spr</v>
      </c>
      <c r="R284" s="42" t="str">
        <f>RIGHT(L284,3)</f>
        <v>ing</v>
      </c>
      <c r="S284" s="42">
        <f>LEN(L284)</f>
        <v>6</v>
      </c>
      <c r="T284" s="3" t="str">
        <f>A284&amp;"|"&amp;B284&amp;"|"&amp;F284</f>
        <v>283|13-01-2011|5</v>
      </c>
      <c r="U284" s="3">
        <f t="shared" si="16"/>
        <v>610</v>
      </c>
      <c r="V284" s="3">
        <f t="shared" si="17"/>
        <v>120.10000000000005</v>
      </c>
      <c r="W284" s="50">
        <f t="shared" si="18"/>
        <v>8.1303845032683911E-2</v>
      </c>
      <c r="X284" s="50">
        <f t="shared" si="19"/>
        <v>0.16514794964716251</v>
      </c>
    </row>
    <row r="285" spans="1:24" x14ac:dyDescent="0.2">
      <c r="A285" s="4">
        <v>284</v>
      </c>
      <c r="B285" s="4" t="s">
        <v>27</v>
      </c>
      <c r="C285" s="4">
        <v>1</v>
      </c>
      <c r="D285" s="4">
        <v>0</v>
      </c>
      <c r="E285" s="4">
        <v>1</v>
      </c>
      <c r="F285" s="4">
        <v>6</v>
      </c>
      <c r="G285" s="4" t="b">
        <v>0</v>
      </c>
      <c r="H285" s="4">
        <v>4</v>
      </c>
      <c r="I285" s="4">
        <v>1</v>
      </c>
      <c r="J285" s="4">
        <v>0.12</v>
      </c>
      <c r="K285" s="6" t="str">
        <f>IF(H285=0,"weekend",IF(H285=6,"weekend","weekend"))</f>
        <v>weekend</v>
      </c>
      <c r="L285" s="3" t="str">
        <f>IF(C285=1,"Spring",IF(C285=2,"Summer",IF(C285=3,"Fall","Winter")))</f>
        <v>Spring</v>
      </c>
      <c r="M285" s="3">
        <f>SUM(J285:J309)</f>
        <v>3.8400000000000016</v>
      </c>
      <c r="N285" s="3">
        <f>AVERAGE(J285:J894)</f>
        <v>0.18611620795107017</v>
      </c>
      <c r="O285" s="3">
        <f>COUNT(J285:J894)</f>
        <v>327</v>
      </c>
      <c r="P285" s="3" t="str">
        <f>TEXT(J285,"0.00")</f>
        <v>0.12</v>
      </c>
      <c r="Q285" s="3" t="str">
        <f>LEFT(L285,3)</f>
        <v>Spr</v>
      </c>
      <c r="R285" s="42" t="str">
        <f>RIGHT(L285,3)</f>
        <v>ing</v>
      </c>
      <c r="S285" s="42">
        <f>LEN(L285)</f>
        <v>6</v>
      </c>
      <c r="T285" s="3" t="str">
        <f>A285&amp;"|"&amp;B285&amp;"|"&amp;F285</f>
        <v>284|13-01-2011|6</v>
      </c>
      <c r="U285" s="3">
        <f t="shared" si="16"/>
        <v>610</v>
      </c>
      <c r="V285" s="3">
        <f t="shared" si="17"/>
        <v>120.10000000000005</v>
      </c>
      <c r="W285" s="50">
        <f t="shared" si="18"/>
        <v>8.1303845032683911E-2</v>
      </c>
      <c r="X285" s="50">
        <f t="shared" si="19"/>
        <v>0.16514794964716251</v>
      </c>
    </row>
    <row r="286" spans="1:24" x14ac:dyDescent="0.2">
      <c r="A286" s="4">
        <v>285</v>
      </c>
      <c r="B286" s="4" t="s">
        <v>27</v>
      </c>
      <c r="C286" s="4">
        <v>1</v>
      </c>
      <c r="D286" s="4">
        <v>0</v>
      </c>
      <c r="E286" s="4">
        <v>1</v>
      </c>
      <c r="F286" s="4">
        <v>7</v>
      </c>
      <c r="G286" s="4" t="b">
        <v>0</v>
      </c>
      <c r="H286" s="4">
        <v>4</v>
      </c>
      <c r="I286" s="4">
        <v>1</v>
      </c>
      <c r="J286" s="4">
        <v>0.12</v>
      </c>
      <c r="K286" s="6" t="str">
        <f>IF(H286=0,"weekend",IF(H286=6,"weekend","weekend"))</f>
        <v>weekend</v>
      </c>
      <c r="L286" s="3" t="str">
        <f>IF(C286=1,"Spring",IF(C286=2,"Summer",IF(C286=3,"Fall","Winter")))</f>
        <v>Spring</v>
      </c>
      <c r="M286" s="3">
        <f>SUM(J286:J310)</f>
        <v>3.8400000000000016</v>
      </c>
      <c r="N286" s="3">
        <f>AVERAGE(J286:J895)</f>
        <v>0.18631901840490786</v>
      </c>
      <c r="O286" s="3">
        <f>COUNT(J286:J895)</f>
        <v>326</v>
      </c>
      <c r="P286" s="3" t="str">
        <f>TEXT(J286,"0.00")</f>
        <v>0.12</v>
      </c>
      <c r="Q286" s="3" t="str">
        <f>LEFT(L286,3)</f>
        <v>Spr</v>
      </c>
      <c r="R286" s="42" t="str">
        <f>RIGHT(L286,3)</f>
        <v>ing</v>
      </c>
      <c r="S286" s="42">
        <f>LEN(L286)</f>
        <v>6</v>
      </c>
      <c r="T286" s="3" t="str">
        <f>A286&amp;"|"&amp;B286&amp;"|"&amp;F286</f>
        <v>285|13-01-2011|7</v>
      </c>
      <c r="U286" s="3">
        <f t="shared" si="16"/>
        <v>610</v>
      </c>
      <c r="V286" s="3">
        <f t="shared" si="17"/>
        <v>120.10000000000005</v>
      </c>
      <c r="W286" s="50">
        <f t="shared" si="18"/>
        <v>8.1303845032683911E-2</v>
      </c>
      <c r="X286" s="50">
        <f t="shared" si="19"/>
        <v>0.16514794964716251</v>
      </c>
    </row>
    <row r="287" spans="1:24" x14ac:dyDescent="0.2">
      <c r="A287" s="4">
        <v>286</v>
      </c>
      <c r="B287" s="4" t="s">
        <v>27</v>
      </c>
      <c r="C287" s="4">
        <v>1</v>
      </c>
      <c r="D287" s="4">
        <v>0</v>
      </c>
      <c r="E287" s="4">
        <v>1</v>
      </c>
      <c r="F287" s="4">
        <v>8</v>
      </c>
      <c r="G287" s="4" t="b">
        <v>0</v>
      </c>
      <c r="H287" s="4">
        <v>4</v>
      </c>
      <c r="I287" s="4">
        <v>1</v>
      </c>
      <c r="J287" s="4">
        <v>0.14000000000000001</v>
      </c>
      <c r="K287" s="6" t="str">
        <f>IF(H287=0,"weekend",IF(H287=6,"weekend","weekend"))</f>
        <v>weekend</v>
      </c>
      <c r="L287" s="3" t="str">
        <f>IF(C287=1,"Spring",IF(C287=2,"Summer",IF(C287=3,"Fall","Winter")))</f>
        <v>Spring</v>
      </c>
      <c r="M287" s="3">
        <f>SUM(J287:J311)</f>
        <v>3.8600000000000017</v>
      </c>
      <c r="N287" s="3">
        <f>AVERAGE(J287:J896)</f>
        <v>0.18652307692307679</v>
      </c>
      <c r="O287" s="3">
        <f>COUNT(J287:J896)</f>
        <v>325</v>
      </c>
      <c r="P287" s="3" t="str">
        <f>TEXT(J287,"0.00")</f>
        <v>0.14</v>
      </c>
      <c r="Q287" s="3" t="str">
        <f>LEFT(L287,3)</f>
        <v>Spr</v>
      </c>
      <c r="R287" s="42" t="str">
        <f>RIGHT(L287,3)</f>
        <v>ing</v>
      </c>
      <c r="S287" s="42">
        <f>LEN(L287)</f>
        <v>6</v>
      </c>
      <c r="T287" s="3" t="str">
        <f>A287&amp;"|"&amp;B287&amp;"|"&amp;F287</f>
        <v>286|13-01-2011|8</v>
      </c>
      <c r="U287" s="3">
        <f t="shared" si="16"/>
        <v>610</v>
      </c>
      <c r="V287" s="3">
        <f t="shared" si="17"/>
        <v>120.10000000000005</v>
      </c>
      <c r="W287" s="50">
        <f t="shared" si="18"/>
        <v>8.1303845032683911E-2</v>
      </c>
      <c r="X287" s="50">
        <f t="shared" si="19"/>
        <v>0.16514794964716251</v>
      </c>
    </row>
    <row r="288" spans="1:24" x14ac:dyDescent="0.2">
      <c r="A288" s="4">
        <v>287</v>
      </c>
      <c r="B288" s="4" t="s">
        <v>27</v>
      </c>
      <c r="C288" s="4">
        <v>1</v>
      </c>
      <c r="D288" s="4">
        <v>0</v>
      </c>
      <c r="E288" s="4">
        <v>1</v>
      </c>
      <c r="F288" s="4">
        <v>9</v>
      </c>
      <c r="G288" s="4" t="b">
        <v>0</v>
      </c>
      <c r="H288" s="4">
        <v>4</v>
      </c>
      <c r="I288" s="4">
        <v>1</v>
      </c>
      <c r="J288" s="4">
        <v>0.14000000000000001</v>
      </c>
      <c r="K288" s="6" t="str">
        <f>IF(H288=0,"weekend",IF(H288=6,"weekend","weekend"))</f>
        <v>weekend</v>
      </c>
      <c r="L288" s="3" t="str">
        <f>IF(C288=1,"Spring",IF(C288=2,"Summer",IF(C288=3,"Fall","Winter")))</f>
        <v>Spring</v>
      </c>
      <c r="M288" s="3">
        <f>SUM(J288:J312)</f>
        <v>3.9000000000000017</v>
      </c>
      <c r="N288" s="3">
        <f>AVERAGE(J288:J897)</f>
        <v>0.18666666666666654</v>
      </c>
      <c r="O288" s="3">
        <f>COUNT(J288:J897)</f>
        <v>324</v>
      </c>
      <c r="P288" s="3" t="str">
        <f>TEXT(J288,"0.00")</f>
        <v>0.14</v>
      </c>
      <c r="Q288" s="3" t="str">
        <f>LEFT(L288,3)</f>
        <v>Spr</v>
      </c>
      <c r="R288" s="42" t="str">
        <f>RIGHT(L288,3)</f>
        <v>ing</v>
      </c>
      <c r="S288" s="42">
        <f>LEN(L288)</f>
        <v>6</v>
      </c>
      <c r="T288" s="3" t="str">
        <f>A288&amp;"|"&amp;B288&amp;"|"&amp;F288</f>
        <v>287|13-01-2011|9</v>
      </c>
      <c r="U288" s="3">
        <f t="shared" si="16"/>
        <v>610</v>
      </c>
      <c r="V288" s="3">
        <f t="shared" si="17"/>
        <v>120.10000000000005</v>
      </c>
      <c r="W288" s="50">
        <f t="shared" si="18"/>
        <v>8.1303845032683911E-2</v>
      </c>
      <c r="X288" s="50">
        <f t="shared" si="19"/>
        <v>0.16514794964716251</v>
      </c>
    </row>
    <row r="289" spans="1:24" x14ac:dyDescent="0.2">
      <c r="A289" s="4">
        <v>288</v>
      </c>
      <c r="B289" s="4" t="s">
        <v>27</v>
      </c>
      <c r="C289" s="4">
        <v>1</v>
      </c>
      <c r="D289" s="4">
        <v>0</v>
      </c>
      <c r="E289" s="4">
        <v>1</v>
      </c>
      <c r="F289" s="4">
        <v>10</v>
      </c>
      <c r="G289" s="4" t="b">
        <v>0</v>
      </c>
      <c r="H289" s="4">
        <v>4</v>
      </c>
      <c r="I289" s="4">
        <v>2</v>
      </c>
      <c r="J289" s="4">
        <v>0.16</v>
      </c>
      <c r="K289" s="6" t="str">
        <f>IF(H289=0,"weekend",IF(H289=6,"weekend","weekend"))</f>
        <v>weekend</v>
      </c>
      <c r="L289" s="3" t="str">
        <f>IF(C289=1,"Spring",IF(C289=2,"Summer",IF(C289=3,"Fall","Winter")))</f>
        <v>Spring</v>
      </c>
      <c r="M289" s="3">
        <f>SUM(J289:J313)</f>
        <v>3.9400000000000017</v>
      </c>
      <c r="N289" s="3">
        <f>AVERAGE(J289:J898)</f>
        <v>0.1868111455108358</v>
      </c>
      <c r="O289" s="3">
        <f>COUNT(J289:J898)</f>
        <v>323</v>
      </c>
      <c r="P289" s="3" t="str">
        <f>TEXT(J289,"0.00")</f>
        <v>0.16</v>
      </c>
      <c r="Q289" s="3" t="str">
        <f>LEFT(L289,3)</f>
        <v>Spr</v>
      </c>
      <c r="R289" s="42" t="str">
        <f>RIGHT(L289,3)</f>
        <v>ing</v>
      </c>
      <c r="S289" s="42">
        <f>LEN(L289)</f>
        <v>6</v>
      </c>
      <c r="T289" s="3" t="str">
        <f>A289&amp;"|"&amp;B289&amp;"|"&amp;F289</f>
        <v>288|13-01-2011|10</v>
      </c>
      <c r="U289" s="3">
        <f t="shared" si="16"/>
        <v>610</v>
      </c>
      <c r="V289" s="3">
        <f t="shared" si="17"/>
        <v>120.10000000000005</v>
      </c>
      <c r="W289" s="50">
        <f t="shared" si="18"/>
        <v>8.1303845032683911E-2</v>
      </c>
      <c r="X289" s="50">
        <f t="shared" si="19"/>
        <v>0.16514794964716251</v>
      </c>
    </row>
    <row r="290" spans="1:24" x14ac:dyDescent="0.2">
      <c r="A290" s="4">
        <v>289</v>
      </c>
      <c r="B290" s="4" t="s">
        <v>27</v>
      </c>
      <c r="C290" s="4">
        <v>1</v>
      </c>
      <c r="D290" s="4">
        <v>0</v>
      </c>
      <c r="E290" s="4">
        <v>1</v>
      </c>
      <c r="F290" s="4">
        <v>11</v>
      </c>
      <c r="G290" s="4" t="b">
        <v>0</v>
      </c>
      <c r="H290" s="4">
        <v>4</v>
      </c>
      <c r="I290" s="4">
        <v>2</v>
      </c>
      <c r="J290" s="4">
        <v>0.2</v>
      </c>
      <c r="K290" s="6" t="str">
        <f>IF(H290=0,"weekend",IF(H290=6,"weekend","weekend"))</f>
        <v>weekend</v>
      </c>
      <c r="L290" s="3" t="str">
        <f>IF(C290=1,"Spring",IF(C290=2,"Summer",IF(C290=3,"Fall","Winter")))</f>
        <v>Spring</v>
      </c>
      <c r="M290" s="3">
        <f>SUM(J290:J314)</f>
        <v>3.9800000000000018</v>
      </c>
      <c r="N290" s="3">
        <f>AVERAGE(J290:J899)</f>
        <v>0.18689440993788808</v>
      </c>
      <c r="O290" s="3">
        <f>COUNT(J290:J899)</f>
        <v>322</v>
      </c>
      <c r="P290" s="3" t="str">
        <f>TEXT(J290,"0.00")</f>
        <v>0.20</v>
      </c>
      <c r="Q290" s="3" t="str">
        <f>LEFT(L290,3)</f>
        <v>Spr</v>
      </c>
      <c r="R290" s="42" t="str">
        <f>RIGHT(L290,3)</f>
        <v>ing</v>
      </c>
      <c r="S290" s="42">
        <f>LEN(L290)</f>
        <v>6</v>
      </c>
      <c r="T290" s="3" t="str">
        <f>A290&amp;"|"&amp;B290&amp;"|"&amp;F290</f>
        <v>289|13-01-2011|11</v>
      </c>
      <c r="U290" s="3">
        <f t="shared" si="16"/>
        <v>610</v>
      </c>
      <c r="V290" s="3">
        <f t="shared" si="17"/>
        <v>120.10000000000005</v>
      </c>
      <c r="W290" s="50">
        <f t="shared" si="18"/>
        <v>8.1303845032683911E-2</v>
      </c>
      <c r="X290" s="50">
        <f t="shared" si="19"/>
        <v>0.16514794964716251</v>
      </c>
    </row>
    <row r="291" spans="1:24" x14ac:dyDescent="0.2">
      <c r="A291" s="4">
        <v>290</v>
      </c>
      <c r="B291" s="4" t="s">
        <v>27</v>
      </c>
      <c r="C291" s="4">
        <v>1</v>
      </c>
      <c r="D291" s="4">
        <v>0</v>
      </c>
      <c r="E291" s="4">
        <v>1</v>
      </c>
      <c r="F291" s="4">
        <v>12</v>
      </c>
      <c r="G291" s="4" t="b">
        <v>0</v>
      </c>
      <c r="H291" s="4">
        <v>4</v>
      </c>
      <c r="I291" s="4">
        <v>1</v>
      </c>
      <c r="J291" s="4">
        <v>0.2</v>
      </c>
      <c r="K291" s="6" t="str">
        <f>IF(H291=0,"weekend",IF(H291=6,"weekend","weekend"))</f>
        <v>weekend</v>
      </c>
      <c r="L291" s="3" t="str">
        <f>IF(C291=1,"Spring",IF(C291=2,"Summer",IF(C291=3,"Fall","Winter")))</f>
        <v>Spring</v>
      </c>
      <c r="M291" s="3">
        <f>SUM(J291:J315)</f>
        <v>4.0000000000000018</v>
      </c>
      <c r="N291" s="3">
        <f>AVERAGE(J291:J900)</f>
        <v>0.18685358255451703</v>
      </c>
      <c r="O291" s="3">
        <f>COUNT(J291:J900)</f>
        <v>321</v>
      </c>
      <c r="P291" s="3" t="str">
        <f>TEXT(J291,"0.00")</f>
        <v>0.20</v>
      </c>
      <c r="Q291" s="3" t="str">
        <f>LEFT(L291,3)</f>
        <v>Spr</v>
      </c>
      <c r="R291" s="42" t="str">
        <f>RIGHT(L291,3)</f>
        <v>ing</v>
      </c>
      <c r="S291" s="42">
        <f>LEN(L291)</f>
        <v>6</v>
      </c>
      <c r="T291" s="3" t="str">
        <f>A291&amp;"|"&amp;B291&amp;"|"&amp;F291</f>
        <v>290|13-01-2011|12</v>
      </c>
      <c r="U291" s="3">
        <f t="shared" si="16"/>
        <v>610</v>
      </c>
      <c r="V291" s="3">
        <f t="shared" si="17"/>
        <v>120.10000000000005</v>
      </c>
      <c r="W291" s="50">
        <f t="shared" si="18"/>
        <v>8.1303845032683911E-2</v>
      </c>
      <c r="X291" s="50">
        <f t="shared" si="19"/>
        <v>0.16514794964716251</v>
      </c>
    </row>
    <row r="292" spans="1:24" x14ac:dyDescent="0.2">
      <c r="A292" s="4">
        <v>291</v>
      </c>
      <c r="B292" s="4" t="s">
        <v>27</v>
      </c>
      <c r="C292" s="4">
        <v>1</v>
      </c>
      <c r="D292" s="4">
        <v>0</v>
      </c>
      <c r="E292" s="4">
        <v>1</v>
      </c>
      <c r="F292" s="4">
        <v>13</v>
      </c>
      <c r="G292" s="4" t="b">
        <v>0</v>
      </c>
      <c r="H292" s="4">
        <v>4</v>
      </c>
      <c r="I292" s="4">
        <v>1</v>
      </c>
      <c r="J292" s="4">
        <v>0.22</v>
      </c>
      <c r="K292" s="6" t="str">
        <f>IF(H292=0,"weekend",IF(H292=6,"weekend","weekend"))</f>
        <v>weekend</v>
      </c>
      <c r="L292" s="3" t="str">
        <f>IF(C292=1,"Spring",IF(C292=2,"Summer",IF(C292=3,"Fall","Winter")))</f>
        <v>Spring</v>
      </c>
      <c r="M292" s="3">
        <f>SUM(J292:J316)</f>
        <v>4.0200000000000014</v>
      </c>
      <c r="N292" s="3">
        <f>AVERAGE(J292:J901)</f>
        <v>0.18681249999999988</v>
      </c>
      <c r="O292" s="3">
        <f>COUNT(J292:J901)</f>
        <v>320</v>
      </c>
      <c r="P292" s="3" t="str">
        <f>TEXT(J292,"0.00")</f>
        <v>0.22</v>
      </c>
      <c r="Q292" s="3" t="str">
        <f>LEFT(L292,3)</f>
        <v>Spr</v>
      </c>
      <c r="R292" s="42" t="str">
        <f>RIGHT(L292,3)</f>
        <v>ing</v>
      </c>
      <c r="S292" s="42">
        <f>LEN(L292)</f>
        <v>6</v>
      </c>
      <c r="T292" s="3" t="str">
        <f>A292&amp;"|"&amp;B292&amp;"|"&amp;F292</f>
        <v>291|13-01-2011|13</v>
      </c>
      <c r="U292" s="3">
        <f t="shared" si="16"/>
        <v>610</v>
      </c>
      <c r="V292" s="3">
        <f t="shared" si="17"/>
        <v>120.10000000000005</v>
      </c>
      <c r="W292" s="50">
        <f t="shared" si="18"/>
        <v>8.1303845032683911E-2</v>
      </c>
      <c r="X292" s="50">
        <f t="shared" si="19"/>
        <v>0.16514794964716251</v>
      </c>
    </row>
    <row r="293" spans="1:24" x14ac:dyDescent="0.2">
      <c r="A293" s="4">
        <v>292</v>
      </c>
      <c r="B293" s="4" t="s">
        <v>27</v>
      </c>
      <c r="C293" s="4">
        <v>1</v>
      </c>
      <c r="D293" s="4">
        <v>0</v>
      </c>
      <c r="E293" s="4">
        <v>1</v>
      </c>
      <c r="F293" s="4">
        <v>14</v>
      </c>
      <c r="G293" s="4" t="b">
        <v>0</v>
      </c>
      <c r="H293" s="4">
        <v>4</v>
      </c>
      <c r="I293" s="4">
        <v>1</v>
      </c>
      <c r="J293" s="4">
        <v>0.22</v>
      </c>
      <c r="K293" s="6" t="str">
        <f>IF(H293=0,"weekend",IF(H293=6,"weekend","weekend"))</f>
        <v>weekend</v>
      </c>
      <c r="L293" s="3" t="str">
        <f>IF(C293=1,"Spring",IF(C293=2,"Summer",IF(C293=3,"Fall","Winter")))</f>
        <v>Spring</v>
      </c>
      <c r="M293" s="3">
        <f>SUM(J293:J317)</f>
        <v>4.0400000000000018</v>
      </c>
      <c r="N293" s="3">
        <f>AVERAGE(J293:J902)</f>
        <v>0.18670846394984317</v>
      </c>
      <c r="O293" s="3">
        <f>COUNT(J293:J902)</f>
        <v>319</v>
      </c>
      <c r="P293" s="3" t="str">
        <f>TEXT(J293,"0.00")</f>
        <v>0.22</v>
      </c>
      <c r="Q293" s="3" t="str">
        <f>LEFT(L293,3)</f>
        <v>Spr</v>
      </c>
      <c r="R293" s="42" t="str">
        <f>RIGHT(L293,3)</f>
        <v>ing</v>
      </c>
      <c r="S293" s="42">
        <f>LEN(L293)</f>
        <v>6</v>
      </c>
      <c r="T293" s="3" t="str">
        <f>A293&amp;"|"&amp;B293&amp;"|"&amp;F293</f>
        <v>292|13-01-2011|14</v>
      </c>
      <c r="U293" s="3">
        <f t="shared" si="16"/>
        <v>610</v>
      </c>
      <c r="V293" s="3">
        <f t="shared" si="17"/>
        <v>120.10000000000005</v>
      </c>
      <c r="W293" s="50">
        <f t="shared" si="18"/>
        <v>8.1303845032683911E-2</v>
      </c>
      <c r="X293" s="50">
        <f t="shared" si="19"/>
        <v>0.16514794964716251</v>
      </c>
    </row>
    <row r="294" spans="1:24" x14ac:dyDescent="0.2">
      <c r="A294" s="4">
        <v>293</v>
      </c>
      <c r="B294" s="4" t="s">
        <v>27</v>
      </c>
      <c r="C294" s="4">
        <v>1</v>
      </c>
      <c r="D294" s="4">
        <v>0</v>
      </c>
      <c r="E294" s="4">
        <v>1</v>
      </c>
      <c r="F294" s="4">
        <v>15</v>
      </c>
      <c r="G294" s="4" t="b">
        <v>0</v>
      </c>
      <c r="H294" s="4">
        <v>4</v>
      </c>
      <c r="I294" s="4">
        <v>1</v>
      </c>
      <c r="J294" s="4">
        <v>0.24</v>
      </c>
      <c r="K294" s="6" t="str">
        <f>IF(H294=0,"weekend",IF(H294=6,"weekend","weekend"))</f>
        <v>weekend</v>
      </c>
      <c r="L294" s="3" t="str">
        <f>IF(C294=1,"Spring",IF(C294=2,"Summer",IF(C294=3,"Fall","Winter")))</f>
        <v>Spring</v>
      </c>
      <c r="M294" s="3">
        <f>SUM(J294:J318)</f>
        <v>4.0400000000000018</v>
      </c>
      <c r="N294" s="3">
        <f>AVERAGE(J294:J903)</f>
        <v>0.18660377358490557</v>
      </c>
      <c r="O294" s="3">
        <f>COUNT(J294:J903)</f>
        <v>318</v>
      </c>
      <c r="P294" s="3" t="str">
        <f>TEXT(J294,"0.00")</f>
        <v>0.24</v>
      </c>
      <c r="Q294" s="3" t="str">
        <f>LEFT(L294,3)</f>
        <v>Spr</v>
      </c>
      <c r="R294" s="42" t="str">
        <f>RIGHT(L294,3)</f>
        <v>ing</v>
      </c>
      <c r="S294" s="42">
        <f>LEN(L294)</f>
        <v>6</v>
      </c>
      <c r="T294" s="3" t="str">
        <f>A294&amp;"|"&amp;B294&amp;"|"&amp;F294</f>
        <v>293|13-01-2011|15</v>
      </c>
      <c r="U294" s="3">
        <f t="shared" si="16"/>
        <v>610</v>
      </c>
      <c r="V294" s="3">
        <f t="shared" si="17"/>
        <v>120.10000000000005</v>
      </c>
      <c r="W294" s="50">
        <f t="shared" si="18"/>
        <v>8.1303845032683911E-2</v>
      </c>
      <c r="X294" s="50">
        <f t="shared" si="19"/>
        <v>0.16514794964716251</v>
      </c>
    </row>
    <row r="295" spans="1:24" x14ac:dyDescent="0.2">
      <c r="A295" s="4">
        <v>294</v>
      </c>
      <c r="B295" s="4" t="s">
        <v>27</v>
      </c>
      <c r="C295" s="4">
        <v>1</v>
      </c>
      <c r="D295" s="4">
        <v>0</v>
      </c>
      <c r="E295" s="4">
        <v>1</v>
      </c>
      <c r="F295" s="4">
        <v>16</v>
      </c>
      <c r="G295" s="4" t="b">
        <v>0</v>
      </c>
      <c r="H295" s="4">
        <v>4</v>
      </c>
      <c r="I295" s="4">
        <v>1</v>
      </c>
      <c r="J295" s="4">
        <v>0.24</v>
      </c>
      <c r="K295" s="6" t="str">
        <f>IF(H295=0,"weekend",IF(H295=6,"weekend","weekend"))</f>
        <v>weekend</v>
      </c>
      <c r="L295" s="3" t="str">
        <f>IF(C295=1,"Spring",IF(C295=2,"Summer",IF(C295=3,"Fall","Winter")))</f>
        <v>Spring</v>
      </c>
      <c r="M295" s="3">
        <f>SUM(J295:J319)</f>
        <v>4.0200000000000022</v>
      </c>
      <c r="N295" s="3">
        <f>AVERAGE(J295:J904)</f>
        <v>0.1864353312302838</v>
      </c>
      <c r="O295" s="3">
        <f>COUNT(J295:J904)</f>
        <v>317</v>
      </c>
      <c r="P295" s="3" t="str">
        <f>TEXT(J295,"0.00")</f>
        <v>0.24</v>
      </c>
      <c r="Q295" s="3" t="str">
        <f>LEFT(L295,3)</f>
        <v>Spr</v>
      </c>
      <c r="R295" s="42" t="str">
        <f>RIGHT(L295,3)</f>
        <v>ing</v>
      </c>
      <c r="S295" s="42">
        <f>LEN(L295)</f>
        <v>6</v>
      </c>
      <c r="T295" s="3" t="str">
        <f>A295&amp;"|"&amp;B295&amp;"|"&amp;F295</f>
        <v>294|13-01-2011|16</v>
      </c>
      <c r="U295" s="3">
        <f t="shared" si="16"/>
        <v>610</v>
      </c>
      <c r="V295" s="3">
        <f t="shared" si="17"/>
        <v>120.10000000000005</v>
      </c>
      <c r="W295" s="50">
        <f t="shared" si="18"/>
        <v>8.1303845032683911E-2</v>
      </c>
      <c r="X295" s="50">
        <f t="shared" si="19"/>
        <v>0.16514794964716251</v>
      </c>
    </row>
    <row r="296" spans="1:24" x14ac:dyDescent="0.2">
      <c r="A296" s="4">
        <v>295</v>
      </c>
      <c r="B296" s="4" t="s">
        <v>27</v>
      </c>
      <c r="C296" s="4">
        <v>1</v>
      </c>
      <c r="D296" s="4">
        <v>0</v>
      </c>
      <c r="E296" s="4">
        <v>1</v>
      </c>
      <c r="F296" s="4">
        <v>17</v>
      </c>
      <c r="G296" s="4" t="b">
        <v>0</v>
      </c>
      <c r="H296" s="4">
        <v>4</v>
      </c>
      <c r="I296" s="4">
        <v>1</v>
      </c>
      <c r="J296" s="4">
        <v>0.2</v>
      </c>
      <c r="K296" s="6" t="str">
        <f>IF(H296=0,"weekend",IF(H296=6,"weekend","weekend"))</f>
        <v>weekend</v>
      </c>
      <c r="L296" s="3" t="str">
        <f>IF(C296=1,"Spring",IF(C296=2,"Summer",IF(C296=3,"Fall","Winter")))</f>
        <v>Spring</v>
      </c>
      <c r="M296" s="3">
        <f>SUM(J296:J320)</f>
        <v>3.9800000000000022</v>
      </c>
      <c r="N296" s="3">
        <f>AVERAGE(J296:J905)</f>
        <v>0.18626582278481002</v>
      </c>
      <c r="O296" s="3">
        <f>COUNT(J296:J905)</f>
        <v>316</v>
      </c>
      <c r="P296" s="3" t="str">
        <f>TEXT(J296,"0.00")</f>
        <v>0.20</v>
      </c>
      <c r="Q296" s="3" t="str">
        <f>LEFT(L296,3)</f>
        <v>Spr</v>
      </c>
      <c r="R296" s="42" t="str">
        <f>RIGHT(L296,3)</f>
        <v>ing</v>
      </c>
      <c r="S296" s="42">
        <f>LEN(L296)</f>
        <v>6</v>
      </c>
      <c r="T296" s="3" t="str">
        <f>A296&amp;"|"&amp;B296&amp;"|"&amp;F296</f>
        <v>295|13-01-2011|17</v>
      </c>
      <c r="U296" s="3">
        <f t="shared" si="16"/>
        <v>610</v>
      </c>
      <c r="V296" s="3">
        <f t="shared" si="17"/>
        <v>120.10000000000005</v>
      </c>
      <c r="W296" s="50">
        <f t="shared" si="18"/>
        <v>8.1303845032683911E-2</v>
      </c>
      <c r="X296" s="50">
        <f t="shared" si="19"/>
        <v>0.16514794964716251</v>
      </c>
    </row>
    <row r="297" spans="1:24" x14ac:dyDescent="0.2">
      <c r="A297" s="4">
        <v>296</v>
      </c>
      <c r="B297" s="4" t="s">
        <v>27</v>
      </c>
      <c r="C297" s="4">
        <v>1</v>
      </c>
      <c r="D297" s="4">
        <v>0</v>
      </c>
      <c r="E297" s="4">
        <v>1</v>
      </c>
      <c r="F297" s="4">
        <v>18</v>
      </c>
      <c r="G297" s="4" t="b">
        <v>0</v>
      </c>
      <c r="H297" s="4">
        <v>4</v>
      </c>
      <c r="I297" s="4">
        <v>1</v>
      </c>
      <c r="J297" s="4">
        <v>0.2</v>
      </c>
      <c r="K297" s="6" t="str">
        <f>IF(H297=0,"weekend",IF(H297=6,"weekend","weekend"))</f>
        <v>weekend</v>
      </c>
      <c r="L297" s="3" t="str">
        <f>IF(C297=1,"Spring",IF(C297=2,"Summer",IF(C297=3,"Fall","Winter")))</f>
        <v>Spring</v>
      </c>
      <c r="M297" s="3">
        <f>SUM(J297:J321)</f>
        <v>3.9400000000000022</v>
      </c>
      <c r="N297" s="3">
        <f>AVERAGE(J297:J906)</f>
        <v>0.18622222222222209</v>
      </c>
      <c r="O297" s="3">
        <f>COUNT(J297:J906)</f>
        <v>315</v>
      </c>
      <c r="P297" s="3" t="str">
        <f>TEXT(J297,"0.00")</f>
        <v>0.20</v>
      </c>
      <c r="Q297" s="3" t="str">
        <f>LEFT(L297,3)</f>
        <v>Spr</v>
      </c>
      <c r="R297" s="42" t="str">
        <f>RIGHT(L297,3)</f>
        <v>ing</v>
      </c>
      <c r="S297" s="42">
        <f>LEN(L297)</f>
        <v>6</v>
      </c>
      <c r="T297" s="3" t="str">
        <f>A297&amp;"|"&amp;B297&amp;"|"&amp;F297</f>
        <v>296|13-01-2011|18</v>
      </c>
      <c r="U297" s="3">
        <f t="shared" si="16"/>
        <v>610</v>
      </c>
      <c r="V297" s="3">
        <f t="shared" si="17"/>
        <v>120.10000000000005</v>
      </c>
      <c r="W297" s="50">
        <f t="shared" si="18"/>
        <v>8.1303845032683911E-2</v>
      </c>
      <c r="X297" s="50">
        <f t="shared" si="19"/>
        <v>0.16514794964716251</v>
      </c>
    </row>
    <row r="298" spans="1:24" x14ac:dyDescent="0.2">
      <c r="A298" s="4">
        <v>297</v>
      </c>
      <c r="B298" s="4" t="s">
        <v>27</v>
      </c>
      <c r="C298" s="4">
        <v>1</v>
      </c>
      <c r="D298" s="4">
        <v>0</v>
      </c>
      <c r="E298" s="4">
        <v>1</v>
      </c>
      <c r="F298" s="4">
        <v>19</v>
      </c>
      <c r="G298" s="4" t="b">
        <v>0</v>
      </c>
      <c r="H298" s="4">
        <v>4</v>
      </c>
      <c r="I298" s="4">
        <v>1</v>
      </c>
      <c r="J298" s="4">
        <v>0.16</v>
      </c>
      <c r="K298" s="6" t="str">
        <f>IF(H298=0,"weekend",IF(H298=6,"weekend","weekend"))</f>
        <v>weekend</v>
      </c>
      <c r="L298" s="3" t="str">
        <f>IF(C298=1,"Spring",IF(C298=2,"Summer",IF(C298=3,"Fall","Winter")))</f>
        <v>Spring</v>
      </c>
      <c r="M298" s="3">
        <f>SUM(J298:J322)</f>
        <v>3.9200000000000021</v>
      </c>
      <c r="N298" s="3">
        <f>AVERAGE(J298:J907)</f>
        <v>0.18617834394904448</v>
      </c>
      <c r="O298" s="3">
        <f>COUNT(J298:J907)</f>
        <v>314</v>
      </c>
      <c r="P298" s="3" t="str">
        <f>TEXT(J298,"0.00")</f>
        <v>0.16</v>
      </c>
      <c r="Q298" s="3" t="str">
        <f>LEFT(L298,3)</f>
        <v>Spr</v>
      </c>
      <c r="R298" s="42" t="str">
        <f>RIGHT(L298,3)</f>
        <v>ing</v>
      </c>
      <c r="S298" s="42">
        <f>LEN(L298)</f>
        <v>6</v>
      </c>
      <c r="T298" s="3" t="str">
        <f>A298&amp;"|"&amp;B298&amp;"|"&amp;F298</f>
        <v>297|13-01-2011|19</v>
      </c>
      <c r="U298" s="3">
        <f t="shared" si="16"/>
        <v>610</v>
      </c>
      <c r="V298" s="3">
        <f t="shared" si="17"/>
        <v>120.10000000000005</v>
      </c>
      <c r="W298" s="50">
        <f t="shared" si="18"/>
        <v>8.1303845032683911E-2</v>
      </c>
      <c r="X298" s="50">
        <f t="shared" si="19"/>
        <v>0.16514794964716251</v>
      </c>
    </row>
    <row r="299" spans="1:24" x14ac:dyDescent="0.2">
      <c r="A299" s="4">
        <v>298</v>
      </c>
      <c r="B299" s="4" t="s">
        <v>27</v>
      </c>
      <c r="C299" s="4">
        <v>1</v>
      </c>
      <c r="D299" s="4">
        <v>0</v>
      </c>
      <c r="E299" s="4">
        <v>1</v>
      </c>
      <c r="F299" s="4">
        <v>20</v>
      </c>
      <c r="G299" s="4" t="b">
        <v>0</v>
      </c>
      <c r="H299" s="4">
        <v>4</v>
      </c>
      <c r="I299" s="4">
        <v>1</v>
      </c>
      <c r="J299" s="4">
        <v>0.16</v>
      </c>
      <c r="K299" s="6" t="str">
        <f>IF(H299=0,"weekend",IF(H299=6,"weekend","weekend"))</f>
        <v>weekend</v>
      </c>
      <c r="L299" s="3" t="str">
        <f>IF(C299=1,"Spring",IF(C299=2,"Summer",IF(C299=3,"Fall","Winter")))</f>
        <v>Spring</v>
      </c>
      <c r="M299" s="3">
        <f>SUM(J299:J323)</f>
        <v>3.9200000000000021</v>
      </c>
      <c r="N299" s="3">
        <f>AVERAGE(J299:J908)</f>
        <v>0.18626198083067083</v>
      </c>
      <c r="O299" s="3">
        <f>COUNT(J299:J908)</f>
        <v>313</v>
      </c>
      <c r="P299" s="3" t="str">
        <f>TEXT(J299,"0.00")</f>
        <v>0.16</v>
      </c>
      <c r="Q299" s="3" t="str">
        <f>LEFT(L299,3)</f>
        <v>Spr</v>
      </c>
      <c r="R299" s="42" t="str">
        <f>RIGHT(L299,3)</f>
        <v>ing</v>
      </c>
      <c r="S299" s="42">
        <f>LEN(L299)</f>
        <v>6</v>
      </c>
      <c r="T299" s="3" t="str">
        <f>A299&amp;"|"&amp;B299&amp;"|"&amp;F299</f>
        <v>298|13-01-2011|20</v>
      </c>
      <c r="U299" s="3">
        <f t="shared" si="16"/>
        <v>610</v>
      </c>
      <c r="V299" s="3">
        <f t="shared" si="17"/>
        <v>120.10000000000005</v>
      </c>
      <c r="W299" s="50">
        <f t="shared" si="18"/>
        <v>8.1303845032683911E-2</v>
      </c>
      <c r="X299" s="50">
        <f t="shared" si="19"/>
        <v>0.16514794964716251</v>
      </c>
    </row>
    <row r="300" spans="1:24" x14ac:dyDescent="0.2">
      <c r="A300" s="4">
        <v>299</v>
      </c>
      <c r="B300" s="4" t="s">
        <v>27</v>
      </c>
      <c r="C300" s="4">
        <v>1</v>
      </c>
      <c r="D300" s="4">
        <v>0</v>
      </c>
      <c r="E300" s="4">
        <v>1</v>
      </c>
      <c r="F300" s="4">
        <v>21</v>
      </c>
      <c r="G300" s="4" t="b">
        <v>0</v>
      </c>
      <c r="H300" s="4">
        <v>4</v>
      </c>
      <c r="I300" s="4">
        <v>1</v>
      </c>
      <c r="J300" s="4">
        <v>0.14000000000000001</v>
      </c>
      <c r="K300" s="6" t="str">
        <f>IF(H300=0,"weekend",IF(H300=6,"weekend","weekend"))</f>
        <v>weekend</v>
      </c>
      <c r="L300" s="3" t="str">
        <f>IF(C300=1,"Spring",IF(C300=2,"Summer",IF(C300=3,"Fall","Winter")))</f>
        <v>Spring</v>
      </c>
      <c r="M300" s="3">
        <f>SUM(J300:J324)</f>
        <v>3.9200000000000013</v>
      </c>
      <c r="N300" s="3">
        <f>AVERAGE(J300:J909)</f>
        <v>0.18634615384615374</v>
      </c>
      <c r="O300" s="3">
        <f>COUNT(J300:J909)</f>
        <v>312</v>
      </c>
      <c r="P300" s="3" t="str">
        <f>TEXT(J300,"0.00")</f>
        <v>0.14</v>
      </c>
      <c r="Q300" s="3" t="str">
        <f>LEFT(L300,3)</f>
        <v>Spr</v>
      </c>
      <c r="R300" s="42" t="str">
        <f>RIGHT(L300,3)</f>
        <v>ing</v>
      </c>
      <c r="S300" s="42">
        <f>LEN(L300)</f>
        <v>6</v>
      </c>
      <c r="T300" s="3" t="str">
        <f>A300&amp;"|"&amp;B300&amp;"|"&amp;F300</f>
        <v>299|13-01-2011|21</v>
      </c>
      <c r="U300" s="3">
        <f t="shared" si="16"/>
        <v>610</v>
      </c>
      <c r="V300" s="3">
        <f t="shared" si="17"/>
        <v>120.10000000000005</v>
      </c>
      <c r="W300" s="50">
        <f t="shared" si="18"/>
        <v>8.1303845032683911E-2</v>
      </c>
      <c r="X300" s="50">
        <f t="shared" si="19"/>
        <v>0.16514794964716251</v>
      </c>
    </row>
    <row r="301" spans="1:24" x14ac:dyDescent="0.2">
      <c r="A301" s="4">
        <v>300</v>
      </c>
      <c r="B301" s="4" t="s">
        <v>27</v>
      </c>
      <c r="C301" s="4">
        <v>1</v>
      </c>
      <c r="D301" s="4">
        <v>0</v>
      </c>
      <c r="E301" s="4">
        <v>1</v>
      </c>
      <c r="F301" s="4">
        <v>22</v>
      </c>
      <c r="G301" s="4" t="b">
        <v>0</v>
      </c>
      <c r="H301" s="4">
        <v>4</v>
      </c>
      <c r="I301" s="4">
        <v>1</v>
      </c>
      <c r="J301" s="4">
        <v>0.14000000000000001</v>
      </c>
      <c r="K301" s="6" t="str">
        <f>IF(H301=0,"weekend",IF(H301=6,"weekend","weekend"))</f>
        <v>weekend</v>
      </c>
      <c r="L301" s="3" t="str">
        <f>IF(C301=1,"Spring",IF(C301=2,"Summer",IF(C301=3,"Fall","Winter")))</f>
        <v>Spring</v>
      </c>
      <c r="M301" s="3">
        <f>SUM(J301:J325)</f>
        <v>3.9600000000000009</v>
      </c>
      <c r="N301" s="3">
        <f>AVERAGE(J301:J910)</f>
        <v>0.18649517684887448</v>
      </c>
      <c r="O301" s="3">
        <f>COUNT(J301:J910)</f>
        <v>311</v>
      </c>
      <c r="P301" s="3" t="str">
        <f>TEXT(J301,"0.00")</f>
        <v>0.14</v>
      </c>
      <c r="Q301" s="3" t="str">
        <f>LEFT(L301,3)</f>
        <v>Spr</v>
      </c>
      <c r="R301" s="42" t="str">
        <f>RIGHT(L301,3)</f>
        <v>ing</v>
      </c>
      <c r="S301" s="42">
        <f>LEN(L301)</f>
        <v>6</v>
      </c>
      <c r="T301" s="3" t="str">
        <f>A301&amp;"|"&amp;B301&amp;"|"&amp;F301</f>
        <v>300|13-01-2011|22</v>
      </c>
      <c r="U301" s="3">
        <f t="shared" si="16"/>
        <v>610</v>
      </c>
      <c r="V301" s="3">
        <f t="shared" si="17"/>
        <v>120.10000000000005</v>
      </c>
      <c r="W301" s="50">
        <f t="shared" si="18"/>
        <v>8.1303845032683911E-2</v>
      </c>
      <c r="X301" s="50">
        <f t="shared" si="19"/>
        <v>0.16514794964716251</v>
      </c>
    </row>
    <row r="302" spans="1:24" x14ac:dyDescent="0.2">
      <c r="A302" s="4">
        <v>301</v>
      </c>
      <c r="B302" s="4" t="s">
        <v>27</v>
      </c>
      <c r="C302" s="4">
        <v>1</v>
      </c>
      <c r="D302" s="4">
        <v>0</v>
      </c>
      <c r="E302" s="4">
        <v>1</v>
      </c>
      <c r="F302" s="4">
        <v>23</v>
      </c>
      <c r="G302" s="4" t="b">
        <v>0</v>
      </c>
      <c r="H302" s="4">
        <v>4</v>
      </c>
      <c r="I302" s="4">
        <v>1</v>
      </c>
      <c r="J302" s="4">
        <v>0.12</v>
      </c>
      <c r="K302" s="6" t="str">
        <f>IF(H302=0,"weekend",IF(H302=6,"weekend","weekend"))</f>
        <v>weekend</v>
      </c>
      <c r="L302" s="3" t="str">
        <f>IF(C302=1,"Spring",IF(C302=2,"Summer",IF(C302=3,"Fall","Winter")))</f>
        <v>Spring</v>
      </c>
      <c r="M302" s="3">
        <f>SUM(J302:J326)</f>
        <v>4.0000000000000009</v>
      </c>
      <c r="N302" s="3">
        <f>AVERAGE(J302:J911)</f>
        <v>0.18664516129032246</v>
      </c>
      <c r="O302" s="3">
        <f>COUNT(J302:J911)</f>
        <v>310</v>
      </c>
      <c r="P302" s="3" t="str">
        <f>TEXT(J302,"0.00")</f>
        <v>0.12</v>
      </c>
      <c r="Q302" s="3" t="str">
        <f>LEFT(L302,3)</f>
        <v>Spr</v>
      </c>
      <c r="R302" s="42" t="str">
        <f>RIGHT(L302,3)</f>
        <v>ing</v>
      </c>
      <c r="S302" s="42">
        <f>LEN(L302)</f>
        <v>6</v>
      </c>
      <c r="T302" s="3" t="str">
        <f>A302&amp;"|"&amp;B302&amp;"|"&amp;F302</f>
        <v>301|13-01-2011|23</v>
      </c>
      <c r="U302" s="3">
        <f t="shared" si="16"/>
        <v>610</v>
      </c>
      <c r="V302" s="3">
        <f t="shared" si="17"/>
        <v>120.10000000000005</v>
      </c>
      <c r="W302" s="50">
        <f t="shared" si="18"/>
        <v>8.1303845032683911E-2</v>
      </c>
      <c r="X302" s="50">
        <f t="shared" si="19"/>
        <v>0.16514794964716251</v>
      </c>
    </row>
    <row r="303" spans="1:24" x14ac:dyDescent="0.2">
      <c r="A303" s="4">
        <v>302</v>
      </c>
      <c r="B303" s="4" t="s">
        <v>28</v>
      </c>
      <c r="C303" s="4">
        <v>1</v>
      </c>
      <c r="D303" s="4">
        <v>0</v>
      </c>
      <c r="E303" s="4">
        <v>1</v>
      </c>
      <c r="F303" s="4">
        <v>0</v>
      </c>
      <c r="G303" s="4" t="b">
        <v>0</v>
      </c>
      <c r="H303" s="4">
        <v>5</v>
      </c>
      <c r="I303" s="4">
        <v>1</v>
      </c>
      <c r="J303" s="4">
        <v>0.12</v>
      </c>
      <c r="K303" s="6" t="str">
        <f>IF(H303=0,"weekend",IF(H303=6,"weekend","weekend"))</f>
        <v>weekend</v>
      </c>
      <c r="L303" s="3" t="str">
        <f>IF(C303=1,"Spring",IF(C303=2,"Summer",IF(C303=3,"Fall","Winter")))</f>
        <v>Spring</v>
      </c>
      <c r="M303" s="3">
        <f>SUM(J303:J327)</f>
        <v>4.0400000000000009</v>
      </c>
      <c r="N303" s="3">
        <f>AVERAGE(J303:J912)</f>
        <v>0.1868608414239481</v>
      </c>
      <c r="O303" s="3">
        <f>COUNT(J303:J912)</f>
        <v>309</v>
      </c>
      <c r="P303" s="3" t="str">
        <f>TEXT(J303,"0.00")</f>
        <v>0.12</v>
      </c>
      <c r="Q303" s="3" t="str">
        <f>LEFT(L303,3)</f>
        <v>Spr</v>
      </c>
      <c r="R303" s="42" t="str">
        <f>RIGHT(L303,3)</f>
        <v>ing</v>
      </c>
      <c r="S303" s="42">
        <f>LEN(L303)</f>
        <v>6</v>
      </c>
      <c r="T303" s="3" t="str">
        <f>A303&amp;"|"&amp;B303&amp;"|"&amp;F303</f>
        <v>302|14-01-2011|0</v>
      </c>
      <c r="U303" s="3">
        <f t="shared" si="16"/>
        <v>610</v>
      </c>
      <c r="V303" s="3">
        <f t="shared" si="17"/>
        <v>120.10000000000005</v>
      </c>
      <c r="W303" s="50">
        <f t="shared" si="18"/>
        <v>8.1303845032683911E-2</v>
      </c>
      <c r="X303" s="50">
        <f t="shared" si="19"/>
        <v>0.16514794964716251</v>
      </c>
    </row>
    <row r="304" spans="1:24" x14ac:dyDescent="0.2">
      <c r="A304" s="4">
        <v>303</v>
      </c>
      <c r="B304" s="4" t="s">
        <v>28</v>
      </c>
      <c r="C304" s="4">
        <v>1</v>
      </c>
      <c r="D304" s="4">
        <v>0</v>
      </c>
      <c r="E304" s="4">
        <v>1</v>
      </c>
      <c r="F304" s="4">
        <v>1</v>
      </c>
      <c r="G304" s="4" t="b">
        <v>0</v>
      </c>
      <c r="H304" s="4">
        <v>5</v>
      </c>
      <c r="I304" s="4">
        <v>1</v>
      </c>
      <c r="J304" s="4">
        <v>0.1</v>
      </c>
      <c r="K304" s="6" t="str">
        <f>IF(H304=0,"weekend",IF(H304=6,"weekend","weekend"))</f>
        <v>weekend</v>
      </c>
      <c r="L304" s="3" t="str">
        <f>IF(C304=1,"Spring",IF(C304=2,"Summer",IF(C304=3,"Fall","Winter")))</f>
        <v>Spring</v>
      </c>
      <c r="M304" s="3">
        <f>SUM(J304:J328)</f>
        <v>4.080000000000001</v>
      </c>
      <c r="N304" s="3">
        <f>AVERAGE(J304:J913)</f>
        <v>0.18707792207792198</v>
      </c>
      <c r="O304" s="3">
        <f>COUNT(J304:J913)</f>
        <v>308</v>
      </c>
      <c r="P304" s="3" t="str">
        <f>TEXT(J304,"0.00")</f>
        <v>0.10</v>
      </c>
      <c r="Q304" s="3" t="str">
        <f>LEFT(L304,3)</f>
        <v>Spr</v>
      </c>
      <c r="R304" s="42" t="str">
        <f>RIGHT(L304,3)</f>
        <v>ing</v>
      </c>
      <c r="S304" s="42">
        <f>LEN(L304)</f>
        <v>6</v>
      </c>
      <c r="T304" s="3" t="str">
        <f>A304&amp;"|"&amp;B304&amp;"|"&amp;F304</f>
        <v>303|14-01-2011|1</v>
      </c>
      <c r="U304" s="3">
        <f t="shared" si="16"/>
        <v>610</v>
      </c>
      <c r="V304" s="3">
        <f t="shared" si="17"/>
        <v>120.10000000000005</v>
      </c>
      <c r="W304" s="50">
        <f t="shared" si="18"/>
        <v>8.1303845032683911E-2</v>
      </c>
      <c r="X304" s="50">
        <f t="shared" si="19"/>
        <v>0.16514794964716251</v>
      </c>
    </row>
    <row r="305" spans="1:24" x14ac:dyDescent="0.2">
      <c r="A305" s="4">
        <v>304</v>
      </c>
      <c r="B305" s="4" t="s">
        <v>28</v>
      </c>
      <c r="C305" s="4">
        <v>1</v>
      </c>
      <c r="D305" s="4">
        <v>0</v>
      </c>
      <c r="E305" s="4">
        <v>1</v>
      </c>
      <c r="F305" s="4">
        <v>2</v>
      </c>
      <c r="G305" s="4" t="b">
        <v>0</v>
      </c>
      <c r="H305" s="4">
        <v>5</v>
      </c>
      <c r="I305" s="4">
        <v>1</v>
      </c>
      <c r="J305" s="4">
        <v>0.1</v>
      </c>
      <c r="K305" s="6" t="str">
        <f>IF(H305=0,"weekend",IF(H305=6,"weekend","weekend"))</f>
        <v>weekend</v>
      </c>
      <c r="L305" s="3" t="str">
        <f>IF(C305=1,"Spring",IF(C305=2,"Summer",IF(C305=3,"Fall","Winter")))</f>
        <v>Spring</v>
      </c>
      <c r="M305" s="3">
        <f>SUM(J305:J329)</f>
        <v>4.1400000000000015</v>
      </c>
      <c r="N305" s="3">
        <f>AVERAGE(J305:J914)</f>
        <v>0.18736156351791519</v>
      </c>
      <c r="O305" s="3">
        <f>COUNT(J305:J914)</f>
        <v>307</v>
      </c>
      <c r="P305" s="3" t="str">
        <f>TEXT(J305,"0.00")</f>
        <v>0.10</v>
      </c>
      <c r="Q305" s="3" t="str">
        <f>LEFT(L305,3)</f>
        <v>Spr</v>
      </c>
      <c r="R305" s="42" t="str">
        <f>RIGHT(L305,3)</f>
        <v>ing</v>
      </c>
      <c r="S305" s="42">
        <f>LEN(L305)</f>
        <v>6</v>
      </c>
      <c r="T305" s="3" t="str">
        <f>A305&amp;"|"&amp;B305&amp;"|"&amp;F305</f>
        <v>304|14-01-2011|2</v>
      </c>
      <c r="U305" s="3">
        <f t="shared" si="16"/>
        <v>610</v>
      </c>
      <c r="V305" s="3">
        <f t="shared" si="17"/>
        <v>120.10000000000005</v>
      </c>
      <c r="W305" s="50">
        <f t="shared" si="18"/>
        <v>8.1303845032683911E-2</v>
      </c>
      <c r="X305" s="50">
        <f t="shared" si="19"/>
        <v>0.16514794964716251</v>
      </c>
    </row>
    <row r="306" spans="1:24" x14ac:dyDescent="0.2">
      <c r="A306" s="4">
        <v>305</v>
      </c>
      <c r="B306" s="4" t="s">
        <v>28</v>
      </c>
      <c r="C306" s="4">
        <v>1</v>
      </c>
      <c r="D306" s="4">
        <v>0</v>
      </c>
      <c r="E306" s="4">
        <v>1</v>
      </c>
      <c r="F306" s="4">
        <v>3</v>
      </c>
      <c r="G306" s="4" t="b">
        <v>0</v>
      </c>
      <c r="H306" s="4">
        <v>5</v>
      </c>
      <c r="I306" s="4">
        <v>1</v>
      </c>
      <c r="J306" s="4">
        <v>0.1</v>
      </c>
      <c r="K306" s="6" t="str">
        <f>IF(H306=0,"weekend",IF(H306=6,"weekend","weekend"))</f>
        <v>weekend</v>
      </c>
      <c r="L306" s="3" t="str">
        <f>IF(C306=1,"Spring",IF(C306=2,"Summer",IF(C306=3,"Fall","Winter")))</f>
        <v>Spring</v>
      </c>
      <c r="M306" s="3">
        <f>SUM(J306:J330)</f>
        <v>4.200000000000002</v>
      </c>
      <c r="N306" s="3">
        <f>AVERAGE(J306:J915)</f>
        <v>0.18764705882352931</v>
      </c>
      <c r="O306" s="3">
        <f>COUNT(J306:J915)</f>
        <v>306</v>
      </c>
      <c r="P306" s="3" t="str">
        <f>TEXT(J306,"0.00")</f>
        <v>0.10</v>
      </c>
      <c r="Q306" s="3" t="str">
        <f>LEFT(L306,3)</f>
        <v>Spr</v>
      </c>
      <c r="R306" s="42" t="str">
        <f>RIGHT(L306,3)</f>
        <v>ing</v>
      </c>
      <c r="S306" s="42">
        <f>LEN(L306)</f>
        <v>6</v>
      </c>
      <c r="T306" s="3" t="str">
        <f>A306&amp;"|"&amp;B306&amp;"|"&amp;F306</f>
        <v>305|14-01-2011|3</v>
      </c>
      <c r="U306" s="3">
        <f t="shared" si="16"/>
        <v>610</v>
      </c>
      <c r="V306" s="3">
        <f t="shared" si="17"/>
        <v>120.10000000000005</v>
      </c>
      <c r="W306" s="50">
        <f t="shared" si="18"/>
        <v>8.1303845032683911E-2</v>
      </c>
      <c r="X306" s="50">
        <f t="shared" si="19"/>
        <v>0.16514794964716251</v>
      </c>
    </row>
    <row r="307" spans="1:24" x14ac:dyDescent="0.2">
      <c r="A307" s="4">
        <v>306</v>
      </c>
      <c r="B307" s="4" t="s">
        <v>28</v>
      </c>
      <c r="C307" s="4">
        <v>1</v>
      </c>
      <c r="D307" s="4">
        <v>0</v>
      </c>
      <c r="E307" s="4">
        <v>1</v>
      </c>
      <c r="F307" s="4">
        <v>5</v>
      </c>
      <c r="G307" s="4" t="b">
        <v>0</v>
      </c>
      <c r="H307" s="4">
        <v>5</v>
      </c>
      <c r="I307" s="4">
        <v>1</v>
      </c>
      <c r="J307" s="4">
        <v>0.1</v>
      </c>
      <c r="K307" s="6" t="str">
        <f>IF(H307=0,"weekend",IF(H307=6,"weekend","weekend"))</f>
        <v>weekend</v>
      </c>
      <c r="L307" s="3" t="str">
        <f>IF(C307=1,"Spring",IF(C307=2,"Summer",IF(C307=3,"Fall","Winter")))</f>
        <v>Spring</v>
      </c>
      <c r="M307" s="3">
        <f>SUM(J307:J331)</f>
        <v>4.2600000000000016</v>
      </c>
      <c r="N307" s="3">
        <f>AVERAGE(J307:J916)</f>
        <v>0.18793442622950809</v>
      </c>
      <c r="O307" s="3">
        <f>COUNT(J307:J916)</f>
        <v>305</v>
      </c>
      <c r="P307" s="3" t="str">
        <f>TEXT(J307,"0.00")</f>
        <v>0.10</v>
      </c>
      <c r="Q307" s="3" t="str">
        <f>LEFT(L307,3)</f>
        <v>Spr</v>
      </c>
      <c r="R307" s="42" t="str">
        <f>RIGHT(L307,3)</f>
        <v>ing</v>
      </c>
      <c r="S307" s="42">
        <f>LEN(L307)</f>
        <v>6</v>
      </c>
      <c r="T307" s="3" t="str">
        <f>A307&amp;"|"&amp;B307&amp;"|"&amp;F307</f>
        <v>306|14-01-2011|5</v>
      </c>
      <c r="U307" s="3">
        <f t="shared" si="16"/>
        <v>610</v>
      </c>
      <c r="V307" s="3">
        <f t="shared" si="17"/>
        <v>120.10000000000005</v>
      </c>
      <c r="W307" s="50">
        <f t="shared" si="18"/>
        <v>8.1303845032683911E-2</v>
      </c>
      <c r="X307" s="50">
        <f t="shared" si="19"/>
        <v>0.16514794964716251</v>
      </c>
    </row>
    <row r="308" spans="1:24" x14ac:dyDescent="0.2">
      <c r="A308" s="4">
        <v>307</v>
      </c>
      <c r="B308" s="4" t="s">
        <v>28</v>
      </c>
      <c r="C308" s="4">
        <v>1</v>
      </c>
      <c r="D308" s="4">
        <v>0</v>
      </c>
      <c r="E308" s="4">
        <v>1</v>
      </c>
      <c r="F308" s="4">
        <v>6</v>
      </c>
      <c r="G308" s="4" t="b">
        <v>0</v>
      </c>
      <c r="H308" s="4">
        <v>5</v>
      </c>
      <c r="I308" s="4">
        <v>1</v>
      </c>
      <c r="J308" s="4">
        <v>0.1</v>
      </c>
      <c r="K308" s="6" t="str">
        <f>IF(H308=0,"weekend",IF(H308=6,"weekend","weekend"))</f>
        <v>weekend</v>
      </c>
      <c r="L308" s="3" t="str">
        <f>IF(C308=1,"Spring",IF(C308=2,"Summer",IF(C308=3,"Fall","Winter")))</f>
        <v>Spring</v>
      </c>
      <c r="M308" s="3">
        <f>SUM(J308:J332)</f>
        <v>4.3000000000000016</v>
      </c>
      <c r="N308" s="3">
        <f>AVERAGE(J308:J917)</f>
        <v>0.18822368421052618</v>
      </c>
      <c r="O308" s="3">
        <f>COUNT(J308:J917)</f>
        <v>304</v>
      </c>
      <c r="P308" s="3" t="str">
        <f>TEXT(J308,"0.00")</f>
        <v>0.10</v>
      </c>
      <c r="Q308" s="3" t="str">
        <f>LEFT(L308,3)</f>
        <v>Spr</v>
      </c>
      <c r="R308" s="42" t="str">
        <f>RIGHT(L308,3)</f>
        <v>ing</v>
      </c>
      <c r="S308" s="42">
        <f>LEN(L308)</f>
        <v>6</v>
      </c>
      <c r="T308" s="3" t="str">
        <f>A308&amp;"|"&amp;B308&amp;"|"&amp;F308</f>
        <v>307|14-01-2011|6</v>
      </c>
      <c r="U308" s="3">
        <f t="shared" si="16"/>
        <v>610</v>
      </c>
      <c r="V308" s="3">
        <f t="shared" si="17"/>
        <v>120.10000000000005</v>
      </c>
      <c r="W308" s="50">
        <f t="shared" si="18"/>
        <v>8.1303845032683911E-2</v>
      </c>
      <c r="X308" s="50">
        <f t="shared" si="19"/>
        <v>0.16514794964716251</v>
      </c>
    </row>
    <row r="309" spans="1:24" x14ac:dyDescent="0.2">
      <c r="A309" s="4">
        <v>308</v>
      </c>
      <c r="B309" s="4" t="s">
        <v>28</v>
      </c>
      <c r="C309" s="4">
        <v>1</v>
      </c>
      <c r="D309" s="4">
        <v>0</v>
      </c>
      <c r="E309" s="4">
        <v>1</v>
      </c>
      <c r="F309" s="4">
        <v>7</v>
      </c>
      <c r="G309" s="4" t="b">
        <v>0</v>
      </c>
      <c r="H309" s="4">
        <v>5</v>
      </c>
      <c r="I309" s="4">
        <v>1</v>
      </c>
      <c r="J309" s="4">
        <v>0.1</v>
      </c>
      <c r="K309" s="6" t="str">
        <f>IF(H309=0,"weekend",IF(H309=6,"weekend","weekend"))</f>
        <v>weekend</v>
      </c>
      <c r="L309" s="3" t="str">
        <f>IF(C309=1,"Spring",IF(C309=2,"Summer",IF(C309=3,"Fall","Winter")))</f>
        <v>Spring</v>
      </c>
      <c r="M309" s="3">
        <f>SUM(J309:J333)</f>
        <v>4.3400000000000007</v>
      </c>
      <c r="N309" s="3">
        <f>AVERAGE(J309:J918)</f>
        <v>0.1885148514851484</v>
      </c>
      <c r="O309" s="3">
        <f>COUNT(J309:J918)</f>
        <v>303</v>
      </c>
      <c r="P309" s="3" t="str">
        <f>TEXT(J309,"0.00")</f>
        <v>0.10</v>
      </c>
      <c r="Q309" s="3" t="str">
        <f>LEFT(L309,3)</f>
        <v>Spr</v>
      </c>
      <c r="R309" s="42" t="str">
        <f>RIGHT(L309,3)</f>
        <v>ing</v>
      </c>
      <c r="S309" s="42">
        <f>LEN(L309)</f>
        <v>6</v>
      </c>
      <c r="T309" s="3" t="str">
        <f>A309&amp;"|"&amp;B309&amp;"|"&amp;F309</f>
        <v>308|14-01-2011|7</v>
      </c>
      <c r="U309" s="3">
        <f t="shared" si="16"/>
        <v>610</v>
      </c>
      <c r="V309" s="3">
        <f t="shared" si="17"/>
        <v>120.10000000000005</v>
      </c>
      <c r="W309" s="50">
        <f t="shared" si="18"/>
        <v>8.1303845032683911E-2</v>
      </c>
      <c r="X309" s="50">
        <f t="shared" si="19"/>
        <v>0.16514794964716251</v>
      </c>
    </row>
    <row r="310" spans="1:24" x14ac:dyDescent="0.2">
      <c r="A310" s="4">
        <v>309</v>
      </c>
      <c r="B310" s="4" t="s">
        <v>28</v>
      </c>
      <c r="C310" s="4">
        <v>1</v>
      </c>
      <c r="D310" s="4">
        <v>0</v>
      </c>
      <c r="E310" s="4">
        <v>1</v>
      </c>
      <c r="F310" s="4">
        <v>8</v>
      </c>
      <c r="G310" s="4" t="b">
        <v>0</v>
      </c>
      <c r="H310" s="4">
        <v>5</v>
      </c>
      <c r="I310" s="4">
        <v>1</v>
      </c>
      <c r="J310" s="4">
        <v>0.12</v>
      </c>
      <c r="K310" s="6" t="str">
        <f>IF(H310=0,"weekend",IF(H310=6,"weekend","weekend"))</f>
        <v>weekend</v>
      </c>
      <c r="L310" s="3" t="str">
        <f>IF(C310=1,"Spring",IF(C310=2,"Summer",IF(C310=3,"Fall","Winter")))</f>
        <v>Spring</v>
      </c>
      <c r="M310" s="3">
        <f>SUM(J310:J334)</f>
        <v>4.3800000000000008</v>
      </c>
      <c r="N310" s="3">
        <f>AVERAGE(J310:J919)</f>
        <v>0.18880794701986744</v>
      </c>
      <c r="O310" s="3">
        <f>COUNT(J310:J919)</f>
        <v>302</v>
      </c>
      <c r="P310" s="3" t="str">
        <f>TEXT(J310,"0.00")</f>
        <v>0.12</v>
      </c>
      <c r="Q310" s="3" t="str">
        <f>LEFT(L310,3)</f>
        <v>Spr</v>
      </c>
      <c r="R310" s="42" t="str">
        <f>RIGHT(L310,3)</f>
        <v>ing</v>
      </c>
      <c r="S310" s="42">
        <f>LEN(L310)</f>
        <v>6</v>
      </c>
      <c r="T310" s="3" t="str">
        <f>A310&amp;"|"&amp;B310&amp;"|"&amp;F310</f>
        <v>309|14-01-2011|8</v>
      </c>
      <c r="U310" s="3">
        <f t="shared" si="16"/>
        <v>610</v>
      </c>
      <c r="V310" s="3">
        <f t="shared" si="17"/>
        <v>120.10000000000005</v>
      </c>
      <c r="W310" s="50">
        <f t="shared" si="18"/>
        <v>8.1303845032683911E-2</v>
      </c>
      <c r="X310" s="50">
        <f t="shared" si="19"/>
        <v>0.16514794964716251</v>
      </c>
    </row>
    <row r="311" spans="1:24" x14ac:dyDescent="0.2">
      <c r="A311" s="4">
        <v>310</v>
      </c>
      <c r="B311" s="4" t="s">
        <v>28</v>
      </c>
      <c r="C311" s="4">
        <v>1</v>
      </c>
      <c r="D311" s="4">
        <v>0</v>
      </c>
      <c r="E311" s="4">
        <v>1</v>
      </c>
      <c r="F311" s="4">
        <v>9</v>
      </c>
      <c r="G311" s="4" t="b">
        <v>0</v>
      </c>
      <c r="H311" s="4">
        <v>5</v>
      </c>
      <c r="I311" s="4">
        <v>1</v>
      </c>
      <c r="J311" s="4">
        <v>0.14000000000000001</v>
      </c>
      <c r="K311" s="6" t="str">
        <f>IF(H311=0,"weekend",IF(H311=6,"weekend","weekend"))</f>
        <v>weekend</v>
      </c>
      <c r="L311" s="3" t="str">
        <f>IF(C311=1,"Spring",IF(C311=2,"Summer",IF(C311=3,"Fall","Winter")))</f>
        <v>Spring</v>
      </c>
      <c r="M311" s="3">
        <f>SUM(J311:J335)</f>
        <v>4.4200000000000017</v>
      </c>
      <c r="N311" s="3">
        <f>AVERAGE(J311:J920)</f>
        <v>0.18903654485049823</v>
      </c>
      <c r="O311" s="3">
        <f>COUNT(J311:J920)</f>
        <v>301</v>
      </c>
      <c r="P311" s="3" t="str">
        <f>TEXT(J311,"0.00")</f>
        <v>0.14</v>
      </c>
      <c r="Q311" s="3" t="str">
        <f>LEFT(L311,3)</f>
        <v>Spr</v>
      </c>
      <c r="R311" s="42" t="str">
        <f>RIGHT(L311,3)</f>
        <v>ing</v>
      </c>
      <c r="S311" s="42">
        <f>LEN(L311)</f>
        <v>6</v>
      </c>
      <c r="T311" s="3" t="str">
        <f>A311&amp;"|"&amp;B311&amp;"|"&amp;F311</f>
        <v>310|14-01-2011|9</v>
      </c>
      <c r="U311" s="3">
        <f t="shared" si="16"/>
        <v>610</v>
      </c>
      <c r="V311" s="3">
        <f t="shared" si="17"/>
        <v>120.10000000000005</v>
      </c>
      <c r="W311" s="50">
        <f t="shared" si="18"/>
        <v>8.1303845032683911E-2</v>
      </c>
      <c r="X311" s="50">
        <f t="shared" si="19"/>
        <v>0.16514794964716251</v>
      </c>
    </row>
    <row r="312" spans="1:24" x14ac:dyDescent="0.2">
      <c r="A312" s="4">
        <v>311</v>
      </c>
      <c r="B312" s="4" t="s">
        <v>28</v>
      </c>
      <c r="C312" s="4">
        <v>1</v>
      </c>
      <c r="D312" s="4">
        <v>0</v>
      </c>
      <c r="E312" s="4">
        <v>1</v>
      </c>
      <c r="F312" s="4">
        <v>10</v>
      </c>
      <c r="G312" s="4" t="b">
        <v>0</v>
      </c>
      <c r="H312" s="4">
        <v>5</v>
      </c>
      <c r="I312" s="4">
        <v>1</v>
      </c>
      <c r="J312" s="4">
        <v>0.18</v>
      </c>
      <c r="K312" s="6" t="str">
        <f>IF(H312=0,"weekend",IF(H312=6,"weekend","weekend"))</f>
        <v>weekend</v>
      </c>
      <c r="L312" s="3" t="str">
        <f>IF(C312=1,"Spring",IF(C312=2,"Summer",IF(C312=3,"Fall","Winter")))</f>
        <v>Spring</v>
      </c>
      <c r="M312" s="3">
        <f>SUM(J312:J336)</f>
        <v>4.4600000000000017</v>
      </c>
      <c r="N312" s="3">
        <f>AVERAGE(J312:J921)</f>
        <v>0.18919999999999992</v>
      </c>
      <c r="O312" s="3">
        <f>COUNT(J312:J921)</f>
        <v>300</v>
      </c>
      <c r="P312" s="3" t="str">
        <f>TEXT(J312,"0.00")</f>
        <v>0.18</v>
      </c>
      <c r="Q312" s="3" t="str">
        <f>LEFT(L312,3)</f>
        <v>Spr</v>
      </c>
      <c r="R312" s="42" t="str">
        <f>RIGHT(L312,3)</f>
        <v>ing</v>
      </c>
      <c r="S312" s="42">
        <f>LEN(L312)</f>
        <v>6</v>
      </c>
      <c r="T312" s="3" t="str">
        <f>A312&amp;"|"&amp;B312&amp;"|"&amp;F312</f>
        <v>311|14-01-2011|10</v>
      </c>
      <c r="U312" s="3">
        <f t="shared" si="16"/>
        <v>610</v>
      </c>
      <c r="V312" s="3">
        <f t="shared" si="17"/>
        <v>120.10000000000005</v>
      </c>
      <c r="W312" s="50">
        <f t="shared" si="18"/>
        <v>8.1303845032683911E-2</v>
      </c>
      <c r="X312" s="50">
        <f t="shared" si="19"/>
        <v>0.16514794964716251</v>
      </c>
    </row>
    <row r="313" spans="1:24" x14ac:dyDescent="0.2">
      <c r="A313" s="4">
        <v>312</v>
      </c>
      <c r="B313" s="4" t="s">
        <v>28</v>
      </c>
      <c r="C313" s="4">
        <v>1</v>
      </c>
      <c r="D313" s="4">
        <v>0</v>
      </c>
      <c r="E313" s="4">
        <v>1</v>
      </c>
      <c r="F313" s="4">
        <v>11</v>
      </c>
      <c r="G313" s="4" t="b">
        <v>0</v>
      </c>
      <c r="H313" s="4">
        <v>5</v>
      </c>
      <c r="I313" s="4">
        <v>1</v>
      </c>
      <c r="J313" s="4">
        <v>0.18</v>
      </c>
      <c r="K313" s="6" t="str">
        <f>IF(H313=0,"weekend",IF(H313=6,"weekend","weekend"))</f>
        <v>weekend</v>
      </c>
      <c r="L313" s="3" t="str">
        <f>IF(C313=1,"Spring",IF(C313=2,"Summer",IF(C313=3,"Fall","Winter")))</f>
        <v>Spring</v>
      </c>
      <c r="M313" s="3">
        <f>SUM(J313:J337)</f>
        <v>4.4800000000000013</v>
      </c>
      <c r="N313" s="3">
        <f>AVERAGE(J313:J922)</f>
        <v>0.18923076923076915</v>
      </c>
      <c r="O313" s="3">
        <f>COUNT(J313:J922)</f>
        <v>299</v>
      </c>
      <c r="P313" s="3" t="str">
        <f>TEXT(J313,"0.00")</f>
        <v>0.18</v>
      </c>
      <c r="Q313" s="3" t="str">
        <f>LEFT(L313,3)</f>
        <v>Spr</v>
      </c>
      <c r="R313" s="42" t="str">
        <f>RIGHT(L313,3)</f>
        <v>ing</v>
      </c>
      <c r="S313" s="42">
        <f>LEN(L313)</f>
        <v>6</v>
      </c>
      <c r="T313" s="3" t="str">
        <f>A313&amp;"|"&amp;B313&amp;"|"&amp;F313</f>
        <v>312|14-01-2011|11</v>
      </c>
      <c r="U313" s="3">
        <f t="shared" si="16"/>
        <v>610</v>
      </c>
      <c r="V313" s="3">
        <f t="shared" si="17"/>
        <v>120.10000000000005</v>
      </c>
      <c r="W313" s="50">
        <f t="shared" si="18"/>
        <v>8.1303845032683911E-2</v>
      </c>
      <c r="X313" s="50">
        <f t="shared" si="19"/>
        <v>0.16514794964716251</v>
      </c>
    </row>
    <row r="314" spans="1:24" x14ac:dyDescent="0.2">
      <c r="A314" s="4">
        <v>313</v>
      </c>
      <c r="B314" s="4" t="s">
        <v>28</v>
      </c>
      <c r="C314" s="4">
        <v>1</v>
      </c>
      <c r="D314" s="4">
        <v>0</v>
      </c>
      <c r="E314" s="4">
        <v>1</v>
      </c>
      <c r="F314" s="4">
        <v>12</v>
      </c>
      <c r="G314" s="4" t="b">
        <v>0</v>
      </c>
      <c r="H314" s="4">
        <v>5</v>
      </c>
      <c r="I314" s="4">
        <v>1</v>
      </c>
      <c r="J314" s="4">
        <v>0.2</v>
      </c>
      <c r="K314" s="6" t="str">
        <f>IF(H314=0,"weekend",IF(H314=6,"weekend","weekend"))</f>
        <v>weekend</v>
      </c>
      <c r="L314" s="3" t="str">
        <f>IF(C314=1,"Spring",IF(C314=2,"Summer",IF(C314=3,"Fall","Winter")))</f>
        <v>Spring</v>
      </c>
      <c r="M314" s="3">
        <f>SUM(J314:J338)</f>
        <v>4.5400000000000018</v>
      </c>
      <c r="N314" s="3">
        <f>AVERAGE(J314:J923)</f>
        <v>0.18926174496644288</v>
      </c>
      <c r="O314" s="3">
        <f>COUNT(J314:J923)</f>
        <v>298</v>
      </c>
      <c r="P314" s="3" t="str">
        <f>TEXT(J314,"0.00")</f>
        <v>0.20</v>
      </c>
      <c r="Q314" s="3" t="str">
        <f>LEFT(L314,3)</f>
        <v>Spr</v>
      </c>
      <c r="R314" s="42" t="str">
        <f>RIGHT(L314,3)</f>
        <v>ing</v>
      </c>
      <c r="S314" s="42">
        <f>LEN(L314)</f>
        <v>6</v>
      </c>
      <c r="T314" s="3" t="str">
        <f>A314&amp;"|"&amp;B314&amp;"|"&amp;F314</f>
        <v>313|14-01-2011|12</v>
      </c>
      <c r="U314" s="3">
        <f t="shared" si="16"/>
        <v>610</v>
      </c>
      <c r="V314" s="3">
        <f t="shared" si="17"/>
        <v>120.10000000000005</v>
      </c>
      <c r="W314" s="50">
        <f t="shared" si="18"/>
        <v>8.1303845032683911E-2</v>
      </c>
      <c r="X314" s="50">
        <f t="shared" si="19"/>
        <v>0.16514794964716251</v>
      </c>
    </row>
    <row r="315" spans="1:24" x14ac:dyDescent="0.2">
      <c r="A315" s="4">
        <v>314</v>
      </c>
      <c r="B315" s="4" t="s">
        <v>28</v>
      </c>
      <c r="C315" s="4">
        <v>1</v>
      </c>
      <c r="D315" s="4">
        <v>0</v>
      </c>
      <c r="E315" s="4">
        <v>1</v>
      </c>
      <c r="F315" s="4">
        <v>13</v>
      </c>
      <c r="G315" s="4" t="b">
        <v>0</v>
      </c>
      <c r="H315" s="4">
        <v>5</v>
      </c>
      <c r="I315" s="4">
        <v>1</v>
      </c>
      <c r="J315" s="4">
        <v>0.22</v>
      </c>
      <c r="K315" s="6" t="str">
        <f>IF(H315=0,"weekend",IF(H315=6,"weekend","weekend"))</f>
        <v>weekend</v>
      </c>
      <c r="L315" s="3" t="str">
        <f>IF(C315=1,"Spring",IF(C315=2,"Summer",IF(C315=3,"Fall","Winter")))</f>
        <v>Spring</v>
      </c>
      <c r="M315" s="3">
        <f>SUM(J315:J339)</f>
        <v>4.6200000000000019</v>
      </c>
      <c r="N315" s="3">
        <f>AVERAGE(J315:J924)</f>
        <v>0.18922558922558916</v>
      </c>
      <c r="O315" s="3">
        <f>COUNT(J315:J924)</f>
        <v>297</v>
      </c>
      <c r="P315" s="3" t="str">
        <f>TEXT(J315,"0.00")</f>
        <v>0.22</v>
      </c>
      <c r="Q315" s="3" t="str">
        <f>LEFT(L315,3)</f>
        <v>Spr</v>
      </c>
      <c r="R315" s="42" t="str">
        <f>RIGHT(L315,3)</f>
        <v>ing</v>
      </c>
      <c r="S315" s="42">
        <f>LEN(L315)</f>
        <v>6</v>
      </c>
      <c r="T315" s="3" t="str">
        <f>A315&amp;"|"&amp;B315&amp;"|"&amp;F315</f>
        <v>314|14-01-2011|13</v>
      </c>
      <c r="U315" s="3">
        <f t="shared" si="16"/>
        <v>610</v>
      </c>
      <c r="V315" s="3">
        <f t="shared" si="17"/>
        <v>120.10000000000005</v>
      </c>
      <c r="W315" s="50">
        <f t="shared" si="18"/>
        <v>8.1303845032683911E-2</v>
      </c>
      <c r="X315" s="50">
        <f t="shared" si="19"/>
        <v>0.16514794964716251</v>
      </c>
    </row>
    <row r="316" spans="1:24" x14ac:dyDescent="0.2">
      <c r="A316" s="4">
        <v>315</v>
      </c>
      <c r="B316" s="4" t="s">
        <v>28</v>
      </c>
      <c r="C316" s="4">
        <v>1</v>
      </c>
      <c r="D316" s="4">
        <v>0</v>
      </c>
      <c r="E316" s="4">
        <v>1</v>
      </c>
      <c r="F316" s="4">
        <v>14</v>
      </c>
      <c r="G316" s="4" t="b">
        <v>0</v>
      </c>
      <c r="H316" s="4">
        <v>5</v>
      </c>
      <c r="I316" s="4">
        <v>1</v>
      </c>
      <c r="J316" s="4">
        <v>0.22</v>
      </c>
      <c r="K316" s="6" t="str">
        <f>IF(H316=0,"weekend",IF(H316=6,"weekend","weekend"))</f>
        <v>weekend</v>
      </c>
      <c r="L316" s="3" t="str">
        <f>IF(C316=1,"Spring",IF(C316=2,"Summer",IF(C316=3,"Fall","Winter")))</f>
        <v>Spring</v>
      </c>
      <c r="M316" s="3">
        <f>SUM(J316:J340)</f>
        <v>4.7000000000000011</v>
      </c>
      <c r="N316" s="3">
        <f>AVERAGE(J316:J925)</f>
        <v>0.18912162162162155</v>
      </c>
      <c r="O316" s="3">
        <f>COUNT(J316:J925)</f>
        <v>296</v>
      </c>
      <c r="P316" s="3" t="str">
        <f>TEXT(J316,"0.00")</f>
        <v>0.22</v>
      </c>
      <c r="Q316" s="3" t="str">
        <f>LEFT(L316,3)</f>
        <v>Spr</v>
      </c>
      <c r="R316" s="42" t="str">
        <f>RIGHT(L316,3)</f>
        <v>ing</v>
      </c>
      <c r="S316" s="42">
        <f>LEN(L316)</f>
        <v>6</v>
      </c>
      <c r="T316" s="3" t="str">
        <f>A316&amp;"|"&amp;B316&amp;"|"&amp;F316</f>
        <v>315|14-01-2011|14</v>
      </c>
      <c r="U316" s="3">
        <f t="shared" si="16"/>
        <v>610</v>
      </c>
      <c r="V316" s="3">
        <f t="shared" si="17"/>
        <v>120.10000000000005</v>
      </c>
      <c r="W316" s="50">
        <f t="shared" si="18"/>
        <v>8.1303845032683911E-2</v>
      </c>
      <c r="X316" s="50">
        <f t="shared" si="19"/>
        <v>0.16514794964716251</v>
      </c>
    </row>
    <row r="317" spans="1:24" x14ac:dyDescent="0.2">
      <c r="A317" s="4">
        <v>316</v>
      </c>
      <c r="B317" s="4" t="s">
        <v>28</v>
      </c>
      <c r="C317" s="4">
        <v>1</v>
      </c>
      <c r="D317" s="4">
        <v>0</v>
      </c>
      <c r="E317" s="4">
        <v>1</v>
      </c>
      <c r="F317" s="4">
        <v>15</v>
      </c>
      <c r="G317" s="4" t="b">
        <v>0</v>
      </c>
      <c r="H317" s="4">
        <v>5</v>
      </c>
      <c r="I317" s="4">
        <v>1</v>
      </c>
      <c r="J317" s="4">
        <v>0.24</v>
      </c>
      <c r="K317" s="6" t="str">
        <f>IF(H317=0,"weekend",IF(H317=6,"weekend","weekend"))</f>
        <v>weekend</v>
      </c>
      <c r="L317" s="3" t="str">
        <f>IF(C317=1,"Spring",IF(C317=2,"Summer",IF(C317=3,"Fall","Winter")))</f>
        <v>Spring</v>
      </c>
      <c r="M317" s="3">
        <f>SUM(J317:J341)</f>
        <v>4.8000000000000016</v>
      </c>
      <c r="N317" s="3">
        <f>AVERAGE(J317:J926)</f>
        <v>0.18901694915254233</v>
      </c>
      <c r="O317" s="3">
        <f>COUNT(J317:J926)</f>
        <v>295</v>
      </c>
      <c r="P317" s="3" t="str">
        <f>TEXT(J317,"0.00")</f>
        <v>0.24</v>
      </c>
      <c r="Q317" s="3" t="str">
        <f>LEFT(L317,3)</f>
        <v>Spr</v>
      </c>
      <c r="R317" s="42" t="str">
        <f>RIGHT(L317,3)</f>
        <v>ing</v>
      </c>
      <c r="S317" s="42">
        <f>LEN(L317)</f>
        <v>6</v>
      </c>
      <c r="T317" s="3" t="str">
        <f>A317&amp;"|"&amp;B317&amp;"|"&amp;F317</f>
        <v>316|14-01-2011|15</v>
      </c>
      <c r="U317" s="3">
        <f t="shared" si="16"/>
        <v>610</v>
      </c>
      <c r="V317" s="3">
        <f t="shared" si="17"/>
        <v>120.10000000000005</v>
      </c>
      <c r="W317" s="50">
        <f t="shared" si="18"/>
        <v>8.1303845032683911E-2</v>
      </c>
      <c r="X317" s="50">
        <f t="shared" si="19"/>
        <v>0.16514794964716251</v>
      </c>
    </row>
    <row r="318" spans="1:24" x14ac:dyDescent="0.2">
      <c r="A318" s="4">
        <v>317</v>
      </c>
      <c r="B318" s="4" t="s">
        <v>28</v>
      </c>
      <c r="C318" s="4">
        <v>1</v>
      </c>
      <c r="D318" s="4">
        <v>0</v>
      </c>
      <c r="E318" s="4">
        <v>1</v>
      </c>
      <c r="F318" s="4">
        <v>16</v>
      </c>
      <c r="G318" s="4" t="b">
        <v>0</v>
      </c>
      <c r="H318" s="4">
        <v>5</v>
      </c>
      <c r="I318" s="4">
        <v>1</v>
      </c>
      <c r="J318" s="4">
        <v>0.22</v>
      </c>
      <c r="K318" s="6" t="str">
        <f>IF(H318=0,"weekend",IF(H318=6,"weekend","weekend"))</f>
        <v>weekend</v>
      </c>
      <c r="L318" s="3" t="str">
        <f>IF(C318=1,"Spring",IF(C318=2,"Summer",IF(C318=3,"Fall","Winter")))</f>
        <v>Spring</v>
      </c>
      <c r="M318" s="3">
        <f>SUM(J318:J342)</f>
        <v>4.9000000000000012</v>
      </c>
      <c r="N318" s="3">
        <f>AVERAGE(J318:J927)</f>
        <v>0.18884353741496593</v>
      </c>
      <c r="O318" s="3">
        <f>COUNT(J318:J927)</f>
        <v>294</v>
      </c>
      <c r="P318" s="3" t="str">
        <f>TEXT(J318,"0.00")</f>
        <v>0.22</v>
      </c>
      <c r="Q318" s="3" t="str">
        <f>LEFT(L318,3)</f>
        <v>Spr</v>
      </c>
      <c r="R318" s="42" t="str">
        <f>RIGHT(L318,3)</f>
        <v>ing</v>
      </c>
      <c r="S318" s="42">
        <f>LEN(L318)</f>
        <v>6</v>
      </c>
      <c r="T318" s="3" t="str">
        <f>A318&amp;"|"&amp;B318&amp;"|"&amp;F318</f>
        <v>317|14-01-2011|16</v>
      </c>
      <c r="U318" s="3">
        <f t="shared" si="16"/>
        <v>610</v>
      </c>
      <c r="V318" s="3">
        <f t="shared" si="17"/>
        <v>120.10000000000005</v>
      </c>
      <c r="W318" s="50">
        <f t="shared" si="18"/>
        <v>8.1303845032683911E-2</v>
      </c>
      <c r="X318" s="50">
        <f t="shared" si="19"/>
        <v>0.16514794964716251</v>
      </c>
    </row>
    <row r="319" spans="1:24" x14ac:dyDescent="0.2">
      <c r="A319" s="4">
        <v>318</v>
      </c>
      <c r="B319" s="4" t="s">
        <v>28</v>
      </c>
      <c r="C319" s="4">
        <v>1</v>
      </c>
      <c r="D319" s="4">
        <v>0</v>
      </c>
      <c r="E319" s="4">
        <v>1</v>
      </c>
      <c r="F319" s="4">
        <v>17</v>
      </c>
      <c r="G319" s="4" t="b">
        <v>0</v>
      </c>
      <c r="H319" s="4">
        <v>5</v>
      </c>
      <c r="I319" s="4">
        <v>1</v>
      </c>
      <c r="J319" s="4">
        <v>0.22</v>
      </c>
      <c r="K319" s="6" t="str">
        <f>IF(H319=0,"weekend",IF(H319=6,"weekend","weekend"))</f>
        <v>weekend</v>
      </c>
      <c r="L319" s="3" t="str">
        <f>IF(C319=1,"Spring",IF(C319=2,"Summer",IF(C319=3,"Fall","Winter")))</f>
        <v>Spring</v>
      </c>
      <c r="M319" s="3">
        <f>SUM(J319:J343)</f>
        <v>5.0000000000000009</v>
      </c>
      <c r="N319" s="3">
        <f>AVERAGE(J319:J928)</f>
        <v>0.18873720136518762</v>
      </c>
      <c r="O319" s="3">
        <f>COUNT(J319:J928)</f>
        <v>293</v>
      </c>
      <c r="P319" s="3" t="str">
        <f>TEXT(J319,"0.00")</f>
        <v>0.22</v>
      </c>
      <c r="Q319" s="3" t="str">
        <f>LEFT(L319,3)</f>
        <v>Spr</v>
      </c>
      <c r="R319" s="42" t="str">
        <f>RIGHT(L319,3)</f>
        <v>ing</v>
      </c>
      <c r="S319" s="42">
        <f>LEN(L319)</f>
        <v>6</v>
      </c>
      <c r="T319" s="3" t="str">
        <f>A319&amp;"|"&amp;B319&amp;"|"&amp;F319</f>
        <v>318|14-01-2011|17</v>
      </c>
      <c r="U319" s="3">
        <f t="shared" si="16"/>
        <v>610</v>
      </c>
      <c r="V319" s="3">
        <f t="shared" si="17"/>
        <v>120.10000000000005</v>
      </c>
      <c r="W319" s="50">
        <f t="shared" si="18"/>
        <v>8.1303845032683911E-2</v>
      </c>
      <c r="X319" s="50">
        <f t="shared" si="19"/>
        <v>0.16514794964716251</v>
      </c>
    </row>
    <row r="320" spans="1:24" x14ac:dyDescent="0.2">
      <c r="A320" s="4">
        <v>319</v>
      </c>
      <c r="B320" s="4" t="s">
        <v>28</v>
      </c>
      <c r="C320" s="4">
        <v>1</v>
      </c>
      <c r="D320" s="4">
        <v>0</v>
      </c>
      <c r="E320" s="4">
        <v>1</v>
      </c>
      <c r="F320" s="4">
        <v>18</v>
      </c>
      <c r="G320" s="4" t="b">
        <v>0</v>
      </c>
      <c r="H320" s="4">
        <v>5</v>
      </c>
      <c r="I320" s="4">
        <v>1</v>
      </c>
      <c r="J320" s="4">
        <v>0.2</v>
      </c>
      <c r="K320" s="6" t="str">
        <f>IF(H320=0,"weekend",IF(H320=6,"weekend","weekend"))</f>
        <v>weekend</v>
      </c>
      <c r="L320" s="3" t="str">
        <f>IF(C320=1,"Spring",IF(C320=2,"Summer",IF(C320=3,"Fall","Winter")))</f>
        <v>Spring</v>
      </c>
      <c r="M320" s="3">
        <f>SUM(J320:J344)</f>
        <v>5.080000000000001</v>
      </c>
      <c r="N320" s="3">
        <f>AVERAGE(J320:J929)</f>
        <v>0.18863013698630129</v>
      </c>
      <c r="O320" s="3">
        <f>COUNT(J320:J929)</f>
        <v>292</v>
      </c>
      <c r="P320" s="3" t="str">
        <f>TEXT(J320,"0.00")</f>
        <v>0.20</v>
      </c>
      <c r="Q320" s="3" t="str">
        <f>LEFT(L320,3)</f>
        <v>Spr</v>
      </c>
      <c r="R320" s="42" t="str">
        <f>RIGHT(L320,3)</f>
        <v>ing</v>
      </c>
      <c r="S320" s="42">
        <f>LEN(L320)</f>
        <v>6</v>
      </c>
      <c r="T320" s="3" t="str">
        <f>A320&amp;"|"&amp;B320&amp;"|"&amp;F320</f>
        <v>319|14-01-2011|18</v>
      </c>
      <c r="U320" s="3">
        <f t="shared" si="16"/>
        <v>610</v>
      </c>
      <c r="V320" s="3">
        <f t="shared" si="17"/>
        <v>120.10000000000005</v>
      </c>
      <c r="W320" s="50">
        <f t="shared" si="18"/>
        <v>8.1303845032683911E-2</v>
      </c>
      <c r="X320" s="50">
        <f t="shared" si="19"/>
        <v>0.16514794964716251</v>
      </c>
    </row>
    <row r="321" spans="1:24" x14ac:dyDescent="0.2">
      <c r="A321" s="4">
        <v>320</v>
      </c>
      <c r="B321" s="4" t="s">
        <v>28</v>
      </c>
      <c r="C321" s="4">
        <v>1</v>
      </c>
      <c r="D321" s="4">
        <v>0</v>
      </c>
      <c r="E321" s="4">
        <v>1</v>
      </c>
      <c r="F321" s="4">
        <v>19</v>
      </c>
      <c r="G321" s="4" t="b">
        <v>0</v>
      </c>
      <c r="H321" s="4">
        <v>5</v>
      </c>
      <c r="I321" s="4">
        <v>1</v>
      </c>
      <c r="J321" s="4">
        <v>0.16</v>
      </c>
      <c r="K321" s="6" t="str">
        <f>IF(H321=0,"weekend",IF(H321=6,"weekend","weekend"))</f>
        <v>weekend</v>
      </c>
      <c r="L321" s="3" t="str">
        <f>IF(C321=1,"Spring",IF(C321=2,"Summer",IF(C321=3,"Fall","Winter")))</f>
        <v>Spring</v>
      </c>
      <c r="M321" s="3">
        <f>SUM(J321:J345)</f>
        <v>5.2000000000000011</v>
      </c>
      <c r="N321" s="3">
        <f>AVERAGE(J321:J930)</f>
        <v>0.18859106529209613</v>
      </c>
      <c r="O321" s="3">
        <f>COUNT(J321:J930)</f>
        <v>291</v>
      </c>
      <c r="P321" s="3" t="str">
        <f>TEXT(J321,"0.00")</f>
        <v>0.16</v>
      </c>
      <c r="Q321" s="3" t="str">
        <f>LEFT(L321,3)</f>
        <v>Spr</v>
      </c>
      <c r="R321" s="42" t="str">
        <f>RIGHT(L321,3)</f>
        <v>ing</v>
      </c>
      <c r="S321" s="42">
        <f>LEN(L321)</f>
        <v>6</v>
      </c>
      <c r="T321" s="3" t="str">
        <f>A321&amp;"|"&amp;B321&amp;"|"&amp;F321</f>
        <v>320|14-01-2011|19</v>
      </c>
      <c r="U321" s="3">
        <f t="shared" si="16"/>
        <v>610</v>
      </c>
      <c r="V321" s="3">
        <f t="shared" si="17"/>
        <v>120.10000000000005</v>
      </c>
      <c r="W321" s="50">
        <f t="shared" si="18"/>
        <v>8.1303845032683911E-2</v>
      </c>
      <c r="X321" s="50">
        <f t="shared" si="19"/>
        <v>0.16514794964716251</v>
      </c>
    </row>
    <row r="322" spans="1:24" x14ac:dyDescent="0.2">
      <c r="A322" s="4">
        <v>321</v>
      </c>
      <c r="B322" s="4" t="s">
        <v>28</v>
      </c>
      <c r="C322" s="4">
        <v>1</v>
      </c>
      <c r="D322" s="4">
        <v>0</v>
      </c>
      <c r="E322" s="4">
        <v>1</v>
      </c>
      <c r="F322" s="4">
        <v>20</v>
      </c>
      <c r="G322" s="4" t="b">
        <v>0</v>
      </c>
      <c r="H322" s="4">
        <v>5</v>
      </c>
      <c r="I322" s="4">
        <v>1</v>
      </c>
      <c r="J322" s="4">
        <v>0.18</v>
      </c>
      <c r="K322" s="6" t="str">
        <f>IF(H322=0,"weekend",IF(H322=6,"weekend","weekend"))</f>
        <v>weekend</v>
      </c>
      <c r="L322" s="3" t="str">
        <f>IF(C322=1,"Spring",IF(C322=2,"Summer",IF(C322=3,"Fall","Winter")))</f>
        <v>Spring</v>
      </c>
      <c r="M322" s="3">
        <f>SUM(J322:J346)</f>
        <v>5.3600000000000012</v>
      </c>
      <c r="N322" s="3">
        <f>AVERAGE(J322:J931)</f>
        <v>0.18868965517241368</v>
      </c>
      <c r="O322" s="3">
        <f>COUNT(J322:J931)</f>
        <v>290</v>
      </c>
      <c r="P322" s="3" t="str">
        <f>TEXT(J322,"0.00")</f>
        <v>0.18</v>
      </c>
      <c r="Q322" s="3" t="str">
        <f>LEFT(L322,3)</f>
        <v>Spr</v>
      </c>
      <c r="R322" s="42" t="str">
        <f>RIGHT(L322,3)</f>
        <v>ing</v>
      </c>
      <c r="S322" s="42">
        <f>LEN(L322)</f>
        <v>6</v>
      </c>
      <c r="T322" s="3" t="str">
        <f>A322&amp;"|"&amp;B322&amp;"|"&amp;F322</f>
        <v>321|14-01-2011|20</v>
      </c>
      <c r="U322" s="3">
        <f t="shared" ref="U322:U385" si="20">COUNTIF(K:K,"weekend")</f>
        <v>610</v>
      </c>
      <c r="V322" s="3">
        <f t="shared" ref="V322:V385" si="21">SUMIF($K:$K,"weekend",$J:$J)</f>
        <v>120.10000000000005</v>
      </c>
      <c r="W322" s="50">
        <f t="shared" ref="W322:W385" si="22">STDEV($J:$J)</f>
        <v>8.1303845032683911E-2</v>
      </c>
      <c r="X322" s="50">
        <f t="shared" ref="X322:X385" si="23">CORREL(J:J,F:F)</f>
        <v>0.16514794964716251</v>
      </c>
    </row>
    <row r="323" spans="1:24" x14ac:dyDescent="0.2">
      <c r="A323" s="4">
        <v>322</v>
      </c>
      <c r="B323" s="4" t="s">
        <v>28</v>
      </c>
      <c r="C323" s="4">
        <v>1</v>
      </c>
      <c r="D323" s="4">
        <v>0</v>
      </c>
      <c r="E323" s="4">
        <v>1</v>
      </c>
      <c r="F323" s="4">
        <v>21</v>
      </c>
      <c r="G323" s="4" t="b">
        <v>0</v>
      </c>
      <c r="H323" s="4">
        <v>5</v>
      </c>
      <c r="I323" s="4">
        <v>1</v>
      </c>
      <c r="J323" s="4">
        <v>0.16</v>
      </c>
      <c r="K323" s="6" t="str">
        <f>IF(H323=0,"weekend",IF(H323=6,"weekend","weekend"))</f>
        <v>weekend</v>
      </c>
      <c r="L323" s="3" t="str">
        <f>IF(C323=1,"Spring",IF(C323=2,"Summer",IF(C323=3,"Fall","Winter")))</f>
        <v>Spring</v>
      </c>
      <c r="M323" s="3">
        <f>SUM(J323:J347)</f>
        <v>5.5000000000000009</v>
      </c>
      <c r="N323" s="3">
        <f>AVERAGE(J323:J932)</f>
        <v>0.18871972318339086</v>
      </c>
      <c r="O323" s="3">
        <f>COUNT(J323:J932)</f>
        <v>289</v>
      </c>
      <c r="P323" s="3" t="str">
        <f>TEXT(J323,"0.00")</f>
        <v>0.16</v>
      </c>
      <c r="Q323" s="3" t="str">
        <f>LEFT(L323,3)</f>
        <v>Spr</v>
      </c>
      <c r="R323" s="42" t="str">
        <f>RIGHT(L323,3)</f>
        <v>ing</v>
      </c>
      <c r="S323" s="42">
        <f>LEN(L323)</f>
        <v>6</v>
      </c>
      <c r="T323" s="3" t="str">
        <f>A323&amp;"|"&amp;B323&amp;"|"&amp;F323</f>
        <v>322|14-01-2011|21</v>
      </c>
      <c r="U323" s="3">
        <f t="shared" si="20"/>
        <v>610</v>
      </c>
      <c r="V323" s="3">
        <f t="shared" si="21"/>
        <v>120.10000000000005</v>
      </c>
      <c r="W323" s="50">
        <f t="shared" si="22"/>
        <v>8.1303845032683911E-2</v>
      </c>
      <c r="X323" s="50">
        <f t="shared" si="23"/>
        <v>0.16514794964716251</v>
      </c>
    </row>
    <row r="324" spans="1:24" x14ac:dyDescent="0.2">
      <c r="A324" s="4">
        <v>323</v>
      </c>
      <c r="B324" s="4" t="s">
        <v>28</v>
      </c>
      <c r="C324" s="4">
        <v>1</v>
      </c>
      <c r="D324" s="4">
        <v>0</v>
      </c>
      <c r="E324" s="4">
        <v>1</v>
      </c>
      <c r="F324" s="4">
        <v>22</v>
      </c>
      <c r="G324" s="4" t="b">
        <v>0</v>
      </c>
      <c r="H324" s="4">
        <v>5</v>
      </c>
      <c r="I324" s="4">
        <v>2</v>
      </c>
      <c r="J324" s="4">
        <v>0.16</v>
      </c>
      <c r="K324" s="6" t="str">
        <f>IF(H324=0,"weekend",IF(H324=6,"weekend","weekend"))</f>
        <v>weekend</v>
      </c>
      <c r="L324" s="3" t="str">
        <f>IF(C324=1,"Spring",IF(C324=2,"Summer",IF(C324=3,"Fall","Winter")))</f>
        <v>Spring</v>
      </c>
      <c r="M324" s="3">
        <f>SUM(J324:J348)</f>
        <v>5.6400000000000006</v>
      </c>
      <c r="N324" s="3">
        <f>AVERAGE(J324:J933)</f>
        <v>0.18881944444444432</v>
      </c>
      <c r="O324" s="3">
        <f>COUNT(J324:J933)</f>
        <v>288</v>
      </c>
      <c r="P324" s="3" t="str">
        <f>TEXT(J324,"0.00")</f>
        <v>0.16</v>
      </c>
      <c r="Q324" s="3" t="str">
        <f>LEFT(L324,3)</f>
        <v>Spr</v>
      </c>
      <c r="R324" s="42" t="str">
        <f>RIGHT(L324,3)</f>
        <v>ing</v>
      </c>
      <c r="S324" s="42">
        <f>LEN(L324)</f>
        <v>6</v>
      </c>
      <c r="T324" s="3" t="str">
        <f>A324&amp;"|"&amp;B324&amp;"|"&amp;F324</f>
        <v>323|14-01-2011|22</v>
      </c>
      <c r="U324" s="3">
        <f t="shared" si="20"/>
        <v>610</v>
      </c>
      <c r="V324" s="3">
        <f t="shared" si="21"/>
        <v>120.10000000000005</v>
      </c>
      <c r="W324" s="50">
        <f t="shared" si="22"/>
        <v>8.1303845032683911E-2</v>
      </c>
      <c r="X324" s="50">
        <f t="shared" si="23"/>
        <v>0.16514794964716251</v>
      </c>
    </row>
    <row r="325" spans="1:24" x14ac:dyDescent="0.2">
      <c r="A325" s="4">
        <v>324</v>
      </c>
      <c r="B325" s="4" t="s">
        <v>28</v>
      </c>
      <c r="C325" s="4">
        <v>1</v>
      </c>
      <c r="D325" s="4">
        <v>0</v>
      </c>
      <c r="E325" s="4">
        <v>1</v>
      </c>
      <c r="F325" s="4">
        <v>23</v>
      </c>
      <c r="G325" s="4" t="b">
        <v>0</v>
      </c>
      <c r="H325" s="4">
        <v>5</v>
      </c>
      <c r="I325" s="4">
        <v>2</v>
      </c>
      <c r="J325" s="4">
        <v>0.18</v>
      </c>
      <c r="K325" s="6" t="str">
        <f>IF(H325=0,"weekend",IF(H325=6,"weekend","weekend"))</f>
        <v>weekend</v>
      </c>
      <c r="L325" s="3" t="str">
        <f>IF(C325=1,"Spring",IF(C325=2,"Summer",IF(C325=3,"Fall","Winter")))</f>
        <v>Spring</v>
      </c>
      <c r="M325" s="3">
        <f>SUM(J325:J349)</f>
        <v>5.78</v>
      </c>
      <c r="N325" s="3">
        <f>AVERAGE(J325:J934)</f>
        <v>0.18891986062717758</v>
      </c>
      <c r="O325" s="3">
        <f>COUNT(J325:J934)</f>
        <v>287</v>
      </c>
      <c r="P325" s="3" t="str">
        <f>TEXT(J325,"0.00")</f>
        <v>0.18</v>
      </c>
      <c r="Q325" s="3" t="str">
        <f>LEFT(L325,3)</f>
        <v>Spr</v>
      </c>
      <c r="R325" s="42" t="str">
        <f>RIGHT(L325,3)</f>
        <v>ing</v>
      </c>
      <c r="S325" s="42">
        <f>LEN(L325)</f>
        <v>6</v>
      </c>
      <c r="T325" s="3" t="str">
        <f>A325&amp;"|"&amp;B325&amp;"|"&amp;F325</f>
        <v>324|14-01-2011|23</v>
      </c>
      <c r="U325" s="3">
        <f t="shared" si="20"/>
        <v>610</v>
      </c>
      <c r="V325" s="3">
        <f t="shared" si="21"/>
        <v>120.10000000000005</v>
      </c>
      <c r="W325" s="50">
        <f t="shared" si="22"/>
        <v>8.1303845032683911E-2</v>
      </c>
      <c r="X325" s="50">
        <f t="shared" si="23"/>
        <v>0.16514794964716251</v>
      </c>
    </row>
    <row r="326" spans="1:24" x14ac:dyDescent="0.2">
      <c r="A326" s="4">
        <v>325</v>
      </c>
      <c r="B326" s="4" t="s">
        <v>29</v>
      </c>
      <c r="C326" s="4">
        <v>1</v>
      </c>
      <c r="D326" s="4">
        <v>0</v>
      </c>
      <c r="E326" s="4">
        <v>1</v>
      </c>
      <c r="F326" s="4">
        <v>0</v>
      </c>
      <c r="G326" s="4" t="b">
        <v>0</v>
      </c>
      <c r="H326" s="4">
        <v>6</v>
      </c>
      <c r="I326" s="4">
        <v>1</v>
      </c>
      <c r="J326" s="4">
        <v>0.18</v>
      </c>
      <c r="K326" s="6" t="str">
        <f>IF(H326=0,"weekend",IF(H326=6,"weekend","weekend"))</f>
        <v>weekend</v>
      </c>
      <c r="L326" s="3" t="str">
        <f>IF(C326=1,"Spring",IF(C326=2,"Summer",IF(C326=3,"Fall","Winter")))</f>
        <v>Spring</v>
      </c>
      <c r="M326" s="3">
        <f>SUM(J326:J350)</f>
        <v>5.8599999999999994</v>
      </c>
      <c r="N326" s="3">
        <f>AVERAGE(J326:J935)</f>
        <v>0.18895104895104883</v>
      </c>
      <c r="O326" s="3">
        <f>COUNT(J326:J935)</f>
        <v>286</v>
      </c>
      <c r="P326" s="3" t="str">
        <f>TEXT(J326,"0.00")</f>
        <v>0.18</v>
      </c>
      <c r="Q326" s="3" t="str">
        <f>LEFT(L326,3)</f>
        <v>Spr</v>
      </c>
      <c r="R326" s="42" t="str">
        <f>RIGHT(L326,3)</f>
        <v>ing</v>
      </c>
      <c r="S326" s="42">
        <f>LEN(L326)</f>
        <v>6</v>
      </c>
      <c r="T326" s="3" t="str">
        <f>A326&amp;"|"&amp;B326&amp;"|"&amp;F326</f>
        <v>325|15-01-2011|0</v>
      </c>
      <c r="U326" s="3">
        <f t="shared" si="20"/>
        <v>610</v>
      </c>
      <c r="V326" s="3">
        <f t="shared" si="21"/>
        <v>120.10000000000005</v>
      </c>
      <c r="W326" s="50">
        <f t="shared" si="22"/>
        <v>8.1303845032683911E-2</v>
      </c>
      <c r="X326" s="50">
        <f t="shared" si="23"/>
        <v>0.16514794964716251</v>
      </c>
    </row>
    <row r="327" spans="1:24" x14ac:dyDescent="0.2">
      <c r="A327" s="4">
        <v>326</v>
      </c>
      <c r="B327" s="4" t="s">
        <v>29</v>
      </c>
      <c r="C327" s="4">
        <v>1</v>
      </c>
      <c r="D327" s="4">
        <v>0</v>
      </c>
      <c r="E327" s="4">
        <v>1</v>
      </c>
      <c r="F327" s="4">
        <v>1</v>
      </c>
      <c r="G327" s="4" t="b">
        <v>0</v>
      </c>
      <c r="H327" s="4">
        <v>6</v>
      </c>
      <c r="I327" s="4">
        <v>2</v>
      </c>
      <c r="J327" s="4">
        <v>0.16</v>
      </c>
      <c r="K327" s="6" t="str">
        <f>IF(H327=0,"weekend",IF(H327=6,"weekend","weekend"))</f>
        <v>weekend</v>
      </c>
      <c r="L327" s="3" t="str">
        <f>IF(C327=1,"Spring",IF(C327=2,"Summer",IF(C327=3,"Fall","Winter")))</f>
        <v>Spring</v>
      </c>
      <c r="M327" s="3">
        <f>SUM(J327:J351)</f>
        <v>5.9399999999999995</v>
      </c>
      <c r="N327" s="3">
        <f>AVERAGE(J327:J936)</f>
        <v>0.18898245614035072</v>
      </c>
      <c r="O327" s="3">
        <f>COUNT(J327:J936)</f>
        <v>285</v>
      </c>
      <c r="P327" s="3" t="str">
        <f>TEXT(J327,"0.00")</f>
        <v>0.16</v>
      </c>
      <c r="Q327" s="3" t="str">
        <f>LEFT(L327,3)</f>
        <v>Spr</v>
      </c>
      <c r="R327" s="42" t="str">
        <f>RIGHT(L327,3)</f>
        <v>ing</v>
      </c>
      <c r="S327" s="42">
        <f>LEN(L327)</f>
        <v>6</v>
      </c>
      <c r="T327" s="3" t="str">
        <f>A327&amp;"|"&amp;B327&amp;"|"&amp;F327</f>
        <v>326|15-01-2011|1</v>
      </c>
      <c r="U327" s="3">
        <f t="shared" si="20"/>
        <v>610</v>
      </c>
      <c r="V327" s="3">
        <f t="shared" si="21"/>
        <v>120.10000000000005</v>
      </c>
      <c r="W327" s="50">
        <f t="shared" si="22"/>
        <v>8.1303845032683911E-2</v>
      </c>
      <c r="X327" s="50">
        <f t="shared" si="23"/>
        <v>0.16514794964716251</v>
      </c>
    </row>
    <row r="328" spans="1:24" x14ac:dyDescent="0.2">
      <c r="A328" s="4">
        <v>327</v>
      </c>
      <c r="B328" s="4" t="s">
        <v>29</v>
      </c>
      <c r="C328" s="4">
        <v>1</v>
      </c>
      <c r="D328" s="4">
        <v>0</v>
      </c>
      <c r="E328" s="4">
        <v>1</v>
      </c>
      <c r="F328" s="4">
        <v>2</v>
      </c>
      <c r="G328" s="4" t="b">
        <v>0</v>
      </c>
      <c r="H328" s="4">
        <v>6</v>
      </c>
      <c r="I328" s="4">
        <v>2</v>
      </c>
      <c r="J328" s="4">
        <v>0.16</v>
      </c>
      <c r="K328" s="6" t="str">
        <f>IF(H328=0,"weekend",IF(H328=6,"weekend","weekend"))</f>
        <v>weekend</v>
      </c>
      <c r="L328" s="3" t="str">
        <f>IF(C328=1,"Spring",IF(C328=2,"Summer",IF(C328=3,"Fall","Winter")))</f>
        <v>Spring</v>
      </c>
      <c r="M328" s="3">
        <f>SUM(J328:J352)</f>
        <v>6.0399999999999991</v>
      </c>
      <c r="N328" s="3">
        <f>AVERAGE(J328:J937)</f>
        <v>0.18908450704225338</v>
      </c>
      <c r="O328" s="3">
        <f>COUNT(J328:J937)</f>
        <v>284</v>
      </c>
      <c r="P328" s="3" t="str">
        <f>TEXT(J328,"0.00")</f>
        <v>0.16</v>
      </c>
      <c r="Q328" s="3" t="str">
        <f>LEFT(L328,3)</f>
        <v>Spr</v>
      </c>
      <c r="R328" s="42" t="str">
        <f>RIGHT(L328,3)</f>
        <v>ing</v>
      </c>
      <c r="S328" s="42">
        <f>LEN(L328)</f>
        <v>6</v>
      </c>
      <c r="T328" s="3" t="str">
        <f>A328&amp;"|"&amp;B328&amp;"|"&amp;F328</f>
        <v>327|15-01-2011|2</v>
      </c>
      <c r="U328" s="3">
        <f t="shared" si="20"/>
        <v>610</v>
      </c>
      <c r="V328" s="3">
        <f t="shared" si="21"/>
        <v>120.10000000000005</v>
      </c>
      <c r="W328" s="50">
        <f t="shared" si="22"/>
        <v>8.1303845032683911E-2</v>
      </c>
      <c r="X328" s="50">
        <f t="shared" si="23"/>
        <v>0.16514794964716251</v>
      </c>
    </row>
    <row r="329" spans="1:24" x14ac:dyDescent="0.2">
      <c r="A329" s="4">
        <v>328</v>
      </c>
      <c r="B329" s="4" t="s">
        <v>29</v>
      </c>
      <c r="C329" s="4">
        <v>1</v>
      </c>
      <c r="D329" s="4">
        <v>0</v>
      </c>
      <c r="E329" s="4">
        <v>1</v>
      </c>
      <c r="F329" s="4">
        <v>3</v>
      </c>
      <c r="G329" s="4" t="b">
        <v>0</v>
      </c>
      <c r="H329" s="4">
        <v>6</v>
      </c>
      <c r="I329" s="4">
        <v>2</v>
      </c>
      <c r="J329" s="4">
        <v>0.16</v>
      </c>
      <c r="K329" s="6" t="str">
        <f>IF(H329=0,"weekend",IF(H329=6,"weekend","weekend"))</f>
        <v>weekend</v>
      </c>
      <c r="L329" s="3" t="str">
        <f>IF(C329=1,"Spring",IF(C329=2,"Summer",IF(C329=3,"Fall","Winter")))</f>
        <v>Spring</v>
      </c>
      <c r="M329" s="3">
        <f>SUM(J329:J353)</f>
        <v>6.0999999999999979</v>
      </c>
      <c r="N329" s="3">
        <f>AVERAGE(J329:J938)</f>
        <v>0.18918727915194333</v>
      </c>
      <c r="O329" s="3">
        <f>COUNT(J329:J938)</f>
        <v>283</v>
      </c>
      <c r="P329" s="3" t="str">
        <f>TEXT(J329,"0.00")</f>
        <v>0.16</v>
      </c>
      <c r="Q329" s="3" t="str">
        <f>LEFT(L329,3)</f>
        <v>Spr</v>
      </c>
      <c r="R329" s="42" t="str">
        <f>RIGHT(L329,3)</f>
        <v>ing</v>
      </c>
      <c r="S329" s="42">
        <f>LEN(L329)</f>
        <v>6</v>
      </c>
      <c r="T329" s="3" t="str">
        <f>A329&amp;"|"&amp;B329&amp;"|"&amp;F329</f>
        <v>328|15-01-2011|3</v>
      </c>
      <c r="U329" s="3">
        <f t="shared" si="20"/>
        <v>610</v>
      </c>
      <c r="V329" s="3">
        <f t="shared" si="21"/>
        <v>120.10000000000005</v>
      </c>
      <c r="W329" s="50">
        <f t="shared" si="22"/>
        <v>8.1303845032683911E-2</v>
      </c>
      <c r="X329" s="50">
        <f t="shared" si="23"/>
        <v>0.16514794964716251</v>
      </c>
    </row>
    <row r="330" spans="1:24" x14ac:dyDescent="0.2">
      <c r="A330" s="4">
        <v>329</v>
      </c>
      <c r="B330" s="4" t="s">
        <v>29</v>
      </c>
      <c r="C330" s="4">
        <v>1</v>
      </c>
      <c r="D330" s="4">
        <v>0</v>
      </c>
      <c r="E330" s="4">
        <v>1</v>
      </c>
      <c r="F330" s="4">
        <v>4</v>
      </c>
      <c r="G330" s="4" t="b">
        <v>0</v>
      </c>
      <c r="H330" s="4">
        <v>6</v>
      </c>
      <c r="I330" s="4">
        <v>2</v>
      </c>
      <c r="J330" s="4">
        <v>0.16</v>
      </c>
      <c r="K330" s="6" t="str">
        <f>IF(H330=0,"weekend",IF(H330=6,"weekend","weekend"))</f>
        <v>weekend</v>
      </c>
      <c r="L330" s="3" t="str">
        <f>IF(C330=1,"Spring",IF(C330=2,"Summer",IF(C330=3,"Fall","Winter")))</f>
        <v>Spring</v>
      </c>
      <c r="M330" s="3">
        <f>SUM(J330:J354)</f>
        <v>6.1999999999999984</v>
      </c>
      <c r="N330" s="3">
        <f>AVERAGE(J330:J939)</f>
        <v>0.18929078014184383</v>
      </c>
      <c r="O330" s="3">
        <f>COUNT(J330:J939)</f>
        <v>282</v>
      </c>
      <c r="P330" s="3" t="str">
        <f>TEXT(J330,"0.00")</f>
        <v>0.16</v>
      </c>
      <c r="Q330" s="3" t="str">
        <f>LEFT(L330,3)</f>
        <v>Spr</v>
      </c>
      <c r="R330" s="42" t="str">
        <f>RIGHT(L330,3)</f>
        <v>ing</v>
      </c>
      <c r="S330" s="42">
        <f>LEN(L330)</f>
        <v>6</v>
      </c>
      <c r="T330" s="3" t="str">
        <f>A330&amp;"|"&amp;B330&amp;"|"&amp;F330</f>
        <v>329|15-01-2011|4</v>
      </c>
      <c r="U330" s="3">
        <f t="shared" si="20"/>
        <v>610</v>
      </c>
      <c r="V330" s="3">
        <f t="shared" si="21"/>
        <v>120.10000000000005</v>
      </c>
      <c r="W330" s="50">
        <f t="shared" si="22"/>
        <v>8.1303845032683911E-2</v>
      </c>
      <c r="X330" s="50">
        <f t="shared" si="23"/>
        <v>0.16514794964716251</v>
      </c>
    </row>
    <row r="331" spans="1:24" x14ac:dyDescent="0.2">
      <c r="A331" s="4">
        <v>330</v>
      </c>
      <c r="B331" s="4" t="s">
        <v>29</v>
      </c>
      <c r="C331" s="4">
        <v>1</v>
      </c>
      <c r="D331" s="4">
        <v>0</v>
      </c>
      <c r="E331" s="4">
        <v>1</v>
      </c>
      <c r="F331" s="4">
        <v>5</v>
      </c>
      <c r="G331" s="4" t="b">
        <v>0</v>
      </c>
      <c r="H331" s="4">
        <v>6</v>
      </c>
      <c r="I331" s="4">
        <v>1</v>
      </c>
      <c r="J331" s="4">
        <v>0.16</v>
      </c>
      <c r="K331" s="6" t="str">
        <f>IF(H331=0,"weekend",IF(H331=6,"weekend","weekend"))</f>
        <v>weekend</v>
      </c>
      <c r="L331" s="3" t="str">
        <f>IF(C331=1,"Spring",IF(C331=2,"Summer",IF(C331=3,"Fall","Winter")))</f>
        <v>Spring</v>
      </c>
      <c r="M331" s="3">
        <f>SUM(J331:J355)</f>
        <v>6.299999999999998</v>
      </c>
      <c r="N331" s="3">
        <f>AVERAGE(J331:J940)</f>
        <v>0.18939501779359416</v>
      </c>
      <c r="O331" s="3">
        <f>COUNT(J331:J940)</f>
        <v>281</v>
      </c>
      <c r="P331" s="3" t="str">
        <f>TEXT(J331,"0.00")</f>
        <v>0.16</v>
      </c>
      <c r="Q331" s="3" t="str">
        <f>LEFT(L331,3)</f>
        <v>Spr</v>
      </c>
      <c r="R331" s="42" t="str">
        <f>RIGHT(L331,3)</f>
        <v>ing</v>
      </c>
      <c r="S331" s="42">
        <f>LEN(L331)</f>
        <v>6</v>
      </c>
      <c r="T331" s="3" t="str">
        <f>A331&amp;"|"&amp;B331&amp;"|"&amp;F331</f>
        <v>330|15-01-2011|5</v>
      </c>
      <c r="U331" s="3">
        <f t="shared" si="20"/>
        <v>610</v>
      </c>
      <c r="V331" s="3">
        <f t="shared" si="21"/>
        <v>120.10000000000005</v>
      </c>
      <c r="W331" s="50">
        <f t="shared" si="22"/>
        <v>8.1303845032683911E-2</v>
      </c>
      <c r="X331" s="50">
        <f t="shared" si="23"/>
        <v>0.16514794964716251</v>
      </c>
    </row>
    <row r="332" spans="1:24" x14ac:dyDescent="0.2">
      <c r="A332" s="4">
        <v>331</v>
      </c>
      <c r="B332" s="4" t="s">
        <v>29</v>
      </c>
      <c r="C332" s="4">
        <v>1</v>
      </c>
      <c r="D332" s="4">
        <v>0</v>
      </c>
      <c r="E332" s="4">
        <v>1</v>
      </c>
      <c r="F332" s="4">
        <v>6</v>
      </c>
      <c r="G332" s="4" t="b">
        <v>0</v>
      </c>
      <c r="H332" s="4">
        <v>6</v>
      </c>
      <c r="I332" s="4">
        <v>1</v>
      </c>
      <c r="J332" s="4">
        <v>0.14000000000000001</v>
      </c>
      <c r="K332" s="6" t="str">
        <f>IF(H332=0,"weekend",IF(H332=6,"weekend","weekend"))</f>
        <v>weekend</v>
      </c>
      <c r="L332" s="3" t="str">
        <f>IF(C332=1,"Spring",IF(C332=2,"Summer",IF(C332=3,"Fall","Winter")))</f>
        <v>Spring</v>
      </c>
      <c r="M332" s="3">
        <f>SUM(J332:J356)</f>
        <v>6.3999999999999977</v>
      </c>
      <c r="N332" s="3">
        <f>AVERAGE(J332:J941)</f>
        <v>0.18949999999999986</v>
      </c>
      <c r="O332" s="3">
        <f>COUNT(J332:J941)</f>
        <v>280</v>
      </c>
      <c r="P332" s="3" t="str">
        <f>TEXT(J332,"0.00")</f>
        <v>0.14</v>
      </c>
      <c r="Q332" s="3" t="str">
        <f>LEFT(L332,3)</f>
        <v>Spr</v>
      </c>
      <c r="R332" s="42" t="str">
        <f>RIGHT(L332,3)</f>
        <v>ing</v>
      </c>
      <c r="S332" s="42">
        <f>LEN(L332)</f>
        <v>6</v>
      </c>
      <c r="T332" s="3" t="str">
        <f>A332&amp;"|"&amp;B332&amp;"|"&amp;F332</f>
        <v>331|15-01-2011|6</v>
      </c>
      <c r="U332" s="3">
        <f t="shared" si="20"/>
        <v>610</v>
      </c>
      <c r="V332" s="3">
        <f t="shared" si="21"/>
        <v>120.10000000000005</v>
      </c>
      <c r="W332" s="50">
        <f t="shared" si="22"/>
        <v>8.1303845032683911E-2</v>
      </c>
      <c r="X332" s="50">
        <f t="shared" si="23"/>
        <v>0.16514794964716251</v>
      </c>
    </row>
    <row r="333" spans="1:24" x14ac:dyDescent="0.2">
      <c r="A333" s="4">
        <v>332</v>
      </c>
      <c r="B333" s="4" t="s">
        <v>29</v>
      </c>
      <c r="C333" s="4">
        <v>1</v>
      </c>
      <c r="D333" s="4">
        <v>0</v>
      </c>
      <c r="E333" s="4">
        <v>1</v>
      </c>
      <c r="F333" s="4">
        <v>7</v>
      </c>
      <c r="G333" s="4" t="b">
        <v>0</v>
      </c>
      <c r="H333" s="4">
        <v>6</v>
      </c>
      <c r="I333" s="4">
        <v>1</v>
      </c>
      <c r="J333" s="4">
        <v>0.14000000000000001</v>
      </c>
      <c r="K333" s="6" t="str">
        <f>IF(H333=0,"weekend",IF(H333=6,"weekend","weekend"))</f>
        <v>weekend</v>
      </c>
      <c r="L333" s="3" t="str">
        <f>IF(C333=1,"Spring",IF(C333=2,"Summer",IF(C333=3,"Fall","Winter")))</f>
        <v>Spring</v>
      </c>
      <c r="M333" s="3">
        <f>SUM(J333:J357)</f>
        <v>6.4999999999999982</v>
      </c>
      <c r="N333" s="3">
        <f>AVERAGE(J333:J942)</f>
        <v>0.18967741935483856</v>
      </c>
      <c r="O333" s="3">
        <f>COUNT(J333:J942)</f>
        <v>279</v>
      </c>
      <c r="P333" s="3" t="str">
        <f>TEXT(J333,"0.00")</f>
        <v>0.14</v>
      </c>
      <c r="Q333" s="3" t="str">
        <f>LEFT(L333,3)</f>
        <v>Spr</v>
      </c>
      <c r="R333" s="42" t="str">
        <f>RIGHT(L333,3)</f>
        <v>ing</v>
      </c>
      <c r="S333" s="42">
        <f>LEN(L333)</f>
        <v>6</v>
      </c>
      <c r="T333" s="3" t="str">
        <f>A333&amp;"|"&amp;B333&amp;"|"&amp;F333</f>
        <v>332|15-01-2011|7</v>
      </c>
      <c r="U333" s="3">
        <f t="shared" si="20"/>
        <v>610</v>
      </c>
      <c r="V333" s="3">
        <f t="shared" si="21"/>
        <v>120.10000000000005</v>
      </c>
      <c r="W333" s="50">
        <f t="shared" si="22"/>
        <v>8.1303845032683911E-2</v>
      </c>
      <c r="X333" s="50">
        <f t="shared" si="23"/>
        <v>0.16514794964716251</v>
      </c>
    </row>
    <row r="334" spans="1:24" x14ac:dyDescent="0.2">
      <c r="A334" s="4">
        <v>333</v>
      </c>
      <c r="B334" s="4" t="s">
        <v>29</v>
      </c>
      <c r="C334" s="4">
        <v>1</v>
      </c>
      <c r="D334" s="4">
        <v>0</v>
      </c>
      <c r="E334" s="4">
        <v>1</v>
      </c>
      <c r="F334" s="4">
        <v>8</v>
      </c>
      <c r="G334" s="4" t="b">
        <v>0</v>
      </c>
      <c r="H334" s="4">
        <v>6</v>
      </c>
      <c r="I334" s="4">
        <v>1</v>
      </c>
      <c r="J334" s="4">
        <v>0.14000000000000001</v>
      </c>
      <c r="K334" s="6" t="str">
        <f>IF(H334=0,"weekend",IF(H334=6,"weekend","weekend"))</f>
        <v>weekend</v>
      </c>
      <c r="L334" s="3" t="str">
        <f>IF(C334=1,"Spring",IF(C334=2,"Summer",IF(C334=3,"Fall","Winter")))</f>
        <v>Spring</v>
      </c>
      <c r="M334" s="3">
        <f>SUM(J334:J358)</f>
        <v>6.5799999999999974</v>
      </c>
      <c r="N334" s="3">
        <f>AVERAGE(J334:J943)</f>
        <v>0.1898561151079135</v>
      </c>
      <c r="O334" s="3">
        <f>COUNT(J334:J943)</f>
        <v>278</v>
      </c>
      <c r="P334" s="3" t="str">
        <f>TEXT(J334,"0.00")</f>
        <v>0.14</v>
      </c>
      <c r="Q334" s="3" t="str">
        <f>LEFT(L334,3)</f>
        <v>Spr</v>
      </c>
      <c r="R334" s="42" t="str">
        <f>RIGHT(L334,3)</f>
        <v>ing</v>
      </c>
      <c r="S334" s="42">
        <f>LEN(L334)</f>
        <v>6</v>
      </c>
      <c r="T334" s="3" t="str">
        <f>A334&amp;"|"&amp;B334&amp;"|"&amp;F334</f>
        <v>333|15-01-2011|8</v>
      </c>
      <c r="U334" s="3">
        <f t="shared" si="20"/>
        <v>610</v>
      </c>
      <c r="V334" s="3">
        <f t="shared" si="21"/>
        <v>120.10000000000005</v>
      </c>
      <c r="W334" s="50">
        <f t="shared" si="22"/>
        <v>8.1303845032683911E-2</v>
      </c>
      <c r="X334" s="50">
        <f t="shared" si="23"/>
        <v>0.16514794964716251</v>
      </c>
    </row>
    <row r="335" spans="1:24" x14ac:dyDescent="0.2">
      <c r="A335" s="4">
        <v>334</v>
      </c>
      <c r="B335" s="4" t="s">
        <v>29</v>
      </c>
      <c r="C335" s="4">
        <v>1</v>
      </c>
      <c r="D335" s="4">
        <v>0</v>
      </c>
      <c r="E335" s="4">
        <v>1</v>
      </c>
      <c r="F335" s="4">
        <v>9</v>
      </c>
      <c r="G335" s="4" t="b">
        <v>0</v>
      </c>
      <c r="H335" s="4">
        <v>6</v>
      </c>
      <c r="I335" s="4">
        <v>1</v>
      </c>
      <c r="J335" s="4">
        <v>0.16</v>
      </c>
      <c r="K335" s="6" t="str">
        <f>IF(H335=0,"weekend",IF(H335=6,"weekend","weekend"))</f>
        <v>weekend</v>
      </c>
      <c r="L335" s="3" t="str">
        <f>IF(C335=1,"Spring",IF(C335=2,"Summer",IF(C335=3,"Fall","Winter")))</f>
        <v>Spring</v>
      </c>
      <c r="M335" s="3">
        <f>SUM(J335:J359)</f>
        <v>6.6599999999999975</v>
      </c>
      <c r="N335" s="3">
        <f>AVERAGE(J335:J944)</f>
        <v>0.19003610108303234</v>
      </c>
      <c r="O335" s="3">
        <f>COUNT(J335:J944)</f>
        <v>277</v>
      </c>
      <c r="P335" s="3" t="str">
        <f>TEXT(J335,"0.00")</f>
        <v>0.16</v>
      </c>
      <c r="Q335" s="3" t="str">
        <f>LEFT(L335,3)</f>
        <v>Spr</v>
      </c>
      <c r="R335" s="42" t="str">
        <f>RIGHT(L335,3)</f>
        <v>ing</v>
      </c>
      <c r="S335" s="42">
        <f>LEN(L335)</f>
        <v>6</v>
      </c>
      <c r="T335" s="3" t="str">
        <f>A335&amp;"|"&amp;B335&amp;"|"&amp;F335</f>
        <v>334|15-01-2011|9</v>
      </c>
      <c r="U335" s="3">
        <f t="shared" si="20"/>
        <v>610</v>
      </c>
      <c r="V335" s="3">
        <f t="shared" si="21"/>
        <v>120.10000000000005</v>
      </c>
      <c r="W335" s="50">
        <f t="shared" si="22"/>
        <v>8.1303845032683911E-2</v>
      </c>
      <c r="X335" s="50">
        <f t="shared" si="23"/>
        <v>0.16514794964716251</v>
      </c>
    </row>
    <row r="336" spans="1:24" x14ac:dyDescent="0.2">
      <c r="A336" s="4">
        <v>335</v>
      </c>
      <c r="B336" s="4" t="s">
        <v>29</v>
      </c>
      <c r="C336" s="4">
        <v>1</v>
      </c>
      <c r="D336" s="4">
        <v>0</v>
      </c>
      <c r="E336" s="4">
        <v>1</v>
      </c>
      <c r="F336" s="4">
        <v>10</v>
      </c>
      <c r="G336" s="4" t="b">
        <v>0</v>
      </c>
      <c r="H336" s="4">
        <v>6</v>
      </c>
      <c r="I336" s="4">
        <v>1</v>
      </c>
      <c r="J336" s="4">
        <v>0.18</v>
      </c>
      <c r="K336" s="6" t="str">
        <f>IF(H336=0,"weekend",IF(H336=6,"weekend","weekend"))</f>
        <v>weekend</v>
      </c>
      <c r="L336" s="3" t="str">
        <f>IF(C336=1,"Spring",IF(C336=2,"Summer",IF(C336=3,"Fall","Winter")))</f>
        <v>Spring</v>
      </c>
      <c r="M336" s="3">
        <f>SUM(J336:J360)</f>
        <v>6.7199999999999971</v>
      </c>
      <c r="N336" s="3">
        <f>AVERAGE(J336:J945)</f>
        <v>0.19014492753623172</v>
      </c>
      <c r="O336" s="3">
        <f>COUNT(J336:J945)</f>
        <v>276</v>
      </c>
      <c r="P336" s="3" t="str">
        <f>TEXT(J336,"0.00")</f>
        <v>0.18</v>
      </c>
      <c r="Q336" s="3" t="str">
        <f>LEFT(L336,3)</f>
        <v>Spr</v>
      </c>
      <c r="R336" s="42" t="str">
        <f>RIGHT(L336,3)</f>
        <v>ing</v>
      </c>
      <c r="S336" s="42">
        <f>LEN(L336)</f>
        <v>6</v>
      </c>
      <c r="T336" s="3" t="str">
        <f>A336&amp;"|"&amp;B336&amp;"|"&amp;F336</f>
        <v>335|15-01-2011|10</v>
      </c>
      <c r="U336" s="3">
        <f t="shared" si="20"/>
        <v>610</v>
      </c>
      <c r="V336" s="3">
        <f t="shared" si="21"/>
        <v>120.10000000000005</v>
      </c>
      <c r="W336" s="50">
        <f t="shared" si="22"/>
        <v>8.1303845032683911E-2</v>
      </c>
      <c r="X336" s="50">
        <f t="shared" si="23"/>
        <v>0.16514794964716251</v>
      </c>
    </row>
    <row r="337" spans="1:24" x14ac:dyDescent="0.2">
      <c r="A337" s="4">
        <v>336</v>
      </c>
      <c r="B337" s="4" t="s">
        <v>29</v>
      </c>
      <c r="C337" s="4">
        <v>1</v>
      </c>
      <c r="D337" s="4">
        <v>0</v>
      </c>
      <c r="E337" s="4">
        <v>1</v>
      </c>
      <c r="F337" s="4">
        <v>11</v>
      </c>
      <c r="G337" s="4" t="b">
        <v>0</v>
      </c>
      <c r="H337" s="4">
        <v>6</v>
      </c>
      <c r="I337" s="4">
        <v>1</v>
      </c>
      <c r="J337" s="4">
        <v>0.2</v>
      </c>
      <c r="K337" s="6" t="str">
        <f>IF(H337=0,"weekend",IF(H337=6,"weekend","weekend"))</f>
        <v>weekend</v>
      </c>
      <c r="L337" s="3" t="str">
        <f>IF(C337=1,"Spring",IF(C337=2,"Summer",IF(C337=3,"Fall","Winter")))</f>
        <v>Spring</v>
      </c>
      <c r="M337" s="3">
        <f>SUM(J337:J361)</f>
        <v>6.7799999999999976</v>
      </c>
      <c r="N337" s="3">
        <f>AVERAGE(J337:J946)</f>
        <v>0.19018181818181801</v>
      </c>
      <c r="O337" s="3">
        <f>COUNT(J337:J946)</f>
        <v>275</v>
      </c>
      <c r="P337" s="3" t="str">
        <f>TEXT(J337,"0.00")</f>
        <v>0.20</v>
      </c>
      <c r="Q337" s="3" t="str">
        <f>LEFT(L337,3)</f>
        <v>Spr</v>
      </c>
      <c r="R337" s="42" t="str">
        <f>RIGHT(L337,3)</f>
        <v>ing</v>
      </c>
      <c r="S337" s="42">
        <f>LEN(L337)</f>
        <v>6</v>
      </c>
      <c r="T337" s="3" t="str">
        <f>A337&amp;"|"&amp;B337&amp;"|"&amp;F337</f>
        <v>336|15-01-2011|11</v>
      </c>
      <c r="U337" s="3">
        <f t="shared" si="20"/>
        <v>610</v>
      </c>
      <c r="V337" s="3">
        <f t="shared" si="21"/>
        <v>120.10000000000005</v>
      </c>
      <c r="W337" s="50">
        <f t="shared" si="22"/>
        <v>8.1303845032683911E-2</v>
      </c>
      <c r="X337" s="50">
        <f t="shared" si="23"/>
        <v>0.16514794964716251</v>
      </c>
    </row>
    <row r="338" spans="1:24" x14ac:dyDescent="0.2">
      <c r="A338" s="4">
        <v>337</v>
      </c>
      <c r="B338" s="4" t="s">
        <v>29</v>
      </c>
      <c r="C338" s="4">
        <v>1</v>
      </c>
      <c r="D338" s="4">
        <v>0</v>
      </c>
      <c r="E338" s="4">
        <v>1</v>
      </c>
      <c r="F338" s="4">
        <v>12</v>
      </c>
      <c r="G338" s="4" t="b">
        <v>0</v>
      </c>
      <c r="H338" s="4">
        <v>6</v>
      </c>
      <c r="I338" s="4">
        <v>1</v>
      </c>
      <c r="J338" s="4">
        <v>0.24</v>
      </c>
      <c r="K338" s="6" t="str">
        <f>IF(H338=0,"weekend",IF(H338=6,"weekend","weekend"))</f>
        <v>weekend</v>
      </c>
      <c r="L338" s="3" t="str">
        <f>IF(C338=1,"Spring",IF(C338=2,"Summer",IF(C338=3,"Fall","Winter")))</f>
        <v>Spring</v>
      </c>
      <c r="M338" s="3">
        <f>SUM(J338:J362)</f>
        <v>6.8199999999999976</v>
      </c>
      <c r="N338" s="3">
        <f>AVERAGE(J338:J947)</f>
        <v>0.19014598540145972</v>
      </c>
      <c r="O338" s="3">
        <f>COUNT(J338:J947)</f>
        <v>274</v>
      </c>
      <c r="P338" s="3" t="str">
        <f>TEXT(J338,"0.00")</f>
        <v>0.24</v>
      </c>
      <c r="Q338" s="3" t="str">
        <f>LEFT(L338,3)</f>
        <v>Spr</v>
      </c>
      <c r="R338" s="42" t="str">
        <f>RIGHT(L338,3)</f>
        <v>ing</v>
      </c>
      <c r="S338" s="42">
        <f>LEN(L338)</f>
        <v>6</v>
      </c>
      <c r="T338" s="3" t="str">
        <f>A338&amp;"|"&amp;B338&amp;"|"&amp;F338</f>
        <v>337|15-01-2011|12</v>
      </c>
      <c r="U338" s="3">
        <f t="shared" si="20"/>
        <v>610</v>
      </c>
      <c r="V338" s="3">
        <f t="shared" si="21"/>
        <v>120.10000000000005</v>
      </c>
      <c r="W338" s="50">
        <f t="shared" si="22"/>
        <v>8.1303845032683911E-2</v>
      </c>
      <c r="X338" s="50">
        <f t="shared" si="23"/>
        <v>0.16514794964716251</v>
      </c>
    </row>
    <row r="339" spans="1:24" x14ac:dyDescent="0.2">
      <c r="A339" s="4">
        <v>338</v>
      </c>
      <c r="B339" s="4" t="s">
        <v>29</v>
      </c>
      <c r="C339" s="4">
        <v>1</v>
      </c>
      <c r="D339" s="4">
        <v>0</v>
      </c>
      <c r="E339" s="4">
        <v>1</v>
      </c>
      <c r="F339" s="4">
        <v>13</v>
      </c>
      <c r="G339" s="4" t="b">
        <v>0</v>
      </c>
      <c r="H339" s="4">
        <v>6</v>
      </c>
      <c r="I339" s="4">
        <v>1</v>
      </c>
      <c r="J339" s="4">
        <v>0.28000000000000003</v>
      </c>
      <c r="K339" s="6" t="str">
        <f>IF(H339=0,"weekend",IF(H339=6,"weekend","weekend"))</f>
        <v>weekend</v>
      </c>
      <c r="L339" s="3" t="str">
        <f>IF(C339=1,"Spring",IF(C339=2,"Summer",IF(C339=3,"Fall","Winter")))</f>
        <v>Spring</v>
      </c>
      <c r="M339" s="3">
        <f>SUM(J339:J363)</f>
        <v>6.8399999999999981</v>
      </c>
      <c r="N339" s="3">
        <f>AVERAGE(J339:J948)</f>
        <v>0.18996336996336979</v>
      </c>
      <c r="O339" s="3">
        <f>COUNT(J339:J948)</f>
        <v>273</v>
      </c>
      <c r="P339" s="3" t="str">
        <f>TEXT(J339,"0.00")</f>
        <v>0.28</v>
      </c>
      <c r="Q339" s="3" t="str">
        <f>LEFT(L339,3)</f>
        <v>Spr</v>
      </c>
      <c r="R339" s="42" t="str">
        <f>RIGHT(L339,3)</f>
        <v>ing</v>
      </c>
      <c r="S339" s="42">
        <f>LEN(L339)</f>
        <v>6</v>
      </c>
      <c r="T339" s="3" t="str">
        <f>A339&amp;"|"&amp;B339&amp;"|"&amp;F339</f>
        <v>338|15-01-2011|13</v>
      </c>
      <c r="U339" s="3">
        <f t="shared" si="20"/>
        <v>610</v>
      </c>
      <c r="V339" s="3">
        <f t="shared" si="21"/>
        <v>120.10000000000005</v>
      </c>
      <c r="W339" s="50">
        <f t="shared" si="22"/>
        <v>8.1303845032683911E-2</v>
      </c>
      <c r="X339" s="50">
        <f t="shared" si="23"/>
        <v>0.16514794964716251</v>
      </c>
    </row>
    <row r="340" spans="1:24" x14ac:dyDescent="0.2">
      <c r="A340" s="4">
        <v>339</v>
      </c>
      <c r="B340" s="4" t="s">
        <v>29</v>
      </c>
      <c r="C340" s="4">
        <v>1</v>
      </c>
      <c r="D340" s="4">
        <v>0</v>
      </c>
      <c r="E340" s="4">
        <v>1</v>
      </c>
      <c r="F340" s="4">
        <v>14</v>
      </c>
      <c r="G340" s="4" t="b">
        <v>0</v>
      </c>
      <c r="H340" s="4">
        <v>6</v>
      </c>
      <c r="I340" s="4">
        <v>1</v>
      </c>
      <c r="J340" s="4">
        <v>0.3</v>
      </c>
      <c r="K340" s="6" t="str">
        <f>IF(H340=0,"weekend",IF(H340=6,"weekend","weekend"))</f>
        <v>weekend</v>
      </c>
      <c r="L340" s="3" t="str">
        <f>IF(C340=1,"Spring",IF(C340=2,"Summer",IF(C340=3,"Fall","Winter")))</f>
        <v>Spring</v>
      </c>
      <c r="M340" s="3">
        <f>SUM(J340:J364)</f>
        <v>6.8399999999999981</v>
      </c>
      <c r="N340" s="3">
        <f>AVERAGE(J340:J949)</f>
        <v>0.18963235294117634</v>
      </c>
      <c r="O340" s="3">
        <f>COUNT(J340:J949)</f>
        <v>272</v>
      </c>
      <c r="P340" s="3" t="str">
        <f>TEXT(J340,"0.00")</f>
        <v>0.30</v>
      </c>
      <c r="Q340" s="3" t="str">
        <f>LEFT(L340,3)</f>
        <v>Spr</v>
      </c>
      <c r="R340" s="42" t="str">
        <f>RIGHT(L340,3)</f>
        <v>ing</v>
      </c>
      <c r="S340" s="42">
        <f>LEN(L340)</f>
        <v>6</v>
      </c>
      <c r="T340" s="3" t="str">
        <f>A340&amp;"|"&amp;B340&amp;"|"&amp;F340</f>
        <v>339|15-01-2011|14</v>
      </c>
      <c r="U340" s="3">
        <f t="shared" si="20"/>
        <v>610</v>
      </c>
      <c r="V340" s="3">
        <f t="shared" si="21"/>
        <v>120.10000000000005</v>
      </c>
      <c r="W340" s="50">
        <f t="shared" si="22"/>
        <v>8.1303845032683911E-2</v>
      </c>
      <c r="X340" s="50">
        <f t="shared" si="23"/>
        <v>0.16514794964716251</v>
      </c>
    </row>
    <row r="341" spans="1:24" x14ac:dyDescent="0.2">
      <c r="A341" s="4">
        <v>340</v>
      </c>
      <c r="B341" s="4" t="s">
        <v>29</v>
      </c>
      <c r="C341" s="4">
        <v>1</v>
      </c>
      <c r="D341" s="4">
        <v>0</v>
      </c>
      <c r="E341" s="4">
        <v>1</v>
      </c>
      <c r="F341" s="4">
        <v>15</v>
      </c>
      <c r="G341" s="4" t="b">
        <v>0</v>
      </c>
      <c r="H341" s="4">
        <v>6</v>
      </c>
      <c r="I341" s="4">
        <v>2</v>
      </c>
      <c r="J341" s="4">
        <v>0.32</v>
      </c>
      <c r="K341" s="6" t="str">
        <f>IF(H341=0,"weekend",IF(H341=6,"weekend","weekend"))</f>
        <v>weekend</v>
      </c>
      <c r="L341" s="3" t="str">
        <f>IF(C341=1,"Spring",IF(C341=2,"Summer",IF(C341=3,"Fall","Winter")))</f>
        <v>Spring</v>
      </c>
      <c r="M341" s="3">
        <f>SUM(J341:J365)</f>
        <v>6.7999999999999989</v>
      </c>
      <c r="N341" s="3">
        <f>AVERAGE(J341:J950)</f>
        <v>0.18922509225092238</v>
      </c>
      <c r="O341" s="3">
        <f>COUNT(J341:J950)</f>
        <v>271</v>
      </c>
      <c r="P341" s="3" t="str">
        <f>TEXT(J341,"0.00")</f>
        <v>0.32</v>
      </c>
      <c r="Q341" s="3" t="str">
        <f>LEFT(L341,3)</f>
        <v>Spr</v>
      </c>
      <c r="R341" s="42" t="str">
        <f>RIGHT(L341,3)</f>
        <v>ing</v>
      </c>
      <c r="S341" s="42">
        <f>LEN(L341)</f>
        <v>6</v>
      </c>
      <c r="T341" s="3" t="str">
        <f>A341&amp;"|"&amp;B341&amp;"|"&amp;F341</f>
        <v>340|15-01-2011|15</v>
      </c>
      <c r="U341" s="3">
        <f t="shared" si="20"/>
        <v>610</v>
      </c>
      <c r="V341" s="3">
        <f t="shared" si="21"/>
        <v>120.10000000000005</v>
      </c>
      <c r="W341" s="50">
        <f t="shared" si="22"/>
        <v>8.1303845032683911E-2</v>
      </c>
      <c r="X341" s="50">
        <f t="shared" si="23"/>
        <v>0.16514794964716251</v>
      </c>
    </row>
    <row r="342" spans="1:24" x14ac:dyDescent="0.2">
      <c r="A342" s="4">
        <v>341</v>
      </c>
      <c r="B342" s="4" t="s">
        <v>29</v>
      </c>
      <c r="C342" s="4">
        <v>1</v>
      </c>
      <c r="D342" s="4">
        <v>0</v>
      </c>
      <c r="E342" s="4">
        <v>1</v>
      </c>
      <c r="F342" s="4">
        <v>16</v>
      </c>
      <c r="G342" s="4" t="b">
        <v>0</v>
      </c>
      <c r="H342" s="4">
        <v>6</v>
      </c>
      <c r="I342" s="4">
        <v>2</v>
      </c>
      <c r="J342" s="4">
        <v>0.34</v>
      </c>
      <c r="K342" s="6" t="str">
        <f>IF(H342=0,"weekend",IF(H342=6,"weekend","weekend"))</f>
        <v>weekend</v>
      </c>
      <c r="L342" s="3" t="str">
        <f>IF(C342=1,"Spring",IF(C342=2,"Summer",IF(C342=3,"Fall","Winter")))</f>
        <v>Spring</v>
      </c>
      <c r="M342" s="3">
        <f>SUM(J342:J366)</f>
        <v>6.72</v>
      </c>
      <c r="N342" s="3">
        <f>AVERAGE(J342:J951)</f>
        <v>0.18874074074074065</v>
      </c>
      <c r="O342" s="3">
        <f>COUNT(J342:J951)</f>
        <v>270</v>
      </c>
      <c r="P342" s="3" t="str">
        <f>TEXT(J342,"0.00")</f>
        <v>0.34</v>
      </c>
      <c r="Q342" s="3" t="str">
        <f>LEFT(L342,3)</f>
        <v>Spr</v>
      </c>
      <c r="R342" s="42" t="str">
        <f>RIGHT(L342,3)</f>
        <v>ing</v>
      </c>
      <c r="S342" s="42">
        <f>LEN(L342)</f>
        <v>6</v>
      </c>
      <c r="T342" s="3" t="str">
        <f>A342&amp;"|"&amp;B342&amp;"|"&amp;F342</f>
        <v>341|15-01-2011|16</v>
      </c>
      <c r="U342" s="3">
        <f t="shared" si="20"/>
        <v>610</v>
      </c>
      <c r="V342" s="3">
        <f t="shared" si="21"/>
        <v>120.10000000000005</v>
      </c>
      <c r="W342" s="50">
        <f t="shared" si="22"/>
        <v>8.1303845032683911E-2</v>
      </c>
      <c r="X342" s="50">
        <f t="shared" si="23"/>
        <v>0.16514794964716251</v>
      </c>
    </row>
    <row r="343" spans="1:24" x14ac:dyDescent="0.2">
      <c r="A343" s="4">
        <v>342</v>
      </c>
      <c r="B343" s="4" t="s">
        <v>29</v>
      </c>
      <c r="C343" s="4">
        <v>1</v>
      </c>
      <c r="D343" s="4">
        <v>0</v>
      </c>
      <c r="E343" s="4">
        <v>1</v>
      </c>
      <c r="F343" s="4">
        <v>17</v>
      </c>
      <c r="G343" s="4" t="b">
        <v>0</v>
      </c>
      <c r="H343" s="4">
        <v>6</v>
      </c>
      <c r="I343" s="4">
        <v>2</v>
      </c>
      <c r="J343" s="4">
        <v>0.32</v>
      </c>
      <c r="K343" s="6" t="str">
        <f>IF(H343=0,"weekend",IF(H343=6,"weekend","weekend"))</f>
        <v>weekend</v>
      </c>
      <c r="L343" s="3" t="str">
        <f>IF(C343=1,"Spring",IF(C343=2,"Summer",IF(C343=3,"Fall","Winter")))</f>
        <v>Spring</v>
      </c>
      <c r="M343" s="3">
        <f>SUM(J343:J367)</f>
        <v>6.6</v>
      </c>
      <c r="N343" s="3">
        <f>AVERAGE(J343:J952)</f>
        <v>0.18817843866170991</v>
      </c>
      <c r="O343" s="3">
        <f>COUNT(J343:J952)</f>
        <v>269</v>
      </c>
      <c r="P343" s="3" t="str">
        <f>TEXT(J343,"0.00")</f>
        <v>0.32</v>
      </c>
      <c r="Q343" s="3" t="str">
        <f>LEFT(L343,3)</f>
        <v>Spr</v>
      </c>
      <c r="R343" s="42" t="str">
        <f>RIGHT(L343,3)</f>
        <v>ing</v>
      </c>
      <c r="S343" s="42">
        <f>LEN(L343)</f>
        <v>6</v>
      </c>
      <c r="T343" s="3" t="str">
        <f>A343&amp;"|"&amp;B343&amp;"|"&amp;F343</f>
        <v>342|15-01-2011|17</v>
      </c>
      <c r="U343" s="3">
        <f t="shared" si="20"/>
        <v>610</v>
      </c>
      <c r="V343" s="3">
        <f t="shared" si="21"/>
        <v>120.10000000000005</v>
      </c>
      <c r="W343" s="50">
        <f t="shared" si="22"/>
        <v>8.1303845032683911E-2</v>
      </c>
      <c r="X343" s="50">
        <f t="shared" si="23"/>
        <v>0.16514794964716251</v>
      </c>
    </row>
    <row r="344" spans="1:24" x14ac:dyDescent="0.2">
      <c r="A344" s="4">
        <v>343</v>
      </c>
      <c r="B344" s="4" t="s">
        <v>29</v>
      </c>
      <c r="C344" s="4">
        <v>1</v>
      </c>
      <c r="D344" s="4">
        <v>0</v>
      </c>
      <c r="E344" s="4">
        <v>1</v>
      </c>
      <c r="F344" s="4">
        <v>18</v>
      </c>
      <c r="G344" s="4" t="b">
        <v>0</v>
      </c>
      <c r="H344" s="4">
        <v>6</v>
      </c>
      <c r="I344" s="4">
        <v>2</v>
      </c>
      <c r="J344" s="4">
        <v>0.3</v>
      </c>
      <c r="K344" s="6" t="str">
        <f>IF(H344=0,"weekend",IF(H344=6,"weekend","weekend"))</f>
        <v>weekend</v>
      </c>
      <c r="L344" s="3" t="str">
        <f>IF(C344=1,"Spring",IF(C344=2,"Summer",IF(C344=3,"Fall","Winter")))</f>
        <v>Spring</v>
      </c>
      <c r="M344" s="3">
        <f>SUM(J344:J368)</f>
        <v>6.4799999999999995</v>
      </c>
      <c r="N344" s="3">
        <f>AVERAGE(J344:J953)</f>
        <v>0.18768656716417897</v>
      </c>
      <c r="O344" s="3">
        <f>COUNT(J344:J953)</f>
        <v>268</v>
      </c>
      <c r="P344" s="3" t="str">
        <f>TEXT(J344,"0.00")</f>
        <v>0.30</v>
      </c>
      <c r="Q344" s="3" t="str">
        <f>LEFT(L344,3)</f>
        <v>Spr</v>
      </c>
      <c r="R344" s="42" t="str">
        <f>RIGHT(L344,3)</f>
        <v>ing</v>
      </c>
      <c r="S344" s="42">
        <f>LEN(L344)</f>
        <v>6</v>
      </c>
      <c r="T344" s="3" t="str">
        <f>A344&amp;"|"&amp;B344&amp;"|"&amp;F344</f>
        <v>343|15-01-2011|18</v>
      </c>
      <c r="U344" s="3">
        <f t="shared" si="20"/>
        <v>610</v>
      </c>
      <c r="V344" s="3">
        <f t="shared" si="21"/>
        <v>120.10000000000005</v>
      </c>
      <c r="W344" s="50">
        <f t="shared" si="22"/>
        <v>8.1303845032683911E-2</v>
      </c>
      <c r="X344" s="50">
        <f t="shared" si="23"/>
        <v>0.16514794964716251</v>
      </c>
    </row>
    <row r="345" spans="1:24" x14ac:dyDescent="0.2">
      <c r="A345" s="4">
        <v>344</v>
      </c>
      <c r="B345" s="4" t="s">
        <v>29</v>
      </c>
      <c r="C345" s="4">
        <v>1</v>
      </c>
      <c r="D345" s="4">
        <v>0</v>
      </c>
      <c r="E345" s="4">
        <v>1</v>
      </c>
      <c r="F345" s="4">
        <v>19</v>
      </c>
      <c r="G345" s="4" t="b">
        <v>0</v>
      </c>
      <c r="H345" s="4">
        <v>6</v>
      </c>
      <c r="I345" s="4">
        <v>2</v>
      </c>
      <c r="J345" s="4">
        <v>0.32</v>
      </c>
      <c r="K345" s="6" t="str">
        <f>IF(H345=0,"weekend",IF(H345=6,"weekend","weekend"))</f>
        <v>weekend</v>
      </c>
      <c r="L345" s="3" t="str">
        <f>IF(C345=1,"Spring",IF(C345=2,"Summer",IF(C345=3,"Fall","Winter")))</f>
        <v>Spring</v>
      </c>
      <c r="M345" s="3">
        <f>SUM(J345:J369)</f>
        <v>6.36</v>
      </c>
      <c r="N345" s="3">
        <f>AVERAGE(J345:J954)</f>
        <v>0.18726591760299613</v>
      </c>
      <c r="O345" s="3">
        <f>COUNT(J345:J954)</f>
        <v>267</v>
      </c>
      <c r="P345" s="3" t="str">
        <f>TEXT(J345,"0.00")</f>
        <v>0.32</v>
      </c>
      <c r="Q345" s="3" t="str">
        <f>LEFT(L345,3)</f>
        <v>Spr</v>
      </c>
      <c r="R345" s="42" t="str">
        <f>RIGHT(L345,3)</f>
        <v>ing</v>
      </c>
      <c r="S345" s="42">
        <f>LEN(L345)</f>
        <v>6</v>
      </c>
      <c r="T345" s="3" t="str">
        <f>A345&amp;"|"&amp;B345&amp;"|"&amp;F345</f>
        <v>344|15-01-2011|19</v>
      </c>
      <c r="U345" s="3">
        <f t="shared" si="20"/>
        <v>610</v>
      </c>
      <c r="V345" s="3">
        <f t="shared" si="21"/>
        <v>120.10000000000005</v>
      </c>
      <c r="W345" s="50">
        <f t="shared" si="22"/>
        <v>8.1303845032683911E-2</v>
      </c>
      <c r="X345" s="50">
        <f t="shared" si="23"/>
        <v>0.16514794964716251</v>
      </c>
    </row>
    <row r="346" spans="1:24" x14ac:dyDescent="0.2">
      <c r="A346" s="4">
        <v>345</v>
      </c>
      <c r="B346" s="4" t="s">
        <v>29</v>
      </c>
      <c r="C346" s="4">
        <v>1</v>
      </c>
      <c r="D346" s="4">
        <v>0</v>
      </c>
      <c r="E346" s="4">
        <v>1</v>
      </c>
      <c r="F346" s="4">
        <v>20</v>
      </c>
      <c r="G346" s="4" t="b">
        <v>0</v>
      </c>
      <c r="H346" s="4">
        <v>6</v>
      </c>
      <c r="I346" s="4">
        <v>2</v>
      </c>
      <c r="J346" s="4">
        <v>0.32</v>
      </c>
      <c r="K346" s="6" t="str">
        <f>IF(H346=0,"weekend",IF(H346=6,"weekend","weekend"))</f>
        <v>weekend</v>
      </c>
      <c r="L346" s="3" t="str">
        <f>IF(C346=1,"Spring",IF(C346=2,"Summer",IF(C346=3,"Fall","Winter")))</f>
        <v>Spring</v>
      </c>
      <c r="M346" s="3">
        <f>SUM(J346:J370)</f>
        <v>6.22</v>
      </c>
      <c r="N346" s="3">
        <f>AVERAGE(J346:J955)</f>
        <v>0.18676691729323297</v>
      </c>
      <c r="O346" s="3">
        <f>COUNT(J346:J955)</f>
        <v>266</v>
      </c>
      <c r="P346" s="3" t="str">
        <f>TEXT(J346,"0.00")</f>
        <v>0.32</v>
      </c>
      <c r="Q346" s="3" t="str">
        <f>LEFT(L346,3)</f>
        <v>Spr</v>
      </c>
      <c r="R346" s="42" t="str">
        <f>RIGHT(L346,3)</f>
        <v>ing</v>
      </c>
      <c r="S346" s="42">
        <f>LEN(L346)</f>
        <v>6</v>
      </c>
      <c r="T346" s="3" t="str">
        <f>A346&amp;"|"&amp;B346&amp;"|"&amp;F346</f>
        <v>345|15-01-2011|20</v>
      </c>
      <c r="U346" s="3">
        <f t="shared" si="20"/>
        <v>610</v>
      </c>
      <c r="V346" s="3">
        <f t="shared" si="21"/>
        <v>120.10000000000005</v>
      </c>
      <c r="W346" s="50">
        <f t="shared" si="22"/>
        <v>8.1303845032683911E-2</v>
      </c>
      <c r="X346" s="50">
        <f t="shared" si="23"/>
        <v>0.16514794964716251</v>
      </c>
    </row>
    <row r="347" spans="1:24" x14ac:dyDescent="0.2">
      <c r="A347" s="4">
        <v>346</v>
      </c>
      <c r="B347" s="4" t="s">
        <v>29</v>
      </c>
      <c r="C347" s="4">
        <v>1</v>
      </c>
      <c r="D347" s="4">
        <v>0</v>
      </c>
      <c r="E347" s="4">
        <v>1</v>
      </c>
      <c r="F347" s="4">
        <v>21</v>
      </c>
      <c r="G347" s="4" t="b">
        <v>0</v>
      </c>
      <c r="H347" s="4">
        <v>6</v>
      </c>
      <c r="I347" s="4">
        <v>2</v>
      </c>
      <c r="J347" s="4">
        <v>0.32</v>
      </c>
      <c r="K347" s="6" t="str">
        <f>IF(H347=0,"weekend",IF(H347=6,"weekend","weekend"))</f>
        <v>weekend</v>
      </c>
      <c r="L347" s="3" t="str">
        <f>IF(C347=1,"Spring",IF(C347=2,"Summer",IF(C347=3,"Fall","Winter")))</f>
        <v>Spring</v>
      </c>
      <c r="M347" s="3">
        <f>SUM(J347:J371)</f>
        <v>6.0799999999999992</v>
      </c>
      <c r="N347" s="3">
        <f>AVERAGE(J347:J956)</f>
        <v>0.18626415094339605</v>
      </c>
      <c r="O347" s="3">
        <f>COUNT(J347:J956)</f>
        <v>265</v>
      </c>
      <c r="P347" s="3" t="str">
        <f>TEXT(J347,"0.00")</f>
        <v>0.32</v>
      </c>
      <c r="Q347" s="3" t="str">
        <f>LEFT(L347,3)</f>
        <v>Spr</v>
      </c>
      <c r="R347" s="42" t="str">
        <f>RIGHT(L347,3)</f>
        <v>ing</v>
      </c>
      <c r="S347" s="42">
        <f>LEN(L347)</f>
        <v>6</v>
      </c>
      <c r="T347" s="3" t="str">
        <f>A347&amp;"|"&amp;B347&amp;"|"&amp;F347</f>
        <v>346|15-01-2011|21</v>
      </c>
      <c r="U347" s="3">
        <f t="shared" si="20"/>
        <v>610</v>
      </c>
      <c r="V347" s="3">
        <f t="shared" si="21"/>
        <v>120.10000000000005</v>
      </c>
      <c r="W347" s="50">
        <f t="shared" si="22"/>
        <v>8.1303845032683911E-2</v>
      </c>
      <c r="X347" s="50">
        <f t="shared" si="23"/>
        <v>0.16514794964716251</v>
      </c>
    </row>
    <row r="348" spans="1:24" x14ac:dyDescent="0.2">
      <c r="A348" s="4">
        <v>347</v>
      </c>
      <c r="B348" s="4" t="s">
        <v>29</v>
      </c>
      <c r="C348" s="4">
        <v>1</v>
      </c>
      <c r="D348" s="4">
        <v>0</v>
      </c>
      <c r="E348" s="4">
        <v>1</v>
      </c>
      <c r="F348" s="4">
        <v>22</v>
      </c>
      <c r="G348" s="4" t="b">
        <v>0</v>
      </c>
      <c r="H348" s="4">
        <v>6</v>
      </c>
      <c r="I348" s="4">
        <v>2</v>
      </c>
      <c r="J348" s="4">
        <v>0.3</v>
      </c>
      <c r="K348" s="6" t="str">
        <f>IF(H348=0,"weekend",IF(H348=6,"weekend","weekend"))</f>
        <v>weekend</v>
      </c>
      <c r="L348" s="3" t="str">
        <f>IF(C348=1,"Spring",IF(C348=2,"Summer",IF(C348=3,"Fall","Winter")))</f>
        <v>Spring</v>
      </c>
      <c r="M348" s="3">
        <f>SUM(J348:J372)</f>
        <v>5.96</v>
      </c>
      <c r="N348" s="3">
        <f>AVERAGE(J348:J957)</f>
        <v>0.18575757575757554</v>
      </c>
      <c r="O348" s="3">
        <f>COUNT(J348:J957)</f>
        <v>264</v>
      </c>
      <c r="P348" s="3" t="str">
        <f>TEXT(J348,"0.00")</f>
        <v>0.30</v>
      </c>
      <c r="Q348" s="3" t="str">
        <f>LEFT(L348,3)</f>
        <v>Spr</v>
      </c>
      <c r="R348" s="42" t="str">
        <f>RIGHT(L348,3)</f>
        <v>ing</v>
      </c>
      <c r="S348" s="42">
        <f>LEN(L348)</f>
        <v>6</v>
      </c>
      <c r="T348" s="3" t="str">
        <f>A348&amp;"|"&amp;B348&amp;"|"&amp;F348</f>
        <v>347|15-01-2011|22</v>
      </c>
      <c r="U348" s="3">
        <f t="shared" si="20"/>
        <v>610</v>
      </c>
      <c r="V348" s="3">
        <f t="shared" si="21"/>
        <v>120.10000000000005</v>
      </c>
      <c r="W348" s="50">
        <f t="shared" si="22"/>
        <v>8.1303845032683911E-2</v>
      </c>
      <c r="X348" s="50">
        <f t="shared" si="23"/>
        <v>0.16514794964716251</v>
      </c>
    </row>
    <row r="349" spans="1:24" x14ac:dyDescent="0.2">
      <c r="A349" s="4">
        <v>348</v>
      </c>
      <c r="B349" s="4" t="s">
        <v>29</v>
      </c>
      <c r="C349" s="4">
        <v>1</v>
      </c>
      <c r="D349" s="4">
        <v>0</v>
      </c>
      <c r="E349" s="4">
        <v>1</v>
      </c>
      <c r="F349" s="4">
        <v>23</v>
      </c>
      <c r="G349" s="4" t="b">
        <v>0</v>
      </c>
      <c r="H349" s="4">
        <v>6</v>
      </c>
      <c r="I349" s="4">
        <v>1</v>
      </c>
      <c r="J349" s="4">
        <v>0.3</v>
      </c>
      <c r="K349" s="6" t="str">
        <f>IF(H349=0,"weekend",IF(H349=6,"weekend","weekend"))</f>
        <v>weekend</v>
      </c>
      <c r="L349" s="3" t="str">
        <f>IF(C349=1,"Spring",IF(C349=2,"Summer",IF(C349=3,"Fall","Winter")))</f>
        <v>Spring</v>
      </c>
      <c r="M349" s="3">
        <f>SUM(J349:J373)</f>
        <v>5.86</v>
      </c>
      <c r="N349" s="3">
        <f>AVERAGE(J349:J958)</f>
        <v>0.1853231939163496</v>
      </c>
      <c r="O349" s="3">
        <f>COUNT(J349:J958)</f>
        <v>263</v>
      </c>
      <c r="P349" s="3" t="str">
        <f>TEXT(J349,"0.00")</f>
        <v>0.30</v>
      </c>
      <c r="Q349" s="3" t="str">
        <f>LEFT(L349,3)</f>
        <v>Spr</v>
      </c>
      <c r="R349" s="42" t="str">
        <f>RIGHT(L349,3)</f>
        <v>ing</v>
      </c>
      <c r="S349" s="42">
        <f>LEN(L349)</f>
        <v>6</v>
      </c>
      <c r="T349" s="3" t="str">
        <f>A349&amp;"|"&amp;B349&amp;"|"&amp;F349</f>
        <v>348|15-01-2011|23</v>
      </c>
      <c r="U349" s="3">
        <f t="shared" si="20"/>
        <v>610</v>
      </c>
      <c r="V349" s="3">
        <f t="shared" si="21"/>
        <v>120.10000000000005</v>
      </c>
      <c r="W349" s="50">
        <f t="shared" si="22"/>
        <v>8.1303845032683911E-2</v>
      </c>
      <c r="X349" s="50">
        <f t="shared" si="23"/>
        <v>0.16514794964716251</v>
      </c>
    </row>
    <row r="350" spans="1:24" x14ac:dyDescent="0.2">
      <c r="A350" s="4">
        <v>349</v>
      </c>
      <c r="B350" s="4" t="s">
        <v>30</v>
      </c>
      <c r="C350" s="4">
        <v>1</v>
      </c>
      <c r="D350" s="4">
        <v>0</v>
      </c>
      <c r="E350" s="4">
        <v>1</v>
      </c>
      <c r="F350" s="4">
        <v>0</v>
      </c>
      <c r="G350" s="4" t="b">
        <v>0</v>
      </c>
      <c r="H350" s="4">
        <v>0</v>
      </c>
      <c r="I350" s="4">
        <v>1</v>
      </c>
      <c r="J350" s="4">
        <v>0.26</v>
      </c>
      <c r="K350" s="6" t="str">
        <f>IF(H350=0,"weekend",IF(H350=6,"weekend","weekend"))</f>
        <v>weekend</v>
      </c>
      <c r="L350" s="3" t="str">
        <f>IF(C350=1,"Spring",IF(C350=2,"Summer",IF(C350=3,"Fall","Winter")))</f>
        <v>Spring</v>
      </c>
      <c r="M350" s="3">
        <f>SUM(J350:J374)</f>
        <v>5.7600000000000007</v>
      </c>
      <c r="N350" s="3">
        <f>AVERAGE(J350:J959)</f>
        <v>0.18488549618320591</v>
      </c>
      <c r="O350" s="3">
        <f>COUNT(J350:J959)</f>
        <v>262</v>
      </c>
      <c r="P350" s="3" t="str">
        <f>TEXT(J350,"0.00")</f>
        <v>0.26</v>
      </c>
      <c r="Q350" s="3" t="str">
        <f>LEFT(L350,3)</f>
        <v>Spr</v>
      </c>
      <c r="R350" s="42" t="str">
        <f>RIGHT(L350,3)</f>
        <v>ing</v>
      </c>
      <c r="S350" s="42">
        <f>LEN(L350)</f>
        <v>6</v>
      </c>
      <c r="T350" s="3" t="str">
        <f>A350&amp;"|"&amp;B350&amp;"|"&amp;F350</f>
        <v>349|16-01-2011|0</v>
      </c>
      <c r="U350" s="3">
        <f t="shared" si="20"/>
        <v>610</v>
      </c>
      <c r="V350" s="3">
        <f t="shared" si="21"/>
        <v>120.10000000000005</v>
      </c>
      <c r="W350" s="50">
        <f t="shared" si="22"/>
        <v>8.1303845032683911E-2</v>
      </c>
      <c r="X350" s="50">
        <f t="shared" si="23"/>
        <v>0.16514794964716251</v>
      </c>
    </row>
    <row r="351" spans="1:24" x14ac:dyDescent="0.2">
      <c r="A351" s="4">
        <v>350</v>
      </c>
      <c r="B351" s="4" t="s">
        <v>30</v>
      </c>
      <c r="C351" s="4">
        <v>1</v>
      </c>
      <c r="D351" s="4">
        <v>0</v>
      </c>
      <c r="E351" s="4">
        <v>1</v>
      </c>
      <c r="F351" s="4">
        <v>1</v>
      </c>
      <c r="G351" s="4" t="b">
        <v>0</v>
      </c>
      <c r="H351" s="4">
        <v>0</v>
      </c>
      <c r="I351" s="4">
        <v>1</v>
      </c>
      <c r="J351" s="4">
        <v>0.26</v>
      </c>
      <c r="K351" s="6" t="str">
        <f>IF(H351=0,"weekend",IF(H351=6,"weekend","weekend"))</f>
        <v>weekend</v>
      </c>
      <c r="L351" s="3" t="str">
        <f>IF(C351=1,"Spring",IF(C351=2,"Summer",IF(C351=3,"Fall","Winter")))</f>
        <v>Spring</v>
      </c>
      <c r="M351" s="3">
        <f>SUM(J351:J375)</f>
        <v>5.7</v>
      </c>
      <c r="N351" s="3">
        <f>AVERAGE(J351:J960)</f>
        <v>0.18459770114942511</v>
      </c>
      <c r="O351" s="3">
        <f>COUNT(J351:J960)</f>
        <v>261</v>
      </c>
      <c r="P351" s="3" t="str">
        <f>TEXT(J351,"0.00")</f>
        <v>0.26</v>
      </c>
      <c r="Q351" s="3" t="str">
        <f>LEFT(L351,3)</f>
        <v>Spr</v>
      </c>
      <c r="R351" s="42" t="str">
        <f>RIGHT(L351,3)</f>
        <v>ing</v>
      </c>
      <c r="S351" s="42">
        <f>LEN(L351)</f>
        <v>6</v>
      </c>
      <c r="T351" s="3" t="str">
        <f>A351&amp;"|"&amp;B351&amp;"|"&amp;F351</f>
        <v>350|16-01-2011|1</v>
      </c>
      <c r="U351" s="3">
        <f t="shared" si="20"/>
        <v>610</v>
      </c>
      <c r="V351" s="3">
        <f t="shared" si="21"/>
        <v>120.10000000000005</v>
      </c>
      <c r="W351" s="50">
        <f t="shared" si="22"/>
        <v>8.1303845032683911E-2</v>
      </c>
      <c r="X351" s="50">
        <f t="shared" si="23"/>
        <v>0.16514794964716251</v>
      </c>
    </row>
    <row r="352" spans="1:24" x14ac:dyDescent="0.2">
      <c r="A352" s="4">
        <v>351</v>
      </c>
      <c r="B352" s="4" t="s">
        <v>30</v>
      </c>
      <c r="C352" s="4">
        <v>1</v>
      </c>
      <c r="D352" s="4">
        <v>0</v>
      </c>
      <c r="E352" s="4">
        <v>1</v>
      </c>
      <c r="F352" s="4">
        <v>2</v>
      </c>
      <c r="G352" s="4" t="b">
        <v>0</v>
      </c>
      <c r="H352" s="4">
        <v>0</v>
      </c>
      <c r="I352" s="4">
        <v>1</v>
      </c>
      <c r="J352" s="4">
        <v>0.26</v>
      </c>
      <c r="K352" s="6" t="str">
        <f>IF(H352=0,"weekend",IF(H352=6,"weekend","weekend"))</f>
        <v>weekend</v>
      </c>
      <c r="L352" s="3" t="str">
        <f>IF(C352=1,"Spring",IF(C352=2,"Summer",IF(C352=3,"Fall","Winter")))</f>
        <v>Spring</v>
      </c>
      <c r="M352" s="3">
        <f>SUM(J352:J376)</f>
        <v>5.62</v>
      </c>
      <c r="N352" s="3">
        <f>AVERAGE(J352:J961)</f>
        <v>0.18430769230769217</v>
      </c>
      <c r="O352" s="3">
        <f>COUNT(J352:J961)</f>
        <v>260</v>
      </c>
      <c r="P352" s="3" t="str">
        <f>TEXT(J352,"0.00")</f>
        <v>0.26</v>
      </c>
      <c r="Q352" s="3" t="str">
        <f>LEFT(L352,3)</f>
        <v>Spr</v>
      </c>
      <c r="R352" s="42" t="str">
        <f>RIGHT(L352,3)</f>
        <v>ing</v>
      </c>
      <c r="S352" s="42">
        <f>LEN(L352)</f>
        <v>6</v>
      </c>
      <c r="T352" s="3" t="str">
        <f>A352&amp;"|"&amp;B352&amp;"|"&amp;F352</f>
        <v>351|16-01-2011|2</v>
      </c>
      <c r="U352" s="3">
        <f t="shared" si="20"/>
        <v>610</v>
      </c>
      <c r="V352" s="3">
        <f t="shared" si="21"/>
        <v>120.10000000000005</v>
      </c>
      <c r="W352" s="50">
        <f t="shared" si="22"/>
        <v>8.1303845032683911E-2</v>
      </c>
      <c r="X352" s="50">
        <f t="shared" si="23"/>
        <v>0.16514794964716251</v>
      </c>
    </row>
    <row r="353" spans="1:24" x14ac:dyDescent="0.2">
      <c r="A353" s="4">
        <v>352</v>
      </c>
      <c r="B353" s="4" t="s">
        <v>30</v>
      </c>
      <c r="C353" s="4">
        <v>1</v>
      </c>
      <c r="D353" s="4">
        <v>0</v>
      </c>
      <c r="E353" s="4">
        <v>1</v>
      </c>
      <c r="F353" s="4">
        <v>3</v>
      </c>
      <c r="G353" s="4" t="b">
        <v>0</v>
      </c>
      <c r="H353" s="4">
        <v>0</v>
      </c>
      <c r="I353" s="4">
        <v>1</v>
      </c>
      <c r="J353" s="4">
        <v>0.22</v>
      </c>
      <c r="K353" s="6" t="str">
        <f>IF(H353=0,"weekend",IF(H353=6,"weekend","weekend"))</f>
        <v>weekend</v>
      </c>
      <c r="L353" s="3" t="str">
        <f>IF(C353=1,"Spring",IF(C353=2,"Summer",IF(C353=3,"Fall","Winter")))</f>
        <v>Spring</v>
      </c>
      <c r="M353" s="3">
        <f>SUM(J353:J377)</f>
        <v>5.54</v>
      </c>
      <c r="N353" s="3">
        <f>AVERAGE(J353:J962)</f>
        <v>0.18401544401544392</v>
      </c>
      <c r="O353" s="3">
        <f>COUNT(J353:J962)</f>
        <v>259</v>
      </c>
      <c r="P353" s="3" t="str">
        <f>TEXT(J353,"0.00")</f>
        <v>0.22</v>
      </c>
      <c r="Q353" s="3" t="str">
        <f>LEFT(L353,3)</f>
        <v>Spr</v>
      </c>
      <c r="R353" s="42" t="str">
        <f>RIGHT(L353,3)</f>
        <v>ing</v>
      </c>
      <c r="S353" s="42">
        <f>LEN(L353)</f>
        <v>6</v>
      </c>
      <c r="T353" s="3" t="str">
        <f>A353&amp;"|"&amp;B353&amp;"|"&amp;F353</f>
        <v>352|16-01-2011|3</v>
      </c>
      <c r="U353" s="3">
        <f t="shared" si="20"/>
        <v>610</v>
      </c>
      <c r="V353" s="3">
        <f t="shared" si="21"/>
        <v>120.10000000000005</v>
      </c>
      <c r="W353" s="50">
        <f t="shared" si="22"/>
        <v>8.1303845032683911E-2</v>
      </c>
      <c r="X353" s="50">
        <f t="shared" si="23"/>
        <v>0.16514794964716251</v>
      </c>
    </row>
    <row r="354" spans="1:24" x14ac:dyDescent="0.2">
      <c r="A354" s="4">
        <v>353</v>
      </c>
      <c r="B354" s="4" t="s">
        <v>30</v>
      </c>
      <c r="C354" s="4">
        <v>1</v>
      </c>
      <c r="D354" s="4">
        <v>0</v>
      </c>
      <c r="E354" s="4">
        <v>1</v>
      </c>
      <c r="F354" s="4">
        <v>4</v>
      </c>
      <c r="G354" s="4" t="b">
        <v>0</v>
      </c>
      <c r="H354" s="4">
        <v>0</v>
      </c>
      <c r="I354" s="4">
        <v>1</v>
      </c>
      <c r="J354" s="4">
        <v>0.26</v>
      </c>
      <c r="K354" s="6" t="str">
        <f>IF(H354=0,"weekend",IF(H354=6,"weekend","weekend"))</f>
        <v>weekend</v>
      </c>
      <c r="L354" s="3" t="str">
        <f>IF(C354=1,"Spring",IF(C354=2,"Summer",IF(C354=3,"Fall","Winter")))</f>
        <v>Spring</v>
      </c>
      <c r="M354" s="3">
        <f>SUM(J354:J378)</f>
        <v>5.5000000000000009</v>
      </c>
      <c r="N354" s="3">
        <f>AVERAGE(J354:J963)</f>
        <v>0.18387596899224798</v>
      </c>
      <c r="O354" s="3">
        <f>COUNT(J354:J963)</f>
        <v>258</v>
      </c>
      <c r="P354" s="3" t="str">
        <f>TEXT(J354,"0.00")</f>
        <v>0.26</v>
      </c>
      <c r="Q354" s="3" t="str">
        <f>LEFT(L354,3)</f>
        <v>Spr</v>
      </c>
      <c r="R354" s="42" t="str">
        <f>RIGHT(L354,3)</f>
        <v>ing</v>
      </c>
      <c r="S354" s="42">
        <f>LEN(L354)</f>
        <v>6</v>
      </c>
      <c r="T354" s="3" t="str">
        <f>A354&amp;"|"&amp;B354&amp;"|"&amp;F354</f>
        <v>353|16-01-2011|4</v>
      </c>
      <c r="U354" s="3">
        <f t="shared" si="20"/>
        <v>610</v>
      </c>
      <c r="V354" s="3">
        <f t="shared" si="21"/>
        <v>120.10000000000005</v>
      </c>
      <c r="W354" s="50">
        <f t="shared" si="22"/>
        <v>8.1303845032683911E-2</v>
      </c>
      <c r="X354" s="50">
        <f t="shared" si="23"/>
        <v>0.16514794964716251</v>
      </c>
    </row>
    <row r="355" spans="1:24" x14ac:dyDescent="0.2">
      <c r="A355" s="4">
        <v>354</v>
      </c>
      <c r="B355" s="4" t="s">
        <v>30</v>
      </c>
      <c r="C355" s="4">
        <v>1</v>
      </c>
      <c r="D355" s="4">
        <v>0</v>
      </c>
      <c r="E355" s="4">
        <v>1</v>
      </c>
      <c r="F355" s="4">
        <v>5</v>
      </c>
      <c r="G355" s="4" t="b">
        <v>0</v>
      </c>
      <c r="H355" s="4">
        <v>0</v>
      </c>
      <c r="I355" s="4">
        <v>2</v>
      </c>
      <c r="J355" s="4">
        <v>0.26</v>
      </c>
      <c r="K355" s="6" t="str">
        <f>IF(H355=0,"weekend",IF(H355=6,"weekend","weekend"))</f>
        <v>weekend</v>
      </c>
      <c r="L355" s="3" t="str">
        <f>IF(C355=1,"Spring",IF(C355=2,"Summer",IF(C355=3,"Fall","Winter")))</f>
        <v>Spring</v>
      </c>
      <c r="M355" s="3">
        <f>SUM(J355:J379)</f>
        <v>5.4200000000000008</v>
      </c>
      <c r="N355" s="3">
        <f>AVERAGE(J355:J964)</f>
        <v>0.18357976653696487</v>
      </c>
      <c r="O355" s="3">
        <f>COUNT(J355:J964)</f>
        <v>257</v>
      </c>
      <c r="P355" s="3" t="str">
        <f>TEXT(J355,"0.00")</f>
        <v>0.26</v>
      </c>
      <c r="Q355" s="3" t="str">
        <f>LEFT(L355,3)</f>
        <v>Spr</v>
      </c>
      <c r="R355" s="42" t="str">
        <f>RIGHT(L355,3)</f>
        <v>ing</v>
      </c>
      <c r="S355" s="42">
        <f>LEN(L355)</f>
        <v>6</v>
      </c>
      <c r="T355" s="3" t="str">
        <f>A355&amp;"|"&amp;B355&amp;"|"&amp;F355</f>
        <v>354|16-01-2011|5</v>
      </c>
      <c r="U355" s="3">
        <f t="shared" si="20"/>
        <v>610</v>
      </c>
      <c r="V355" s="3">
        <f t="shared" si="21"/>
        <v>120.10000000000005</v>
      </c>
      <c r="W355" s="50">
        <f t="shared" si="22"/>
        <v>8.1303845032683911E-2</v>
      </c>
      <c r="X355" s="50">
        <f t="shared" si="23"/>
        <v>0.16514794964716251</v>
      </c>
    </row>
    <row r="356" spans="1:24" x14ac:dyDescent="0.2">
      <c r="A356" s="4">
        <v>355</v>
      </c>
      <c r="B356" s="4" t="s">
        <v>30</v>
      </c>
      <c r="C356" s="4">
        <v>1</v>
      </c>
      <c r="D356" s="4">
        <v>0</v>
      </c>
      <c r="E356" s="4">
        <v>1</v>
      </c>
      <c r="F356" s="4">
        <v>6</v>
      </c>
      <c r="G356" s="4" t="b">
        <v>0</v>
      </c>
      <c r="H356" s="4">
        <v>0</v>
      </c>
      <c r="I356" s="4">
        <v>2</v>
      </c>
      <c r="J356" s="4">
        <v>0.26</v>
      </c>
      <c r="K356" s="6" t="str">
        <f>IF(H356=0,"weekend",IF(H356=6,"weekend","weekend"))</f>
        <v>weekend</v>
      </c>
      <c r="L356" s="3" t="str">
        <f>IF(C356=1,"Spring",IF(C356=2,"Summer",IF(C356=3,"Fall","Winter")))</f>
        <v>Spring</v>
      </c>
      <c r="M356" s="3">
        <f>SUM(J356:J380)</f>
        <v>5.34</v>
      </c>
      <c r="N356" s="3">
        <f>AVERAGE(J356:J965)</f>
        <v>0.18328124999999981</v>
      </c>
      <c r="O356" s="3">
        <f>COUNT(J356:J965)</f>
        <v>256</v>
      </c>
      <c r="P356" s="3" t="str">
        <f>TEXT(J356,"0.00")</f>
        <v>0.26</v>
      </c>
      <c r="Q356" s="3" t="str">
        <f>LEFT(L356,3)</f>
        <v>Spr</v>
      </c>
      <c r="R356" s="42" t="str">
        <f>RIGHT(L356,3)</f>
        <v>ing</v>
      </c>
      <c r="S356" s="42">
        <f>LEN(L356)</f>
        <v>6</v>
      </c>
      <c r="T356" s="3" t="str">
        <f>A356&amp;"|"&amp;B356&amp;"|"&amp;F356</f>
        <v>355|16-01-2011|6</v>
      </c>
      <c r="U356" s="3">
        <f t="shared" si="20"/>
        <v>610</v>
      </c>
      <c r="V356" s="3">
        <f t="shared" si="21"/>
        <v>120.10000000000005</v>
      </c>
      <c r="W356" s="50">
        <f t="shared" si="22"/>
        <v>8.1303845032683911E-2</v>
      </c>
      <c r="X356" s="50">
        <f t="shared" si="23"/>
        <v>0.16514794964716251</v>
      </c>
    </row>
    <row r="357" spans="1:24" x14ac:dyDescent="0.2">
      <c r="A357" s="4">
        <v>356</v>
      </c>
      <c r="B357" s="4" t="s">
        <v>30</v>
      </c>
      <c r="C357" s="4">
        <v>1</v>
      </c>
      <c r="D357" s="4">
        <v>0</v>
      </c>
      <c r="E357" s="4">
        <v>1</v>
      </c>
      <c r="F357" s="4">
        <v>7</v>
      </c>
      <c r="G357" s="4" t="b">
        <v>0</v>
      </c>
      <c r="H357" s="4">
        <v>0</v>
      </c>
      <c r="I357" s="4">
        <v>2</v>
      </c>
      <c r="J357" s="4">
        <v>0.24</v>
      </c>
      <c r="K357" s="6" t="str">
        <f>IF(H357=0,"weekend",IF(H357=6,"weekend","weekend"))</f>
        <v>weekend</v>
      </c>
      <c r="L357" s="3" t="str">
        <f>IF(C357=1,"Spring",IF(C357=2,"Summer",IF(C357=3,"Fall","Winter")))</f>
        <v>Spring</v>
      </c>
      <c r="M357" s="3">
        <f>SUM(J357:J381)</f>
        <v>5.24</v>
      </c>
      <c r="N357" s="3">
        <f>AVERAGE(J357:J966)</f>
        <v>0.18298039215686257</v>
      </c>
      <c r="O357" s="3">
        <f>COUNT(J357:J966)</f>
        <v>255</v>
      </c>
      <c r="P357" s="3" t="str">
        <f>TEXT(J357,"0.00")</f>
        <v>0.24</v>
      </c>
      <c r="Q357" s="3" t="str">
        <f>LEFT(L357,3)</f>
        <v>Spr</v>
      </c>
      <c r="R357" s="42" t="str">
        <f>RIGHT(L357,3)</f>
        <v>ing</v>
      </c>
      <c r="S357" s="42">
        <f>LEN(L357)</f>
        <v>6</v>
      </c>
      <c r="T357" s="3" t="str">
        <f>A357&amp;"|"&amp;B357&amp;"|"&amp;F357</f>
        <v>356|16-01-2011|7</v>
      </c>
      <c r="U357" s="3">
        <f t="shared" si="20"/>
        <v>610</v>
      </c>
      <c r="V357" s="3">
        <f t="shared" si="21"/>
        <v>120.10000000000005</v>
      </c>
      <c r="W357" s="50">
        <f t="shared" si="22"/>
        <v>8.1303845032683911E-2</v>
      </c>
      <c r="X357" s="50">
        <f t="shared" si="23"/>
        <v>0.16514794964716251</v>
      </c>
    </row>
    <row r="358" spans="1:24" x14ac:dyDescent="0.2">
      <c r="A358" s="4">
        <v>357</v>
      </c>
      <c r="B358" s="4" t="s">
        <v>30</v>
      </c>
      <c r="C358" s="4">
        <v>1</v>
      </c>
      <c r="D358" s="4">
        <v>0</v>
      </c>
      <c r="E358" s="4">
        <v>1</v>
      </c>
      <c r="F358" s="4">
        <v>8</v>
      </c>
      <c r="G358" s="4" t="b">
        <v>0</v>
      </c>
      <c r="H358" s="4">
        <v>0</v>
      </c>
      <c r="I358" s="4">
        <v>1</v>
      </c>
      <c r="J358" s="4">
        <v>0.22</v>
      </c>
      <c r="K358" s="6" t="str">
        <f>IF(H358=0,"weekend",IF(H358=6,"weekend","weekend"))</f>
        <v>weekend</v>
      </c>
      <c r="L358" s="3" t="str">
        <f>IF(C358=1,"Spring",IF(C358=2,"Summer",IF(C358=3,"Fall","Winter")))</f>
        <v>Spring</v>
      </c>
      <c r="M358" s="3">
        <f>SUM(J358:J382)</f>
        <v>5.160000000000001</v>
      </c>
      <c r="N358" s="3">
        <f>AVERAGE(J358:J967)</f>
        <v>0.18275590551181084</v>
      </c>
      <c r="O358" s="3">
        <f>COUNT(J358:J967)</f>
        <v>254</v>
      </c>
      <c r="P358" s="3" t="str">
        <f>TEXT(J358,"0.00")</f>
        <v>0.22</v>
      </c>
      <c r="Q358" s="3" t="str">
        <f>LEFT(L358,3)</f>
        <v>Spr</v>
      </c>
      <c r="R358" s="42" t="str">
        <f>RIGHT(L358,3)</f>
        <v>ing</v>
      </c>
      <c r="S358" s="42">
        <f>LEN(L358)</f>
        <v>6</v>
      </c>
      <c r="T358" s="3" t="str">
        <f>A358&amp;"|"&amp;B358&amp;"|"&amp;F358</f>
        <v>357|16-01-2011|8</v>
      </c>
      <c r="U358" s="3">
        <f t="shared" si="20"/>
        <v>610</v>
      </c>
      <c r="V358" s="3">
        <f t="shared" si="21"/>
        <v>120.10000000000005</v>
      </c>
      <c r="W358" s="50">
        <f t="shared" si="22"/>
        <v>8.1303845032683911E-2</v>
      </c>
      <c r="X358" s="50">
        <f t="shared" si="23"/>
        <v>0.16514794964716251</v>
      </c>
    </row>
    <row r="359" spans="1:24" x14ac:dyDescent="0.2">
      <c r="A359" s="4">
        <v>358</v>
      </c>
      <c r="B359" s="4" t="s">
        <v>30</v>
      </c>
      <c r="C359" s="4">
        <v>1</v>
      </c>
      <c r="D359" s="4">
        <v>0</v>
      </c>
      <c r="E359" s="4">
        <v>1</v>
      </c>
      <c r="F359" s="4">
        <v>9</v>
      </c>
      <c r="G359" s="4" t="b">
        <v>0</v>
      </c>
      <c r="H359" s="4">
        <v>0</v>
      </c>
      <c r="I359" s="4">
        <v>1</v>
      </c>
      <c r="J359" s="4">
        <v>0.22</v>
      </c>
      <c r="K359" s="6" t="str">
        <f>IF(H359=0,"weekend",IF(H359=6,"weekend","weekend"))</f>
        <v>weekend</v>
      </c>
      <c r="L359" s="3" t="str">
        <f>IF(C359=1,"Spring",IF(C359=2,"Summer",IF(C359=3,"Fall","Winter")))</f>
        <v>Spring</v>
      </c>
      <c r="M359" s="3">
        <f>SUM(J359:J383)</f>
        <v>5.1000000000000014</v>
      </c>
      <c r="N359" s="3">
        <f>AVERAGE(J359:J968)</f>
        <v>0.18260869565217375</v>
      </c>
      <c r="O359" s="3">
        <f>COUNT(J359:J968)</f>
        <v>253</v>
      </c>
      <c r="P359" s="3" t="str">
        <f>TEXT(J359,"0.00")</f>
        <v>0.22</v>
      </c>
      <c r="Q359" s="3" t="str">
        <f>LEFT(L359,3)</f>
        <v>Spr</v>
      </c>
      <c r="R359" s="42" t="str">
        <f>RIGHT(L359,3)</f>
        <v>ing</v>
      </c>
      <c r="S359" s="42">
        <f>LEN(L359)</f>
        <v>6</v>
      </c>
      <c r="T359" s="3" t="str">
        <f>A359&amp;"|"&amp;B359&amp;"|"&amp;F359</f>
        <v>358|16-01-2011|9</v>
      </c>
      <c r="U359" s="3">
        <f t="shared" si="20"/>
        <v>610</v>
      </c>
      <c r="V359" s="3">
        <f t="shared" si="21"/>
        <v>120.10000000000005</v>
      </c>
      <c r="W359" s="50">
        <f t="shared" si="22"/>
        <v>8.1303845032683911E-2</v>
      </c>
      <c r="X359" s="50">
        <f t="shared" si="23"/>
        <v>0.16514794964716251</v>
      </c>
    </row>
    <row r="360" spans="1:24" x14ac:dyDescent="0.2">
      <c r="A360" s="4">
        <v>359</v>
      </c>
      <c r="B360" s="4" t="s">
        <v>30</v>
      </c>
      <c r="C360" s="4">
        <v>1</v>
      </c>
      <c r="D360" s="4">
        <v>0</v>
      </c>
      <c r="E360" s="4">
        <v>1</v>
      </c>
      <c r="F360" s="4">
        <v>10</v>
      </c>
      <c r="G360" s="4" t="b">
        <v>0</v>
      </c>
      <c r="H360" s="4">
        <v>0</v>
      </c>
      <c r="I360" s="4">
        <v>1</v>
      </c>
      <c r="J360" s="4">
        <v>0.22</v>
      </c>
      <c r="K360" s="6" t="str">
        <f>IF(H360=0,"weekend",IF(H360=6,"weekend","weekend"))</f>
        <v>weekend</v>
      </c>
      <c r="L360" s="3" t="str">
        <f>IF(C360=1,"Spring",IF(C360=2,"Summer",IF(C360=3,"Fall","Winter")))</f>
        <v>Spring</v>
      </c>
      <c r="M360" s="3">
        <f>SUM(J360:J384)</f>
        <v>5.0400000000000018</v>
      </c>
      <c r="N360" s="3">
        <f>AVERAGE(J360:J969)</f>
        <v>0.1824603174603173</v>
      </c>
      <c r="O360" s="3">
        <f>COUNT(J360:J969)</f>
        <v>252</v>
      </c>
      <c r="P360" s="3" t="str">
        <f>TEXT(J360,"0.00")</f>
        <v>0.22</v>
      </c>
      <c r="Q360" s="3" t="str">
        <f>LEFT(L360,3)</f>
        <v>Spr</v>
      </c>
      <c r="R360" s="42" t="str">
        <f>RIGHT(L360,3)</f>
        <v>ing</v>
      </c>
      <c r="S360" s="42">
        <f>LEN(L360)</f>
        <v>6</v>
      </c>
      <c r="T360" s="3" t="str">
        <f>A360&amp;"|"&amp;B360&amp;"|"&amp;F360</f>
        <v>359|16-01-2011|10</v>
      </c>
      <c r="U360" s="3">
        <f t="shared" si="20"/>
        <v>610</v>
      </c>
      <c r="V360" s="3">
        <f t="shared" si="21"/>
        <v>120.10000000000005</v>
      </c>
      <c r="W360" s="50">
        <f t="shared" si="22"/>
        <v>8.1303845032683911E-2</v>
      </c>
      <c r="X360" s="50">
        <f t="shared" si="23"/>
        <v>0.16514794964716251</v>
      </c>
    </row>
    <row r="361" spans="1:24" x14ac:dyDescent="0.2">
      <c r="A361" s="4">
        <v>360</v>
      </c>
      <c r="B361" s="4" t="s">
        <v>30</v>
      </c>
      <c r="C361" s="4">
        <v>1</v>
      </c>
      <c r="D361" s="4">
        <v>0</v>
      </c>
      <c r="E361" s="4">
        <v>1</v>
      </c>
      <c r="F361" s="4">
        <v>11</v>
      </c>
      <c r="G361" s="4" t="b">
        <v>0</v>
      </c>
      <c r="H361" s="4">
        <v>0</v>
      </c>
      <c r="I361" s="4">
        <v>1</v>
      </c>
      <c r="J361" s="4">
        <v>0.24</v>
      </c>
      <c r="K361" s="6" t="str">
        <f>IF(H361=0,"weekend",IF(H361=6,"weekend","weekend"))</f>
        <v>weekend</v>
      </c>
      <c r="L361" s="3" t="str">
        <f>IF(C361=1,"Spring",IF(C361=2,"Summer",IF(C361=3,"Fall","Winter")))</f>
        <v>Spring</v>
      </c>
      <c r="M361" s="3">
        <f>SUM(J361:J385)</f>
        <v>4.9800000000000022</v>
      </c>
      <c r="N361" s="3">
        <f>AVERAGE(J361:J970)</f>
        <v>0.18231075697211141</v>
      </c>
      <c r="O361" s="3">
        <f>COUNT(J361:J970)</f>
        <v>251</v>
      </c>
      <c r="P361" s="3" t="str">
        <f>TEXT(J361,"0.00")</f>
        <v>0.24</v>
      </c>
      <c r="Q361" s="3" t="str">
        <f>LEFT(L361,3)</f>
        <v>Spr</v>
      </c>
      <c r="R361" s="42" t="str">
        <f>RIGHT(L361,3)</f>
        <v>ing</v>
      </c>
      <c r="S361" s="42">
        <f>LEN(L361)</f>
        <v>6</v>
      </c>
      <c r="T361" s="3" t="str">
        <f>A361&amp;"|"&amp;B361&amp;"|"&amp;F361</f>
        <v>360|16-01-2011|11</v>
      </c>
      <c r="U361" s="3">
        <f t="shared" si="20"/>
        <v>610</v>
      </c>
      <c r="V361" s="3">
        <f t="shared" si="21"/>
        <v>120.10000000000005</v>
      </c>
      <c r="W361" s="50">
        <f t="shared" si="22"/>
        <v>8.1303845032683911E-2</v>
      </c>
      <c r="X361" s="50">
        <f t="shared" si="23"/>
        <v>0.16514794964716251</v>
      </c>
    </row>
    <row r="362" spans="1:24" x14ac:dyDescent="0.2">
      <c r="A362" s="4">
        <v>361</v>
      </c>
      <c r="B362" s="4" t="s">
        <v>30</v>
      </c>
      <c r="C362" s="4">
        <v>1</v>
      </c>
      <c r="D362" s="4">
        <v>0</v>
      </c>
      <c r="E362" s="4">
        <v>1</v>
      </c>
      <c r="F362" s="4">
        <v>12</v>
      </c>
      <c r="G362" s="4" t="b">
        <v>0</v>
      </c>
      <c r="H362" s="4">
        <v>0</v>
      </c>
      <c r="I362" s="4">
        <v>1</v>
      </c>
      <c r="J362" s="4">
        <v>0.24</v>
      </c>
      <c r="K362" s="6" t="str">
        <f>IF(H362=0,"weekend",IF(H362=6,"weekend","weekend"))</f>
        <v>weekend</v>
      </c>
      <c r="L362" s="3" t="str">
        <f>IF(C362=1,"Spring",IF(C362=2,"Summer",IF(C362=3,"Fall","Winter")))</f>
        <v>Spring</v>
      </c>
      <c r="M362" s="3">
        <f>SUM(J362:J386)</f>
        <v>4.9200000000000017</v>
      </c>
      <c r="N362" s="3">
        <f>AVERAGE(J362:J971)</f>
        <v>0.18207999999999985</v>
      </c>
      <c r="O362" s="3">
        <f>COUNT(J362:J971)</f>
        <v>250</v>
      </c>
      <c r="P362" s="3" t="str">
        <f>TEXT(J362,"0.00")</f>
        <v>0.24</v>
      </c>
      <c r="Q362" s="3" t="str">
        <f>LEFT(L362,3)</f>
        <v>Spr</v>
      </c>
      <c r="R362" s="42" t="str">
        <f>RIGHT(L362,3)</f>
        <v>ing</v>
      </c>
      <c r="S362" s="42">
        <f>LEN(L362)</f>
        <v>6</v>
      </c>
      <c r="T362" s="3" t="str">
        <f>A362&amp;"|"&amp;B362&amp;"|"&amp;F362</f>
        <v>361|16-01-2011|12</v>
      </c>
      <c r="U362" s="3">
        <f t="shared" si="20"/>
        <v>610</v>
      </c>
      <c r="V362" s="3">
        <f t="shared" si="21"/>
        <v>120.10000000000005</v>
      </c>
      <c r="W362" s="50">
        <f t="shared" si="22"/>
        <v>8.1303845032683911E-2</v>
      </c>
      <c r="X362" s="50">
        <f t="shared" si="23"/>
        <v>0.16514794964716251</v>
      </c>
    </row>
    <row r="363" spans="1:24" x14ac:dyDescent="0.2">
      <c r="A363" s="4">
        <v>362</v>
      </c>
      <c r="B363" s="4" t="s">
        <v>30</v>
      </c>
      <c r="C363" s="4">
        <v>1</v>
      </c>
      <c r="D363" s="4">
        <v>0</v>
      </c>
      <c r="E363" s="4">
        <v>1</v>
      </c>
      <c r="F363" s="4">
        <v>13</v>
      </c>
      <c r="G363" s="4" t="b">
        <v>0</v>
      </c>
      <c r="H363" s="4">
        <v>0</v>
      </c>
      <c r="I363" s="4">
        <v>1</v>
      </c>
      <c r="J363" s="4">
        <v>0.26</v>
      </c>
      <c r="K363" s="6" t="str">
        <f>IF(H363=0,"weekend",IF(H363=6,"weekend","weekend"))</f>
        <v>weekend</v>
      </c>
      <c r="L363" s="3" t="str">
        <f>IF(C363=1,"Spring",IF(C363=2,"Summer",IF(C363=3,"Fall","Winter")))</f>
        <v>Spring</v>
      </c>
      <c r="M363" s="3">
        <f>SUM(J363:J387)</f>
        <v>4.8600000000000012</v>
      </c>
      <c r="N363" s="3">
        <f>AVERAGE(J363:J972)</f>
        <v>0.18184738955823276</v>
      </c>
      <c r="O363" s="3">
        <f>COUNT(J363:J972)</f>
        <v>249</v>
      </c>
      <c r="P363" s="3" t="str">
        <f>TEXT(J363,"0.00")</f>
        <v>0.26</v>
      </c>
      <c r="Q363" s="3" t="str">
        <f>LEFT(L363,3)</f>
        <v>Spr</v>
      </c>
      <c r="R363" s="42" t="str">
        <f>RIGHT(L363,3)</f>
        <v>ing</v>
      </c>
      <c r="S363" s="42">
        <f>LEN(L363)</f>
        <v>6</v>
      </c>
      <c r="T363" s="3" t="str">
        <f>A363&amp;"|"&amp;B363&amp;"|"&amp;F363</f>
        <v>362|16-01-2011|13</v>
      </c>
      <c r="U363" s="3">
        <f t="shared" si="20"/>
        <v>610</v>
      </c>
      <c r="V363" s="3">
        <f t="shared" si="21"/>
        <v>120.10000000000005</v>
      </c>
      <c r="W363" s="50">
        <f t="shared" si="22"/>
        <v>8.1303845032683911E-2</v>
      </c>
      <c r="X363" s="50">
        <f t="shared" si="23"/>
        <v>0.16514794964716251</v>
      </c>
    </row>
    <row r="364" spans="1:24" x14ac:dyDescent="0.2">
      <c r="A364" s="4">
        <v>363</v>
      </c>
      <c r="B364" s="4" t="s">
        <v>30</v>
      </c>
      <c r="C364" s="4">
        <v>1</v>
      </c>
      <c r="D364" s="4">
        <v>0</v>
      </c>
      <c r="E364" s="4">
        <v>1</v>
      </c>
      <c r="F364" s="4">
        <v>14</v>
      </c>
      <c r="G364" s="4" t="b">
        <v>0</v>
      </c>
      <c r="H364" s="4">
        <v>0</v>
      </c>
      <c r="I364" s="4">
        <v>1</v>
      </c>
      <c r="J364" s="4">
        <v>0.28000000000000003</v>
      </c>
      <c r="K364" s="6" t="str">
        <f>IF(H364=0,"weekend",IF(H364=6,"weekend","weekend"))</f>
        <v>weekend</v>
      </c>
      <c r="L364" s="3" t="str">
        <f>IF(C364=1,"Spring",IF(C364=2,"Summer",IF(C364=3,"Fall","Winter")))</f>
        <v>Spring</v>
      </c>
      <c r="M364" s="3">
        <f>SUM(J364:J388)</f>
        <v>4.78</v>
      </c>
      <c r="N364" s="3">
        <f>AVERAGE(J364:J973)</f>
        <v>0.18153225806451598</v>
      </c>
      <c r="O364" s="3">
        <f>COUNT(J364:J973)</f>
        <v>248</v>
      </c>
      <c r="P364" s="3" t="str">
        <f>TEXT(J364,"0.00")</f>
        <v>0.28</v>
      </c>
      <c r="Q364" s="3" t="str">
        <f>LEFT(L364,3)</f>
        <v>Spr</v>
      </c>
      <c r="R364" s="42" t="str">
        <f>RIGHT(L364,3)</f>
        <v>ing</v>
      </c>
      <c r="S364" s="42">
        <f>LEN(L364)</f>
        <v>6</v>
      </c>
      <c r="T364" s="3" t="str">
        <f>A364&amp;"|"&amp;B364&amp;"|"&amp;F364</f>
        <v>363|16-01-2011|14</v>
      </c>
      <c r="U364" s="3">
        <f t="shared" si="20"/>
        <v>610</v>
      </c>
      <c r="V364" s="3">
        <f t="shared" si="21"/>
        <v>120.10000000000005</v>
      </c>
      <c r="W364" s="50">
        <f t="shared" si="22"/>
        <v>8.1303845032683911E-2</v>
      </c>
      <c r="X364" s="50">
        <f t="shared" si="23"/>
        <v>0.16514794964716251</v>
      </c>
    </row>
    <row r="365" spans="1:24" x14ac:dyDescent="0.2">
      <c r="A365" s="4">
        <v>364</v>
      </c>
      <c r="B365" s="4" t="s">
        <v>30</v>
      </c>
      <c r="C365" s="4">
        <v>1</v>
      </c>
      <c r="D365" s="4">
        <v>0</v>
      </c>
      <c r="E365" s="4">
        <v>1</v>
      </c>
      <c r="F365" s="4">
        <v>15</v>
      </c>
      <c r="G365" s="4" t="b">
        <v>0</v>
      </c>
      <c r="H365" s="4">
        <v>0</v>
      </c>
      <c r="I365" s="4">
        <v>1</v>
      </c>
      <c r="J365" s="4">
        <v>0.26</v>
      </c>
      <c r="K365" s="6" t="str">
        <f>IF(H365=0,"weekend",IF(H365=6,"weekend","weekend"))</f>
        <v>weekend</v>
      </c>
      <c r="L365" s="3" t="str">
        <f>IF(C365=1,"Spring",IF(C365=2,"Summer",IF(C365=3,"Fall","Winter")))</f>
        <v>Spring</v>
      </c>
      <c r="M365" s="3">
        <f>SUM(J365:J389)</f>
        <v>4.7000000000000011</v>
      </c>
      <c r="N365" s="3">
        <f>AVERAGE(J365:J974)</f>
        <v>0.18113360323886626</v>
      </c>
      <c r="O365" s="3">
        <f>COUNT(J365:J974)</f>
        <v>247</v>
      </c>
      <c r="P365" s="3" t="str">
        <f>TEXT(J365,"0.00")</f>
        <v>0.26</v>
      </c>
      <c r="Q365" s="3" t="str">
        <f>LEFT(L365,3)</f>
        <v>Spr</v>
      </c>
      <c r="R365" s="42" t="str">
        <f>RIGHT(L365,3)</f>
        <v>ing</v>
      </c>
      <c r="S365" s="42">
        <f>LEN(L365)</f>
        <v>6</v>
      </c>
      <c r="T365" s="3" t="str">
        <f>A365&amp;"|"&amp;B365&amp;"|"&amp;F365</f>
        <v>364|16-01-2011|15</v>
      </c>
      <c r="U365" s="3">
        <f t="shared" si="20"/>
        <v>610</v>
      </c>
      <c r="V365" s="3">
        <f t="shared" si="21"/>
        <v>120.10000000000005</v>
      </c>
      <c r="W365" s="50">
        <f t="shared" si="22"/>
        <v>8.1303845032683911E-2</v>
      </c>
      <c r="X365" s="50">
        <f t="shared" si="23"/>
        <v>0.16514794964716251</v>
      </c>
    </row>
    <row r="366" spans="1:24" x14ac:dyDescent="0.2">
      <c r="A366" s="4">
        <v>365</v>
      </c>
      <c r="B366" s="4" t="s">
        <v>30</v>
      </c>
      <c r="C366" s="4">
        <v>1</v>
      </c>
      <c r="D366" s="4">
        <v>0</v>
      </c>
      <c r="E366" s="4">
        <v>1</v>
      </c>
      <c r="F366" s="4">
        <v>16</v>
      </c>
      <c r="G366" s="4" t="b">
        <v>0</v>
      </c>
      <c r="H366" s="4">
        <v>0</v>
      </c>
      <c r="I366" s="4">
        <v>1</v>
      </c>
      <c r="J366" s="4">
        <v>0.24</v>
      </c>
      <c r="K366" s="6" t="str">
        <f>IF(H366=0,"weekend",IF(H366=6,"weekend","weekend"))</f>
        <v>weekend</v>
      </c>
      <c r="L366" s="3" t="str">
        <f>IF(C366=1,"Spring",IF(C366=2,"Summer",IF(C366=3,"Fall","Winter")))</f>
        <v>Spring</v>
      </c>
      <c r="M366" s="3">
        <f>SUM(J366:J390)</f>
        <v>4.6400000000000015</v>
      </c>
      <c r="N366" s="3">
        <f>AVERAGE(J366:J975)</f>
        <v>0.18081300813008114</v>
      </c>
      <c r="O366" s="3">
        <f>COUNT(J366:J975)</f>
        <v>246</v>
      </c>
      <c r="P366" s="3" t="str">
        <f>TEXT(J366,"0.00")</f>
        <v>0.24</v>
      </c>
      <c r="Q366" s="3" t="str">
        <f>LEFT(L366,3)</f>
        <v>Spr</v>
      </c>
      <c r="R366" s="42" t="str">
        <f>RIGHT(L366,3)</f>
        <v>ing</v>
      </c>
      <c r="S366" s="42">
        <f>LEN(L366)</f>
        <v>6</v>
      </c>
      <c r="T366" s="3" t="str">
        <f>A366&amp;"|"&amp;B366&amp;"|"&amp;F366</f>
        <v>365|16-01-2011|16</v>
      </c>
      <c r="U366" s="3">
        <f t="shared" si="20"/>
        <v>610</v>
      </c>
      <c r="V366" s="3">
        <f t="shared" si="21"/>
        <v>120.10000000000005</v>
      </c>
      <c r="W366" s="50">
        <f t="shared" si="22"/>
        <v>8.1303845032683911E-2</v>
      </c>
      <c r="X366" s="50">
        <f t="shared" si="23"/>
        <v>0.16514794964716251</v>
      </c>
    </row>
    <row r="367" spans="1:24" x14ac:dyDescent="0.2">
      <c r="A367" s="4">
        <v>366</v>
      </c>
      <c r="B367" s="4" t="s">
        <v>30</v>
      </c>
      <c r="C367" s="4">
        <v>1</v>
      </c>
      <c r="D367" s="4">
        <v>0</v>
      </c>
      <c r="E367" s="4">
        <v>1</v>
      </c>
      <c r="F367" s="4">
        <v>17</v>
      </c>
      <c r="G367" s="4" t="b">
        <v>0</v>
      </c>
      <c r="H367" s="4">
        <v>0</v>
      </c>
      <c r="I367" s="4">
        <v>1</v>
      </c>
      <c r="J367" s="4">
        <v>0.22</v>
      </c>
      <c r="K367" s="6" t="str">
        <f>IF(H367=0,"weekend",IF(H367=6,"weekend","weekend"))</f>
        <v>weekend</v>
      </c>
      <c r="L367" s="3" t="str">
        <f>IF(C367=1,"Spring",IF(C367=2,"Summer",IF(C367=3,"Fall","Winter")))</f>
        <v>Spring</v>
      </c>
      <c r="M367" s="3">
        <f>SUM(J367:J391)</f>
        <v>4.6000000000000014</v>
      </c>
      <c r="N367" s="3">
        <f>AVERAGE(J367:J976)</f>
        <v>0.18057142857142841</v>
      </c>
      <c r="O367" s="3">
        <f>COUNT(J367:J976)</f>
        <v>245</v>
      </c>
      <c r="P367" s="3" t="str">
        <f>TEXT(J367,"0.00")</f>
        <v>0.22</v>
      </c>
      <c r="Q367" s="3" t="str">
        <f>LEFT(L367,3)</f>
        <v>Spr</v>
      </c>
      <c r="R367" s="42" t="str">
        <f>RIGHT(L367,3)</f>
        <v>ing</v>
      </c>
      <c r="S367" s="42">
        <f>LEN(L367)</f>
        <v>6</v>
      </c>
      <c r="T367" s="3" t="str">
        <f>A367&amp;"|"&amp;B367&amp;"|"&amp;F367</f>
        <v>366|16-01-2011|17</v>
      </c>
      <c r="U367" s="3">
        <f t="shared" si="20"/>
        <v>610</v>
      </c>
      <c r="V367" s="3">
        <f t="shared" si="21"/>
        <v>120.10000000000005</v>
      </c>
      <c r="W367" s="50">
        <f t="shared" si="22"/>
        <v>8.1303845032683911E-2</v>
      </c>
      <c r="X367" s="50">
        <f t="shared" si="23"/>
        <v>0.16514794964716251</v>
      </c>
    </row>
    <row r="368" spans="1:24" x14ac:dyDescent="0.2">
      <c r="A368" s="4">
        <v>367</v>
      </c>
      <c r="B368" s="4" t="s">
        <v>30</v>
      </c>
      <c r="C368" s="4">
        <v>1</v>
      </c>
      <c r="D368" s="4">
        <v>0</v>
      </c>
      <c r="E368" s="4">
        <v>1</v>
      </c>
      <c r="F368" s="4">
        <v>18</v>
      </c>
      <c r="G368" s="4" t="b">
        <v>0</v>
      </c>
      <c r="H368" s="4">
        <v>0</v>
      </c>
      <c r="I368" s="4">
        <v>1</v>
      </c>
      <c r="J368" s="4">
        <v>0.2</v>
      </c>
      <c r="K368" s="6" t="str">
        <f>IF(H368=0,"weekend",IF(H368=6,"weekend","weekend"))</f>
        <v>weekend</v>
      </c>
      <c r="L368" s="3" t="str">
        <f>IF(C368=1,"Spring",IF(C368=2,"Summer",IF(C368=3,"Fall","Winter")))</f>
        <v>Spring</v>
      </c>
      <c r="M368" s="3">
        <f>SUM(J368:J392)</f>
        <v>4.5600000000000014</v>
      </c>
      <c r="N368" s="3">
        <f>AVERAGE(J368:J977)</f>
        <v>0.18040983606557365</v>
      </c>
      <c r="O368" s="3">
        <f>COUNT(J368:J977)</f>
        <v>244</v>
      </c>
      <c r="P368" s="3" t="str">
        <f>TEXT(J368,"0.00")</f>
        <v>0.20</v>
      </c>
      <c r="Q368" s="3" t="str">
        <f>LEFT(L368,3)</f>
        <v>Spr</v>
      </c>
      <c r="R368" s="42" t="str">
        <f>RIGHT(L368,3)</f>
        <v>ing</v>
      </c>
      <c r="S368" s="42">
        <f>LEN(L368)</f>
        <v>6</v>
      </c>
      <c r="T368" s="3" t="str">
        <f>A368&amp;"|"&amp;B368&amp;"|"&amp;F368</f>
        <v>367|16-01-2011|18</v>
      </c>
      <c r="U368" s="3">
        <f t="shared" si="20"/>
        <v>610</v>
      </c>
      <c r="V368" s="3">
        <f t="shared" si="21"/>
        <v>120.10000000000005</v>
      </c>
      <c r="W368" s="50">
        <f t="shared" si="22"/>
        <v>8.1303845032683911E-2</v>
      </c>
      <c r="X368" s="50">
        <f t="shared" si="23"/>
        <v>0.16514794964716251</v>
      </c>
    </row>
    <row r="369" spans="1:24" x14ac:dyDescent="0.2">
      <c r="A369" s="4">
        <v>368</v>
      </c>
      <c r="B369" s="4" t="s">
        <v>30</v>
      </c>
      <c r="C369" s="4">
        <v>1</v>
      </c>
      <c r="D369" s="4">
        <v>0</v>
      </c>
      <c r="E369" s="4">
        <v>1</v>
      </c>
      <c r="F369" s="4">
        <v>19</v>
      </c>
      <c r="G369" s="4" t="b">
        <v>0</v>
      </c>
      <c r="H369" s="4">
        <v>0</v>
      </c>
      <c r="I369" s="4">
        <v>1</v>
      </c>
      <c r="J369" s="4">
        <v>0.18</v>
      </c>
      <c r="K369" s="6" t="str">
        <f>IF(H369=0,"weekend",IF(H369=6,"weekend","weekend"))</f>
        <v>weekend</v>
      </c>
      <c r="L369" s="3" t="str">
        <f>IF(C369=1,"Spring",IF(C369=2,"Summer",IF(C369=3,"Fall","Winter")))</f>
        <v>Spring</v>
      </c>
      <c r="M369" s="3">
        <f>SUM(J369:J393)</f>
        <v>4.5400000000000009</v>
      </c>
      <c r="N369" s="3">
        <f>AVERAGE(J369:J978)</f>
        <v>0.18032921810699576</v>
      </c>
      <c r="O369" s="3">
        <f>COUNT(J369:J978)</f>
        <v>243</v>
      </c>
      <c r="P369" s="3" t="str">
        <f>TEXT(J369,"0.00")</f>
        <v>0.18</v>
      </c>
      <c r="Q369" s="3" t="str">
        <f>LEFT(L369,3)</f>
        <v>Spr</v>
      </c>
      <c r="R369" s="42" t="str">
        <f>RIGHT(L369,3)</f>
        <v>ing</v>
      </c>
      <c r="S369" s="42">
        <f>LEN(L369)</f>
        <v>6</v>
      </c>
      <c r="T369" s="3" t="str">
        <f>A369&amp;"|"&amp;B369&amp;"|"&amp;F369</f>
        <v>368|16-01-2011|19</v>
      </c>
      <c r="U369" s="3">
        <f t="shared" si="20"/>
        <v>610</v>
      </c>
      <c r="V369" s="3">
        <f t="shared" si="21"/>
        <v>120.10000000000005</v>
      </c>
      <c r="W369" s="50">
        <f t="shared" si="22"/>
        <v>8.1303845032683911E-2</v>
      </c>
      <c r="X369" s="50">
        <f t="shared" si="23"/>
        <v>0.16514794964716251</v>
      </c>
    </row>
    <row r="370" spans="1:24" x14ac:dyDescent="0.2">
      <c r="A370" s="4">
        <v>369</v>
      </c>
      <c r="B370" s="4" t="s">
        <v>30</v>
      </c>
      <c r="C370" s="4">
        <v>1</v>
      </c>
      <c r="D370" s="4">
        <v>0</v>
      </c>
      <c r="E370" s="4">
        <v>1</v>
      </c>
      <c r="F370" s="4">
        <v>20</v>
      </c>
      <c r="G370" s="4" t="b">
        <v>0</v>
      </c>
      <c r="H370" s="4">
        <v>0</v>
      </c>
      <c r="I370" s="4">
        <v>1</v>
      </c>
      <c r="J370" s="4">
        <v>0.18</v>
      </c>
      <c r="K370" s="6" t="str">
        <f>IF(H370=0,"weekend",IF(H370=6,"weekend","weekend"))</f>
        <v>weekend</v>
      </c>
      <c r="L370" s="3" t="str">
        <f>IF(C370=1,"Spring",IF(C370=2,"Summer",IF(C370=3,"Fall","Winter")))</f>
        <v>Spring</v>
      </c>
      <c r="M370" s="3">
        <f>SUM(J370:J394)</f>
        <v>4.5200000000000005</v>
      </c>
      <c r="N370" s="3">
        <f>AVERAGE(J370:J979)</f>
        <v>0.18033057851239659</v>
      </c>
      <c r="O370" s="3">
        <f>COUNT(J370:J979)</f>
        <v>242</v>
      </c>
      <c r="P370" s="3" t="str">
        <f>TEXT(J370,"0.00")</f>
        <v>0.18</v>
      </c>
      <c r="Q370" s="3" t="str">
        <f>LEFT(L370,3)</f>
        <v>Spr</v>
      </c>
      <c r="R370" s="42" t="str">
        <f>RIGHT(L370,3)</f>
        <v>ing</v>
      </c>
      <c r="S370" s="42">
        <f>LEN(L370)</f>
        <v>6</v>
      </c>
      <c r="T370" s="3" t="str">
        <f>A370&amp;"|"&amp;B370&amp;"|"&amp;F370</f>
        <v>369|16-01-2011|20</v>
      </c>
      <c r="U370" s="3">
        <f t="shared" si="20"/>
        <v>610</v>
      </c>
      <c r="V370" s="3">
        <f t="shared" si="21"/>
        <v>120.10000000000005</v>
      </c>
      <c r="W370" s="50">
        <f t="shared" si="22"/>
        <v>8.1303845032683911E-2</v>
      </c>
      <c r="X370" s="50">
        <f t="shared" si="23"/>
        <v>0.16514794964716251</v>
      </c>
    </row>
    <row r="371" spans="1:24" x14ac:dyDescent="0.2">
      <c r="A371" s="4">
        <v>370</v>
      </c>
      <c r="B371" s="4" t="s">
        <v>30</v>
      </c>
      <c r="C371" s="4">
        <v>1</v>
      </c>
      <c r="D371" s="4">
        <v>0</v>
      </c>
      <c r="E371" s="4">
        <v>1</v>
      </c>
      <c r="F371" s="4">
        <v>21</v>
      </c>
      <c r="G371" s="4" t="b">
        <v>0</v>
      </c>
      <c r="H371" s="4">
        <v>0</v>
      </c>
      <c r="I371" s="4">
        <v>1</v>
      </c>
      <c r="J371" s="4">
        <v>0.18</v>
      </c>
      <c r="K371" s="6" t="str">
        <f>IF(H371=0,"weekend",IF(H371=6,"weekend","weekend"))</f>
        <v>weekend</v>
      </c>
      <c r="L371" s="3" t="str">
        <f>IF(C371=1,"Spring",IF(C371=2,"Summer",IF(C371=3,"Fall","Winter")))</f>
        <v>Spring</v>
      </c>
      <c r="M371" s="3">
        <f>SUM(J371:J395)</f>
        <v>4.5000000000000009</v>
      </c>
      <c r="N371" s="3">
        <f>AVERAGE(J371:J980)</f>
        <v>0.18033195020746876</v>
      </c>
      <c r="O371" s="3">
        <f>COUNT(J371:J980)</f>
        <v>241</v>
      </c>
      <c r="P371" s="3" t="str">
        <f>TEXT(J371,"0.00")</f>
        <v>0.18</v>
      </c>
      <c r="Q371" s="3" t="str">
        <f>LEFT(L371,3)</f>
        <v>Spr</v>
      </c>
      <c r="R371" s="42" t="str">
        <f>RIGHT(L371,3)</f>
        <v>ing</v>
      </c>
      <c r="S371" s="42">
        <f>LEN(L371)</f>
        <v>6</v>
      </c>
      <c r="T371" s="3" t="str">
        <f>A371&amp;"|"&amp;B371&amp;"|"&amp;F371</f>
        <v>370|16-01-2011|21</v>
      </c>
      <c r="U371" s="3">
        <f t="shared" si="20"/>
        <v>610</v>
      </c>
      <c r="V371" s="3">
        <f t="shared" si="21"/>
        <v>120.10000000000005</v>
      </c>
      <c r="W371" s="50">
        <f t="shared" si="22"/>
        <v>8.1303845032683911E-2</v>
      </c>
      <c r="X371" s="50">
        <f t="shared" si="23"/>
        <v>0.16514794964716251</v>
      </c>
    </row>
    <row r="372" spans="1:24" x14ac:dyDescent="0.2">
      <c r="A372" s="4">
        <v>371</v>
      </c>
      <c r="B372" s="4" t="s">
        <v>30</v>
      </c>
      <c r="C372" s="4">
        <v>1</v>
      </c>
      <c r="D372" s="4">
        <v>0</v>
      </c>
      <c r="E372" s="4">
        <v>1</v>
      </c>
      <c r="F372" s="4">
        <v>22</v>
      </c>
      <c r="G372" s="4" t="b">
        <v>0</v>
      </c>
      <c r="H372" s="4">
        <v>0</v>
      </c>
      <c r="I372" s="4">
        <v>2</v>
      </c>
      <c r="J372" s="4">
        <v>0.2</v>
      </c>
      <c r="K372" s="6" t="str">
        <f>IF(H372=0,"weekend",IF(H372=6,"weekend","weekend"))</f>
        <v>weekend</v>
      </c>
      <c r="L372" s="3" t="str">
        <f>IF(C372=1,"Spring",IF(C372=2,"Summer",IF(C372=3,"Fall","Winter")))</f>
        <v>Spring</v>
      </c>
      <c r="M372" s="3">
        <f>SUM(J372:J396)</f>
        <v>4.4600000000000009</v>
      </c>
      <c r="N372" s="3">
        <f>AVERAGE(J372:J981)</f>
        <v>0.18033333333333321</v>
      </c>
      <c r="O372" s="3">
        <f>COUNT(J372:J981)</f>
        <v>240</v>
      </c>
      <c r="P372" s="3" t="str">
        <f>TEXT(J372,"0.00")</f>
        <v>0.20</v>
      </c>
      <c r="Q372" s="3" t="str">
        <f>LEFT(L372,3)</f>
        <v>Spr</v>
      </c>
      <c r="R372" s="42" t="str">
        <f>RIGHT(L372,3)</f>
        <v>ing</v>
      </c>
      <c r="S372" s="42">
        <f>LEN(L372)</f>
        <v>6</v>
      </c>
      <c r="T372" s="3" t="str">
        <f>A372&amp;"|"&amp;B372&amp;"|"&amp;F372</f>
        <v>371|16-01-2011|22</v>
      </c>
      <c r="U372" s="3">
        <f t="shared" si="20"/>
        <v>610</v>
      </c>
      <c r="V372" s="3">
        <f t="shared" si="21"/>
        <v>120.10000000000005</v>
      </c>
      <c r="W372" s="50">
        <f t="shared" si="22"/>
        <v>8.1303845032683911E-2</v>
      </c>
      <c r="X372" s="50">
        <f t="shared" si="23"/>
        <v>0.16514794964716251</v>
      </c>
    </row>
    <row r="373" spans="1:24" x14ac:dyDescent="0.2">
      <c r="A373" s="4">
        <v>372</v>
      </c>
      <c r="B373" s="4" t="s">
        <v>30</v>
      </c>
      <c r="C373" s="4">
        <v>1</v>
      </c>
      <c r="D373" s="4">
        <v>0</v>
      </c>
      <c r="E373" s="4">
        <v>1</v>
      </c>
      <c r="F373" s="4">
        <v>23</v>
      </c>
      <c r="G373" s="4" t="b">
        <v>0</v>
      </c>
      <c r="H373" s="4">
        <v>0</v>
      </c>
      <c r="I373" s="4">
        <v>2</v>
      </c>
      <c r="J373" s="4">
        <v>0.2</v>
      </c>
      <c r="K373" s="6" t="str">
        <f>IF(H373=0,"weekend",IF(H373=6,"weekend","weekend"))</f>
        <v>weekend</v>
      </c>
      <c r="L373" s="3" t="str">
        <f>IF(C373=1,"Spring",IF(C373=2,"Summer",IF(C373=3,"Fall","Winter")))</f>
        <v>Spring</v>
      </c>
      <c r="M373" s="3">
        <f>SUM(J373:J397)</f>
        <v>4.4200000000000008</v>
      </c>
      <c r="N373" s="3">
        <f>AVERAGE(J373:J982)</f>
        <v>0.18025104602510447</v>
      </c>
      <c r="O373" s="3">
        <f>COUNT(J373:J982)</f>
        <v>239</v>
      </c>
      <c r="P373" s="3" t="str">
        <f>TEXT(J373,"0.00")</f>
        <v>0.20</v>
      </c>
      <c r="Q373" s="3" t="str">
        <f>LEFT(L373,3)</f>
        <v>Spr</v>
      </c>
      <c r="R373" s="42" t="str">
        <f>RIGHT(L373,3)</f>
        <v>ing</v>
      </c>
      <c r="S373" s="42">
        <f>LEN(L373)</f>
        <v>6</v>
      </c>
      <c r="T373" s="3" t="str">
        <f>A373&amp;"|"&amp;B373&amp;"|"&amp;F373</f>
        <v>372|16-01-2011|23</v>
      </c>
      <c r="U373" s="3">
        <f t="shared" si="20"/>
        <v>610</v>
      </c>
      <c r="V373" s="3">
        <f t="shared" si="21"/>
        <v>120.10000000000005</v>
      </c>
      <c r="W373" s="50">
        <f t="shared" si="22"/>
        <v>8.1303845032683911E-2</v>
      </c>
      <c r="X373" s="50">
        <f t="shared" si="23"/>
        <v>0.16514794964716251</v>
      </c>
    </row>
    <row r="374" spans="1:24" x14ac:dyDescent="0.2">
      <c r="A374" s="4">
        <v>373</v>
      </c>
      <c r="B374" s="4" t="s">
        <v>31</v>
      </c>
      <c r="C374" s="4">
        <v>1</v>
      </c>
      <c r="D374" s="4">
        <v>0</v>
      </c>
      <c r="E374" s="4">
        <v>1</v>
      </c>
      <c r="F374" s="4">
        <v>0</v>
      </c>
      <c r="G374" s="4" t="b">
        <v>1</v>
      </c>
      <c r="H374" s="4">
        <v>1</v>
      </c>
      <c r="I374" s="4">
        <v>2</v>
      </c>
      <c r="J374" s="4">
        <v>0.2</v>
      </c>
      <c r="K374" s="6" t="str">
        <f>IF(H374=0,"weekend",IF(H374=6,"weekend","weekend"))</f>
        <v>weekend</v>
      </c>
      <c r="L374" s="3" t="str">
        <f>IF(C374=1,"Spring",IF(C374=2,"Summer",IF(C374=3,"Fall","Winter")))</f>
        <v>Spring</v>
      </c>
      <c r="M374" s="3">
        <f>SUM(J374:J398)</f>
        <v>4.4200000000000017</v>
      </c>
      <c r="N374" s="3">
        <f>AVERAGE(J374:J983)</f>
        <v>0.18016806722689066</v>
      </c>
      <c r="O374" s="3">
        <f>COUNT(J374:J983)</f>
        <v>238</v>
      </c>
      <c r="P374" s="3" t="str">
        <f>TEXT(J374,"0.00")</f>
        <v>0.20</v>
      </c>
      <c r="Q374" s="3" t="str">
        <f>LEFT(L374,3)</f>
        <v>Spr</v>
      </c>
      <c r="R374" s="42" t="str">
        <f>RIGHT(L374,3)</f>
        <v>ing</v>
      </c>
      <c r="S374" s="42">
        <f>LEN(L374)</f>
        <v>6</v>
      </c>
      <c r="T374" s="3" t="str">
        <f>A374&amp;"|"&amp;B374&amp;"|"&amp;F374</f>
        <v>373|17-01-2011|0</v>
      </c>
      <c r="U374" s="3">
        <f t="shared" si="20"/>
        <v>610</v>
      </c>
      <c r="V374" s="3">
        <f t="shared" si="21"/>
        <v>120.10000000000005</v>
      </c>
      <c r="W374" s="50">
        <f t="shared" si="22"/>
        <v>8.1303845032683911E-2</v>
      </c>
      <c r="X374" s="50">
        <f t="shared" si="23"/>
        <v>0.16514794964716251</v>
      </c>
    </row>
    <row r="375" spans="1:24" x14ac:dyDescent="0.2">
      <c r="A375" s="4">
        <v>374</v>
      </c>
      <c r="B375" s="4" t="s">
        <v>31</v>
      </c>
      <c r="C375" s="4">
        <v>1</v>
      </c>
      <c r="D375" s="4">
        <v>0</v>
      </c>
      <c r="E375" s="4">
        <v>1</v>
      </c>
      <c r="F375" s="4">
        <v>1</v>
      </c>
      <c r="G375" s="4" t="b">
        <v>1</v>
      </c>
      <c r="H375" s="4">
        <v>1</v>
      </c>
      <c r="I375" s="4">
        <v>2</v>
      </c>
      <c r="J375" s="4">
        <v>0.2</v>
      </c>
      <c r="K375" s="6" t="str">
        <f>IF(H375=0,"weekend",IF(H375=6,"weekend","weekend"))</f>
        <v>weekend</v>
      </c>
      <c r="L375" s="3" t="str">
        <f>IF(C375=1,"Spring",IF(C375=2,"Summer",IF(C375=3,"Fall","Winter")))</f>
        <v>Spring</v>
      </c>
      <c r="M375" s="3">
        <f>SUM(J375:J399)</f>
        <v>4.4200000000000017</v>
      </c>
      <c r="N375" s="3">
        <f>AVERAGE(J375:J984)</f>
        <v>0.18008438818565389</v>
      </c>
      <c r="O375" s="3">
        <f>COUNT(J375:J984)</f>
        <v>237</v>
      </c>
      <c r="P375" s="3" t="str">
        <f>TEXT(J375,"0.00")</f>
        <v>0.20</v>
      </c>
      <c r="Q375" s="3" t="str">
        <f>LEFT(L375,3)</f>
        <v>Spr</v>
      </c>
      <c r="R375" s="42" t="str">
        <f>RIGHT(L375,3)</f>
        <v>ing</v>
      </c>
      <c r="S375" s="42">
        <f>LEN(L375)</f>
        <v>6</v>
      </c>
      <c r="T375" s="3" t="str">
        <f>A375&amp;"|"&amp;B375&amp;"|"&amp;F375</f>
        <v>374|17-01-2011|1</v>
      </c>
      <c r="U375" s="3">
        <f t="shared" si="20"/>
        <v>610</v>
      </c>
      <c r="V375" s="3">
        <f t="shared" si="21"/>
        <v>120.10000000000005</v>
      </c>
      <c r="W375" s="50">
        <f t="shared" si="22"/>
        <v>8.1303845032683911E-2</v>
      </c>
      <c r="X375" s="50">
        <f t="shared" si="23"/>
        <v>0.16514794964716251</v>
      </c>
    </row>
    <row r="376" spans="1:24" x14ac:dyDescent="0.2">
      <c r="A376" s="4">
        <v>375</v>
      </c>
      <c r="B376" s="4" t="s">
        <v>31</v>
      </c>
      <c r="C376" s="4">
        <v>1</v>
      </c>
      <c r="D376" s="4">
        <v>0</v>
      </c>
      <c r="E376" s="4">
        <v>1</v>
      </c>
      <c r="F376" s="4">
        <v>2</v>
      </c>
      <c r="G376" s="4" t="b">
        <v>1</v>
      </c>
      <c r="H376" s="4">
        <v>1</v>
      </c>
      <c r="I376" s="4">
        <v>2</v>
      </c>
      <c r="J376" s="4">
        <v>0.18</v>
      </c>
      <c r="K376" s="6" t="str">
        <f>IF(H376=0,"weekend",IF(H376=6,"weekend","weekend"))</f>
        <v>weekend</v>
      </c>
      <c r="L376" s="3" t="str">
        <f>IF(C376=1,"Spring",IF(C376=2,"Summer",IF(C376=3,"Fall","Winter")))</f>
        <v>Spring</v>
      </c>
      <c r="M376" s="3">
        <f>SUM(J376:J400)</f>
        <v>4.4400000000000013</v>
      </c>
      <c r="N376" s="3">
        <f>AVERAGE(J376:J985)</f>
        <v>0.17999999999999991</v>
      </c>
      <c r="O376" s="3">
        <f>COUNT(J376:J985)</f>
        <v>236</v>
      </c>
      <c r="P376" s="3" t="str">
        <f>TEXT(J376,"0.00")</f>
        <v>0.18</v>
      </c>
      <c r="Q376" s="3" t="str">
        <f>LEFT(L376,3)</f>
        <v>Spr</v>
      </c>
      <c r="R376" s="42" t="str">
        <f>RIGHT(L376,3)</f>
        <v>ing</v>
      </c>
      <c r="S376" s="42">
        <f>LEN(L376)</f>
        <v>6</v>
      </c>
      <c r="T376" s="3" t="str">
        <f>A376&amp;"|"&amp;B376&amp;"|"&amp;F376</f>
        <v>375|17-01-2011|2</v>
      </c>
      <c r="U376" s="3">
        <f t="shared" si="20"/>
        <v>610</v>
      </c>
      <c r="V376" s="3">
        <f t="shared" si="21"/>
        <v>120.10000000000005</v>
      </c>
      <c r="W376" s="50">
        <f t="shared" si="22"/>
        <v>8.1303845032683911E-2</v>
      </c>
      <c r="X376" s="50">
        <f t="shared" si="23"/>
        <v>0.16514794964716251</v>
      </c>
    </row>
    <row r="377" spans="1:24" x14ac:dyDescent="0.2">
      <c r="A377" s="4">
        <v>376</v>
      </c>
      <c r="B377" s="4" t="s">
        <v>31</v>
      </c>
      <c r="C377" s="4">
        <v>1</v>
      </c>
      <c r="D377" s="4">
        <v>0</v>
      </c>
      <c r="E377" s="4">
        <v>1</v>
      </c>
      <c r="F377" s="4">
        <v>3</v>
      </c>
      <c r="G377" s="4" t="b">
        <v>1</v>
      </c>
      <c r="H377" s="4">
        <v>1</v>
      </c>
      <c r="I377" s="4">
        <v>2</v>
      </c>
      <c r="J377" s="4">
        <v>0.18</v>
      </c>
      <c r="K377" s="6" t="str">
        <f>IF(H377=0,"weekend",IF(H377=6,"weekend","weekend"))</f>
        <v>weekend</v>
      </c>
      <c r="L377" s="3" t="str">
        <f>IF(C377=1,"Spring",IF(C377=2,"Summer",IF(C377=3,"Fall","Winter")))</f>
        <v>Spring</v>
      </c>
      <c r="M377" s="3">
        <f>SUM(J377:J401)</f>
        <v>4.4800000000000004</v>
      </c>
      <c r="N377" s="3">
        <f>AVERAGE(J377:J986)</f>
        <v>0.17999999999999991</v>
      </c>
      <c r="O377" s="3">
        <f>COUNT(J377:J986)</f>
        <v>235</v>
      </c>
      <c r="P377" s="3" t="str">
        <f>TEXT(J377,"0.00")</f>
        <v>0.18</v>
      </c>
      <c r="Q377" s="3" t="str">
        <f>LEFT(L377,3)</f>
        <v>Spr</v>
      </c>
      <c r="R377" s="42" t="str">
        <f>RIGHT(L377,3)</f>
        <v>ing</v>
      </c>
      <c r="S377" s="42">
        <f>LEN(L377)</f>
        <v>6</v>
      </c>
      <c r="T377" s="3" t="str">
        <f>A377&amp;"|"&amp;B377&amp;"|"&amp;F377</f>
        <v>376|17-01-2011|3</v>
      </c>
      <c r="U377" s="3">
        <f t="shared" si="20"/>
        <v>610</v>
      </c>
      <c r="V377" s="3">
        <f t="shared" si="21"/>
        <v>120.10000000000005</v>
      </c>
      <c r="W377" s="50">
        <f t="shared" si="22"/>
        <v>8.1303845032683911E-2</v>
      </c>
      <c r="X377" s="50">
        <f t="shared" si="23"/>
        <v>0.16514794964716251</v>
      </c>
    </row>
    <row r="378" spans="1:24" x14ac:dyDescent="0.2">
      <c r="A378" s="4">
        <v>377</v>
      </c>
      <c r="B378" s="4" t="s">
        <v>31</v>
      </c>
      <c r="C378" s="4">
        <v>1</v>
      </c>
      <c r="D378" s="4">
        <v>0</v>
      </c>
      <c r="E378" s="4">
        <v>1</v>
      </c>
      <c r="F378" s="4">
        <v>4</v>
      </c>
      <c r="G378" s="4" t="b">
        <v>1</v>
      </c>
      <c r="H378" s="4">
        <v>1</v>
      </c>
      <c r="I378" s="4">
        <v>2</v>
      </c>
      <c r="J378" s="4">
        <v>0.18</v>
      </c>
      <c r="K378" s="6" t="str">
        <f>IF(H378=0,"weekend",IF(H378=6,"weekend","weekend"))</f>
        <v>weekend</v>
      </c>
      <c r="L378" s="3" t="str">
        <f>IF(C378=1,"Spring",IF(C378=2,"Summer",IF(C378=3,"Fall","Winter")))</f>
        <v>Spring</v>
      </c>
      <c r="M378" s="3">
        <f>SUM(J378:J402)</f>
        <v>4.5200000000000005</v>
      </c>
      <c r="N378" s="3">
        <f>AVERAGE(J378:J987)</f>
        <v>0.17999999999999991</v>
      </c>
      <c r="O378" s="3">
        <f>COUNT(J378:J987)</f>
        <v>234</v>
      </c>
      <c r="P378" s="3" t="str">
        <f>TEXT(J378,"0.00")</f>
        <v>0.18</v>
      </c>
      <c r="Q378" s="3" t="str">
        <f>LEFT(L378,3)</f>
        <v>Spr</v>
      </c>
      <c r="R378" s="42" t="str">
        <f>RIGHT(L378,3)</f>
        <v>ing</v>
      </c>
      <c r="S378" s="42">
        <f>LEN(L378)</f>
        <v>6</v>
      </c>
      <c r="T378" s="3" t="str">
        <f>A378&amp;"|"&amp;B378&amp;"|"&amp;F378</f>
        <v>377|17-01-2011|4</v>
      </c>
      <c r="U378" s="3">
        <f t="shared" si="20"/>
        <v>610</v>
      </c>
      <c r="V378" s="3">
        <f t="shared" si="21"/>
        <v>120.10000000000005</v>
      </c>
      <c r="W378" s="50">
        <f t="shared" si="22"/>
        <v>8.1303845032683911E-2</v>
      </c>
      <c r="X378" s="50">
        <f t="shared" si="23"/>
        <v>0.16514794964716251</v>
      </c>
    </row>
    <row r="379" spans="1:24" x14ac:dyDescent="0.2">
      <c r="A379" s="4">
        <v>378</v>
      </c>
      <c r="B379" s="4" t="s">
        <v>31</v>
      </c>
      <c r="C379" s="4">
        <v>1</v>
      </c>
      <c r="D379" s="4">
        <v>0</v>
      </c>
      <c r="E379" s="4">
        <v>1</v>
      </c>
      <c r="F379" s="4">
        <v>5</v>
      </c>
      <c r="G379" s="4" t="b">
        <v>1</v>
      </c>
      <c r="H379" s="4">
        <v>1</v>
      </c>
      <c r="I379" s="4">
        <v>2</v>
      </c>
      <c r="J379" s="4">
        <v>0.18</v>
      </c>
      <c r="K379" s="6" t="str">
        <f>IF(H379=0,"weekend",IF(H379=6,"weekend","weekend"))</f>
        <v>weekend</v>
      </c>
      <c r="L379" s="3" t="str">
        <f>IF(C379=1,"Spring",IF(C379=2,"Summer",IF(C379=3,"Fall","Winter")))</f>
        <v>Spring</v>
      </c>
      <c r="M379" s="3">
        <f>SUM(J379:J403)</f>
        <v>4.5600000000000005</v>
      </c>
      <c r="N379" s="3">
        <f>AVERAGE(J379:J988)</f>
        <v>0.17999999999999991</v>
      </c>
      <c r="O379" s="3">
        <f>COUNT(J379:J988)</f>
        <v>233</v>
      </c>
      <c r="P379" s="3" t="str">
        <f>TEXT(J379,"0.00")</f>
        <v>0.18</v>
      </c>
      <c r="Q379" s="3" t="str">
        <f>LEFT(L379,3)</f>
        <v>Spr</v>
      </c>
      <c r="R379" s="42" t="str">
        <f>RIGHT(L379,3)</f>
        <v>ing</v>
      </c>
      <c r="S379" s="42">
        <f>LEN(L379)</f>
        <v>6</v>
      </c>
      <c r="T379" s="3" t="str">
        <f>A379&amp;"|"&amp;B379&amp;"|"&amp;F379</f>
        <v>378|17-01-2011|5</v>
      </c>
      <c r="U379" s="3">
        <f t="shared" si="20"/>
        <v>610</v>
      </c>
      <c r="V379" s="3">
        <f t="shared" si="21"/>
        <v>120.10000000000005</v>
      </c>
      <c r="W379" s="50">
        <f t="shared" si="22"/>
        <v>8.1303845032683911E-2</v>
      </c>
      <c r="X379" s="50">
        <f t="shared" si="23"/>
        <v>0.16514794964716251</v>
      </c>
    </row>
    <row r="380" spans="1:24" x14ac:dyDescent="0.2">
      <c r="A380" s="4">
        <v>379</v>
      </c>
      <c r="B380" s="4" t="s">
        <v>31</v>
      </c>
      <c r="C380" s="4">
        <v>1</v>
      </c>
      <c r="D380" s="4">
        <v>0</v>
      </c>
      <c r="E380" s="4">
        <v>1</v>
      </c>
      <c r="F380" s="4">
        <v>6</v>
      </c>
      <c r="G380" s="4" t="b">
        <v>1</v>
      </c>
      <c r="H380" s="4">
        <v>1</v>
      </c>
      <c r="I380" s="4">
        <v>2</v>
      </c>
      <c r="J380" s="4">
        <v>0.18</v>
      </c>
      <c r="K380" s="6" t="str">
        <f>IF(H380=0,"weekend",IF(H380=6,"weekend","weekend"))</f>
        <v>weekend</v>
      </c>
      <c r="L380" s="3" t="str">
        <f>IF(C380=1,"Spring",IF(C380=2,"Summer",IF(C380=3,"Fall","Winter")))</f>
        <v>Spring</v>
      </c>
      <c r="M380" s="3">
        <f>SUM(J380:J404)</f>
        <v>4.6000000000000014</v>
      </c>
      <c r="N380" s="3">
        <f>AVERAGE(J380:J989)</f>
        <v>0.17999999999999991</v>
      </c>
      <c r="O380" s="3">
        <f>COUNT(J380:J989)</f>
        <v>232</v>
      </c>
      <c r="P380" s="3" t="str">
        <f>TEXT(J380,"0.00")</f>
        <v>0.18</v>
      </c>
      <c r="Q380" s="3" t="str">
        <f>LEFT(L380,3)</f>
        <v>Spr</v>
      </c>
      <c r="R380" s="42" t="str">
        <f>RIGHT(L380,3)</f>
        <v>ing</v>
      </c>
      <c r="S380" s="42">
        <f>LEN(L380)</f>
        <v>6</v>
      </c>
      <c r="T380" s="3" t="str">
        <f>A380&amp;"|"&amp;B380&amp;"|"&amp;F380</f>
        <v>379|17-01-2011|6</v>
      </c>
      <c r="U380" s="3">
        <f t="shared" si="20"/>
        <v>610</v>
      </c>
      <c r="V380" s="3">
        <f t="shared" si="21"/>
        <v>120.10000000000005</v>
      </c>
      <c r="W380" s="50">
        <f t="shared" si="22"/>
        <v>8.1303845032683911E-2</v>
      </c>
      <c r="X380" s="50">
        <f t="shared" si="23"/>
        <v>0.16514794964716251</v>
      </c>
    </row>
    <row r="381" spans="1:24" x14ac:dyDescent="0.2">
      <c r="A381" s="4">
        <v>380</v>
      </c>
      <c r="B381" s="4" t="s">
        <v>31</v>
      </c>
      <c r="C381" s="4">
        <v>1</v>
      </c>
      <c r="D381" s="4">
        <v>0</v>
      </c>
      <c r="E381" s="4">
        <v>1</v>
      </c>
      <c r="F381" s="4">
        <v>7</v>
      </c>
      <c r="G381" s="4" t="b">
        <v>1</v>
      </c>
      <c r="H381" s="4">
        <v>1</v>
      </c>
      <c r="I381" s="4">
        <v>2</v>
      </c>
      <c r="J381" s="4">
        <v>0.16</v>
      </c>
      <c r="K381" s="6" t="str">
        <f>IF(H381=0,"weekend",IF(H381=6,"weekend","weekend"))</f>
        <v>weekend</v>
      </c>
      <c r="L381" s="3" t="str">
        <f>IF(C381=1,"Spring",IF(C381=2,"Summer",IF(C381=3,"Fall","Winter")))</f>
        <v>Spring</v>
      </c>
      <c r="M381" s="3">
        <f>SUM(J381:J405)</f>
        <v>4.6400000000000006</v>
      </c>
      <c r="N381" s="3">
        <f>AVERAGE(J381:J990)</f>
        <v>0.17999999999999991</v>
      </c>
      <c r="O381" s="3">
        <f>COUNT(J381:J990)</f>
        <v>231</v>
      </c>
      <c r="P381" s="3" t="str">
        <f>TEXT(J381,"0.00")</f>
        <v>0.16</v>
      </c>
      <c r="Q381" s="3" t="str">
        <f>LEFT(L381,3)</f>
        <v>Spr</v>
      </c>
      <c r="R381" s="42" t="str">
        <f>RIGHT(L381,3)</f>
        <v>ing</v>
      </c>
      <c r="S381" s="42">
        <f>LEN(L381)</f>
        <v>6</v>
      </c>
      <c r="T381" s="3" t="str">
        <f>A381&amp;"|"&amp;B381&amp;"|"&amp;F381</f>
        <v>380|17-01-2011|7</v>
      </c>
      <c r="U381" s="3">
        <f t="shared" si="20"/>
        <v>610</v>
      </c>
      <c r="V381" s="3">
        <f t="shared" si="21"/>
        <v>120.10000000000005</v>
      </c>
      <c r="W381" s="50">
        <f t="shared" si="22"/>
        <v>8.1303845032683911E-2</v>
      </c>
      <c r="X381" s="50">
        <f t="shared" si="23"/>
        <v>0.16514794964716251</v>
      </c>
    </row>
    <row r="382" spans="1:24" x14ac:dyDescent="0.2">
      <c r="A382" s="4">
        <v>381</v>
      </c>
      <c r="B382" s="4" t="s">
        <v>31</v>
      </c>
      <c r="C382" s="4">
        <v>1</v>
      </c>
      <c r="D382" s="4">
        <v>0</v>
      </c>
      <c r="E382" s="4">
        <v>1</v>
      </c>
      <c r="F382" s="4">
        <v>8</v>
      </c>
      <c r="G382" s="4" t="b">
        <v>1</v>
      </c>
      <c r="H382" s="4">
        <v>1</v>
      </c>
      <c r="I382" s="4">
        <v>2</v>
      </c>
      <c r="J382" s="4">
        <v>0.16</v>
      </c>
      <c r="K382" s="6" t="str">
        <f>IF(H382=0,"weekend",IF(H382=6,"weekend","weekend"))</f>
        <v>weekend</v>
      </c>
      <c r="L382" s="3" t="str">
        <f>IF(C382=1,"Spring",IF(C382=2,"Summer",IF(C382=3,"Fall","Winter")))</f>
        <v>Spring</v>
      </c>
      <c r="M382" s="3">
        <f>SUM(J382:J406)</f>
        <v>4.7</v>
      </c>
      <c r="N382" s="3">
        <f>AVERAGE(J382:J991)</f>
        <v>0.18008695652173901</v>
      </c>
      <c r="O382" s="3">
        <f>COUNT(J382:J991)</f>
        <v>230</v>
      </c>
      <c r="P382" s="3" t="str">
        <f>TEXT(J382,"0.00")</f>
        <v>0.16</v>
      </c>
      <c r="Q382" s="3" t="str">
        <f>LEFT(L382,3)</f>
        <v>Spr</v>
      </c>
      <c r="R382" s="42" t="str">
        <f>RIGHT(L382,3)</f>
        <v>ing</v>
      </c>
      <c r="S382" s="42">
        <f>LEN(L382)</f>
        <v>6</v>
      </c>
      <c r="T382" s="3" t="str">
        <f>A382&amp;"|"&amp;B382&amp;"|"&amp;F382</f>
        <v>381|17-01-2011|8</v>
      </c>
      <c r="U382" s="3">
        <f t="shared" si="20"/>
        <v>610</v>
      </c>
      <c r="V382" s="3">
        <f t="shared" si="21"/>
        <v>120.10000000000005</v>
      </c>
      <c r="W382" s="50">
        <f t="shared" si="22"/>
        <v>8.1303845032683911E-2</v>
      </c>
      <c r="X382" s="50">
        <f t="shared" si="23"/>
        <v>0.16514794964716251</v>
      </c>
    </row>
    <row r="383" spans="1:24" x14ac:dyDescent="0.2">
      <c r="A383" s="4">
        <v>382</v>
      </c>
      <c r="B383" s="4" t="s">
        <v>31</v>
      </c>
      <c r="C383" s="4">
        <v>1</v>
      </c>
      <c r="D383" s="4">
        <v>0</v>
      </c>
      <c r="E383" s="4">
        <v>1</v>
      </c>
      <c r="F383" s="4">
        <v>9</v>
      </c>
      <c r="G383" s="4" t="b">
        <v>1</v>
      </c>
      <c r="H383" s="4">
        <v>1</v>
      </c>
      <c r="I383" s="4">
        <v>2</v>
      </c>
      <c r="J383" s="4">
        <v>0.16</v>
      </c>
      <c r="K383" s="6" t="str">
        <f>IF(H383=0,"weekend",IF(H383=6,"weekend","weekend"))</f>
        <v>weekend</v>
      </c>
      <c r="L383" s="3" t="str">
        <f>IF(C383=1,"Spring",IF(C383=2,"Summer",IF(C383=3,"Fall","Winter")))</f>
        <v>Spring</v>
      </c>
      <c r="M383" s="3">
        <f>SUM(J383:J407)</f>
        <v>4.7600000000000007</v>
      </c>
      <c r="N383" s="3">
        <f>AVERAGE(J383:J992)</f>
        <v>0.18017467248908289</v>
      </c>
      <c r="O383" s="3">
        <f>COUNT(J383:J992)</f>
        <v>229</v>
      </c>
      <c r="P383" s="3" t="str">
        <f>TEXT(J383,"0.00")</f>
        <v>0.16</v>
      </c>
      <c r="Q383" s="3" t="str">
        <f>LEFT(L383,3)</f>
        <v>Spr</v>
      </c>
      <c r="R383" s="42" t="str">
        <f>RIGHT(L383,3)</f>
        <v>ing</v>
      </c>
      <c r="S383" s="42">
        <f>LEN(L383)</f>
        <v>6</v>
      </c>
      <c r="T383" s="3" t="str">
        <f>A383&amp;"|"&amp;B383&amp;"|"&amp;F383</f>
        <v>382|17-01-2011|9</v>
      </c>
      <c r="U383" s="3">
        <f t="shared" si="20"/>
        <v>610</v>
      </c>
      <c r="V383" s="3">
        <f t="shared" si="21"/>
        <v>120.10000000000005</v>
      </c>
      <c r="W383" s="50">
        <f t="shared" si="22"/>
        <v>8.1303845032683911E-2</v>
      </c>
      <c r="X383" s="50">
        <f t="shared" si="23"/>
        <v>0.16514794964716251</v>
      </c>
    </row>
    <row r="384" spans="1:24" x14ac:dyDescent="0.2">
      <c r="A384" s="4">
        <v>383</v>
      </c>
      <c r="B384" s="4" t="s">
        <v>31</v>
      </c>
      <c r="C384" s="4">
        <v>1</v>
      </c>
      <c r="D384" s="4">
        <v>0</v>
      </c>
      <c r="E384" s="4">
        <v>1</v>
      </c>
      <c r="F384" s="4">
        <v>10</v>
      </c>
      <c r="G384" s="4" t="b">
        <v>1</v>
      </c>
      <c r="H384" s="4">
        <v>1</v>
      </c>
      <c r="I384" s="4">
        <v>2</v>
      </c>
      <c r="J384" s="4">
        <v>0.16</v>
      </c>
      <c r="K384" s="6" t="str">
        <f>IF(H384=0,"weekend",IF(H384=6,"weekend","weekend"))</f>
        <v>weekend</v>
      </c>
      <c r="L384" s="3" t="str">
        <f>IF(C384=1,"Spring",IF(C384=2,"Summer",IF(C384=3,"Fall","Winter")))</f>
        <v>Spring</v>
      </c>
      <c r="M384" s="3">
        <f>SUM(J384:J408)</f>
        <v>4.82</v>
      </c>
      <c r="N384" s="3">
        <f>AVERAGE(J384:J993)</f>
        <v>0.18026315789473676</v>
      </c>
      <c r="O384" s="3">
        <f>COUNT(J384:J993)</f>
        <v>228</v>
      </c>
      <c r="P384" s="3" t="str">
        <f>TEXT(J384,"0.00")</f>
        <v>0.16</v>
      </c>
      <c r="Q384" s="3" t="str">
        <f>LEFT(L384,3)</f>
        <v>Spr</v>
      </c>
      <c r="R384" s="42" t="str">
        <f>RIGHT(L384,3)</f>
        <v>ing</v>
      </c>
      <c r="S384" s="42">
        <f>LEN(L384)</f>
        <v>6</v>
      </c>
      <c r="T384" s="3" t="str">
        <f>A384&amp;"|"&amp;B384&amp;"|"&amp;F384</f>
        <v>383|17-01-2011|10</v>
      </c>
      <c r="U384" s="3">
        <f t="shared" si="20"/>
        <v>610</v>
      </c>
      <c r="V384" s="3">
        <f t="shared" si="21"/>
        <v>120.10000000000005</v>
      </c>
      <c r="W384" s="50">
        <f t="shared" si="22"/>
        <v>8.1303845032683911E-2</v>
      </c>
      <c r="X384" s="50">
        <f t="shared" si="23"/>
        <v>0.16514794964716251</v>
      </c>
    </row>
    <row r="385" spans="1:24" x14ac:dyDescent="0.2">
      <c r="A385" s="4">
        <v>384</v>
      </c>
      <c r="B385" s="4" t="s">
        <v>31</v>
      </c>
      <c r="C385" s="4">
        <v>1</v>
      </c>
      <c r="D385" s="4">
        <v>0</v>
      </c>
      <c r="E385" s="4">
        <v>1</v>
      </c>
      <c r="F385" s="4">
        <v>11</v>
      </c>
      <c r="G385" s="4" t="b">
        <v>1</v>
      </c>
      <c r="H385" s="4">
        <v>1</v>
      </c>
      <c r="I385" s="4">
        <v>2</v>
      </c>
      <c r="J385" s="4">
        <v>0.16</v>
      </c>
      <c r="K385" s="6" t="str">
        <f>IF(H385=0,"weekend",IF(H385=6,"weekend","weekend"))</f>
        <v>weekend</v>
      </c>
      <c r="L385" s="3" t="str">
        <f>IF(C385=1,"Spring",IF(C385=2,"Summer",IF(C385=3,"Fall","Winter")))</f>
        <v>Spring</v>
      </c>
      <c r="M385" s="3">
        <f>SUM(J385:J409)</f>
        <v>4.88</v>
      </c>
      <c r="N385" s="3">
        <f>AVERAGE(J385:J994)</f>
        <v>0.1803524229074889</v>
      </c>
      <c r="O385" s="3">
        <f>COUNT(J385:J994)</f>
        <v>227</v>
      </c>
      <c r="P385" s="3" t="str">
        <f>TEXT(J385,"0.00")</f>
        <v>0.16</v>
      </c>
      <c r="Q385" s="3" t="str">
        <f>LEFT(L385,3)</f>
        <v>Spr</v>
      </c>
      <c r="R385" s="42" t="str">
        <f>RIGHT(L385,3)</f>
        <v>ing</v>
      </c>
      <c r="S385" s="42">
        <f>LEN(L385)</f>
        <v>6</v>
      </c>
      <c r="T385" s="3" t="str">
        <f>A385&amp;"|"&amp;B385&amp;"|"&amp;F385</f>
        <v>384|17-01-2011|11</v>
      </c>
      <c r="U385" s="3">
        <f t="shared" si="20"/>
        <v>610</v>
      </c>
      <c r="V385" s="3">
        <f t="shared" si="21"/>
        <v>120.10000000000005</v>
      </c>
      <c r="W385" s="50">
        <f t="shared" si="22"/>
        <v>8.1303845032683911E-2</v>
      </c>
      <c r="X385" s="50">
        <f t="shared" si="23"/>
        <v>0.16514794964716251</v>
      </c>
    </row>
    <row r="386" spans="1:24" x14ac:dyDescent="0.2">
      <c r="A386" s="4">
        <v>385</v>
      </c>
      <c r="B386" s="4" t="s">
        <v>31</v>
      </c>
      <c r="C386" s="4">
        <v>1</v>
      </c>
      <c r="D386" s="4">
        <v>0</v>
      </c>
      <c r="E386" s="4">
        <v>1</v>
      </c>
      <c r="F386" s="4">
        <v>12</v>
      </c>
      <c r="G386" s="4" t="b">
        <v>1</v>
      </c>
      <c r="H386" s="4">
        <v>1</v>
      </c>
      <c r="I386" s="4">
        <v>2</v>
      </c>
      <c r="J386" s="4">
        <v>0.18</v>
      </c>
      <c r="K386" s="6" t="str">
        <f>IF(H386=0,"weekend",IF(H386=6,"weekend","weekend"))</f>
        <v>weekend</v>
      </c>
      <c r="L386" s="3" t="str">
        <f>IF(C386=1,"Spring",IF(C386=2,"Summer",IF(C386=3,"Fall","Winter")))</f>
        <v>Spring</v>
      </c>
      <c r="M386" s="3">
        <f>SUM(J386:J410)</f>
        <v>4.9400000000000004</v>
      </c>
      <c r="N386" s="3">
        <f>AVERAGE(J386:J995)</f>
        <v>0.18044247787610615</v>
      </c>
      <c r="O386" s="3">
        <f>COUNT(J386:J995)</f>
        <v>226</v>
      </c>
      <c r="P386" s="3" t="str">
        <f>TEXT(J386,"0.00")</f>
        <v>0.18</v>
      </c>
      <c r="Q386" s="3" t="str">
        <f>LEFT(L386,3)</f>
        <v>Spr</v>
      </c>
      <c r="R386" s="42" t="str">
        <f>RIGHT(L386,3)</f>
        <v>ing</v>
      </c>
      <c r="S386" s="42">
        <f>LEN(L386)</f>
        <v>6</v>
      </c>
      <c r="T386" s="3" t="str">
        <f>A386&amp;"|"&amp;B386&amp;"|"&amp;F386</f>
        <v>385|17-01-2011|12</v>
      </c>
      <c r="U386" s="3">
        <f t="shared" ref="U386:U449" si="24">COUNTIF(K:K,"weekend")</f>
        <v>610</v>
      </c>
      <c r="V386" s="3">
        <f t="shared" ref="V386:V449" si="25">SUMIF($K:$K,"weekend",$J:$J)</f>
        <v>120.10000000000005</v>
      </c>
      <c r="W386" s="50">
        <f t="shared" ref="W386:W449" si="26">STDEV($J:$J)</f>
        <v>8.1303845032683911E-2</v>
      </c>
      <c r="X386" s="50">
        <f t="shared" ref="X386:X449" si="27">CORREL(J:J,F:F)</f>
        <v>0.16514794964716251</v>
      </c>
    </row>
    <row r="387" spans="1:24" x14ac:dyDescent="0.2">
      <c r="A387" s="4">
        <v>386</v>
      </c>
      <c r="B387" s="4" t="s">
        <v>31</v>
      </c>
      <c r="C387" s="4">
        <v>1</v>
      </c>
      <c r="D387" s="4">
        <v>0</v>
      </c>
      <c r="E387" s="4">
        <v>1</v>
      </c>
      <c r="F387" s="4">
        <v>13</v>
      </c>
      <c r="G387" s="4" t="b">
        <v>1</v>
      </c>
      <c r="H387" s="4">
        <v>1</v>
      </c>
      <c r="I387" s="4">
        <v>2</v>
      </c>
      <c r="J387" s="4">
        <v>0.18</v>
      </c>
      <c r="K387" s="6" t="str">
        <f>IF(H387=0,"weekend",IF(H387=6,"weekend","weekend"))</f>
        <v>weekend</v>
      </c>
      <c r="L387" s="3" t="str">
        <f>IF(C387=1,"Spring",IF(C387=2,"Summer",IF(C387=3,"Fall","Winter")))</f>
        <v>Spring</v>
      </c>
      <c r="M387" s="3">
        <f>SUM(J387:J411)</f>
        <v>4.9800000000000004</v>
      </c>
      <c r="N387" s="3">
        <f>AVERAGE(J387:J996)</f>
        <v>0.18044444444444438</v>
      </c>
      <c r="O387" s="3">
        <f>COUNT(J387:J996)</f>
        <v>225</v>
      </c>
      <c r="P387" s="3" t="str">
        <f>TEXT(J387,"0.00")</f>
        <v>0.18</v>
      </c>
      <c r="Q387" s="3" t="str">
        <f>LEFT(L387,3)</f>
        <v>Spr</v>
      </c>
      <c r="R387" s="42" t="str">
        <f>RIGHT(L387,3)</f>
        <v>ing</v>
      </c>
      <c r="S387" s="42">
        <f>LEN(L387)</f>
        <v>6</v>
      </c>
      <c r="T387" s="3" t="str">
        <f>A387&amp;"|"&amp;B387&amp;"|"&amp;F387</f>
        <v>386|17-01-2011|13</v>
      </c>
      <c r="U387" s="3">
        <f t="shared" si="24"/>
        <v>610</v>
      </c>
      <c r="V387" s="3">
        <f t="shared" si="25"/>
        <v>120.10000000000005</v>
      </c>
      <c r="W387" s="50">
        <f t="shared" si="26"/>
        <v>8.1303845032683911E-2</v>
      </c>
      <c r="X387" s="50">
        <f t="shared" si="27"/>
        <v>0.16514794964716251</v>
      </c>
    </row>
    <row r="388" spans="1:24" x14ac:dyDescent="0.2">
      <c r="A388" s="4">
        <v>387</v>
      </c>
      <c r="B388" s="4" t="s">
        <v>31</v>
      </c>
      <c r="C388" s="4">
        <v>1</v>
      </c>
      <c r="D388" s="4">
        <v>0</v>
      </c>
      <c r="E388" s="4">
        <v>1</v>
      </c>
      <c r="F388" s="4">
        <v>14</v>
      </c>
      <c r="G388" s="4" t="b">
        <v>1</v>
      </c>
      <c r="H388" s="4">
        <v>1</v>
      </c>
      <c r="I388" s="4">
        <v>2</v>
      </c>
      <c r="J388" s="4">
        <v>0.18</v>
      </c>
      <c r="K388" s="6" t="str">
        <f>IF(H388=0,"weekend",IF(H388=6,"weekend","weekend"))</f>
        <v>weekend</v>
      </c>
      <c r="L388" s="3" t="str">
        <f>IF(C388=1,"Spring",IF(C388=2,"Summer",IF(C388=3,"Fall","Winter")))</f>
        <v>Spring</v>
      </c>
      <c r="M388" s="3">
        <f>SUM(J388:J412)</f>
        <v>5.0200000000000005</v>
      </c>
      <c r="N388" s="3">
        <f>AVERAGE(J388:J997)</f>
        <v>0.18044642857142848</v>
      </c>
      <c r="O388" s="3">
        <f>COUNT(J388:J997)</f>
        <v>224</v>
      </c>
      <c r="P388" s="3" t="str">
        <f>TEXT(J388,"0.00")</f>
        <v>0.18</v>
      </c>
      <c r="Q388" s="3" t="str">
        <f>LEFT(L388,3)</f>
        <v>Spr</v>
      </c>
      <c r="R388" s="42" t="str">
        <f>RIGHT(L388,3)</f>
        <v>ing</v>
      </c>
      <c r="S388" s="42">
        <f>LEN(L388)</f>
        <v>6</v>
      </c>
      <c r="T388" s="3" t="str">
        <f>A388&amp;"|"&amp;B388&amp;"|"&amp;F388</f>
        <v>387|17-01-2011|14</v>
      </c>
      <c r="U388" s="3">
        <f t="shared" si="24"/>
        <v>610</v>
      </c>
      <c r="V388" s="3">
        <f t="shared" si="25"/>
        <v>120.10000000000005</v>
      </c>
      <c r="W388" s="50">
        <f t="shared" si="26"/>
        <v>8.1303845032683911E-2</v>
      </c>
      <c r="X388" s="50">
        <f t="shared" si="27"/>
        <v>0.16514794964716251</v>
      </c>
    </row>
    <row r="389" spans="1:24" x14ac:dyDescent="0.2">
      <c r="A389" s="4">
        <v>388</v>
      </c>
      <c r="B389" s="4" t="s">
        <v>31</v>
      </c>
      <c r="C389" s="4">
        <v>1</v>
      </c>
      <c r="D389" s="4">
        <v>0</v>
      </c>
      <c r="E389" s="4">
        <v>1</v>
      </c>
      <c r="F389" s="4">
        <v>15</v>
      </c>
      <c r="G389" s="4" t="b">
        <v>1</v>
      </c>
      <c r="H389" s="4">
        <v>1</v>
      </c>
      <c r="I389" s="4">
        <v>2</v>
      </c>
      <c r="J389" s="4">
        <v>0.2</v>
      </c>
      <c r="K389" s="6" t="str">
        <f>IF(H389=0,"weekend",IF(H389=6,"weekend","weekend"))</f>
        <v>weekend</v>
      </c>
      <c r="L389" s="3" t="str">
        <f>IF(C389=1,"Spring",IF(C389=2,"Summer",IF(C389=3,"Fall","Winter")))</f>
        <v>Spring</v>
      </c>
      <c r="M389" s="3">
        <f>SUM(J389:J413)</f>
        <v>5.0600000000000005</v>
      </c>
      <c r="N389" s="3">
        <f>AVERAGE(J389:J998)</f>
        <v>0.18044843049327344</v>
      </c>
      <c r="O389" s="3">
        <f>COUNT(J389:J998)</f>
        <v>223</v>
      </c>
      <c r="P389" s="3" t="str">
        <f>TEXT(J389,"0.00")</f>
        <v>0.20</v>
      </c>
      <c r="Q389" s="3" t="str">
        <f>LEFT(L389,3)</f>
        <v>Spr</v>
      </c>
      <c r="R389" s="42" t="str">
        <f>RIGHT(L389,3)</f>
        <v>ing</v>
      </c>
      <c r="S389" s="42">
        <f>LEN(L389)</f>
        <v>6</v>
      </c>
      <c r="T389" s="3" t="str">
        <f>A389&amp;"|"&amp;B389&amp;"|"&amp;F389</f>
        <v>388|17-01-2011|15</v>
      </c>
      <c r="U389" s="3">
        <f t="shared" si="24"/>
        <v>610</v>
      </c>
      <c r="V389" s="3">
        <f t="shared" si="25"/>
        <v>120.10000000000005</v>
      </c>
      <c r="W389" s="50">
        <f t="shared" si="26"/>
        <v>8.1303845032683911E-2</v>
      </c>
      <c r="X389" s="50">
        <f t="shared" si="27"/>
        <v>0.16514794964716251</v>
      </c>
    </row>
    <row r="390" spans="1:24" x14ac:dyDescent="0.2">
      <c r="A390" s="4">
        <v>389</v>
      </c>
      <c r="B390" s="4" t="s">
        <v>31</v>
      </c>
      <c r="C390" s="4">
        <v>1</v>
      </c>
      <c r="D390" s="4">
        <v>0</v>
      </c>
      <c r="E390" s="4">
        <v>1</v>
      </c>
      <c r="F390" s="4">
        <v>16</v>
      </c>
      <c r="G390" s="4" t="b">
        <v>1</v>
      </c>
      <c r="H390" s="4">
        <v>1</v>
      </c>
      <c r="I390" s="4">
        <v>2</v>
      </c>
      <c r="J390" s="4">
        <v>0.2</v>
      </c>
      <c r="K390" s="6" t="str">
        <f>IF(H390=0,"weekend",IF(H390=6,"weekend","weekend"))</f>
        <v>weekend</v>
      </c>
      <c r="L390" s="3" t="str">
        <f>IF(C390=1,"Spring",IF(C390=2,"Summer",IF(C390=3,"Fall","Winter")))</f>
        <v>Spring</v>
      </c>
      <c r="M390" s="3">
        <f>SUM(J390:J414)</f>
        <v>5.080000000000001</v>
      </c>
      <c r="N390" s="3">
        <f>AVERAGE(J390:J999)</f>
        <v>0.18036036036036027</v>
      </c>
      <c r="O390" s="3">
        <f>COUNT(J390:J999)</f>
        <v>222</v>
      </c>
      <c r="P390" s="3" t="str">
        <f>TEXT(J390,"0.00")</f>
        <v>0.20</v>
      </c>
      <c r="Q390" s="3" t="str">
        <f>LEFT(L390,3)</f>
        <v>Spr</v>
      </c>
      <c r="R390" s="42" t="str">
        <f>RIGHT(L390,3)</f>
        <v>ing</v>
      </c>
      <c r="S390" s="42">
        <f>LEN(L390)</f>
        <v>6</v>
      </c>
      <c r="T390" s="3" t="str">
        <f>A390&amp;"|"&amp;B390&amp;"|"&amp;F390</f>
        <v>389|17-01-2011|16</v>
      </c>
      <c r="U390" s="3">
        <f t="shared" si="24"/>
        <v>610</v>
      </c>
      <c r="V390" s="3">
        <f t="shared" si="25"/>
        <v>120.10000000000005</v>
      </c>
      <c r="W390" s="50">
        <f t="shared" si="26"/>
        <v>8.1303845032683911E-2</v>
      </c>
      <c r="X390" s="50">
        <f t="shared" si="27"/>
        <v>0.16514794964716251</v>
      </c>
    </row>
    <row r="391" spans="1:24" x14ac:dyDescent="0.2">
      <c r="A391" s="4">
        <v>390</v>
      </c>
      <c r="B391" s="4" t="s">
        <v>31</v>
      </c>
      <c r="C391" s="4">
        <v>1</v>
      </c>
      <c r="D391" s="4">
        <v>0</v>
      </c>
      <c r="E391" s="4">
        <v>1</v>
      </c>
      <c r="F391" s="4">
        <v>17</v>
      </c>
      <c r="G391" s="4" t="b">
        <v>1</v>
      </c>
      <c r="H391" s="4">
        <v>1</v>
      </c>
      <c r="I391" s="4">
        <v>1</v>
      </c>
      <c r="J391" s="4">
        <v>0.2</v>
      </c>
      <c r="K391" s="6" t="str">
        <f>IF(H391=0,"weekend",IF(H391=6,"weekend","weekend"))</f>
        <v>weekend</v>
      </c>
      <c r="L391" s="3" t="str">
        <f>IF(C391=1,"Spring",IF(C391=2,"Summer",IF(C391=3,"Fall","Winter")))</f>
        <v>Spring</v>
      </c>
      <c r="M391" s="3">
        <f>SUM(J391:J415)</f>
        <v>5.1000000000000005</v>
      </c>
      <c r="N391" s="3">
        <f>AVERAGE(J391:J1000)</f>
        <v>0.18027149321266958</v>
      </c>
      <c r="O391" s="3">
        <f>COUNT(J391:J1000)</f>
        <v>221</v>
      </c>
      <c r="P391" s="3" t="str">
        <f>TEXT(J391,"0.00")</f>
        <v>0.20</v>
      </c>
      <c r="Q391" s="3" t="str">
        <f>LEFT(L391,3)</f>
        <v>Spr</v>
      </c>
      <c r="R391" s="42" t="str">
        <f>RIGHT(L391,3)</f>
        <v>ing</v>
      </c>
      <c r="S391" s="42">
        <f>LEN(L391)</f>
        <v>6</v>
      </c>
      <c r="T391" s="3" t="str">
        <f>A391&amp;"|"&amp;B391&amp;"|"&amp;F391</f>
        <v>390|17-01-2011|17</v>
      </c>
      <c r="U391" s="3">
        <f t="shared" si="24"/>
        <v>610</v>
      </c>
      <c r="V391" s="3">
        <f t="shared" si="25"/>
        <v>120.10000000000005</v>
      </c>
      <c r="W391" s="50">
        <f t="shared" si="26"/>
        <v>8.1303845032683911E-2</v>
      </c>
      <c r="X391" s="50">
        <f t="shared" si="27"/>
        <v>0.16514794964716251</v>
      </c>
    </row>
    <row r="392" spans="1:24" x14ac:dyDescent="0.2">
      <c r="A392" s="4">
        <v>391</v>
      </c>
      <c r="B392" s="4" t="s">
        <v>31</v>
      </c>
      <c r="C392" s="4">
        <v>1</v>
      </c>
      <c r="D392" s="4">
        <v>0</v>
      </c>
      <c r="E392" s="4">
        <v>1</v>
      </c>
      <c r="F392" s="4">
        <v>18</v>
      </c>
      <c r="G392" s="4" t="b">
        <v>1</v>
      </c>
      <c r="H392" s="4">
        <v>1</v>
      </c>
      <c r="I392" s="4">
        <v>2</v>
      </c>
      <c r="J392" s="4">
        <v>0.18</v>
      </c>
      <c r="K392" s="6" t="str">
        <f>IF(H392=0,"weekend",IF(H392=6,"weekend","weekend"))</f>
        <v>weekend</v>
      </c>
      <c r="L392" s="3" t="str">
        <f>IF(C392=1,"Spring",IF(C392=2,"Summer",IF(C392=3,"Fall","Winter")))</f>
        <v>Spring</v>
      </c>
      <c r="M392" s="3">
        <f>SUM(J392:J416)</f>
        <v>5.1400000000000006</v>
      </c>
      <c r="N392" s="3">
        <f>AVERAGE(J392:J1001)</f>
        <v>0.18018181818181808</v>
      </c>
      <c r="O392" s="3">
        <f>COUNT(J392:J1001)</f>
        <v>220</v>
      </c>
      <c r="P392" s="3" t="str">
        <f>TEXT(J392,"0.00")</f>
        <v>0.18</v>
      </c>
      <c r="Q392" s="3" t="str">
        <f>LEFT(L392,3)</f>
        <v>Spr</v>
      </c>
      <c r="R392" s="42" t="str">
        <f>RIGHT(L392,3)</f>
        <v>ing</v>
      </c>
      <c r="S392" s="42">
        <f>LEN(L392)</f>
        <v>6</v>
      </c>
      <c r="T392" s="3" t="str">
        <f>A392&amp;"|"&amp;B392&amp;"|"&amp;F392</f>
        <v>391|17-01-2011|18</v>
      </c>
      <c r="U392" s="3">
        <f t="shared" si="24"/>
        <v>610</v>
      </c>
      <c r="V392" s="3">
        <f t="shared" si="25"/>
        <v>120.10000000000005</v>
      </c>
      <c r="W392" s="50">
        <f t="shared" si="26"/>
        <v>8.1303845032683911E-2</v>
      </c>
      <c r="X392" s="50">
        <f t="shared" si="27"/>
        <v>0.16514794964716251</v>
      </c>
    </row>
    <row r="393" spans="1:24" x14ac:dyDescent="0.2">
      <c r="A393" s="4">
        <v>392</v>
      </c>
      <c r="B393" s="4" t="s">
        <v>31</v>
      </c>
      <c r="C393" s="4">
        <v>1</v>
      </c>
      <c r="D393" s="4">
        <v>0</v>
      </c>
      <c r="E393" s="4">
        <v>1</v>
      </c>
      <c r="F393" s="4">
        <v>19</v>
      </c>
      <c r="G393" s="4" t="b">
        <v>1</v>
      </c>
      <c r="H393" s="4">
        <v>1</v>
      </c>
      <c r="I393" s="4">
        <v>3</v>
      </c>
      <c r="J393" s="4">
        <v>0.18</v>
      </c>
      <c r="K393" s="6" t="str">
        <f>IF(H393=0,"weekend",IF(H393=6,"weekend","weekend"))</f>
        <v>weekend</v>
      </c>
      <c r="L393" s="3" t="str">
        <f>IF(C393=1,"Spring",IF(C393=2,"Summer",IF(C393=3,"Fall","Winter")))</f>
        <v>Spring</v>
      </c>
      <c r="M393" s="3">
        <f>SUM(J393:J417)</f>
        <v>5.2000000000000011</v>
      </c>
      <c r="N393" s="3">
        <f>AVERAGE(J393:J1002)</f>
        <v>0.18018264840182638</v>
      </c>
      <c r="O393" s="3">
        <f>COUNT(J393:J1002)</f>
        <v>219</v>
      </c>
      <c r="P393" s="3" t="str">
        <f>TEXT(J393,"0.00")</f>
        <v>0.18</v>
      </c>
      <c r="Q393" s="3" t="str">
        <f>LEFT(L393,3)</f>
        <v>Spr</v>
      </c>
      <c r="R393" s="42" t="str">
        <f>RIGHT(L393,3)</f>
        <v>ing</v>
      </c>
      <c r="S393" s="42">
        <f>LEN(L393)</f>
        <v>6</v>
      </c>
      <c r="T393" s="3" t="str">
        <f>A393&amp;"|"&amp;B393&amp;"|"&amp;F393</f>
        <v>392|17-01-2011|19</v>
      </c>
      <c r="U393" s="3">
        <f t="shared" si="24"/>
        <v>610</v>
      </c>
      <c r="V393" s="3">
        <f t="shared" si="25"/>
        <v>120.10000000000005</v>
      </c>
      <c r="W393" s="50">
        <f t="shared" si="26"/>
        <v>8.1303845032683911E-2</v>
      </c>
      <c r="X393" s="50">
        <f t="shared" si="27"/>
        <v>0.16514794964716251</v>
      </c>
    </row>
    <row r="394" spans="1:24" x14ac:dyDescent="0.2">
      <c r="A394" s="4">
        <v>393</v>
      </c>
      <c r="B394" s="4" t="s">
        <v>31</v>
      </c>
      <c r="C394" s="4">
        <v>1</v>
      </c>
      <c r="D394" s="4">
        <v>0</v>
      </c>
      <c r="E394" s="4">
        <v>1</v>
      </c>
      <c r="F394" s="4">
        <v>20</v>
      </c>
      <c r="G394" s="4" t="b">
        <v>1</v>
      </c>
      <c r="H394" s="4">
        <v>1</v>
      </c>
      <c r="I394" s="4">
        <v>3</v>
      </c>
      <c r="J394" s="4">
        <v>0.16</v>
      </c>
      <c r="K394" s="6" t="str">
        <f>IF(H394=0,"weekend",IF(H394=6,"weekend","weekend"))</f>
        <v>weekend</v>
      </c>
      <c r="L394" s="3" t="str">
        <f>IF(C394=1,"Spring",IF(C394=2,"Summer",IF(C394=3,"Fall","Winter")))</f>
        <v>Spring</v>
      </c>
      <c r="M394" s="3">
        <f>SUM(J394:J418)</f>
        <v>5.2600000000000016</v>
      </c>
      <c r="N394" s="3">
        <f>AVERAGE(J394:J1003)</f>
        <v>0.18018348623853203</v>
      </c>
      <c r="O394" s="3">
        <f>COUNT(J394:J1003)</f>
        <v>218</v>
      </c>
      <c r="P394" s="3" t="str">
        <f>TEXT(J394,"0.00")</f>
        <v>0.16</v>
      </c>
      <c r="Q394" s="3" t="str">
        <f>LEFT(L394,3)</f>
        <v>Spr</v>
      </c>
      <c r="R394" s="42" t="str">
        <f>RIGHT(L394,3)</f>
        <v>ing</v>
      </c>
      <c r="S394" s="42">
        <f>LEN(L394)</f>
        <v>6</v>
      </c>
      <c r="T394" s="3" t="str">
        <f>A394&amp;"|"&amp;B394&amp;"|"&amp;F394</f>
        <v>393|17-01-2011|20</v>
      </c>
      <c r="U394" s="3">
        <f t="shared" si="24"/>
        <v>610</v>
      </c>
      <c r="V394" s="3">
        <f t="shared" si="25"/>
        <v>120.10000000000005</v>
      </c>
      <c r="W394" s="50">
        <f t="shared" si="26"/>
        <v>8.1303845032683911E-2</v>
      </c>
      <c r="X394" s="50">
        <f t="shared" si="27"/>
        <v>0.16514794964716251</v>
      </c>
    </row>
    <row r="395" spans="1:24" x14ac:dyDescent="0.2">
      <c r="A395" s="4">
        <v>394</v>
      </c>
      <c r="B395" s="4" t="s">
        <v>31</v>
      </c>
      <c r="C395" s="4">
        <v>1</v>
      </c>
      <c r="D395" s="4">
        <v>0</v>
      </c>
      <c r="E395" s="4">
        <v>1</v>
      </c>
      <c r="F395" s="4">
        <v>21</v>
      </c>
      <c r="G395" s="4" t="b">
        <v>1</v>
      </c>
      <c r="H395" s="4">
        <v>1</v>
      </c>
      <c r="I395" s="4">
        <v>3</v>
      </c>
      <c r="J395" s="4">
        <v>0.16</v>
      </c>
      <c r="K395" s="6" t="str">
        <f>IF(H395=0,"weekend",IF(H395=6,"weekend","weekend"))</f>
        <v>weekend</v>
      </c>
      <c r="L395" s="3" t="str">
        <f>IF(C395=1,"Spring",IF(C395=2,"Summer",IF(C395=3,"Fall","Winter")))</f>
        <v>Spring</v>
      </c>
      <c r="M395" s="3">
        <f>SUM(J395:J419)</f>
        <v>5.3600000000000021</v>
      </c>
      <c r="N395" s="3">
        <f>AVERAGE(J395:J1004)</f>
        <v>0.18027649769585241</v>
      </c>
      <c r="O395" s="3">
        <f>COUNT(J395:J1004)</f>
        <v>217</v>
      </c>
      <c r="P395" s="3" t="str">
        <f>TEXT(J395,"0.00")</f>
        <v>0.16</v>
      </c>
      <c r="Q395" s="3" t="str">
        <f>LEFT(L395,3)</f>
        <v>Spr</v>
      </c>
      <c r="R395" s="42" t="str">
        <f>RIGHT(L395,3)</f>
        <v>ing</v>
      </c>
      <c r="S395" s="42">
        <f>LEN(L395)</f>
        <v>6</v>
      </c>
      <c r="T395" s="3" t="str">
        <f>A395&amp;"|"&amp;B395&amp;"|"&amp;F395</f>
        <v>394|17-01-2011|21</v>
      </c>
      <c r="U395" s="3">
        <f t="shared" si="24"/>
        <v>610</v>
      </c>
      <c r="V395" s="3">
        <f t="shared" si="25"/>
        <v>120.10000000000005</v>
      </c>
      <c r="W395" s="50">
        <f t="shared" si="26"/>
        <v>8.1303845032683911E-2</v>
      </c>
      <c r="X395" s="50">
        <f t="shared" si="27"/>
        <v>0.16514794964716251</v>
      </c>
    </row>
    <row r="396" spans="1:24" x14ac:dyDescent="0.2">
      <c r="A396" s="4">
        <v>395</v>
      </c>
      <c r="B396" s="4" t="s">
        <v>31</v>
      </c>
      <c r="C396" s="4">
        <v>1</v>
      </c>
      <c r="D396" s="4">
        <v>0</v>
      </c>
      <c r="E396" s="4">
        <v>1</v>
      </c>
      <c r="F396" s="4">
        <v>22</v>
      </c>
      <c r="G396" s="4" t="b">
        <v>1</v>
      </c>
      <c r="H396" s="4">
        <v>1</v>
      </c>
      <c r="I396" s="4">
        <v>3</v>
      </c>
      <c r="J396" s="4">
        <v>0.14000000000000001</v>
      </c>
      <c r="K396" s="6" t="str">
        <f>IF(H396=0,"weekend",IF(H396=6,"weekend","weekend"))</f>
        <v>weekend</v>
      </c>
      <c r="L396" s="3" t="str">
        <f>IF(C396=1,"Spring",IF(C396=2,"Summer",IF(C396=3,"Fall","Winter")))</f>
        <v>Spring</v>
      </c>
      <c r="M396" s="3">
        <f>SUM(J396:J420)</f>
        <v>5.4800000000000022</v>
      </c>
      <c r="N396" s="3">
        <f>AVERAGE(J396:J1005)</f>
        <v>0.18037037037037024</v>
      </c>
      <c r="O396" s="3">
        <f>COUNT(J396:J1005)</f>
        <v>216</v>
      </c>
      <c r="P396" s="3" t="str">
        <f>TEXT(J396,"0.00")</f>
        <v>0.14</v>
      </c>
      <c r="Q396" s="3" t="str">
        <f>LEFT(L396,3)</f>
        <v>Spr</v>
      </c>
      <c r="R396" s="42" t="str">
        <f>RIGHT(L396,3)</f>
        <v>ing</v>
      </c>
      <c r="S396" s="42">
        <f>LEN(L396)</f>
        <v>6</v>
      </c>
      <c r="T396" s="3" t="str">
        <f>A396&amp;"|"&amp;B396&amp;"|"&amp;F396</f>
        <v>395|17-01-2011|22</v>
      </c>
      <c r="U396" s="3">
        <f t="shared" si="24"/>
        <v>610</v>
      </c>
      <c r="V396" s="3">
        <f t="shared" si="25"/>
        <v>120.10000000000005</v>
      </c>
      <c r="W396" s="50">
        <f t="shared" si="26"/>
        <v>8.1303845032683911E-2</v>
      </c>
      <c r="X396" s="50">
        <f t="shared" si="27"/>
        <v>0.16514794964716251</v>
      </c>
    </row>
    <row r="397" spans="1:24" x14ac:dyDescent="0.2">
      <c r="A397" s="4">
        <v>396</v>
      </c>
      <c r="B397" s="4" t="s">
        <v>31</v>
      </c>
      <c r="C397" s="4">
        <v>1</v>
      </c>
      <c r="D397" s="4">
        <v>0</v>
      </c>
      <c r="E397" s="4">
        <v>1</v>
      </c>
      <c r="F397" s="4">
        <v>23</v>
      </c>
      <c r="G397" s="4" t="b">
        <v>1</v>
      </c>
      <c r="H397" s="4">
        <v>1</v>
      </c>
      <c r="I397" s="4">
        <v>3</v>
      </c>
      <c r="J397" s="4">
        <v>0.16</v>
      </c>
      <c r="K397" s="6" t="str">
        <f>IF(H397=0,"weekend",IF(H397=6,"weekend","weekend"))</f>
        <v>weekend</v>
      </c>
      <c r="L397" s="3" t="str">
        <f>IF(C397=1,"Spring",IF(C397=2,"Summer",IF(C397=3,"Fall","Winter")))</f>
        <v>Spring</v>
      </c>
      <c r="M397" s="3">
        <f>SUM(J397:J421)</f>
        <v>5.6400000000000023</v>
      </c>
      <c r="N397" s="3">
        <f>AVERAGE(J397:J1006)</f>
        <v>0.18055813953488359</v>
      </c>
      <c r="O397" s="3">
        <f>COUNT(J397:J1006)</f>
        <v>215</v>
      </c>
      <c r="P397" s="3" t="str">
        <f>TEXT(J397,"0.00")</f>
        <v>0.16</v>
      </c>
      <c r="Q397" s="3" t="str">
        <f>LEFT(L397,3)</f>
        <v>Spr</v>
      </c>
      <c r="R397" s="42" t="str">
        <f>RIGHT(L397,3)</f>
        <v>ing</v>
      </c>
      <c r="S397" s="42">
        <f>LEN(L397)</f>
        <v>6</v>
      </c>
      <c r="T397" s="3" t="str">
        <f>A397&amp;"|"&amp;B397&amp;"|"&amp;F397</f>
        <v>396|17-01-2011|23</v>
      </c>
      <c r="U397" s="3">
        <f t="shared" si="24"/>
        <v>610</v>
      </c>
      <c r="V397" s="3">
        <f t="shared" si="25"/>
        <v>120.10000000000005</v>
      </c>
      <c r="W397" s="50">
        <f t="shared" si="26"/>
        <v>8.1303845032683911E-2</v>
      </c>
      <c r="X397" s="50">
        <f t="shared" si="27"/>
        <v>0.16514794964716251</v>
      </c>
    </row>
    <row r="398" spans="1:24" x14ac:dyDescent="0.2">
      <c r="A398" s="4">
        <v>397</v>
      </c>
      <c r="B398" s="4" t="s">
        <v>32</v>
      </c>
      <c r="C398" s="4">
        <v>1</v>
      </c>
      <c r="D398" s="4">
        <v>0</v>
      </c>
      <c r="E398" s="4">
        <v>1</v>
      </c>
      <c r="F398" s="4">
        <v>12</v>
      </c>
      <c r="G398" s="4" t="b">
        <v>0</v>
      </c>
      <c r="H398" s="4">
        <v>2</v>
      </c>
      <c r="I398" s="4">
        <v>2</v>
      </c>
      <c r="J398" s="4">
        <v>0.2</v>
      </c>
      <c r="K398" s="6" t="str">
        <f>IF(H398=0,"weekend",IF(H398=6,"weekend","weekend"))</f>
        <v>weekend</v>
      </c>
      <c r="L398" s="3" t="str">
        <f>IF(C398=1,"Spring",IF(C398=2,"Summer",IF(C398=3,"Fall","Winter")))</f>
        <v>Spring</v>
      </c>
      <c r="M398" s="3">
        <f>SUM(J398:J422)</f>
        <v>5.8800000000000026</v>
      </c>
      <c r="N398" s="3">
        <f>AVERAGE(J398:J1007)</f>
        <v>0.18065420560747653</v>
      </c>
      <c r="O398" s="3">
        <f>COUNT(J398:J1007)</f>
        <v>214</v>
      </c>
      <c r="P398" s="3" t="str">
        <f>TEXT(J398,"0.00")</f>
        <v>0.20</v>
      </c>
      <c r="Q398" s="3" t="str">
        <f>LEFT(L398,3)</f>
        <v>Spr</v>
      </c>
      <c r="R398" s="42" t="str">
        <f>RIGHT(L398,3)</f>
        <v>ing</v>
      </c>
      <c r="S398" s="42">
        <f>LEN(L398)</f>
        <v>6</v>
      </c>
      <c r="T398" s="3" t="str">
        <f>A398&amp;"|"&amp;B398&amp;"|"&amp;F398</f>
        <v>397|18-01-2011|12</v>
      </c>
      <c r="U398" s="3">
        <f t="shared" si="24"/>
        <v>610</v>
      </c>
      <c r="V398" s="3">
        <f t="shared" si="25"/>
        <v>120.10000000000005</v>
      </c>
      <c r="W398" s="50">
        <f t="shared" si="26"/>
        <v>8.1303845032683911E-2</v>
      </c>
      <c r="X398" s="50">
        <f t="shared" si="27"/>
        <v>0.16514794964716251</v>
      </c>
    </row>
    <row r="399" spans="1:24" x14ac:dyDescent="0.2">
      <c r="A399" s="4">
        <v>398</v>
      </c>
      <c r="B399" s="4" t="s">
        <v>32</v>
      </c>
      <c r="C399" s="4">
        <v>1</v>
      </c>
      <c r="D399" s="4">
        <v>0</v>
      </c>
      <c r="E399" s="4">
        <v>1</v>
      </c>
      <c r="F399" s="4">
        <v>13</v>
      </c>
      <c r="G399" s="4" t="b">
        <v>0</v>
      </c>
      <c r="H399" s="4">
        <v>2</v>
      </c>
      <c r="I399" s="4">
        <v>2</v>
      </c>
      <c r="J399" s="4">
        <v>0.2</v>
      </c>
      <c r="K399" s="6" t="str">
        <f>IF(H399=0,"weekend",IF(H399=6,"weekend","weekend"))</f>
        <v>weekend</v>
      </c>
      <c r="L399" s="3" t="str">
        <f>IF(C399=1,"Spring",IF(C399=2,"Summer",IF(C399=3,"Fall","Winter")))</f>
        <v>Spring</v>
      </c>
      <c r="M399" s="3">
        <f>SUM(J399:J423)</f>
        <v>6.0800000000000027</v>
      </c>
      <c r="N399" s="3">
        <f>AVERAGE(J399:J1008)</f>
        <v>0.18056338028169006</v>
      </c>
      <c r="O399" s="3">
        <f>COUNT(J399:J1008)</f>
        <v>213</v>
      </c>
      <c r="P399" s="3" t="str">
        <f>TEXT(J399,"0.00")</f>
        <v>0.20</v>
      </c>
      <c r="Q399" s="3" t="str">
        <f>LEFT(L399,3)</f>
        <v>Spr</v>
      </c>
      <c r="R399" s="42" t="str">
        <f>RIGHT(L399,3)</f>
        <v>ing</v>
      </c>
      <c r="S399" s="42">
        <f>LEN(L399)</f>
        <v>6</v>
      </c>
      <c r="T399" s="3" t="str">
        <f>A399&amp;"|"&amp;B399&amp;"|"&amp;F399</f>
        <v>398|18-01-2011|13</v>
      </c>
      <c r="U399" s="3">
        <f t="shared" si="24"/>
        <v>610</v>
      </c>
      <c r="V399" s="3">
        <f t="shared" si="25"/>
        <v>120.10000000000005</v>
      </c>
      <c r="W399" s="50">
        <f t="shared" si="26"/>
        <v>8.1303845032683911E-2</v>
      </c>
      <c r="X399" s="50">
        <f t="shared" si="27"/>
        <v>0.16514794964716251</v>
      </c>
    </row>
    <row r="400" spans="1:24" x14ac:dyDescent="0.2">
      <c r="A400" s="4">
        <v>399</v>
      </c>
      <c r="B400" s="4" t="s">
        <v>32</v>
      </c>
      <c r="C400" s="4">
        <v>1</v>
      </c>
      <c r="D400" s="4">
        <v>0</v>
      </c>
      <c r="E400" s="4">
        <v>1</v>
      </c>
      <c r="F400" s="4">
        <v>14</v>
      </c>
      <c r="G400" s="4" t="b">
        <v>0</v>
      </c>
      <c r="H400" s="4">
        <v>2</v>
      </c>
      <c r="I400" s="4">
        <v>2</v>
      </c>
      <c r="J400" s="4">
        <v>0.22</v>
      </c>
      <c r="K400" s="6" t="str">
        <f>IF(H400=0,"weekend",IF(H400=6,"weekend","weekend"))</f>
        <v>weekend</v>
      </c>
      <c r="L400" s="3" t="str">
        <f>IF(C400=1,"Spring",IF(C400=2,"Summer",IF(C400=3,"Fall","Winter")))</f>
        <v>Spring</v>
      </c>
      <c r="M400" s="3">
        <f>SUM(J400:J424)</f>
        <v>6.2800000000000029</v>
      </c>
      <c r="N400" s="3">
        <f>AVERAGE(J400:J1009)</f>
        <v>0.18047169811320743</v>
      </c>
      <c r="O400" s="3">
        <f>COUNT(J400:J1009)</f>
        <v>212</v>
      </c>
      <c r="P400" s="3" t="str">
        <f>TEXT(J400,"0.00")</f>
        <v>0.22</v>
      </c>
      <c r="Q400" s="3" t="str">
        <f>LEFT(L400,3)</f>
        <v>Spr</v>
      </c>
      <c r="R400" s="42" t="str">
        <f>RIGHT(L400,3)</f>
        <v>ing</v>
      </c>
      <c r="S400" s="42">
        <f>LEN(L400)</f>
        <v>6</v>
      </c>
      <c r="T400" s="3" t="str">
        <f>A400&amp;"|"&amp;B400&amp;"|"&amp;F400</f>
        <v>399|18-01-2011|14</v>
      </c>
      <c r="U400" s="3">
        <f t="shared" si="24"/>
        <v>610</v>
      </c>
      <c r="V400" s="3">
        <f t="shared" si="25"/>
        <v>120.10000000000005</v>
      </c>
      <c r="W400" s="50">
        <f t="shared" si="26"/>
        <v>8.1303845032683911E-2</v>
      </c>
      <c r="X400" s="50">
        <f t="shared" si="27"/>
        <v>0.16514794964716251</v>
      </c>
    </row>
    <row r="401" spans="1:24" x14ac:dyDescent="0.2">
      <c r="A401" s="4">
        <v>400</v>
      </c>
      <c r="B401" s="4" t="s">
        <v>32</v>
      </c>
      <c r="C401" s="4">
        <v>1</v>
      </c>
      <c r="D401" s="4">
        <v>0</v>
      </c>
      <c r="E401" s="4">
        <v>1</v>
      </c>
      <c r="F401" s="4">
        <v>15</v>
      </c>
      <c r="G401" s="4" t="b">
        <v>0</v>
      </c>
      <c r="H401" s="4">
        <v>2</v>
      </c>
      <c r="I401" s="4">
        <v>2</v>
      </c>
      <c r="J401" s="4">
        <v>0.22</v>
      </c>
      <c r="K401" s="6" t="str">
        <f>IF(H401=0,"weekend",IF(H401=6,"weekend","weekend"))</f>
        <v>weekend</v>
      </c>
      <c r="L401" s="3" t="str">
        <f>IF(C401=1,"Spring",IF(C401=2,"Summer",IF(C401=3,"Fall","Winter")))</f>
        <v>Spring</v>
      </c>
      <c r="M401" s="3">
        <f>SUM(J401:J425)</f>
        <v>6.4400000000000022</v>
      </c>
      <c r="N401" s="3">
        <f>AVERAGE(J401:J1010)</f>
        <v>0.18028436018957336</v>
      </c>
      <c r="O401" s="3">
        <f>COUNT(J401:J1010)</f>
        <v>211</v>
      </c>
      <c r="P401" s="3" t="str">
        <f>TEXT(J401,"0.00")</f>
        <v>0.22</v>
      </c>
      <c r="Q401" s="3" t="str">
        <f>LEFT(L401,3)</f>
        <v>Spr</v>
      </c>
      <c r="R401" s="42" t="str">
        <f>RIGHT(L401,3)</f>
        <v>ing</v>
      </c>
      <c r="S401" s="42">
        <f>LEN(L401)</f>
        <v>6</v>
      </c>
      <c r="T401" s="3" t="str">
        <f>A401&amp;"|"&amp;B401&amp;"|"&amp;F401</f>
        <v>400|18-01-2011|15</v>
      </c>
      <c r="U401" s="3">
        <f t="shared" si="24"/>
        <v>610</v>
      </c>
      <c r="V401" s="3">
        <f t="shared" si="25"/>
        <v>120.10000000000005</v>
      </c>
      <c r="W401" s="50">
        <f t="shared" si="26"/>
        <v>8.1303845032683911E-2</v>
      </c>
      <c r="X401" s="50">
        <f t="shared" si="27"/>
        <v>0.16514794964716251</v>
      </c>
    </row>
    <row r="402" spans="1:24" x14ac:dyDescent="0.2">
      <c r="A402" s="4">
        <v>401</v>
      </c>
      <c r="B402" s="4" t="s">
        <v>32</v>
      </c>
      <c r="C402" s="4">
        <v>1</v>
      </c>
      <c r="D402" s="4">
        <v>0</v>
      </c>
      <c r="E402" s="4">
        <v>1</v>
      </c>
      <c r="F402" s="4">
        <v>16</v>
      </c>
      <c r="G402" s="4" t="b">
        <v>0</v>
      </c>
      <c r="H402" s="4">
        <v>2</v>
      </c>
      <c r="I402" s="4">
        <v>2</v>
      </c>
      <c r="J402" s="4">
        <v>0.22</v>
      </c>
      <c r="K402" s="6" t="str">
        <f>IF(H402=0,"weekend",IF(H402=6,"weekend","weekend"))</f>
        <v>weekend</v>
      </c>
      <c r="L402" s="3" t="str">
        <f>IF(C402=1,"Spring",IF(C402=2,"Summer",IF(C402=3,"Fall","Winter")))</f>
        <v>Spring</v>
      </c>
      <c r="M402" s="3">
        <f>SUM(J402:J426)</f>
        <v>6.5800000000000027</v>
      </c>
      <c r="N402" s="3">
        <f>AVERAGE(J402:J1011)</f>
        <v>0.180095238095238</v>
      </c>
      <c r="O402" s="3">
        <f>COUNT(J402:J1011)</f>
        <v>210</v>
      </c>
      <c r="P402" s="3" t="str">
        <f>TEXT(J402,"0.00")</f>
        <v>0.22</v>
      </c>
      <c r="Q402" s="3" t="str">
        <f>LEFT(L402,3)</f>
        <v>Spr</v>
      </c>
      <c r="R402" s="42" t="str">
        <f>RIGHT(L402,3)</f>
        <v>ing</v>
      </c>
      <c r="S402" s="42">
        <f>LEN(L402)</f>
        <v>6</v>
      </c>
      <c r="T402" s="3" t="str">
        <f>A402&amp;"|"&amp;B402&amp;"|"&amp;F402</f>
        <v>401|18-01-2011|16</v>
      </c>
      <c r="U402" s="3">
        <f t="shared" si="24"/>
        <v>610</v>
      </c>
      <c r="V402" s="3">
        <f t="shared" si="25"/>
        <v>120.10000000000005</v>
      </c>
      <c r="W402" s="50">
        <f t="shared" si="26"/>
        <v>8.1303845032683911E-2</v>
      </c>
      <c r="X402" s="50">
        <f t="shared" si="27"/>
        <v>0.16514794964716251</v>
      </c>
    </row>
    <row r="403" spans="1:24" x14ac:dyDescent="0.2">
      <c r="A403" s="4">
        <v>402</v>
      </c>
      <c r="B403" s="4" t="s">
        <v>32</v>
      </c>
      <c r="C403" s="4">
        <v>1</v>
      </c>
      <c r="D403" s="4">
        <v>0</v>
      </c>
      <c r="E403" s="4">
        <v>1</v>
      </c>
      <c r="F403" s="4">
        <v>17</v>
      </c>
      <c r="G403" s="4" t="b">
        <v>0</v>
      </c>
      <c r="H403" s="4">
        <v>2</v>
      </c>
      <c r="I403" s="4">
        <v>2</v>
      </c>
      <c r="J403" s="4">
        <v>0.22</v>
      </c>
      <c r="K403" s="6" t="str">
        <f>IF(H403=0,"weekend",IF(H403=6,"weekend","weekend"))</f>
        <v>weekend</v>
      </c>
      <c r="L403" s="3" t="str">
        <f>IF(C403=1,"Spring",IF(C403=2,"Summer",IF(C403=3,"Fall","Winter")))</f>
        <v>Spring</v>
      </c>
      <c r="M403" s="3">
        <f>SUM(J403:J427)</f>
        <v>6.700000000000002</v>
      </c>
      <c r="N403" s="3">
        <f>AVERAGE(J403:J1012)</f>
        <v>0.17990430622009559</v>
      </c>
      <c r="O403" s="3">
        <f>COUNT(J403:J1012)</f>
        <v>209</v>
      </c>
      <c r="P403" s="3" t="str">
        <f>TEXT(J403,"0.00")</f>
        <v>0.22</v>
      </c>
      <c r="Q403" s="3" t="str">
        <f>LEFT(L403,3)</f>
        <v>Spr</v>
      </c>
      <c r="R403" s="42" t="str">
        <f>RIGHT(L403,3)</f>
        <v>ing</v>
      </c>
      <c r="S403" s="42">
        <f>LEN(L403)</f>
        <v>6</v>
      </c>
      <c r="T403" s="3" t="str">
        <f>A403&amp;"|"&amp;B403&amp;"|"&amp;F403</f>
        <v>402|18-01-2011|17</v>
      </c>
      <c r="U403" s="3">
        <f t="shared" si="24"/>
        <v>610</v>
      </c>
      <c r="V403" s="3">
        <f t="shared" si="25"/>
        <v>120.10000000000005</v>
      </c>
      <c r="W403" s="50">
        <f t="shared" si="26"/>
        <v>8.1303845032683911E-2</v>
      </c>
      <c r="X403" s="50">
        <f t="shared" si="27"/>
        <v>0.16514794964716251</v>
      </c>
    </row>
    <row r="404" spans="1:24" x14ac:dyDescent="0.2">
      <c r="A404" s="4">
        <v>403</v>
      </c>
      <c r="B404" s="4" t="s">
        <v>32</v>
      </c>
      <c r="C404" s="4">
        <v>1</v>
      </c>
      <c r="D404" s="4">
        <v>0</v>
      </c>
      <c r="E404" s="4">
        <v>1</v>
      </c>
      <c r="F404" s="4">
        <v>18</v>
      </c>
      <c r="G404" s="4" t="b">
        <v>0</v>
      </c>
      <c r="H404" s="4">
        <v>2</v>
      </c>
      <c r="I404" s="4">
        <v>2</v>
      </c>
      <c r="J404" s="4">
        <v>0.22</v>
      </c>
      <c r="K404" s="6" t="str">
        <f>IF(H404=0,"weekend",IF(H404=6,"weekend","weekend"))</f>
        <v>weekend</v>
      </c>
      <c r="L404" s="3" t="str">
        <f>IF(C404=1,"Spring",IF(C404=2,"Summer",IF(C404=3,"Fall","Winter")))</f>
        <v>Spring</v>
      </c>
      <c r="M404" s="3">
        <f>SUM(J404:J428)</f>
        <v>6.8000000000000025</v>
      </c>
      <c r="N404" s="3">
        <f>AVERAGE(J404:J1013)</f>
        <v>0.17971153846153837</v>
      </c>
      <c r="O404" s="3">
        <f>COUNT(J404:J1013)</f>
        <v>208</v>
      </c>
      <c r="P404" s="3" t="str">
        <f>TEXT(J404,"0.00")</f>
        <v>0.22</v>
      </c>
      <c r="Q404" s="3" t="str">
        <f>LEFT(L404,3)</f>
        <v>Spr</v>
      </c>
      <c r="R404" s="42" t="str">
        <f>RIGHT(L404,3)</f>
        <v>ing</v>
      </c>
      <c r="S404" s="42">
        <f>LEN(L404)</f>
        <v>6</v>
      </c>
      <c r="T404" s="3" t="str">
        <f>A404&amp;"|"&amp;B404&amp;"|"&amp;F404</f>
        <v>403|18-01-2011|18</v>
      </c>
      <c r="U404" s="3">
        <f t="shared" si="24"/>
        <v>610</v>
      </c>
      <c r="V404" s="3">
        <f t="shared" si="25"/>
        <v>120.10000000000005</v>
      </c>
      <c r="W404" s="50">
        <f t="shared" si="26"/>
        <v>8.1303845032683911E-2</v>
      </c>
      <c r="X404" s="50">
        <f t="shared" si="27"/>
        <v>0.16514794964716251</v>
      </c>
    </row>
    <row r="405" spans="1:24" x14ac:dyDescent="0.2">
      <c r="A405" s="4">
        <v>404</v>
      </c>
      <c r="B405" s="4" t="s">
        <v>32</v>
      </c>
      <c r="C405" s="4">
        <v>1</v>
      </c>
      <c r="D405" s="4">
        <v>0</v>
      </c>
      <c r="E405" s="4">
        <v>1</v>
      </c>
      <c r="F405" s="4">
        <v>19</v>
      </c>
      <c r="G405" s="4" t="b">
        <v>0</v>
      </c>
      <c r="H405" s="4">
        <v>2</v>
      </c>
      <c r="I405" s="4">
        <v>2</v>
      </c>
      <c r="J405" s="4">
        <v>0.22</v>
      </c>
      <c r="K405" s="6" t="str">
        <f>IF(H405=0,"weekend",IF(H405=6,"weekend","weekend"))</f>
        <v>weekend</v>
      </c>
      <c r="L405" s="3" t="str">
        <f>IF(C405=1,"Spring",IF(C405=2,"Summer",IF(C405=3,"Fall","Winter")))</f>
        <v>Spring</v>
      </c>
      <c r="M405" s="3">
        <f>SUM(J405:J429)</f>
        <v>6.9000000000000021</v>
      </c>
      <c r="N405" s="3">
        <f>AVERAGE(J405:J1014)</f>
        <v>0.17951690821256031</v>
      </c>
      <c r="O405" s="3">
        <f>COUNT(J405:J1014)</f>
        <v>207</v>
      </c>
      <c r="P405" s="3" t="str">
        <f>TEXT(J405,"0.00")</f>
        <v>0.22</v>
      </c>
      <c r="Q405" s="3" t="str">
        <f>LEFT(L405,3)</f>
        <v>Spr</v>
      </c>
      <c r="R405" s="42" t="str">
        <f>RIGHT(L405,3)</f>
        <v>ing</v>
      </c>
      <c r="S405" s="42">
        <f>LEN(L405)</f>
        <v>6</v>
      </c>
      <c r="T405" s="3" t="str">
        <f>A405&amp;"|"&amp;B405&amp;"|"&amp;F405</f>
        <v>404|18-01-2011|19</v>
      </c>
      <c r="U405" s="3">
        <f t="shared" si="24"/>
        <v>610</v>
      </c>
      <c r="V405" s="3">
        <f t="shared" si="25"/>
        <v>120.10000000000005</v>
      </c>
      <c r="W405" s="50">
        <f t="shared" si="26"/>
        <v>8.1303845032683911E-2</v>
      </c>
      <c r="X405" s="50">
        <f t="shared" si="27"/>
        <v>0.16514794964716251</v>
      </c>
    </row>
    <row r="406" spans="1:24" x14ac:dyDescent="0.2">
      <c r="A406" s="4">
        <v>405</v>
      </c>
      <c r="B406" s="4" t="s">
        <v>32</v>
      </c>
      <c r="C406" s="4">
        <v>1</v>
      </c>
      <c r="D406" s="4">
        <v>0</v>
      </c>
      <c r="E406" s="4">
        <v>1</v>
      </c>
      <c r="F406" s="4">
        <v>20</v>
      </c>
      <c r="G406" s="4" t="b">
        <v>0</v>
      </c>
      <c r="H406" s="4">
        <v>2</v>
      </c>
      <c r="I406" s="4">
        <v>2</v>
      </c>
      <c r="J406" s="4">
        <v>0.22</v>
      </c>
      <c r="K406" s="6" t="str">
        <f>IF(H406=0,"weekend",IF(H406=6,"weekend","weekend"))</f>
        <v>weekend</v>
      </c>
      <c r="L406" s="3" t="str">
        <f>IF(C406=1,"Spring",IF(C406=2,"Summer",IF(C406=3,"Fall","Winter")))</f>
        <v>Spring</v>
      </c>
      <c r="M406" s="3">
        <f>SUM(J406:J430)</f>
        <v>7.0000000000000027</v>
      </c>
      <c r="N406" s="3">
        <f>AVERAGE(J406:J1015)</f>
        <v>0.17932038834951447</v>
      </c>
      <c r="O406" s="3">
        <f>COUNT(J406:J1015)</f>
        <v>206</v>
      </c>
      <c r="P406" s="3" t="str">
        <f>TEXT(J406,"0.00")</f>
        <v>0.22</v>
      </c>
      <c r="Q406" s="3" t="str">
        <f>LEFT(L406,3)</f>
        <v>Spr</v>
      </c>
      <c r="R406" s="42" t="str">
        <f>RIGHT(L406,3)</f>
        <v>ing</v>
      </c>
      <c r="S406" s="42">
        <f>LEN(L406)</f>
        <v>6</v>
      </c>
      <c r="T406" s="3" t="str">
        <f>A406&amp;"|"&amp;B406&amp;"|"&amp;F406</f>
        <v>405|18-01-2011|20</v>
      </c>
      <c r="U406" s="3">
        <f t="shared" si="24"/>
        <v>610</v>
      </c>
      <c r="V406" s="3">
        <f t="shared" si="25"/>
        <v>120.10000000000005</v>
      </c>
      <c r="W406" s="50">
        <f t="shared" si="26"/>
        <v>8.1303845032683911E-2</v>
      </c>
      <c r="X406" s="50">
        <f t="shared" si="27"/>
        <v>0.16514794964716251</v>
      </c>
    </row>
    <row r="407" spans="1:24" x14ac:dyDescent="0.2">
      <c r="A407" s="4">
        <v>406</v>
      </c>
      <c r="B407" s="4" t="s">
        <v>32</v>
      </c>
      <c r="C407" s="4">
        <v>1</v>
      </c>
      <c r="D407" s="4">
        <v>0</v>
      </c>
      <c r="E407" s="4">
        <v>1</v>
      </c>
      <c r="F407" s="4">
        <v>21</v>
      </c>
      <c r="G407" s="4" t="b">
        <v>0</v>
      </c>
      <c r="H407" s="4">
        <v>2</v>
      </c>
      <c r="I407" s="4">
        <v>2</v>
      </c>
      <c r="J407" s="4">
        <v>0.22</v>
      </c>
      <c r="K407" s="6" t="str">
        <f>IF(H407=0,"weekend",IF(H407=6,"weekend","weekend"))</f>
        <v>weekend</v>
      </c>
      <c r="L407" s="3" t="str">
        <f>IF(C407=1,"Spring",IF(C407=2,"Summer",IF(C407=3,"Fall","Winter")))</f>
        <v>Spring</v>
      </c>
      <c r="M407" s="3">
        <f>SUM(J407:J431)</f>
        <v>7.080000000000001</v>
      </c>
      <c r="N407" s="3">
        <f>AVERAGE(J407:J1016)</f>
        <v>0.17912195121951213</v>
      </c>
      <c r="O407" s="3">
        <f>COUNT(J407:J1016)</f>
        <v>205</v>
      </c>
      <c r="P407" s="3" t="str">
        <f>TEXT(J407,"0.00")</f>
        <v>0.22</v>
      </c>
      <c r="Q407" s="3" t="str">
        <f>LEFT(L407,3)</f>
        <v>Spr</v>
      </c>
      <c r="R407" s="42" t="str">
        <f>RIGHT(L407,3)</f>
        <v>ing</v>
      </c>
      <c r="S407" s="42">
        <f>LEN(L407)</f>
        <v>6</v>
      </c>
      <c r="T407" s="3" t="str">
        <f>A407&amp;"|"&amp;B407&amp;"|"&amp;F407</f>
        <v>406|18-01-2011|21</v>
      </c>
      <c r="U407" s="3">
        <f t="shared" si="24"/>
        <v>610</v>
      </c>
      <c r="V407" s="3">
        <f t="shared" si="25"/>
        <v>120.10000000000005</v>
      </c>
      <c r="W407" s="50">
        <f t="shared" si="26"/>
        <v>8.1303845032683911E-2</v>
      </c>
      <c r="X407" s="50">
        <f t="shared" si="27"/>
        <v>0.16514794964716251</v>
      </c>
    </row>
    <row r="408" spans="1:24" x14ac:dyDescent="0.2">
      <c r="A408" s="4">
        <v>407</v>
      </c>
      <c r="B408" s="4" t="s">
        <v>32</v>
      </c>
      <c r="C408" s="4">
        <v>1</v>
      </c>
      <c r="D408" s="4">
        <v>0</v>
      </c>
      <c r="E408" s="4">
        <v>1</v>
      </c>
      <c r="F408" s="4">
        <v>22</v>
      </c>
      <c r="G408" s="4" t="b">
        <v>0</v>
      </c>
      <c r="H408" s="4">
        <v>2</v>
      </c>
      <c r="I408" s="4">
        <v>2</v>
      </c>
      <c r="J408" s="4">
        <v>0.22</v>
      </c>
      <c r="K408" s="6" t="str">
        <f>IF(H408=0,"weekend",IF(H408=6,"weekend","weekend"))</f>
        <v>weekend</v>
      </c>
      <c r="L408" s="3" t="str">
        <f>IF(C408=1,"Spring",IF(C408=2,"Summer",IF(C408=3,"Fall","Winter")))</f>
        <v>Spring</v>
      </c>
      <c r="M408" s="3">
        <f>SUM(J408:J432)</f>
        <v>7.160000000000001</v>
      </c>
      <c r="N408" s="3">
        <f>AVERAGE(J408:J1017)</f>
        <v>0.17892156862745087</v>
      </c>
      <c r="O408" s="3">
        <f>COUNT(J408:J1017)</f>
        <v>204</v>
      </c>
      <c r="P408" s="3" t="str">
        <f>TEXT(J408,"0.00")</f>
        <v>0.22</v>
      </c>
      <c r="Q408" s="3" t="str">
        <f>LEFT(L408,3)</f>
        <v>Spr</v>
      </c>
      <c r="R408" s="42" t="str">
        <f>RIGHT(L408,3)</f>
        <v>ing</v>
      </c>
      <c r="S408" s="42">
        <f>LEN(L408)</f>
        <v>6</v>
      </c>
      <c r="T408" s="3" t="str">
        <f>A408&amp;"|"&amp;B408&amp;"|"&amp;F408</f>
        <v>407|18-01-2011|22</v>
      </c>
      <c r="U408" s="3">
        <f t="shared" si="24"/>
        <v>610</v>
      </c>
      <c r="V408" s="3">
        <f t="shared" si="25"/>
        <v>120.10000000000005</v>
      </c>
      <c r="W408" s="50">
        <f t="shared" si="26"/>
        <v>8.1303845032683911E-2</v>
      </c>
      <c r="X408" s="50">
        <f t="shared" si="27"/>
        <v>0.16514794964716251</v>
      </c>
    </row>
    <row r="409" spans="1:24" x14ac:dyDescent="0.2">
      <c r="A409" s="4">
        <v>408</v>
      </c>
      <c r="B409" s="4" t="s">
        <v>32</v>
      </c>
      <c r="C409" s="4">
        <v>1</v>
      </c>
      <c r="D409" s="4">
        <v>0</v>
      </c>
      <c r="E409" s="4">
        <v>1</v>
      </c>
      <c r="F409" s="4">
        <v>23</v>
      </c>
      <c r="G409" s="4" t="b">
        <v>0</v>
      </c>
      <c r="H409" s="4">
        <v>2</v>
      </c>
      <c r="I409" s="4">
        <v>2</v>
      </c>
      <c r="J409" s="4">
        <v>0.22</v>
      </c>
      <c r="K409" s="6" t="str">
        <f>IF(H409=0,"weekend",IF(H409=6,"weekend","weekend"))</f>
        <v>weekend</v>
      </c>
      <c r="L409" s="3" t="str">
        <f>IF(C409=1,"Spring",IF(C409=2,"Summer",IF(C409=3,"Fall","Winter")))</f>
        <v>Spring</v>
      </c>
      <c r="M409" s="3">
        <f>SUM(J409:J433)</f>
        <v>7.2</v>
      </c>
      <c r="N409" s="3">
        <f>AVERAGE(J409:J1018)</f>
        <v>0.17871921182266001</v>
      </c>
      <c r="O409" s="3">
        <f>COUNT(J409:J1018)</f>
        <v>203</v>
      </c>
      <c r="P409" s="3" t="str">
        <f>TEXT(J409,"0.00")</f>
        <v>0.22</v>
      </c>
      <c r="Q409" s="3" t="str">
        <f>LEFT(L409,3)</f>
        <v>Spr</v>
      </c>
      <c r="R409" s="42" t="str">
        <f>RIGHT(L409,3)</f>
        <v>ing</v>
      </c>
      <c r="S409" s="42">
        <f>LEN(L409)</f>
        <v>6</v>
      </c>
      <c r="T409" s="3" t="str">
        <f>A409&amp;"|"&amp;B409&amp;"|"&amp;F409</f>
        <v>408|18-01-2011|23</v>
      </c>
      <c r="U409" s="3">
        <f t="shared" si="24"/>
        <v>610</v>
      </c>
      <c r="V409" s="3">
        <f t="shared" si="25"/>
        <v>120.10000000000005</v>
      </c>
      <c r="W409" s="50">
        <f t="shared" si="26"/>
        <v>8.1303845032683911E-2</v>
      </c>
      <c r="X409" s="50">
        <f t="shared" si="27"/>
        <v>0.16514794964716251</v>
      </c>
    </row>
    <row r="410" spans="1:24" x14ac:dyDescent="0.2">
      <c r="A410" s="4">
        <v>409</v>
      </c>
      <c r="B410" s="4" t="s">
        <v>33</v>
      </c>
      <c r="C410" s="4">
        <v>1</v>
      </c>
      <c r="D410" s="4">
        <v>0</v>
      </c>
      <c r="E410" s="4">
        <v>1</v>
      </c>
      <c r="F410" s="4">
        <v>0</v>
      </c>
      <c r="G410" s="4" t="b">
        <v>0</v>
      </c>
      <c r="H410" s="4">
        <v>3</v>
      </c>
      <c r="I410" s="4">
        <v>2</v>
      </c>
      <c r="J410" s="4">
        <v>0.22</v>
      </c>
      <c r="K410" s="6" t="str">
        <f>IF(H410=0,"weekend",IF(H410=6,"weekend","weekend"))</f>
        <v>weekend</v>
      </c>
      <c r="L410" s="3" t="str">
        <f>IF(C410=1,"Spring",IF(C410=2,"Summer",IF(C410=3,"Fall","Winter")))</f>
        <v>Spring</v>
      </c>
      <c r="M410" s="3">
        <f>SUM(J410:J434)</f>
        <v>7.24</v>
      </c>
      <c r="N410" s="3">
        <f>AVERAGE(J410:J1019)</f>
        <v>0.17851485148514842</v>
      </c>
      <c r="O410" s="3">
        <f>COUNT(J410:J1019)</f>
        <v>202</v>
      </c>
      <c r="P410" s="3" t="str">
        <f>TEXT(J410,"0.00")</f>
        <v>0.22</v>
      </c>
      <c r="Q410" s="3" t="str">
        <f>LEFT(L410,3)</f>
        <v>Spr</v>
      </c>
      <c r="R410" s="42" t="str">
        <f>RIGHT(L410,3)</f>
        <v>ing</v>
      </c>
      <c r="S410" s="42">
        <f>LEN(L410)</f>
        <v>6</v>
      </c>
      <c r="T410" s="3" t="str">
        <f>A410&amp;"|"&amp;B410&amp;"|"&amp;F410</f>
        <v>409|19-01-2011|0</v>
      </c>
      <c r="U410" s="3">
        <f t="shared" si="24"/>
        <v>610</v>
      </c>
      <c r="V410" s="3">
        <f t="shared" si="25"/>
        <v>120.10000000000005</v>
      </c>
      <c r="W410" s="50">
        <f t="shared" si="26"/>
        <v>8.1303845032683911E-2</v>
      </c>
      <c r="X410" s="50">
        <f t="shared" si="27"/>
        <v>0.16514794964716251</v>
      </c>
    </row>
    <row r="411" spans="1:24" x14ac:dyDescent="0.2">
      <c r="A411" s="4">
        <v>410</v>
      </c>
      <c r="B411" s="4" t="s">
        <v>33</v>
      </c>
      <c r="C411" s="4">
        <v>1</v>
      </c>
      <c r="D411" s="4">
        <v>0</v>
      </c>
      <c r="E411" s="4">
        <v>1</v>
      </c>
      <c r="F411" s="4">
        <v>1</v>
      </c>
      <c r="G411" s="4" t="b">
        <v>0</v>
      </c>
      <c r="H411" s="4">
        <v>3</v>
      </c>
      <c r="I411" s="4">
        <v>3</v>
      </c>
      <c r="J411" s="4">
        <v>0.22</v>
      </c>
      <c r="K411" s="6" t="str">
        <f>IF(H411=0,"weekend",IF(H411=6,"weekend","weekend"))</f>
        <v>weekend</v>
      </c>
      <c r="L411" s="3" t="str">
        <f>IF(C411=1,"Spring",IF(C411=2,"Summer",IF(C411=3,"Fall","Winter")))</f>
        <v>Spring</v>
      </c>
      <c r="M411" s="3">
        <f>SUM(J411:J435)</f>
        <v>7.28</v>
      </c>
      <c r="N411" s="3">
        <f>AVERAGE(J411:J1020)</f>
        <v>0.17830845771144266</v>
      </c>
      <c r="O411" s="3">
        <f>COUNT(J411:J1020)</f>
        <v>201</v>
      </c>
      <c r="P411" s="3" t="str">
        <f>TEXT(J411,"0.00")</f>
        <v>0.22</v>
      </c>
      <c r="Q411" s="3" t="str">
        <f>LEFT(L411,3)</f>
        <v>Spr</v>
      </c>
      <c r="R411" s="42" t="str">
        <f>RIGHT(L411,3)</f>
        <v>ing</v>
      </c>
      <c r="S411" s="42">
        <f>LEN(L411)</f>
        <v>6</v>
      </c>
      <c r="T411" s="3" t="str">
        <f>A411&amp;"|"&amp;B411&amp;"|"&amp;F411</f>
        <v>410|19-01-2011|1</v>
      </c>
      <c r="U411" s="3">
        <f t="shared" si="24"/>
        <v>610</v>
      </c>
      <c r="V411" s="3">
        <f t="shared" si="25"/>
        <v>120.10000000000005</v>
      </c>
      <c r="W411" s="50">
        <f t="shared" si="26"/>
        <v>8.1303845032683911E-2</v>
      </c>
      <c r="X411" s="50">
        <f t="shared" si="27"/>
        <v>0.16514794964716251</v>
      </c>
    </row>
    <row r="412" spans="1:24" x14ac:dyDescent="0.2">
      <c r="A412" s="4">
        <v>411</v>
      </c>
      <c r="B412" s="4" t="s">
        <v>33</v>
      </c>
      <c r="C412" s="4">
        <v>1</v>
      </c>
      <c r="D412" s="4">
        <v>0</v>
      </c>
      <c r="E412" s="4">
        <v>1</v>
      </c>
      <c r="F412" s="4">
        <v>2</v>
      </c>
      <c r="G412" s="4" t="b">
        <v>0</v>
      </c>
      <c r="H412" s="4">
        <v>3</v>
      </c>
      <c r="I412" s="4">
        <v>3</v>
      </c>
      <c r="J412" s="4">
        <v>0.22</v>
      </c>
      <c r="K412" s="6" t="str">
        <f>IF(H412=0,"weekend",IF(H412=6,"weekend","weekend"))</f>
        <v>weekend</v>
      </c>
      <c r="L412" s="3" t="str">
        <f>IF(C412=1,"Spring",IF(C412=2,"Summer",IF(C412=3,"Fall","Winter")))</f>
        <v>Spring</v>
      </c>
      <c r="M412" s="3">
        <f>SUM(J412:J436)</f>
        <v>7.3199999999999994</v>
      </c>
      <c r="N412" s="3">
        <f>AVERAGE(J412:J1021)</f>
        <v>0.17809999999999984</v>
      </c>
      <c r="O412" s="3">
        <f>COUNT(J412:J1021)</f>
        <v>200</v>
      </c>
      <c r="P412" s="3" t="str">
        <f>TEXT(J412,"0.00")</f>
        <v>0.22</v>
      </c>
      <c r="Q412" s="3" t="str">
        <f>LEFT(L412,3)</f>
        <v>Spr</v>
      </c>
      <c r="R412" s="42" t="str">
        <f>RIGHT(L412,3)</f>
        <v>ing</v>
      </c>
      <c r="S412" s="42">
        <f>LEN(L412)</f>
        <v>6</v>
      </c>
      <c r="T412" s="3" t="str">
        <f>A412&amp;"|"&amp;B412&amp;"|"&amp;F412</f>
        <v>411|19-01-2011|2</v>
      </c>
      <c r="U412" s="3">
        <f t="shared" si="24"/>
        <v>610</v>
      </c>
      <c r="V412" s="3">
        <f t="shared" si="25"/>
        <v>120.10000000000005</v>
      </c>
      <c r="W412" s="50">
        <f t="shared" si="26"/>
        <v>8.1303845032683911E-2</v>
      </c>
      <c r="X412" s="50">
        <f t="shared" si="27"/>
        <v>0.16514794964716251</v>
      </c>
    </row>
    <row r="413" spans="1:24" x14ac:dyDescent="0.2">
      <c r="A413" s="4">
        <v>412</v>
      </c>
      <c r="B413" s="4" t="s">
        <v>33</v>
      </c>
      <c r="C413" s="4">
        <v>1</v>
      </c>
      <c r="D413" s="4">
        <v>0</v>
      </c>
      <c r="E413" s="4">
        <v>1</v>
      </c>
      <c r="F413" s="4">
        <v>4</v>
      </c>
      <c r="G413" s="4" t="b">
        <v>0</v>
      </c>
      <c r="H413" s="4">
        <v>3</v>
      </c>
      <c r="I413" s="4">
        <v>3</v>
      </c>
      <c r="J413" s="4">
        <v>0.22</v>
      </c>
      <c r="K413" s="6" t="str">
        <f>IF(H413=0,"weekend",IF(H413=6,"weekend","weekend"))</f>
        <v>weekend</v>
      </c>
      <c r="L413" s="3" t="str">
        <f>IF(C413=1,"Spring",IF(C413=2,"Summer",IF(C413=3,"Fall","Winter")))</f>
        <v>Spring</v>
      </c>
      <c r="M413" s="3">
        <f>SUM(J413:J437)</f>
        <v>7.3599999999999994</v>
      </c>
      <c r="N413" s="3">
        <f>AVERAGE(J413:J1022)</f>
        <v>0.17788944723618075</v>
      </c>
      <c r="O413" s="3">
        <f>COUNT(J413:J1022)</f>
        <v>199</v>
      </c>
      <c r="P413" s="3" t="str">
        <f>TEXT(J413,"0.00")</f>
        <v>0.22</v>
      </c>
      <c r="Q413" s="3" t="str">
        <f>LEFT(L413,3)</f>
        <v>Spr</v>
      </c>
      <c r="R413" s="42" t="str">
        <f>RIGHT(L413,3)</f>
        <v>ing</v>
      </c>
      <c r="S413" s="42">
        <f>LEN(L413)</f>
        <v>6</v>
      </c>
      <c r="T413" s="3" t="str">
        <f>A413&amp;"|"&amp;B413&amp;"|"&amp;F413</f>
        <v>412|19-01-2011|4</v>
      </c>
      <c r="U413" s="3">
        <f t="shared" si="24"/>
        <v>610</v>
      </c>
      <c r="V413" s="3">
        <f t="shared" si="25"/>
        <v>120.10000000000005</v>
      </c>
      <c r="W413" s="50">
        <f t="shared" si="26"/>
        <v>8.1303845032683911E-2</v>
      </c>
      <c r="X413" s="50">
        <f t="shared" si="27"/>
        <v>0.16514794964716251</v>
      </c>
    </row>
    <row r="414" spans="1:24" x14ac:dyDescent="0.2">
      <c r="A414" s="4">
        <v>413</v>
      </c>
      <c r="B414" s="4" t="s">
        <v>33</v>
      </c>
      <c r="C414" s="4">
        <v>1</v>
      </c>
      <c r="D414" s="4">
        <v>0</v>
      </c>
      <c r="E414" s="4">
        <v>1</v>
      </c>
      <c r="F414" s="4">
        <v>5</v>
      </c>
      <c r="G414" s="4" t="b">
        <v>0</v>
      </c>
      <c r="H414" s="4">
        <v>3</v>
      </c>
      <c r="I414" s="4">
        <v>2</v>
      </c>
      <c r="J414" s="4">
        <v>0.22</v>
      </c>
      <c r="K414" s="6" t="str">
        <f>IF(H414=0,"weekend",IF(H414=6,"weekend","weekend"))</f>
        <v>weekend</v>
      </c>
      <c r="L414" s="3" t="str">
        <f>IF(C414=1,"Spring",IF(C414=2,"Summer",IF(C414=3,"Fall","Winter")))</f>
        <v>Spring</v>
      </c>
      <c r="M414" s="3">
        <f>SUM(J414:J438)</f>
        <v>7.379999999999999</v>
      </c>
      <c r="N414" s="3">
        <f>AVERAGE(J414:J1023)</f>
        <v>0.17767676767676754</v>
      </c>
      <c r="O414" s="3">
        <f>COUNT(J414:J1023)</f>
        <v>198</v>
      </c>
      <c r="P414" s="3" t="str">
        <f>TEXT(J414,"0.00")</f>
        <v>0.22</v>
      </c>
      <c r="Q414" s="3" t="str">
        <f>LEFT(L414,3)</f>
        <v>Spr</v>
      </c>
      <c r="R414" s="42" t="str">
        <f>RIGHT(L414,3)</f>
        <v>ing</v>
      </c>
      <c r="S414" s="42">
        <f>LEN(L414)</f>
        <v>6</v>
      </c>
      <c r="T414" s="3" t="str">
        <f>A414&amp;"|"&amp;B414&amp;"|"&amp;F414</f>
        <v>413|19-01-2011|5</v>
      </c>
      <c r="U414" s="3">
        <f t="shared" si="24"/>
        <v>610</v>
      </c>
      <c r="V414" s="3">
        <f t="shared" si="25"/>
        <v>120.10000000000005</v>
      </c>
      <c r="W414" s="50">
        <f t="shared" si="26"/>
        <v>8.1303845032683911E-2</v>
      </c>
      <c r="X414" s="50">
        <f t="shared" si="27"/>
        <v>0.16514794964716251</v>
      </c>
    </row>
    <row r="415" spans="1:24" x14ac:dyDescent="0.2">
      <c r="A415" s="4">
        <v>414</v>
      </c>
      <c r="B415" s="4" t="s">
        <v>33</v>
      </c>
      <c r="C415" s="4">
        <v>1</v>
      </c>
      <c r="D415" s="4">
        <v>0</v>
      </c>
      <c r="E415" s="4">
        <v>1</v>
      </c>
      <c r="F415" s="4">
        <v>6</v>
      </c>
      <c r="G415" s="4" t="b">
        <v>0</v>
      </c>
      <c r="H415" s="4">
        <v>3</v>
      </c>
      <c r="I415" s="4">
        <v>2</v>
      </c>
      <c r="J415" s="4">
        <v>0.22</v>
      </c>
      <c r="K415" s="6" t="str">
        <f>IF(H415=0,"weekend",IF(H415=6,"weekend","weekend"))</f>
        <v>weekend</v>
      </c>
      <c r="L415" s="3" t="str">
        <f>IF(C415=1,"Spring",IF(C415=2,"Summer",IF(C415=3,"Fall","Winter")))</f>
        <v>Spring</v>
      </c>
      <c r="M415" s="3">
        <f>SUM(J415:J439)</f>
        <v>7.379999999999999</v>
      </c>
      <c r="N415" s="3">
        <f>AVERAGE(J415:J1024)</f>
        <v>0.17746192893400997</v>
      </c>
      <c r="O415" s="3">
        <f>COUNT(J415:J1024)</f>
        <v>197</v>
      </c>
      <c r="P415" s="3" t="str">
        <f>TEXT(J415,"0.00")</f>
        <v>0.22</v>
      </c>
      <c r="Q415" s="3" t="str">
        <f>LEFT(L415,3)</f>
        <v>Spr</v>
      </c>
      <c r="R415" s="42" t="str">
        <f>RIGHT(L415,3)</f>
        <v>ing</v>
      </c>
      <c r="S415" s="42">
        <f>LEN(L415)</f>
        <v>6</v>
      </c>
      <c r="T415" s="3" t="str">
        <f>A415&amp;"|"&amp;B415&amp;"|"&amp;F415</f>
        <v>414|19-01-2011|6</v>
      </c>
      <c r="U415" s="3">
        <f t="shared" si="24"/>
        <v>610</v>
      </c>
      <c r="V415" s="3">
        <f t="shared" si="25"/>
        <v>120.10000000000005</v>
      </c>
      <c r="W415" s="50">
        <f t="shared" si="26"/>
        <v>8.1303845032683911E-2</v>
      </c>
      <c r="X415" s="50">
        <f t="shared" si="27"/>
        <v>0.16514794964716251</v>
      </c>
    </row>
    <row r="416" spans="1:24" x14ac:dyDescent="0.2">
      <c r="A416" s="4">
        <v>415</v>
      </c>
      <c r="B416" s="4" t="s">
        <v>33</v>
      </c>
      <c r="C416" s="4">
        <v>1</v>
      </c>
      <c r="D416" s="4">
        <v>0</v>
      </c>
      <c r="E416" s="4">
        <v>1</v>
      </c>
      <c r="F416" s="4">
        <v>7</v>
      </c>
      <c r="G416" s="4" t="b">
        <v>0</v>
      </c>
      <c r="H416" s="4">
        <v>3</v>
      </c>
      <c r="I416" s="4">
        <v>2</v>
      </c>
      <c r="J416" s="4">
        <v>0.24</v>
      </c>
      <c r="K416" s="6" t="str">
        <f>IF(H416=0,"weekend",IF(H416=6,"weekend","weekend"))</f>
        <v>weekend</v>
      </c>
      <c r="L416" s="3" t="str">
        <f>IF(C416=1,"Spring",IF(C416=2,"Summer",IF(C416=3,"Fall","Winter")))</f>
        <v>Spring</v>
      </c>
      <c r="M416" s="3">
        <f>SUM(J416:J440)</f>
        <v>7.3799999999999981</v>
      </c>
      <c r="N416" s="3">
        <f>AVERAGE(J416:J1025)</f>
        <v>0.17724489795918349</v>
      </c>
      <c r="O416" s="3">
        <f>COUNT(J416:J1025)</f>
        <v>196</v>
      </c>
      <c r="P416" s="3" t="str">
        <f>TEXT(J416,"0.00")</f>
        <v>0.24</v>
      </c>
      <c r="Q416" s="3" t="str">
        <f>LEFT(L416,3)</f>
        <v>Spr</v>
      </c>
      <c r="R416" s="42" t="str">
        <f>RIGHT(L416,3)</f>
        <v>ing</v>
      </c>
      <c r="S416" s="42">
        <f>LEN(L416)</f>
        <v>6</v>
      </c>
      <c r="T416" s="3" t="str">
        <f>A416&amp;"|"&amp;B416&amp;"|"&amp;F416</f>
        <v>415|19-01-2011|7</v>
      </c>
      <c r="U416" s="3">
        <f t="shared" si="24"/>
        <v>610</v>
      </c>
      <c r="V416" s="3">
        <f t="shared" si="25"/>
        <v>120.10000000000005</v>
      </c>
      <c r="W416" s="50">
        <f t="shared" si="26"/>
        <v>8.1303845032683911E-2</v>
      </c>
      <c r="X416" s="50">
        <f t="shared" si="27"/>
        <v>0.16514794964716251</v>
      </c>
    </row>
    <row r="417" spans="1:24" x14ac:dyDescent="0.2">
      <c r="A417" s="4">
        <v>416</v>
      </c>
      <c r="B417" s="4" t="s">
        <v>33</v>
      </c>
      <c r="C417" s="4">
        <v>1</v>
      </c>
      <c r="D417" s="4">
        <v>0</v>
      </c>
      <c r="E417" s="4">
        <v>1</v>
      </c>
      <c r="F417" s="4">
        <v>8</v>
      </c>
      <c r="G417" s="4" t="b">
        <v>0</v>
      </c>
      <c r="H417" s="4">
        <v>3</v>
      </c>
      <c r="I417" s="4">
        <v>2</v>
      </c>
      <c r="J417" s="4">
        <v>0.24</v>
      </c>
      <c r="K417" s="6" t="str">
        <f>IF(H417=0,"weekend",IF(H417=6,"weekend","weekend"))</f>
        <v>weekend</v>
      </c>
      <c r="L417" s="3" t="str">
        <f>IF(C417=1,"Spring",IF(C417=2,"Summer",IF(C417=3,"Fall","Winter")))</f>
        <v>Spring</v>
      </c>
      <c r="M417" s="3">
        <f>SUM(J417:J441)</f>
        <v>7.3599999999999977</v>
      </c>
      <c r="N417" s="3">
        <f>AVERAGE(J417:J1026)</f>
        <v>0.17692307692307674</v>
      </c>
      <c r="O417" s="3">
        <f>COUNT(J417:J1026)</f>
        <v>195</v>
      </c>
      <c r="P417" s="3" t="str">
        <f>TEXT(J417,"0.00")</f>
        <v>0.24</v>
      </c>
      <c r="Q417" s="3" t="str">
        <f>LEFT(L417,3)</f>
        <v>Spr</v>
      </c>
      <c r="R417" s="42" t="str">
        <f>RIGHT(L417,3)</f>
        <v>ing</v>
      </c>
      <c r="S417" s="42">
        <f>LEN(L417)</f>
        <v>6</v>
      </c>
      <c r="T417" s="3" t="str">
        <f>A417&amp;"|"&amp;B417&amp;"|"&amp;F417</f>
        <v>416|19-01-2011|8</v>
      </c>
      <c r="U417" s="3">
        <f t="shared" si="24"/>
        <v>610</v>
      </c>
      <c r="V417" s="3">
        <f t="shared" si="25"/>
        <v>120.10000000000005</v>
      </c>
      <c r="W417" s="50">
        <f t="shared" si="26"/>
        <v>8.1303845032683911E-2</v>
      </c>
      <c r="X417" s="50">
        <f t="shared" si="27"/>
        <v>0.16514794964716251</v>
      </c>
    </row>
    <row r="418" spans="1:24" x14ac:dyDescent="0.2">
      <c r="A418" s="4">
        <v>417</v>
      </c>
      <c r="B418" s="4" t="s">
        <v>33</v>
      </c>
      <c r="C418" s="4">
        <v>1</v>
      </c>
      <c r="D418" s="4">
        <v>0</v>
      </c>
      <c r="E418" s="4">
        <v>1</v>
      </c>
      <c r="F418" s="4">
        <v>9</v>
      </c>
      <c r="G418" s="4" t="b">
        <v>0</v>
      </c>
      <c r="H418" s="4">
        <v>3</v>
      </c>
      <c r="I418" s="4">
        <v>2</v>
      </c>
      <c r="J418" s="4">
        <v>0.24</v>
      </c>
      <c r="K418" s="6" t="str">
        <f>IF(H418=0,"weekend",IF(H418=6,"weekend","weekend"))</f>
        <v>weekend</v>
      </c>
      <c r="L418" s="3" t="str">
        <f>IF(C418=1,"Spring",IF(C418=2,"Summer",IF(C418=3,"Fall","Winter")))</f>
        <v>Spring</v>
      </c>
      <c r="M418" s="3">
        <f>SUM(J418:J442)</f>
        <v>7.3599999999999977</v>
      </c>
      <c r="N418" s="3">
        <f>AVERAGE(J418:J1027)</f>
        <v>0.1765979381443297</v>
      </c>
      <c r="O418" s="3">
        <f>COUNT(J418:J1027)</f>
        <v>194</v>
      </c>
      <c r="P418" s="3" t="str">
        <f>TEXT(J418,"0.00")</f>
        <v>0.24</v>
      </c>
      <c r="Q418" s="3" t="str">
        <f>LEFT(L418,3)</f>
        <v>Spr</v>
      </c>
      <c r="R418" s="42" t="str">
        <f>RIGHT(L418,3)</f>
        <v>ing</v>
      </c>
      <c r="S418" s="42">
        <f>LEN(L418)</f>
        <v>6</v>
      </c>
      <c r="T418" s="3" t="str">
        <f>A418&amp;"|"&amp;B418&amp;"|"&amp;F418</f>
        <v>417|19-01-2011|9</v>
      </c>
      <c r="U418" s="3">
        <f t="shared" si="24"/>
        <v>610</v>
      </c>
      <c r="V418" s="3">
        <f t="shared" si="25"/>
        <v>120.10000000000005</v>
      </c>
      <c r="W418" s="50">
        <f t="shared" si="26"/>
        <v>8.1303845032683911E-2</v>
      </c>
      <c r="X418" s="50">
        <f t="shared" si="27"/>
        <v>0.16514794964716251</v>
      </c>
    </row>
    <row r="419" spans="1:24" x14ac:dyDescent="0.2">
      <c r="A419" s="4">
        <v>418</v>
      </c>
      <c r="B419" s="4" t="s">
        <v>33</v>
      </c>
      <c r="C419" s="4">
        <v>1</v>
      </c>
      <c r="D419" s="4">
        <v>0</v>
      </c>
      <c r="E419" s="4">
        <v>1</v>
      </c>
      <c r="F419" s="4">
        <v>10</v>
      </c>
      <c r="G419" s="4" t="b">
        <v>0</v>
      </c>
      <c r="H419" s="4">
        <v>3</v>
      </c>
      <c r="I419" s="4">
        <v>2</v>
      </c>
      <c r="J419" s="4">
        <v>0.26</v>
      </c>
      <c r="K419" s="6" t="str">
        <f>IF(H419=0,"weekend",IF(H419=6,"weekend","weekend"))</f>
        <v>weekend</v>
      </c>
      <c r="L419" s="3" t="str">
        <f>IF(C419=1,"Spring",IF(C419=2,"Summer",IF(C419=3,"Fall","Winter")))</f>
        <v>Spring</v>
      </c>
      <c r="M419" s="3">
        <f>SUM(J419:J443)</f>
        <v>7.3799999999999972</v>
      </c>
      <c r="N419" s="3">
        <f>AVERAGE(J419:J1028)</f>
        <v>0.17626943005181323</v>
      </c>
      <c r="O419" s="3">
        <f>COUNT(J419:J1028)</f>
        <v>193</v>
      </c>
      <c r="P419" s="3" t="str">
        <f>TEXT(J419,"0.00")</f>
        <v>0.26</v>
      </c>
      <c r="Q419" s="3" t="str">
        <f>LEFT(L419,3)</f>
        <v>Spr</v>
      </c>
      <c r="R419" s="42" t="str">
        <f>RIGHT(L419,3)</f>
        <v>ing</v>
      </c>
      <c r="S419" s="42">
        <f>LEN(L419)</f>
        <v>6</v>
      </c>
      <c r="T419" s="3" t="str">
        <f>A419&amp;"|"&amp;B419&amp;"|"&amp;F419</f>
        <v>418|19-01-2011|10</v>
      </c>
      <c r="U419" s="3">
        <f t="shared" si="24"/>
        <v>610</v>
      </c>
      <c r="V419" s="3">
        <f t="shared" si="25"/>
        <v>120.10000000000005</v>
      </c>
      <c r="W419" s="50">
        <f t="shared" si="26"/>
        <v>8.1303845032683911E-2</v>
      </c>
      <c r="X419" s="50">
        <f t="shared" si="27"/>
        <v>0.16514794964716251</v>
      </c>
    </row>
    <row r="420" spans="1:24" x14ac:dyDescent="0.2">
      <c r="A420" s="4">
        <v>419</v>
      </c>
      <c r="B420" s="4" t="s">
        <v>33</v>
      </c>
      <c r="C420" s="4">
        <v>1</v>
      </c>
      <c r="D420" s="4">
        <v>0</v>
      </c>
      <c r="E420" s="4">
        <v>1</v>
      </c>
      <c r="F420" s="4">
        <v>11</v>
      </c>
      <c r="G420" s="4" t="b">
        <v>0</v>
      </c>
      <c r="H420" s="4">
        <v>3</v>
      </c>
      <c r="I420" s="4">
        <v>2</v>
      </c>
      <c r="J420" s="4">
        <v>0.28000000000000003</v>
      </c>
      <c r="K420" s="6" t="str">
        <f>IF(H420=0,"weekend",IF(H420=6,"weekend","weekend"))</f>
        <v>weekend</v>
      </c>
      <c r="L420" s="3" t="str">
        <f>IF(C420=1,"Spring",IF(C420=2,"Summer",IF(C420=3,"Fall","Winter")))</f>
        <v>Spring</v>
      </c>
      <c r="M420" s="3">
        <f>SUM(J420:J444)</f>
        <v>7.3999999999999977</v>
      </c>
      <c r="N420" s="3">
        <f>AVERAGE(J420:J1029)</f>
        <v>0.17583333333333309</v>
      </c>
      <c r="O420" s="3">
        <f>COUNT(J420:J1029)</f>
        <v>192</v>
      </c>
      <c r="P420" s="3" t="str">
        <f>TEXT(J420,"0.00")</f>
        <v>0.28</v>
      </c>
      <c r="Q420" s="3" t="str">
        <f>LEFT(L420,3)</f>
        <v>Spr</v>
      </c>
      <c r="R420" s="42" t="str">
        <f>RIGHT(L420,3)</f>
        <v>ing</v>
      </c>
      <c r="S420" s="42">
        <f>LEN(L420)</f>
        <v>6</v>
      </c>
      <c r="T420" s="3" t="str">
        <f>A420&amp;"|"&amp;B420&amp;"|"&amp;F420</f>
        <v>419|19-01-2011|11</v>
      </c>
      <c r="U420" s="3">
        <f t="shared" si="24"/>
        <v>610</v>
      </c>
      <c r="V420" s="3">
        <f t="shared" si="25"/>
        <v>120.10000000000005</v>
      </c>
      <c r="W420" s="50">
        <f t="shared" si="26"/>
        <v>8.1303845032683911E-2</v>
      </c>
      <c r="X420" s="50">
        <f t="shared" si="27"/>
        <v>0.16514794964716251</v>
      </c>
    </row>
    <row r="421" spans="1:24" x14ac:dyDescent="0.2">
      <c r="A421" s="4">
        <v>420</v>
      </c>
      <c r="B421" s="4" t="s">
        <v>33</v>
      </c>
      <c r="C421" s="4">
        <v>1</v>
      </c>
      <c r="D421" s="4">
        <v>0</v>
      </c>
      <c r="E421" s="4">
        <v>1</v>
      </c>
      <c r="F421" s="4">
        <v>12</v>
      </c>
      <c r="G421" s="4" t="b">
        <v>0</v>
      </c>
      <c r="H421" s="4">
        <v>3</v>
      </c>
      <c r="I421" s="4">
        <v>2</v>
      </c>
      <c r="J421" s="4">
        <v>0.3</v>
      </c>
      <c r="K421" s="6" t="str">
        <f>IF(H421=0,"weekend",IF(H421=6,"weekend","weekend"))</f>
        <v>weekend</v>
      </c>
      <c r="L421" s="3" t="str">
        <f>IF(C421=1,"Spring",IF(C421=2,"Summer",IF(C421=3,"Fall","Winter")))</f>
        <v>Spring</v>
      </c>
      <c r="M421" s="3">
        <f>SUM(J421:J445)</f>
        <v>7.4199999999999973</v>
      </c>
      <c r="N421" s="3">
        <f>AVERAGE(J421:J1030)</f>
        <v>0.17528795811518308</v>
      </c>
      <c r="O421" s="3">
        <f>COUNT(J421:J1030)</f>
        <v>191</v>
      </c>
      <c r="P421" s="3" t="str">
        <f>TEXT(J421,"0.00")</f>
        <v>0.30</v>
      </c>
      <c r="Q421" s="3" t="str">
        <f>LEFT(L421,3)</f>
        <v>Spr</v>
      </c>
      <c r="R421" s="42" t="str">
        <f>RIGHT(L421,3)</f>
        <v>ing</v>
      </c>
      <c r="S421" s="42">
        <f>LEN(L421)</f>
        <v>6</v>
      </c>
      <c r="T421" s="3" t="str">
        <f>A421&amp;"|"&amp;B421&amp;"|"&amp;F421</f>
        <v>420|19-01-2011|12</v>
      </c>
      <c r="U421" s="3">
        <f t="shared" si="24"/>
        <v>610</v>
      </c>
      <c r="V421" s="3">
        <f t="shared" si="25"/>
        <v>120.10000000000005</v>
      </c>
      <c r="W421" s="50">
        <f t="shared" si="26"/>
        <v>8.1303845032683911E-2</v>
      </c>
      <c r="X421" s="50">
        <f t="shared" si="27"/>
        <v>0.16514794964716251</v>
      </c>
    </row>
    <row r="422" spans="1:24" x14ac:dyDescent="0.2">
      <c r="A422" s="4">
        <v>421</v>
      </c>
      <c r="B422" s="4" t="s">
        <v>33</v>
      </c>
      <c r="C422" s="4">
        <v>1</v>
      </c>
      <c r="D422" s="4">
        <v>0</v>
      </c>
      <c r="E422" s="4">
        <v>1</v>
      </c>
      <c r="F422" s="4">
        <v>13</v>
      </c>
      <c r="G422" s="4" t="b">
        <v>0</v>
      </c>
      <c r="H422" s="4">
        <v>3</v>
      </c>
      <c r="I422" s="4">
        <v>1</v>
      </c>
      <c r="J422" s="4">
        <v>0.4</v>
      </c>
      <c r="K422" s="6" t="str">
        <f>IF(H422=0,"weekend",IF(H422=6,"weekend","weekend"))</f>
        <v>weekend</v>
      </c>
      <c r="L422" s="3" t="str">
        <f>IF(C422=1,"Spring",IF(C422=2,"Summer",IF(C422=3,"Fall","Winter")))</f>
        <v>Spring</v>
      </c>
      <c r="M422" s="3">
        <f>SUM(J422:J446)</f>
        <v>7.3999999999999977</v>
      </c>
      <c r="N422" s="3">
        <f>AVERAGE(J422:J1031)</f>
        <v>0.17463157894736828</v>
      </c>
      <c r="O422" s="3">
        <f>COUNT(J422:J1031)</f>
        <v>190</v>
      </c>
      <c r="P422" s="3" t="str">
        <f>TEXT(J422,"0.00")</f>
        <v>0.40</v>
      </c>
      <c r="Q422" s="3" t="str">
        <f>LEFT(L422,3)</f>
        <v>Spr</v>
      </c>
      <c r="R422" s="42" t="str">
        <f>RIGHT(L422,3)</f>
        <v>ing</v>
      </c>
      <c r="S422" s="42">
        <f>LEN(L422)</f>
        <v>6</v>
      </c>
      <c r="T422" s="3" t="str">
        <f>A422&amp;"|"&amp;B422&amp;"|"&amp;F422</f>
        <v>421|19-01-2011|13</v>
      </c>
      <c r="U422" s="3">
        <f t="shared" si="24"/>
        <v>610</v>
      </c>
      <c r="V422" s="3">
        <f t="shared" si="25"/>
        <v>120.10000000000005</v>
      </c>
      <c r="W422" s="50">
        <f t="shared" si="26"/>
        <v>8.1303845032683911E-2</v>
      </c>
      <c r="X422" s="50">
        <f t="shared" si="27"/>
        <v>0.16514794964716251</v>
      </c>
    </row>
    <row r="423" spans="1:24" x14ac:dyDescent="0.2">
      <c r="A423" s="4">
        <v>422</v>
      </c>
      <c r="B423" s="4" t="s">
        <v>33</v>
      </c>
      <c r="C423" s="4">
        <v>1</v>
      </c>
      <c r="D423" s="4">
        <v>0</v>
      </c>
      <c r="E423" s="4">
        <v>1</v>
      </c>
      <c r="F423" s="4">
        <v>14</v>
      </c>
      <c r="G423" s="4" t="b">
        <v>0</v>
      </c>
      <c r="H423" s="4">
        <v>3</v>
      </c>
      <c r="I423" s="4">
        <v>1</v>
      </c>
      <c r="J423" s="4">
        <v>0.4</v>
      </c>
      <c r="K423" s="6" t="str">
        <f>IF(H423=0,"weekend",IF(H423=6,"weekend","weekend"))</f>
        <v>weekend</v>
      </c>
      <c r="L423" s="3" t="str">
        <f>IF(C423=1,"Spring",IF(C423=2,"Summer",IF(C423=3,"Fall","Winter")))</f>
        <v>Spring</v>
      </c>
      <c r="M423" s="3">
        <f>SUM(J423:J447)</f>
        <v>7.299999999999998</v>
      </c>
      <c r="N423" s="3">
        <f>AVERAGE(J423:J1032)</f>
        <v>0.17343915343915328</v>
      </c>
      <c r="O423" s="3">
        <f>COUNT(J423:J1032)</f>
        <v>189</v>
      </c>
      <c r="P423" s="3" t="str">
        <f>TEXT(J423,"0.00")</f>
        <v>0.40</v>
      </c>
      <c r="Q423" s="3" t="str">
        <f>LEFT(L423,3)</f>
        <v>Spr</v>
      </c>
      <c r="R423" s="42" t="str">
        <f>RIGHT(L423,3)</f>
        <v>ing</v>
      </c>
      <c r="S423" s="42">
        <f>LEN(L423)</f>
        <v>6</v>
      </c>
      <c r="T423" s="3" t="str">
        <f>A423&amp;"|"&amp;B423&amp;"|"&amp;F423</f>
        <v>422|19-01-2011|14</v>
      </c>
      <c r="U423" s="3">
        <f t="shared" si="24"/>
        <v>610</v>
      </c>
      <c r="V423" s="3">
        <f t="shared" si="25"/>
        <v>120.10000000000005</v>
      </c>
      <c r="W423" s="50">
        <f t="shared" si="26"/>
        <v>8.1303845032683911E-2</v>
      </c>
      <c r="X423" s="50">
        <f t="shared" si="27"/>
        <v>0.16514794964716251</v>
      </c>
    </row>
    <row r="424" spans="1:24" x14ac:dyDescent="0.2">
      <c r="A424" s="4">
        <v>423</v>
      </c>
      <c r="B424" s="4" t="s">
        <v>33</v>
      </c>
      <c r="C424" s="4">
        <v>1</v>
      </c>
      <c r="D424" s="4">
        <v>0</v>
      </c>
      <c r="E424" s="4">
        <v>1</v>
      </c>
      <c r="F424" s="4">
        <v>15</v>
      </c>
      <c r="G424" s="4" t="b">
        <v>0</v>
      </c>
      <c r="H424" s="4">
        <v>3</v>
      </c>
      <c r="I424" s="4">
        <v>1</v>
      </c>
      <c r="J424" s="4">
        <v>0.4</v>
      </c>
      <c r="K424" s="6" t="str">
        <f>IF(H424=0,"weekend",IF(H424=6,"weekend","weekend"))</f>
        <v>weekend</v>
      </c>
      <c r="L424" s="3" t="str">
        <f>IF(C424=1,"Spring",IF(C424=2,"Summer",IF(C424=3,"Fall","Winter")))</f>
        <v>Spring</v>
      </c>
      <c r="M424" s="3">
        <f>SUM(J424:J448)</f>
        <v>7.2199999999999989</v>
      </c>
      <c r="N424" s="3">
        <f>AVERAGE(J424:J1033)</f>
        <v>0.1722340425531913</v>
      </c>
      <c r="O424" s="3">
        <f>COUNT(J424:J1033)</f>
        <v>188</v>
      </c>
      <c r="P424" s="3" t="str">
        <f>TEXT(J424,"0.00")</f>
        <v>0.40</v>
      </c>
      <c r="Q424" s="3" t="str">
        <f>LEFT(L424,3)</f>
        <v>Spr</v>
      </c>
      <c r="R424" s="42" t="str">
        <f>RIGHT(L424,3)</f>
        <v>ing</v>
      </c>
      <c r="S424" s="42">
        <f>LEN(L424)</f>
        <v>6</v>
      </c>
      <c r="T424" s="3" t="str">
        <f>A424&amp;"|"&amp;B424&amp;"|"&amp;F424</f>
        <v>423|19-01-2011|15</v>
      </c>
      <c r="U424" s="3">
        <f t="shared" si="24"/>
        <v>610</v>
      </c>
      <c r="V424" s="3">
        <f t="shared" si="25"/>
        <v>120.10000000000005</v>
      </c>
      <c r="W424" s="50">
        <f t="shared" si="26"/>
        <v>8.1303845032683911E-2</v>
      </c>
      <c r="X424" s="50">
        <f t="shared" si="27"/>
        <v>0.16514794964716251</v>
      </c>
    </row>
    <row r="425" spans="1:24" x14ac:dyDescent="0.2">
      <c r="A425" s="4">
        <v>424</v>
      </c>
      <c r="B425" s="4" t="s">
        <v>33</v>
      </c>
      <c r="C425" s="4">
        <v>1</v>
      </c>
      <c r="D425" s="4">
        <v>0</v>
      </c>
      <c r="E425" s="4">
        <v>1</v>
      </c>
      <c r="F425" s="4">
        <v>16</v>
      </c>
      <c r="G425" s="4" t="b">
        <v>0</v>
      </c>
      <c r="H425" s="4">
        <v>3</v>
      </c>
      <c r="I425" s="4">
        <v>1</v>
      </c>
      <c r="J425" s="4">
        <v>0.38</v>
      </c>
      <c r="K425" s="6" t="str">
        <f>IF(H425=0,"weekend",IF(H425=6,"weekend","weekend"))</f>
        <v>weekend</v>
      </c>
      <c r="L425" s="3" t="str">
        <f>IF(C425=1,"Spring",IF(C425=2,"Summer",IF(C425=3,"Fall","Winter")))</f>
        <v>Spring</v>
      </c>
      <c r="M425" s="3">
        <f>SUM(J425:J449)</f>
        <v>7.1199999999999983</v>
      </c>
      <c r="N425" s="3">
        <f>AVERAGE(J425:J1034)</f>
        <v>0.17101604278074847</v>
      </c>
      <c r="O425" s="3">
        <f>COUNT(J425:J1034)</f>
        <v>187</v>
      </c>
      <c r="P425" s="3" t="str">
        <f>TEXT(J425,"0.00")</f>
        <v>0.38</v>
      </c>
      <c r="Q425" s="3" t="str">
        <f>LEFT(L425,3)</f>
        <v>Spr</v>
      </c>
      <c r="R425" s="42" t="str">
        <f>RIGHT(L425,3)</f>
        <v>ing</v>
      </c>
      <c r="S425" s="42">
        <f>LEN(L425)</f>
        <v>6</v>
      </c>
      <c r="T425" s="3" t="str">
        <f>A425&amp;"|"&amp;B425&amp;"|"&amp;F425</f>
        <v>424|19-01-2011|16</v>
      </c>
      <c r="U425" s="3">
        <f t="shared" si="24"/>
        <v>610</v>
      </c>
      <c r="V425" s="3">
        <f t="shared" si="25"/>
        <v>120.10000000000005</v>
      </c>
      <c r="W425" s="50">
        <f t="shared" si="26"/>
        <v>8.1303845032683911E-2</v>
      </c>
      <c r="X425" s="50">
        <f t="shared" si="27"/>
        <v>0.16514794964716251</v>
      </c>
    </row>
    <row r="426" spans="1:24" x14ac:dyDescent="0.2">
      <c r="A426" s="4">
        <v>425</v>
      </c>
      <c r="B426" s="4" t="s">
        <v>33</v>
      </c>
      <c r="C426" s="4">
        <v>1</v>
      </c>
      <c r="D426" s="4">
        <v>0</v>
      </c>
      <c r="E426" s="4">
        <v>1</v>
      </c>
      <c r="F426" s="4">
        <v>17</v>
      </c>
      <c r="G426" s="4" t="b">
        <v>0</v>
      </c>
      <c r="H426" s="4">
        <v>3</v>
      </c>
      <c r="I426" s="4">
        <v>1</v>
      </c>
      <c r="J426" s="4">
        <v>0.36</v>
      </c>
      <c r="K426" s="6" t="str">
        <f>IF(H426=0,"weekend",IF(H426=6,"weekend","weekend"))</f>
        <v>weekend</v>
      </c>
      <c r="L426" s="3" t="str">
        <f>IF(C426=1,"Spring",IF(C426=2,"Summer",IF(C426=3,"Fall","Winter")))</f>
        <v>Spring</v>
      </c>
      <c r="M426" s="3">
        <f>SUM(J426:J450)</f>
        <v>7.0399999999999991</v>
      </c>
      <c r="N426" s="3">
        <f>AVERAGE(J426:J1035)</f>
        <v>0.16989247311827937</v>
      </c>
      <c r="O426" s="3">
        <f>COUNT(J426:J1035)</f>
        <v>186</v>
      </c>
      <c r="P426" s="3" t="str">
        <f>TEXT(J426,"0.00")</f>
        <v>0.36</v>
      </c>
      <c r="Q426" s="3" t="str">
        <f>LEFT(L426,3)</f>
        <v>Spr</v>
      </c>
      <c r="R426" s="42" t="str">
        <f>RIGHT(L426,3)</f>
        <v>ing</v>
      </c>
      <c r="S426" s="42">
        <f>LEN(L426)</f>
        <v>6</v>
      </c>
      <c r="T426" s="3" t="str">
        <f>A426&amp;"|"&amp;B426&amp;"|"&amp;F426</f>
        <v>425|19-01-2011|17</v>
      </c>
      <c r="U426" s="3">
        <f t="shared" si="24"/>
        <v>610</v>
      </c>
      <c r="V426" s="3">
        <f t="shared" si="25"/>
        <v>120.10000000000005</v>
      </c>
      <c r="W426" s="50">
        <f t="shared" si="26"/>
        <v>8.1303845032683911E-2</v>
      </c>
      <c r="X426" s="50">
        <f t="shared" si="27"/>
        <v>0.16514794964716251</v>
      </c>
    </row>
    <row r="427" spans="1:24" x14ac:dyDescent="0.2">
      <c r="A427" s="4">
        <v>426</v>
      </c>
      <c r="B427" s="4" t="s">
        <v>33</v>
      </c>
      <c r="C427" s="4">
        <v>1</v>
      </c>
      <c r="D427" s="4">
        <v>0</v>
      </c>
      <c r="E427" s="4">
        <v>1</v>
      </c>
      <c r="F427" s="4">
        <v>18</v>
      </c>
      <c r="G427" s="4" t="b">
        <v>0</v>
      </c>
      <c r="H427" s="4">
        <v>3</v>
      </c>
      <c r="I427" s="4">
        <v>1</v>
      </c>
      <c r="J427" s="4">
        <v>0.34</v>
      </c>
      <c r="K427" s="6" t="str">
        <f>IF(H427=0,"weekend",IF(H427=6,"weekend","weekend"))</f>
        <v>weekend</v>
      </c>
      <c r="L427" s="3" t="str">
        <f>IF(C427=1,"Spring",IF(C427=2,"Summer",IF(C427=3,"Fall","Winter")))</f>
        <v>Spring</v>
      </c>
      <c r="M427" s="3">
        <f>SUM(J427:J451)</f>
        <v>6.9399999999999995</v>
      </c>
      <c r="N427" s="3">
        <f>AVERAGE(J427:J1036)</f>
        <v>0.16886486486486466</v>
      </c>
      <c r="O427" s="3">
        <f>COUNT(J427:J1036)</f>
        <v>185</v>
      </c>
      <c r="P427" s="3" t="str">
        <f>TEXT(J427,"0.00")</f>
        <v>0.34</v>
      </c>
      <c r="Q427" s="3" t="str">
        <f>LEFT(L427,3)</f>
        <v>Spr</v>
      </c>
      <c r="R427" s="42" t="str">
        <f>RIGHT(L427,3)</f>
        <v>ing</v>
      </c>
      <c r="S427" s="42">
        <f>LEN(L427)</f>
        <v>6</v>
      </c>
      <c r="T427" s="3" t="str">
        <f>A427&amp;"|"&amp;B427&amp;"|"&amp;F427</f>
        <v>426|19-01-2011|18</v>
      </c>
      <c r="U427" s="3">
        <f t="shared" si="24"/>
        <v>610</v>
      </c>
      <c r="V427" s="3">
        <f t="shared" si="25"/>
        <v>120.10000000000005</v>
      </c>
      <c r="W427" s="50">
        <f t="shared" si="26"/>
        <v>8.1303845032683911E-2</v>
      </c>
      <c r="X427" s="50">
        <f t="shared" si="27"/>
        <v>0.16514794964716251</v>
      </c>
    </row>
    <row r="428" spans="1:24" x14ac:dyDescent="0.2">
      <c r="A428" s="4">
        <v>427</v>
      </c>
      <c r="B428" s="4" t="s">
        <v>33</v>
      </c>
      <c r="C428" s="4">
        <v>1</v>
      </c>
      <c r="D428" s="4">
        <v>0</v>
      </c>
      <c r="E428" s="4">
        <v>1</v>
      </c>
      <c r="F428" s="4">
        <v>19</v>
      </c>
      <c r="G428" s="4" t="b">
        <v>0</v>
      </c>
      <c r="H428" s="4">
        <v>3</v>
      </c>
      <c r="I428" s="4">
        <v>1</v>
      </c>
      <c r="J428" s="4">
        <v>0.32</v>
      </c>
      <c r="K428" s="6" t="str">
        <f>IF(H428=0,"weekend",IF(H428=6,"weekend","weekend"))</f>
        <v>weekend</v>
      </c>
      <c r="L428" s="3" t="str">
        <f>IF(C428=1,"Spring",IF(C428=2,"Summer",IF(C428=3,"Fall","Winter")))</f>
        <v>Spring</v>
      </c>
      <c r="M428" s="3">
        <f>SUM(J428:J452)</f>
        <v>6.8599999999999994</v>
      </c>
      <c r="N428" s="3">
        <f>AVERAGE(J428:J1037)</f>
        <v>0.16793478260869546</v>
      </c>
      <c r="O428" s="3">
        <f>COUNT(J428:J1037)</f>
        <v>184</v>
      </c>
      <c r="P428" s="3" t="str">
        <f>TEXT(J428,"0.00")</f>
        <v>0.32</v>
      </c>
      <c r="Q428" s="3" t="str">
        <f>LEFT(L428,3)</f>
        <v>Spr</v>
      </c>
      <c r="R428" s="42" t="str">
        <f>RIGHT(L428,3)</f>
        <v>ing</v>
      </c>
      <c r="S428" s="42">
        <f>LEN(L428)</f>
        <v>6</v>
      </c>
      <c r="T428" s="3" t="str">
        <f>A428&amp;"|"&amp;B428&amp;"|"&amp;F428</f>
        <v>427|19-01-2011|19</v>
      </c>
      <c r="U428" s="3">
        <f t="shared" si="24"/>
        <v>610</v>
      </c>
      <c r="V428" s="3">
        <f t="shared" si="25"/>
        <v>120.10000000000005</v>
      </c>
      <c r="W428" s="50">
        <f t="shared" si="26"/>
        <v>8.1303845032683911E-2</v>
      </c>
      <c r="X428" s="50">
        <f t="shared" si="27"/>
        <v>0.16514794964716251</v>
      </c>
    </row>
    <row r="429" spans="1:24" x14ac:dyDescent="0.2">
      <c r="A429" s="4">
        <v>428</v>
      </c>
      <c r="B429" s="4" t="s">
        <v>33</v>
      </c>
      <c r="C429" s="4">
        <v>1</v>
      </c>
      <c r="D429" s="4">
        <v>0</v>
      </c>
      <c r="E429" s="4">
        <v>1</v>
      </c>
      <c r="F429" s="4">
        <v>20</v>
      </c>
      <c r="G429" s="4" t="b">
        <v>0</v>
      </c>
      <c r="H429" s="4">
        <v>3</v>
      </c>
      <c r="I429" s="4">
        <v>1</v>
      </c>
      <c r="J429" s="4">
        <v>0.32</v>
      </c>
      <c r="K429" s="6" t="str">
        <f>IF(H429=0,"weekend",IF(H429=6,"weekend","weekend"))</f>
        <v>weekend</v>
      </c>
      <c r="L429" s="3" t="str">
        <f>IF(C429=1,"Spring",IF(C429=2,"Summer",IF(C429=3,"Fall","Winter")))</f>
        <v>Spring</v>
      </c>
      <c r="M429" s="3">
        <f>SUM(J429:J453)</f>
        <v>6.8</v>
      </c>
      <c r="N429" s="3">
        <f>AVERAGE(J429:J1038)</f>
        <v>0.16710382513661179</v>
      </c>
      <c r="O429" s="3">
        <f>COUNT(J429:J1038)</f>
        <v>183</v>
      </c>
      <c r="P429" s="3" t="str">
        <f>TEXT(J429,"0.00")</f>
        <v>0.32</v>
      </c>
      <c r="Q429" s="3" t="str">
        <f>LEFT(L429,3)</f>
        <v>Spr</v>
      </c>
      <c r="R429" s="42" t="str">
        <f>RIGHT(L429,3)</f>
        <v>ing</v>
      </c>
      <c r="S429" s="42">
        <f>LEN(L429)</f>
        <v>6</v>
      </c>
      <c r="T429" s="3" t="str">
        <f>A429&amp;"|"&amp;B429&amp;"|"&amp;F429</f>
        <v>428|19-01-2011|20</v>
      </c>
      <c r="U429" s="3">
        <f t="shared" si="24"/>
        <v>610</v>
      </c>
      <c r="V429" s="3">
        <f t="shared" si="25"/>
        <v>120.10000000000005</v>
      </c>
      <c r="W429" s="50">
        <f t="shared" si="26"/>
        <v>8.1303845032683911E-2</v>
      </c>
      <c r="X429" s="50">
        <f t="shared" si="27"/>
        <v>0.16514794964716251</v>
      </c>
    </row>
    <row r="430" spans="1:24" x14ac:dyDescent="0.2">
      <c r="A430" s="4">
        <v>429</v>
      </c>
      <c r="B430" s="4" t="s">
        <v>33</v>
      </c>
      <c r="C430" s="4">
        <v>1</v>
      </c>
      <c r="D430" s="4">
        <v>0</v>
      </c>
      <c r="E430" s="4">
        <v>1</v>
      </c>
      <c r="F430" s="4">
        <v>21</v>
      </c>
      <c r="G430" s="4" t="b">
        <v>0</v>
      </c>
      <c r="H430" s="4">
        <v>3</v>
      </c>
      <c r="I430" s="4">
        <v>1</v>
      </c>
      <c r="J430" s="4">
        <v>0.32</v>
      </c>
      <c r="K430" s="6" t="str">
        <f>IF(H430=0,"weekend",IF(H430=6,"weekend","weekend"))</f>
        <v>weekend</v>
      </c>
      <c r="L430" s="3" t="str">
        <f>IF(C430=1,"Spring",IF(C430=2,"Summer",IF(C430=3,"Fall","Winter")))</f>
        <v>Spring</v>
      </c>
      <c r="M430" s="3">
        <f>SUM(J430:J454)</f>
        <v>6.72</v>
      </c>
      <c r="N430" s="3">
        <f>AVERAGE(J430:J1039)</f>
        <v>0.16626373626373603</v>
      </c>
      <c r="O430" s="3">
        <f>COUNT(J430:J1039)</f>
        <v>182</v>
      </c>
      <c r="P430" s="3" t="str">
        <f>TEXT(J430,"0.00")</f>
        <v>0.32</v>
      </c>
      <c r="Q430" s="3" t="str">
        <f>LEFT(L430,3)</f>
        <v>Spr</v>
      </c>
      <c r="R430" s="42" t="str">
        <f>RIGHT(L430,3)</f>
        <v>ing</v>
      </c>
      <c r="S430" s="42">
        <f>LEN(L430)</f>
        <v>6</v>
      </c>
      <c r="T430" s="3" t="str">
        <f>A430&amp;"|"&amp;B430&amp;"|"&amp;F430</f>
        <v>429|19-01-2011|21</v>
      </c>
      <c r="U430" s="3">
        <f t="shared" si="24"/>
        <v>610</v>
      </c>
      <c r="V430" s="3">
        <f t="shared" si="25"/>
        <v>120.10000000000005</v>
      </c>
      <c r="W430" s="50">
        <f t="shared" si="26"/>
        <v>8.1303845032683911E-2</v>
      </c>
      <c r="X430" s="50">
        <f t="shared" si="27"/>
        <v>0.16514794964716251</v>
      </c>
    </row>
    <row r="431" spans="1:24" x14ac:dyDescent="0.2">
      <c r="A431" s="4">
        <v>430</v>
      </c>
      <c r="B431" s="4" t="s">
        <v>33</v>
      </c>
      <c r="C431" s="4">
        <v>1</v>
      </c>
      <c r="D431" s="4">
        <v>0</v>
      </c>
      <c r="E431" s="4">
        <v>1</v>
      </c>
      <c r="F431" s="4">
        <v>22</v>
      </c>
      <c r="G431" s="4" t="b">
        <v>0</v>
      </c>
      <c r="H431" s="4">
        <v>3</v>
      </c>
      <c r="I431" s="4">
        <v>1</v>
      </c>
      <c r="J431" s="4">
        <v>0.3</v>
      </c>
      <c r="K431" s="6" t="str">
        <f>IF(H431=0,"weekend",IF(H431=6,"weekend","weekend"))</f>
        <v>weekend</v>
      </c>
      <c r="L431" s="3" t="str">
        <f>IF(C431=1,"Spring",IF(C431=2,"Summer",IF(C431=3,"Fall","Winter")))</f>
        <v>Spring</v>
      </c>
      <c r="M431" s="3">
        <f>SUM(J431:J455)</f>
        <v>6.6400000000000006</v>
      </c>
      <c r="N431" s="3">
        <f>AVERAGE(J431:J1040)</f>
        <v>0.16541436464088374</v>
      </c>
      <c r="O431" s="3">
        <f>COUNT(J431:J1040)</f>
        <v>181</v>
      </c>
      <c r="P431" s="3" t="str">
        <f>TEXT(J431,"0.00")</f>
        <v>0.30</v>
      </c>
      <c r="Q431" s="3" t="str">
        <f>LEFT(L431,3)</f>
        <v>Spr</v>
      </c>
      <c r="R431" s="42" t="str">
        <f>RIGHT(L431,3)</f>
        <v>ing</v>
      </c>
      <c r="S431" s="42">
        <f>LEN(L431)</f>
        <v>6</v>
      </c>
      <c r="T431" s="3" t="str">
        <f>A431&amp;"|"&amp;B431&amp;"|"&amp;F431</f>
        <v>430|19-01-2011|22</v>
      </c>
      <c r="U431" s="3">
        <f t="shared" si="24"/>
        <v>610</v>
      </c>
      <c r="V431" s="3">
        <f t="shared" si="25"/>
        <v>120.10000000000005</v>
      </c>
      <c r="W431" s="50">
        <f t="shared" si="26"/>
        <v>8.1303845032683911E-2</v>
      </c>
      <c r="X431" s="50">
        <f t="shared" si="27"/>
        <v>0.16514794964716251</v>
      </c>
    </row>
    <row r="432" spans="1:24" x14ac:dyDescent="0.2">
      <c r="A432" s="4">
        <v>431</v>
      </c>
      <c r="B432" s="4" t="s">
        <v>33</v>
      </c>
      <c r="C432" s="4">
        <v>1</v>
      </c>
      <c r="D432" s="4">
        <v>0</v>
      </c>
      <c r="E432" s="4">
        <v>1</v>
      </c>
      <c r="F432" s="4">
        <v>23</v>
      </c>
      <c r="G432" s="4" t="b">
        <v>0</v>
      </c>
      <c r="H432" s="4">
        <v>3</v>
      </c>
      <c r="I432" s="4">
        <v>1</v>
      </c>
      <c r="J432" s="4">
        <v>0.3</v>
      </c>
      <c r="K432" s="6" t="str">
        <f>IF(H432=0,"weekend",IF(H432=6,"weekend","weekend"))</f>
        <v>weekend</v>
      </c>
      <c r="L432" s="3" t="str">
        <f>IF(C432=1,"Spring",IF(C432=2,"Summer",IF(C432=3,"Fall","Winter")))</f>
        <v>Spring</v>
      </c>
      <c r="M432" s="3">
        <f>SUM(J432:J456)</f>
        <v>6.58</v>
      </c>
      <c r="N432" s="3">
        <f>AVERAGE(J432:J1041)</f>
        <v>0.16466666666666643</v>
      </c>
      <c r="O432" s="3">
        <f>COUNT(J432:J1041)</f>
        <v>180</v>
      </c>
      <c r="P432" s="3" t="str">
        <f>TEXT(J432,"0.00")</f>
        <v>0.30</v>
      </c>
      <c r="Q432" s="3" t="str">
        <f>LEFT(L432,3)</f>
        <v>Spr</v>
      </c>
      <c r="R432" s="42" t="str">
        <f>RIGHT(L432,3)</f>
        <v>ing</v>
      </c>
      <c r="S432" s="42">
        <f>LEN(L432)</f>
        <v>6</v>
      </c>
      <c r="T432" s="3" t="str">
        <f>A432&amp;"|"&amp;B432&amp;"|"&amp;F432</f>
        <v>431|19-01-2011|23</v>
      </c>
      <c r="U432" s="3">
        <f t="shared" si="24"/>
        <v>610</v>
      </c>
      <c r="V432" s="3">
        <f t="shared" si="25"/>
        <v>120.10000000000005</v>
      </c>
      <c r="W432" s="50">
        <f t="shared" si="26"/>
        <v>8.1303845032683911E-2</v>
      </c>
      <c r="X432" s="50">
        <f t="shared" si="27"/>
        <v>0.16514794964716251</v>
      </c>
    </row>
    <row r="433" spans="1:24" x14ac:dyDescent="0.2">
      <c r="A433" s="4">
        <v>432</v>
      </c>
      <c r="B433" s="4" t="s">
        <v>34</v>
      </c>
      <c r="C433" s="4">
        <v>1</v>
      </c>
      <c r="D433" s="4">
        <v>0</v>
      </c>
      <c r="E433" s="4">
        <v>1</v>
      </c>
      <c r="F433" s="4">
        <v>0</v>
      </c>
      <c r="G433" s="4" t="b">
        <v>0</v>
      </c>
      <c r="H433" s="4">
        <v>4</v>
      </c>
      <c r="I433" s="4">
        <v>1</v>
      </c>
      <c r="J433" s="4">
        <v>0.26</v>
      </c>
      <c r="K433" s="6" t="str">
        <f>IF(H433=0,"weekend",IF(H433=6,"weekend","weekend"))</f>
        <v>weekend</v>
      </c>
      <c r="L433" s="3" t="str">
        <f>IF(C433=1,"Spring",IF(C433=2,"Summer",IF(C433=3,"Fall","Winter")))</f>
        <v>Spring</v>
      </c>
      <c r="M433" s="3">
        <f>SUM(J433:J457)</f>
        <v>6.5200000000000005</v>
      </c>
      <c r="N433" s="3">
        <f>AVERAGE(J433:J1042)</f>
        <v>0.16391061452513941</v>
      </c>
      <c r="O433" s="3">
        <f>COUNT(J433:J1042)</f>
        <v>179</v>
      </c>
      <c r="P433" s="3" t="str">
        <f>TEXT(J433,"0.00")</f>
        <v>0.26</v>
      </c>
      <c r="Q433" s="3" t="str">
        <f>LEFT(L433,3)</f>
        <v>Spr</v>
      </c>
      <c r="R433" s="42" t="str">
        <f>RIGHT(L433,3)</f>
        <v>ing</v>
      </c>
      <c r="S433" s="42">
        <f>LEN(L433)</f>
        <v>6</v>
      </c>
      <c r="T433" s="3" t="str">
        <f>A433&amp;"|"&amp;B433&amp;"|"&amp;F433</f>
        <v>432|20-01-2011|0</v>
      </c>
      <c r="U433" s="3">
        <f t="shared" si="24"/>
        <v>610</v>
      </c>
      <c r="V433" s="3">
        <f t="shared" si="25"/>
        <v>120.10000000000005</v>
      </c>
      <c r="W433" s="50">
        <f t="shared" si="26"/>
        <v>8.1303845032683911E-2</v>
      </c>
      <c r="X433" s="50">
        <f t="shared" si="27"/>
        <v>0.16514794964716251</v>
      </c>
    </row>
    <row r="434" spans="1:24" x14ac:dyDescent="0.2">
      <c r="A434" s="4">
        <v>433</v>
      </c>
      <c r="B434" s="4" t="s">
        <v>34</v>
      </c>
      <c r="C434" s="4">
        <v>1</v>
      </c>
      <c r="D434" s="4">
        <v>0</v>
      </c>
      <c r="E434" s="4">
        <v>1</v>
      </c>
      <c r="F434" s="4">
        <v>1</v>
      </c>
      <c r="G434" s="4" t="b">
        <v>0</v>
      </c>
      <c r="H434" s="4">
        <v>4</v>
      </c>
      <c r="I434" s="4">
        <v>1</v>
      </c>
      <c r="J434" s="4">
        <v>0.26</v>
      </c>
      <c r="K434" s="6" t="str">
        <f>IF(H434=0,"weekend",IF(H434=6,"weekend","weekend"))</f>
        <v>weekend</v>
      </c>
      <c r="L434" s="3" t="str">
        <f>IF(C434=1,"Spring",IF(C434=2,"Summer",IF(C434=3,"Fall","Winter")))</f>
        <v>Spring</v>
      </c>
      <c r="M434" s="3">
        <f>SUM(J434:J458)</f>
        <v>6.5</v>
      </c>
      <c r="N434" s="3">
        <f>AVERAGE(J434:J1043)</f>
        <v>0.16337078651685372</v>
      </c>
      <c r="O434" s="3">
        <f>COUNT(J434:J1043)</f>
        <v>178</v>
      </c>
      <c r="P434" s="3" t="str">
        <f>TEXT(J434,"0.00")</f>
        <v>0.26</v>
      </c>
      <c r="Q434" s="3" t="str">
        <f>LEFT(L434,3)</f>
        <v>Spr</v>
      </c>
      <c r="R434" s="42" t="str">
        <f>RIGHT(L434,3)</f>
        <v>ing</v>
      </c>
      <c r="S434" s="42">
        <f>LEN(L434)</f>
        <v>6</v>
      </c>
      <c r="T434" s="3" t="str">
        <f>A434&amp;"|"&amp;B434&amp;"|"&amp;F434</f>
        <v>433|20-01-2011|1</v>
      </c>
      <c r="U434" s="3">
        <f t="shared" si="24"/>
        <v>610</v>
      </c>
      <c r="V434" s="3">
        <f t="shared" si="25"/>
        <v>120.10000000000005</v>
      </c>
      <c r="W434" s="50">
        <f t="shared" si="26"/>
        <v>8.1303845032683911E-2</v>
      </c>
      <c r="X434" s="50">
        <f t="shared" si="27"/>
        <v>0.16514794964716251</v>
      </c>
    </row>
    <row r="435" spans="1:24" x14ac:dyDescent="0.2">
      <c r="A435" s="4">
        <v>434</v>
      </c>
      <c r="B435" s="4" t="s">
        <v>34</v>
      </c>
      <c r="C435" s="4">
        <v>1</v>
      </c>
      <c r="D435" s="4">
        <v>0</v>
      </c>
      <c r="E435" s="4">
        <v>1</v>
      </c>
      <c r="F435" s="4">
        <v>2</v>
      </c>
      <c r="G435" s="4" t="b">
        <v>0</v>
      </c>
      <c r="H435" s="4">
        <v>4</v>
      </c>
      <c r="I435" s="4">
        <v>1</v>
      </c>
      <c r="J435" s="4">
        <v>0.26</v>
      </c>
      <c r="K435" s="6" t="str">
        <f>IF(H435=0,"weekend",IF(H435=6,"weekend","weekend"))</f>
        <v>weekend</v>
      </c>
      <c r="L435" s="3" t="str">
        <f>IF(C435=1,"Spring",IF(C435=2,"Summer",IF(C435=3,"Fall","Winter")))</f>
        <v>Spring</v>
      </c>
      <c r="M435" s="3">
        <f>SUM(J435:J459)</f>
        <v>6.48</v>
      </c>
      <c r="N435" s="3">
        <f>AVERAGE(J435:J1044)</f>
        <v>0.16282485875706193</v>
      </c>
      <c r="O435" s="3">
        <f>COUNT(J435:J1044)</f>
        <v>177</v>
      </c>
      <c r="P435" s="3" t="str">
        <f>TEXT(J435,"0.00")</f>
        <v>0.26</v>
      </c>
      <c r="Q435" s="3" t="str">
        <f>LEFT(L435,3)</f>
        <v>Spr</v>
      </c>
      <c r="R435" s="42" t="str">
        <f>RIGHT(L435,3)</f>
        <v>ing</v>
      </c>
      <c r="S435" s="42">
        <f>LEN(L435)</f>
        <v>6</v>
      </c>
      <c r="T435" s="3" t="str">
        <f>A435&amp;"|"&amp;B435&amp;"|"&amp;F435</f>
        <v>434|20-01-2011|2</v>
      </c>
      <c r="U435" s="3">
        <f t="shared" si="24"/>
        <v>610</v>
      </c>
      <c r="V435" s="3">
        <f t="shared" si="25"/>
        <v>120.10000000000005</v>
      </c>
      <c r="W435" s="50">
        <f t="shared" si="26"/>
        <v>8.1303845032683911E-2</v>
      </c>
      <c r="X435" s="50">
        <f t="shared" si="27"/>
        <v>0.16514794964716251</v>
      </c>
    </row>
    <row r="436" spans="1:24" x14ac:dyDescent="0.2">
      <c r="A436" s="4">
        <v>435</v>
      </c>
      <c r="B436" s="4" t="s">
        <v>34</v>
      </c>
      <c r="C436" s="4">
        <v>1</v>
      </c>
      <c r="D436" s="4">
        <v>0</v>
      </c>
      <c r="E436" s="4">
        <v>1</v>
      </c>
      <c r="F436" s="4">
        <v>3</v>
      </c>
      <c r="G436" s="4" t="b">
        <v>0</v>
      </c>
      <c r="H436" s="4">
        <v>4</v>
      </c>
      <c r="I436" s="4">
        <v>1</v>
      </c>
      <c r="J436" s="4">
        <v>0.26</v>
      </c>
      <c r="K436" s="6" t="str">
        <f>IF(H436=0,"weekend",IF(H436=6,"weekend","weekend"))</f>
        <v>weekend</v>
      </c>
      <c r="L436" s="3" t="str">
        <f>IF(C436=1,"Spring",IF(C436=2,"Summer",IF(C436=3,"Fall","Winter")))</f>
        <v>Spring</v>
      </c>
      <c r="M436" s="3">
        <f>SUM(J436:J460)</f>
        <v>6.44</v>
      </c>
      <c r="N436" s="3">
        <f>AVERAGE(J436:J1045)</f>
        <v>0.16227272727272704</v>
      </c>
      <c r="O436" s="3">
        <f>COUNT(J436:J1045)</f>
        <v>176</v>
      </c>
      <c r="P436" s="3" t="str">
        <f>TEXT(J436,"0.00")</f>
        <v>0.26</v>
      </c>
      <c r="Q436" s="3" t="str">
        <f>LEFT(L436,3)</f>
        <v>Spr</v>
      </c>
      <c r="R436" s="42" t="str">
        <f>RIGHT(L436,3)</f>
        <v>ing</v>
      </c>
      <c r="S436" s="42">
        <f>LEN(L436)</f>
        <v>6</v>
      </c>
      <c r="T436" s="3" t="str">
        <f>A436&amp;"|"&amp;B436&amp;"|"&amp;F436</f>
        <v>435|20-01-2011|3</v>
      </c>
      <c r="U436" s="3">
        <f t="shared" si="24"/>
        <v>610</v>
      </c>
      <c r="V436" s="3">
        <f t="shared" si="25"/>
        <v>120.10000000000005</v>
      </c>
      <c r="W436" s="50">
        <f t="shared" si="26"/>
        <v>8.1303845032683911E-2</v>
      </c>
      <c r="X436" s="50">
        <f t="shared" si="27"/>
        <v>0.16514794964716251</v>
      </c>
    </row>
    <row r="437" spans="1:24" x14ac:dyDescent="0.2">
      <c r="A437" s="4">
        <v>436</v>
      </c>
      <c r="B437" s="4" t="s">
        <v>34</v>
      </c>
      <c r="C437" s="4">
        <v>1</v>
      </c>
      <c r="D437" s="4">
        <v>0</v>
      </c>
      <c r="E437" s="4">
        <v>1</v>
      </c>
      <c r="F437" s="4">
        <v>4</v>
      </c>
      <c r="G437" s="4" t="b">
        <v>0</v>
      </c>
      <c r="H437" s="4">
        <v>4</v>
      </c>
      <c r="I437" s="4">
        <v>1</v>
      </c>
      <c r="J437" s="4">
        <v>0.26</v>
      </c>
      <c r="K437" s="6" t="str">
        <f>IF(H437=0,"weekend",IF(H437=6,"weekend","weekend"))</f>
        <v>weekend</v>
      </c>
      <c r="L437" s="3" t="str">
        <f>IF(C437=1,"Spring",IF(C437=2,"Summer",IF(C437=3,"Fall","Winter")))</f>
        <v>Spring</v>
      </c>
      <c r="M437" s="3">
        <f>SUM(J437:J461)</f>
        <v>6.3999999999999995</v>
      </c>
      <c r="N437" s="3">
        <f>AVERAGE(J437:J1046)</f>
        <v>0.16171428571428548</v>
      </c>
      <c r="O437" s="3">
        <f>COUNT(J437:J1046)</f>
        <v>175</v>
      </c>
      <c r="P437" s="3" t="str">
        <f>TEXT(J437,"0.00")</f>
        <v>0.26</v>
      </c>
      <c r="Q437" s="3" t="str">
        <f>LEFT(L437,3)</f>
        <v>Spr</v>
      </c>
      <c r="R437" s="42" t="str">
        <f>RIGHT(L437,3)</f>
        <v>ing</v>
      </c>
      <c r="S437" s="42">
        <f>LEN(L437)</f>
        <v>6</v>
      </c>
      <c r="T437" s="3" t="str">
        <f>A437&amp;"|"&amp;B437&amp;"|"&amp;F437</f>
        <v>436|20-01-2011|4</v>
      </c>
      <c r="U437" s="3">
        <f t="shared" si="24"/>
        <v>610</v>
      </c>
      <c r="V437" s="3">
        <f t="shared" si="25"/>
        <v>120.10000000000005</v>
      </c>
      <c r="W437" s="50">
        <f t="shared" si="26"/>
        <v>8.1303845032683911E-2</v>
      </c>
      <c r="X437" s="50">
        <f t="shared" si="27"/>
        <v>0.16514794964716251</v>
      </c>
    </row>
    <row r="438" spans="1:24" x14ac:dyDescent="0.2">
      <c r="A438" s="4">
        <v>437</v>
      </c>
      <c r="B438" s="4" t="s">
        <v>34</v>
      </c>
      <c r="C438" s="4">
        <v>1</v>
      </c>
      <c r="D438" s="4">
        <v>0</v>
      </c>
      <c r="E438" s="4">
        <v>1</v>
      </c>
      <c r="F438" s="4">
        <v>5</v>
      </c>
      <c r="G438" s="4" t="b">
        <v>0</v>
      </c>
      <c r="H438" s="4">
        <v>4</v>
      </c>
      <c r="I438" s="4">
        <v>1</v>
      </c>
      <c r="J438" s="4">
        <v>0.24</v>
      </c>
      <c r="K438" s="6" t="str">
        <f>IF(H438=0,"weekend",IF(H438=6,"weekend","weekend"))</f>
        <v>weekend</v>
      </c>
      <c r="L438" s="3" t="str">
        <f>IF(C438=1,"Spring",IF(C438=2,"Summer",IF(C438=3,"Fall","Winter")))</f>
        <v>Spring</v>
      </c>
      <c r="M438" s="3">
        <f>SUM(J438:J462)</f>
        <v>6.38</v>
      </c>
      <c r="N438" s="3">
        <f>AVERAGE(J438:J1047)</f>
        <v>0.1611494252873561</v>
      </c>
      <c r="O438" s="3">
        <f>COUNT(J438:J1047)</f>
        <v>174</v>
      </c>
      <c r="P438" s="3" t="str">
        <f>TEXT(J438,"0.00")</f>
        <v>0.24</v>
      </c>
      <c r="Q438" s="3" t="str">
        <f>LEFT(L438,3)</f>
        <v>Spr</v>
      </c>
      <c r="R438" s="42" t="str">
        <f>RIGHT(L438,3)</f>
        <v>ing</v>
      </c>
      <c r="S438" s="42">
        <f>LEN(L438)</f>
        <v>6</v>
      </c>
      <c r="T438" s="3" t="str">
        <f>A438&amp;"|"&amp;B438&amp;"|"&amp;F438</f>
        <v>437|20-01-2011|5</v>
      </c>
      <c r="U438" s="3">
        <f t="shared" si="24"/>
        <v>610</v>
      </c>
      <c r="V438" s="3">
        <f t="shared" si="25"/>
        <v>120.10000000000005</v>
      </c>
      <c r="W438" s="50">
        <f t="shared" si="26"/>
        <v>8.1303845032683911E-2</v>
      </c>
      <c r="X438" s="50">
        <f t="shared" si="27"/>
        <v>0.16514794964716251</v>
      </c>
    </row>
    <row r="439" spans="1:24" x14ac:dyDescent="0.2">
      <c r="A439" s="4">
        <v>438</v>
      </c>
      <c r="B439" s="4" t="s">
        <v>34</v>
      </c>
      <c r="C439" s="4">
        <v>1</v>
      </c>
      <c r="D439" s="4">
        <v>0</v>
      </c>
      <c r="E439" s="4">
        <v>1</v>
      </c>
      <c r="F439" s="4">
        <v>6</v>
      </c>
      <c r="G439" s="4" t="b">
        <v>0</v>
      </c>
      <c r="H439" s="4">
        <v>4</v>
      </c>
      <c r="I439" s="4">
        <v>1</v>
      </c>
      <c r="J439" s="4">
        <v>0.22</v>
      </c>
      <c r="K439" s="6" t="str">
        <f>IF(H439=0,"weekend",IF(H439=6,"weekend","weekend"))</f>
        <v>weekend</v>
      </c>
      <c r="L439" s="3" t="str">
        <f>IF(C439=1,"Spring",IF(C439=2,"Summer",IF(C439=3,"Fall","Winter")))</f>
        <v>Spring</v>
      </c>
      <c r="M439" s="3">
        <f>SUM(J439:J463)</f>
        <v>6.36</v>
      </c>
      <c r="N439" s="3">
        <f>AVERAGE(J439:J1048)</f>
        <v>0.16069364161849689</v>
      </c>
      <c r="O439" s="3">
        <f>COUNT(J439:J1048)</f>
        <v>173</v>
      </c>
      <c r="P439" s="3" t="str">
        <f>TEXT(J439,"0.00")</f>
        <v>0.22</v>
      </c>
      <c r="Q439" s="3" t="str">
        <f>LEFT(L439,3)</f>
        <v>Spr</v>
      </c>
      <c r="R439" s="42" t="str">
        <f>RIGHT(L439,3)</f>
        <v>ing</v>
      </c>
      <c r="S439" s="42">
        <f>LEN(L439)</f>
        <v>6</v>
      </c>
      <c r="T439" s="3" t="str">
        <f>A439&amp;"|"&amp;B439&amp;"|"&amp;F439</f>
        <v>438|20-01-2011|6</v>
      </c>
      <c r="U439" s="3">
        <f t="shared" si="24"/>
        <v>610</v>
      </c>
      <c r="V439" s="3">
        <f t="shared" si="25"/>
        <v>120.10000000000005</v>
      </c>
      <c r="W439" s="50">
        <f t="shared" si="26"/>
        <v>8.1303845032683911E-2</v>
      </c>
      <c r="X439" s="50">
        <f t="shared" si="27"/>
        <v>0.16514794964716251</v>
      </c>
    </row>
    <row r="440" spans="1:24" x14ac:dyDescent="0.2">
      <c r="A440" s="4">
        <v>439</v>
      </c>
      <c r="B440" s="4" t="s">
        <v>34</v>
      </c>
      <c r="C440" s="4">
        <v>1</v>
      </c>
      <c r="D440" s="4">
        <v>0</v>
      </c>
      <c r="E440" s="4">
        <v>1</v>
      </c>
      <c r="F440" s="4">
        <v>7</v>
      </c>
      <c r="G440" s="4" t="b">
        <v>0</v>
      </c>
      <c r="H440" s="4">
        <v>4</v>
      </c>
      <c r="I440" s="4">
        <v>1</v>
      </c>
      <c r="J440" s="4">
        <v>0.22</v>
      </c>
      <c r="K440" s="6" t="str">
        <f>IF(H440=0,"weekend",IF(H440=6,"weekend","weekend"))</f>
        <v>weekend</v>
      </c>
      <c r="L440" s="3" t="str">
        <f>IF(C440=1,"Spring",IF(C440=2,"Summer",IF(C440=3,"Fall","Winter")))</f>
        <v>Spring</v>
      </c>
      <c r="M440" s="3">
        <f>SUM(J440:J464)</f>
        <v>6.34</v>
      </c>
      <c r="N440" s="3">
        <f>AVERAGE(J440:J1049)</f>
        <v>0.1603488372093021</v>
      </c>
      <c r="O440" s="3">
        <f>COUNT(J440:J1049)</f>
        <v>172</v>
      </c>
      <c r="P440" s="3" t="str">
        <f>TEXT(J440,"0.00")</f>
        <v>0.22</v>
      </c>
      <c r="Q440" s="3" t="str">
        <f>LEFT(L440,3)</f>
        <v>Spr</v>
      </c>
      <c r="R440" s="42" t="str">
        <f>RIGHT(L440,3)</f>
        <v>ing</v>
      </c>
      <c r="S440" s="42">
        <f>LEN(L440)</f>
        <v>6</v>
      </c>
      <c r="T440" s="3" t="str">
        <f>A440&amp;"|"&amp;B440&amp;"|"&amp;F440</f>
        <v>439|20-01-2011|7</v>
      </c>
      <c r="U440" s="3">
        <f t="shared" si="24"/>
        <v>610</v>
      </c>
      <c r="V440" s="3">
        <f t="shared" si="25"/>
        <v>120.10000000000005</v>
      </c>
      <c r="W440" s="50">
        <f t="shared" si="26"/>
        <v>8.1303845032683911E-2</v>
      </c>
      <c r="X440" s="50">
        <f t="shared" si="27"/>
        <v>0.16514794964716251</v>
      </c>
    </row>
    <row r="441" spans="1:24" x14ac:dyDescent="0.2">
      <c r="A441" s="4">
        <v>440</v>
      </c>
      <c r="B441" s="4" t="s">
        <v>34</v>
      </c>
      <c r="C441" s="4">
        <v>1</v>
      </c>
      <c r="D441" s="4">
        <v>0</v>
      </c>
      <c r="E441" s="4">
        <v>1</v>
      </c>
      <c r="F441" s="4">
        <v>8</v>
      </c>
      <c r="G441" s="4" t="b">
        <v>0</v>
      </c>
      <c r="H441" s="4">
        <v>4</v>
      </c>
      <c r="I441" s="4">
        <v>1</v>
      </c>
      <c r="J441" s="4">
        <v>0.22</v>
      </c>
      <c r="K441" s="6" t="str">
        <f>IF(H441=0,"weekend",IF(H441=6,"weekend","weekend"))</f>
        <v>weekend</v>
      </c>
      <c r="L441" s="3" t="str">
        <f>IF(C441=1,"Spring",IF(C441=2,"Summer",IF(C441=3,"Fall","Winter")))</f>
        <v>Spring</v>
      </c>
      <c r="M441" s="3">
        <f>SUM(J441:J465)</f>
        <v>6.32</v>
      </c>
      <c r="N441" s="3">
        <f>AVERAGE(J441:J1050)</f>
        <v>0.15999999999999978</v>
      </c>
      <c r="O441" s="3">
        <f>COUNT(J441:J1050)</f>
        <v>171</v>
      </c>
      <c r="P441" s="3" t="str">
        <f>TEXT(J441,"0.00")</f>
        <v>0.22</v>
      </c>
      <c r="Q441" s="3" t="str">
        <f>LEFT(L441,3)</f>
        <v>Spr</v>
      </c>
      <c r="R441" s="42" t="str">
        <f>RIGHT(L441,3)</f>
        <v>ing</v>
      </c>
      <c r="S441" s="42">
        <f>LEN(L441)</f>
        <v>6</v>
      </c>
      <c r="T441" s="3" t="str">
        <f>A441&amp;"|"&amp;B441&amp;"|"&amp;F441</f>
        <v>440|20-01-2011|8</v>
      </c>
      <c r="U441" s="3">
        <f t="shared" si="24"/>
        <v>610</v>
      </c>
      <c r="V441" s="3">
        <f t="shared" si="25"/>
        <v>120.10000000000005</v>
      </c>
      <c r="W441" s="50">
        <f t="shared" si="26"/>
        <v>8.1303845032683911E-2</v>
      </c>
      <c r="X441" s="50">
        <f t="shared" si="27"/>
        <v>0.16514794964716251</v>
      </c>
    </row>
    <row r="442" spans="1:24" x14ac:dyDescent="0.2">
      <c r="A442" s="4">
        <v>441</v>
      </c>
      <c r="B442" s="4" t="s">
        <v>34</v>
      </c>
      <c r="C442" s="4">
        <v>1</v>
      </c>
      <c r="D442" s="4">
        <v>0</v>
      </c>
      <c r="E442" s="4">
        <v>1</v>
      </c>
      <c r="F442" s="4">
        <v>9</v>
      </c>
      <c r="G442" s="4" t="b">
        <v>0</v>
      </c>
      <c r="H442" s="4">
        <v>4</v>
      </c>
      <c r="I442" s="4">
        <v>2</v>
      </c>
      <c r="J442" s="4">
        <v>0.24</v>
      </c>
      <c r="K442" s="6" t="str">
        <f>IF(H442=0,"weekend",IF(H442=6,"weekend","weekend"))</f>
        <v>weekend</v>
      </c>
      <c r="L442" s="3" t="str">
        <f>IF(C442=1,"Spring",IF(C442=2,"Summer",IF(C442=3,"Fall","Winter")))</f>
        <v>Spring</v>
      </c>
      <c r="M442" s="3">
        <f>SUM(J442:J466)</f>
        <v>6.3000000000000007</v>
      </c>
      <c r="N442" s="3">
        <f>AVERAGE(J442:J1051)</f>
        <v>0.1596470588235292</v>
      </c>
      <c r="O442" s="3">
        <f>COUNT(J442:J1051)</f>
        <v>170</v>
      </c>
      <c r="P442" s="3" t="str">
        <f>TEXT(J442,"0.00")</f>
        <v>0.24</v>
      </c>
      <c r="Q442" s="3" t="str">
        <f>LEFT(L442,3)</f>
        <v>Spr</v>
      </c>
      <c r="R442" s="42" t="str">
        <f>RIGHT(L442,3)</f>
        <v>ing</v>
      </c>
      <c r="S442" s="42">
        <f>LEN(L442)</f>
        <v>6</v>
      </c>
      <c r="T442" s="3" t="str">
        <f>A442&amp;"|"&amp;B442&amp;"|"&amp;F442</f>
        <v>441|20-01-2011|9</v>
      </c>
      <c r="U442" s="3">
        <f t="shared" si="24"/>
        <v>610</v>
      </c>
      <c r="V442" s="3">
        <f t="shared" si="25"/>
        <v>120.10000000000005</v>
      </c>
      <c r="W442" s="50">
        <f t="shared" si="26"/>
        <v>8.1303845032683911E-2</v>
      </c>
      <c r="X442" s="50">
        <f t="shared" si="27"/>
        <v>0.16514794964716251</v>
      </c>
    </row>
    <row r="443" spans="1:24" x14ac:dyDescent="0.2">
      <c r="A443" s="4">
        <v>442</v>
      </c>
      <c r="B443" s="4" t="s">
        <v>34</v>
      </c>
      <c r="C443" s="4">
        <v>1</v>
      </c>
      <c r="D443" s="4">
        <v>0</v>
      </c>
      <c r="E443" s="4">
        <v>1</v>
      </c>
      <c r="F443" s="4">
        <v>10</v>
      </c>
      <c r="G443" s="4" t="b">
        <v>0</v>
      </c>
      <c r="H443" s="4">
        <v>4</v>
      </c>
      <c r="I443" s="4">
        <v>1</v>
      </c>
      <c r="J443" s="4">
        <v>0.26</v>
      </c>
      <c r="K443" s="6" t="str">
        <f>IF(H443=0,"weekend",IF(H443=6,"weekend","weekend"))</f>
        <v>weekend</v>
      </c>
      <c r="L443" s="3" t="str">
        <f>IF(C443=1,"Spring",IF(C443=2,"Summer",IF(C443=3,"Fall","Winter")))</f>
        <v>Spring</v>
      </c>
      <c r="M443" s="3">
        <f>SUM(J443:J467)</f>
        <v>6.2600000000000007</v>
      </c>
      <c r="N443" s="3">
        <f>AVERAGE(J443:J1052)</f>
        <v>0.1591715976331359</v>
      </c>
      <c r="O443" s="3">
        <f>COUNT(J443:J1052)</f>
        <v>169</v>
      </c>
      <c r="P443" s="3" t="str">
        <f>TEXT(J443,"0.00")</f>
        <v>0.26</v>
      </c>
      <c r="Q443" s="3" t="str">
        <f>LEFT(L443,3)</f>
        <v>Spr</v>
      </c>
      <c r="R443" s="42" t="str">
        <f>RIGHT(L443,3)</f>
        <v>ing</v>
      </c>
      <c r="S443" s="42">
        <f>LEN(L443)</f>
        <v>6</v>
      </c>
      <c r="T443" s="3" t="str">
        <f>A443&amp;"|"&amp;B443&amp;"|"&amp;F443</f>
        <v>442|20-01-2011|10</v>
      </c>
      <c r="U443" s="3">
        <f t="shared" si="24"/>
        <v>610</v>
      </c>
      <c r="V443" s="3">
        <f t="shared" si="25"/>
        <v>120.10000000000005</v>
      </c>
      <c r="W443" s="50">
        <f t="shared" si="26"/>
        <v>8.1303845032683911E-2</v>
      </c>
      <c r="X443" s="50">
        <f t="shared" si="27"/>
        <v>0.16514794964716251</v>
      </c>
    </row>
    <row r="444" spans="1:24" x14ac:dyDescent="0.2">
      <c r="A444" s="4">
        <v>443</v>
      </c>
      <c r="B444" s="4" t="s">
        <v>34</v>
      </c>
      <c r="C444" s="4">
        <v>1</v>
      </c>
      <c r="D444" s="4">
        <v>0</v>
      </c>
      <c r="E444" s="4">
        <v>1</v>
      </c>
      <c r="F444" s="4">
        <v>11</v>
      </c>
      <c r="G444" s="4" t="b">
        <v>0</v>
      </c>
      <c r="H444" s="4">
        <v>4</v>
      </c>
      <c r="I444" s="4">
        <v>2</v>
      </c>
      <c r="J444" s="4">
        <v>0.28000000000000003</v>
      </c>
      <c r="K444" s="6" t="str">
        <f>IF(H444=0,"weekend",IF(H444=6,"weekend","weekend"))</f>
        <v>weekend</v>
      </c>
      <c r="L444" s="3" t="str">
        <f>IF(C444=1,"Spring",IF(C444=2,"Summer",IF(C444=3,"Fall","Winter")))</f>
        <v>Spring</v>
      </c>
      <c r="M444" s="3">
        <f>SUM(J444:J468)</f>
        <v>6.2200000000000006</v>
      </c>
      <c r="N444" s="3">
        <f>AVERAGE(J444:J1053)</f>
        <v>0.15857142857142836</v>
      </c>
      <c r="O444" s="3">
        <f>COUNT(J444:J1053)</f>
        <v>168</v>
      </c>
      <c r="P444" s="3" t="str">
        <f>TEXT(J444,"0.00")</f>
        <v>0.28</v>
      </c>
      <c r="Q444" s="3" t="str">
        <f>LEFT(L444,3)</f>
        <v>Spr</v>
      </c>
      <c r="R444" s="42" t="str">
        <f>RIGHT(L444,3)</f>
        <v>ing</v>
      </c>
      <c r="S444" s="42">
        <f>LEN(L444)</f>
        <v>6</v>
      </c>
      <c r="T444" s="3" t="str">
        <f>A444&amp;"|"&amp;B444&amp;"|"&amp;F444</f>
        <v>443|20-01-2011|11</v>
      </c>
      <c r="U444" s="3">
        <f t="shared" si="24"/>
        <v>610</v>
      </c>
      <c r="V444" s="3">
        <f t="shared" si="25"/>
        <v>120.10000000000005</v>
      </c>
      <c r="W444" s="50">
        <f t="shared" si="26"/>
        <v>8.1303845032683911E-2</v>
      </c>
      <c r="X444" s="50">
        <f t="shared" si="27"/>
        <v>0.16514794964716251</v>
      </c>
    </row>
    <row r="445" spans="1:24" x14ac:dyDescent="0.2">
      <c r="A445" s="4">
        <v>444</v>
      </c>
      <c r="B445" s="4" t="s">
        <v>34</v>
      </c>
      <c r="C445" s="4">
        <v>1</v>
      </c>
      <c r="D445" s="4">
        <v>0</v>
      </c>
      <c r="E445" s="4">
        <v>1</v>
      </c>
      <c r="F445" s="4">
        <v>12</v>
      </c>
      <c r="G445" s="4" t="b">
        <v>0</v>
      </c>
      <c r="H445" s="4">
        <v>4</v>
      </c>
      <c r="I445" s="4">
        <v>2</v>
      </c>
      <c r="J445" s="4">
        <v>0.3</v>
      </c>
      <c r="K445" s="6" t="str">
        <f>IF(H445=0,"weekend",IF(H445=6,"weekend","weekend"))</f>
        <v>weekend</v>
      </c>
      <c r="L445" s="3" t="str">
        <f>IF(C445=1,"Spring",IF(C445=2,"Summer",IF(C445=3,"Fall","Winter")))</f>
        <v>Spring</v>
      </c>
      <c r="M445" s="3">
        <f>SUM(J445:J469)</f>
        <v>6.160000000000001</v>
      </c>
      <c r="N445" s="3">
        <f>AVERAGE(J445:J1054)</f>
        <v>0.15784431137724531</v>
      </c>
      <c r="O445" s="3">
        <f>COUNT(J445:J1054)</f>
        <v>167</v>
      </c>
      <c r="P445" s="3" t="str">
        <f>TEXT(J445,"0.00")</f>
        <v>0.30</v>
      </c>
      <c r="Q445" s="3" t="str">
        <f>LEFT(L445,3)</f>
        <v>Spr</v>
      </c>
      <c r="R445" s="42" t="str">
        <f>RIGHT(L445,3)</f>
        <v>ing</v>
      </c>
      <c r="S445" s="42">
        <f>LEN(L445)</f>
        <v>6</v>
      </c>
      <c r="T445" s="3" t="str">
        <f>A445&amp;"|"&amp;B445&amp;"|"&amp;F445</f>
        <v>444|20-01-2011|12</v>
      </c>
      <c r="U445" s="3">
        <f t="shared" si="24"/>
        <v>610</v>
      </c>
      <c r="V445" s="3">
        <f t="shared" si="25"/>
        <v>120.10000000000005</v>
      </c>
      <c r="W445" s="50">
        <f t="shared" si="26"/>
        <v>8.1303845032683911E-2</v>
      </c>
      <c r="X445" s="50">
        <f t="shared" si="27"/>
        <v>0.16514794964716251</v>
      </c>
    </row>
    <row r="446" spans="1:24" x14ac:dyDescent="0.2">
      <c r="A446" s="4">
        <v>445</v>
      </c>
      <c r="B446" s="4" t="s">
        <v>34</v>
      </c>
      <c r="C446" s="4">
        <v>1</v>
      </c>
      <c r="D446" s="4">
        <v>0</v>
      </c>
      <c r="E446" s="4">
        <v>1</v>
      </c>
      <c r="F446" s="4">
        <v>13</v>
      </c>
      <c r="G446" s="4" t="b">
        <v>0</v>
      </c>
      <c r="H446" s="4">
        <v>4</v>
      </c>
      <c r="I446" s="4">
        <v>2</v>
      </c>
      <c r="J446" s="4">
        <v>0.28000000000000003</v>
      </c>
      <c r="K446" s="6" t="str">
        <f>IF(H446=0,"weekend",IF(H446=6,"weekend","weekend"))</f>
        <v>weekend</v>
      </c>
      <c r="L446" s="3" t="str">
        <f>IF(C446=1,"Spring",IF(C446=2,"Summer",IF(C446=3,"Fall","Winter")))</f>
        <v>Spring</v>
      </c>
      <c r="M446" s="3">
        <f>SUM(J446:J470)</f>
        <v>6.0600000000000023</v>
      </c>
      <c r="N446" s="3">
        <f>AVERAGE(J446:J1055)</f>
        <v>0.15698795180722872</v>
      </c>
      <c r="O446" s="3">
        <f>COUNT(J446:J1055)</f>
        <v>166</v>
      </c>
      <c r="P446" s="3" t="str">
        <f>TEXT(J446,"0.00")</f>
        <v>0.28</v>
      </c>
      <c r="Q446" s="3" t="str">
        <f>LEFT(L446,3)</f>
        <v>Spr</v>
      </c>
      <c r="R446" s="42" t="str">
        <f>RIGHT(L446,3)</f>
        <v>ing</v>
      </c>
      <c r="S446" s="42">
        <f>LEN(L446)</f>
        <v>6</v>
      </c>
      <c r="T446" s="3" t="str">
        <f>A446&amp;"|"&amp;B446&amp;"|"&amp;F446</f>
        <v>445|20-01-2011|13</v>
      </c>
      <c r="U446" s="3">
        <f t="shared" si="24"/>
        <v>610</v>
      </c>
      <c r="V446" s="3">
        <f t="shared" si="25"/>
        <v>120.10000000000005</v>
      </c>
      <c r="W446" s="50">
        <f t="shared" si="26"/>
        <v>8.1303845032683911E-2</v>
      </c>
      <c r="X446" s="50">
        <f t="shared" si="27"/>
        <v>0.16514794964716251</v>
      </c>
    </row>
    <row r="447" spans="1:24" x14ac:dyDescent="0.2">
      <c r="A447" s="4">
        <v>446</v>
      </c>
      <c r="B447" s="4" t="s">
        <v>34</v>
      </c>
      <c r="C447" s="4">
        <v>1</v>
      </c>
      <c r="D447" s="4">
        <v>0</v>
      </c>
      <c r="E447" s="4">
        <v>1</v>
      </c>
      <c r="F447" s="4">
        <v>14</v>
      </c>
      <c r="G447" s="4" t="b">
        <v>0</v>
      </c>
      <c r="H447" s="4">
        <v>4</v>
      </c>
      <c r="I447" s="4">
        <v>2</v>
      </c>
      <c r="J447" s="4">
        <v>0.3</v>
      </c>
      <c r="K447" s="6" t="str">
        <f>IF(H447=0,"weekend",IF(H447=6,"weekend","weekend"))</f>
        <v>weekend</v>
      </c>
      <c r="L447" s="3" t="str">
        <f>IF(C447=1,"Spring",IF(C447=2,"Summer",IF(C447=3,"Fall","Winter")))</f>
        <v>Spring</v>
      </c>
      <c r="M447" s="3">
        <f>SUM(J447:J471)</f>
        <v>5.9800000000000022</v>
      </c>
      <c r="N447" s="3">
        <f>AVERAGE(J447:J1056)</f>
        <v>0.15624242424242404</v>
      </c>
      <c r="O447" s="3">
        <f>COUNT(J447:J1056)</f>
        <v>165</v>
      </c>
      <c r="P447" s="3" t="str">
        <f>TEXT(J447,"0.00")</f>
        <v>0.30</v>
      </c>
      <c r="Q447" s="3" t="str">
        <f>LEFT(L447,3)</f>
        <v>Spr</v>
      </c>
      <c r="R447" s="42" t="str">
        <f>RIGHT(L447,3)</f>
        <v>ing</v>
      </c>
      <c r="S447" s="42">
        <f>LEN(L447)</f>
        <v>6</v>
      </c>
      <c r="T447" s="3" t="str">
        <f>A447&amp;"|"&amp;B447&amp;"|"&amp;F447</f>
        <v>446|20-01-2011|14</v>
      </c>
      <c r="U447" s="3">
        <f t="shared" si="24"/>
        <v>610</v>
      </c>
      <c r="V447" s="3">
        <f t="shared" si="25"/>
        <v>120.10000000000005</v>
      </c>
      <c r="W447" s="50">
        <f t="shared" si="26"/>
        <v>8.1303845032683911E-2</v>
      </c>
      <c r="X447" s="50">
        <f t="shared" si="27"/>
        <v>0.16514794964716251</v>
      </c>
    </row>
    <row r="448" spans="1:24" x14ac:dyDescent="0.2">
      <c r="A448" s="4">
        <v>447</v>
      </c>
      <c r="B448" s="4" t="s">
        <v>34</v>
      </c>
      <c r="C448" s="4">
        <v>1</v>
      </c>
      <c r="D448" s="4">
        <v>0</v>
      </c>
      <c r="E448" s="4">
        <v>1</v>
      </c>
      <c r="F448" s="4">
        <v>15</v>
      </c>
      <c r="G448" s="4" t="b">
        <v>0</v>
      </c>
      <c r="H448" s="4">
        <v>4</v>
      </c>
      <c r="I448" s="4">
        <v>2</v>
      </c>
      <c r="J448" s="4">
        <v>0.32</v>
      </c>
      <c r="K448" s="6" t="str">
        <f>IF(H448=0,"weekend",IF(H448=6,"weekend","weekend"))</f>
        <v>weekend</v>
      </c>
      <c r="L448" s="3" t="str">
        <f>IF(C448=1,"Spring",IF(C448=2,"Summer",IF(C448=3,"Fall","Winter")))</f>
        <v>Spring</v>
      </c>
      <c r="M448" s="3">
        <f>SUM(J448:J472)</f>
        <v>5.8400000000000016</v>
      </c>
      <c r="N448" s="3">
        <f>AVERAGE(J448:J1057)</f>
        <v>0.15536585365853636</v>
      </c>
      <c r="O448" s="3">
        <f>COUNT(J448:J1057)</f>
        <v>164</v>
      </c>
      <c r="P448" s="3" t="str">
        <f>TEXT(J448,"0.00")</f>
        <v>0.32</v>
      </c>
      <c r="Q448" s="3" t="str">
        <f>LEFT(L448,3)</f>
        <v>Spr</v>
      </c>
      <c r="R448" s="42" t="str">
        <f>RIGHT(L448,3)</f>
        <v>ing</v>
      </c>
      <c r="S448" s="42">
        <f>LEN(L448)</f>
        <v>6</v>
      </c>
      <c r="T448" s="3" t="str">
        <f>A448&amp;"|"&amp;B448&amp;"|"&amp;F448</f>
        <v>447|20-01-2011|15</v>
      </c>
      <c r="U448" s="3">
        <f t="shared" si="24"/>
        <v>610</v>
      </c>
      <c r="V448" s="3">
        <f t="shared" si="25"/>
        <v>120.10000000000005</v>
      </c>
      <c r="W448" s="50">
        <f t="shared" si="26"/>
        <v>8.1303845032683911E-2</v>
      </c>
      <c r="X448" s="50">
        <f t="shared" si="27"/>
        <v>0.16514794964716251</v>
      </c>
    </row>
    <row r="449" spans="1:24" x14ac:dyDescent="0.2">
      <c r="A449" s="4">
        <v>448</v>
      </c>
      <c r="B449" s="4" t="s">
        <v>34</v>
      </c>
      <c r="C449" s="4">
        <v>1</v>
      </c>
      <c r="D449" s="4">
        <v>0</v>
      </c>
      <c r="E449" s="4">
        <v>1</v>
      </c>
      <c r="F449" s="4">
        <v>16</v>
      </c>
      <c r="G449" s="4" t="b">
        <v>0</v>
      </c>
      <c r="H449" s="4">
        <v>4</v>
      </c>
      <c r="I449" s="4">
        <v>2</v>
      </c>
      <c r="J449" s="4">
        <v>0.3</v>
      </c>
      <c r="K449" s="6" t="str">
        <f>IF(H449=0,"weekend",IF(H449=6,"weekend","weekend"))</f>
        <v>weekend</v>
      </c>
      <c r="L449" s="3" t="str">
        <f>IF(C449=1,"Spring",IF(C449=2,"Summer",IF(C449=3,"Fall","Winter")))</f>
        <v>Spring</v>
      </c>
      <c r="M449" s="3">
        <f>SUM(J449:J473)</f>
        <v>5.6800000000000015</v>
      </c>
      <c r="N449" s="3">
        <f>AVERAGE(J449:J1058)</f>
        <v>0.15435582822085869</v>
      </c>
      <c r="O449" s="3">
        <f>COUNT(J449:J1058)</f>
        <v>163</v>
      </c>
      <c r="P449" s="3" t="str">
        <f>TEXT(J449,"0.00")</f>
        <v>0.30</v>
      </c>
      <c r="Q449" s="3" t="str">
        <f>LEFT(L449,3)</f>
        <v>Spr</v>
      </c>
      <c r="R449" s="42" t="str">
        <f>RIGHT(L449,3)</f>
        <v>ing</v>
      </c>
      <c r="S449" s="42">
        <f>LEN(L449)</f>
        <v>6</v>
      </c>
      <c r="T449" s="3" t="str">
        <f>A449&amp;"|"&amp;B449&amp;"|"&amp;F449</f>
        <v>448|20-01-2011|16</v>
      </c>
      <c r="U449" s="3">
        <f t="shared" si="24"/>
        <v>610</v>
      </c>
      <c r="V449" s="3">
        <f t="shared" si="25"/>
        <v>120.10000000000005</v>
      </c>
      <c r="W449" s="50">
        <f t="shared" si="26"/>
        <v>8.1303845032683911E-2</v>
      </c>
      <c r="X449" s="50">
        <f t="shared" si="27"/>
        <v>0.16514794964716251</v>
      </c>
    </row>
    <row r="450" spans="1:24" x14ac:dyDescent="0.2">
      <c r="A450" s="4">
        <v>449</v>
      </c>
      <c r="B450" s="4" t="s">
        <v>34</v>
      </c>
      <c r="C450" s="4">
        <v>1</v>
      </c>
      <c r="D450" s="4">
        <v>0</v>
      </c>
      <c r="E450" s="4">
        <v>1</v>
      </c>
      <c r="F450" s="4">
        <v>17</v>
      </c>
      <c r="G450" s="4" t="b">
        <v>0</v>
      </c>
      <c r="H450" s="4">
        <v>4</v>
      </c>
      <c r="I450" s="4">
        <v>2</v>
      </c>
      <c r="J450" s="4">
        <v>0.3</v>
      </c>
      <c r="K450" s="6" t="str">
        <f>IF(H450=0,"weekend",IF(H450=6,"weekend","weekend"))</f>
        <v>weekend</v>
      </c>
      <c r="L450" s="3" t="str">
        <f>IF(C450=1,"Spring",IF(C450=2,"Summer",IF(C450=3,"Fall","Winter")))</f>
        <v>Spring</v>
      </c>
      <c r="M450" s="3">
        <f>SUM(J450:J474)</f>
        <v>5.5200000000000014</v>
      </c>
      <c r="N450" s="3">
        <f>AVERAGE(J450:J1059)</f>
        <v>0.15345679012345659</v>
      </c>
      <c r="O450" s="3">
        <f>COUNT(J450:J1059)</f>
        <v>162</v>
      </c>
      <c r="P450" s="3" t="str">
        <f>TEXT(J450,"0.00")</f>
        <v>0.30</v>
      </c>
      <c r="Q450" s="3" t="str">
        <f>LEFT(L450,3)</f>
        <v>Spr</v>
      </c>
      <c r="R450" s="42" t="str">
        <f>RIGHT(L450,3)</f>
        <v>ing</v>
      </c>
      <c r="S450" s="42">
        <f>LEN(L450)</f>
        <v>6</v>
      </c>
      <c r="T450" s="3" t="str">
        <f>A450&amp;"|"&amp;B450&amp;"|"&amp;F450</f>
        <v>449|20-01-2011|17</v>
      </c>
      <c r="U450" s="3">
        <f t="shared" ref="U450:U513" si="28">COUNTIF(K:K,"weekend")</f>
        <v>610</v>
      </c>
      <c r="V450" s="3">
        <f t="shared" ref="V450:V513" si="29">SUMIF($K:$K,"weekend",$J:$J)</f>
        <v>120.10000000000005</v>
      </c>
      <c r="W450" s="50">
        <f t="shared" ref="W450:W513" si="30">STDEV($J:$J)</f>
        <v>8.1303845032683911E-2</v>
      </c>
      <c r="X450" s="50">
        <f t="shared" ref="X450:X513" si="31">CORREL(J:J,F:F)</f>
        <v>0.16514794964716251</v>
      </c>
    </row>
    <row r="451" spans="1:24" x14ac:dyDescent="0.2">
      <c r="A451" s="4">
        <v>450</v>
      </c>
      <c r="B451" s="4" t="s">
        <v>34</v>
      </c>
      <c r="C451" s="4">
        <v>1</v>
      </c>
      <c r="D451" s="4">
        <v>0</v>
      </c>
      <c r="E451" s="4">
        <v>1</v>
      </c>
      <c r="F451" s="4">
        <v>18</v>
      </c>
      <c r="G451" s="4" t="b">
        <v>0</v>
      </c>
      <c r="H451" s="4">
        <v>4</v>
      </c>
      <c r="I451" s="4">
        <v>2</v>
      </c>
      <c r="J451" s="4">
        <v>0.26</v>
      </c>
      <c r="K451" s="6" t="str">
        <f>IF(H451=0,"weekend",IF(H451=6,"weekend","weekend"))</f>
        <v>weekend</v>
      </c>
      <c r="L451" s="3" t="str">
        <f>IF(C451=1,"Spring",IF(C451=2,"Summer",IF(C451=3,"Fall","Winter")))</f>
        <v>Spring</v>
      </c>
      <c r="M451" s="3">
        <f>SUM(J451:J475)</f>
        <v>5.3400000000000016</v>
      </c>
      <c r="N451" s="3">
        <f>AVERAGE(J451:J1060)</f>
        <v>0.15254658385093148</v>
      </c>
      <c r="O451" s="3">
        <f>COUNT(J451:J1060)</f>
        <v>161</v>
      </c>
      <c r="P451" s="3" t="str">
        <f>TEXT(J451,"0.00")</f>
        <v>0.26</v>
      </c>
      <c r="Q451" s="3" t="str">
        <f>LEFT(L451,3)</f>
        <v>Spr</v>
      </c>
      <c r="R451" s="42" t="str">
        <f>RIGHT(L451,3)</f>
        <v>ing</v>
      </c>
      <c r="S451" s="42">
        <f>LEN(L451)</f>
        <v>6</v>
      </c>
      <c r="T451" s="3" t="str">
        <f>A451&amp;"|"&amp;B451&amp;"|"&amp;F451</f>
        <v>450|20-01-2011|18</v>
      </c>
      <c r="U451" s="3">
        <f t="shared" si="28"/>
        <v>610</v>
      </c>
      <c r="V451" s="3">
        <f t="shared" si="29"/>
        <v>120.10000000000005</v>
      </c>
      <c r="W451" s="50">
        <f t="shared" si="30"/>
        <v>8.1303845032683911E-2</v>
      </c>
      <c r="X451" s="50">
        <f t="shared" si="31"/>
        <v>0.16514794964716251</v>
      </c>
    </row>
    <row r="452" spans="1:24" x14ac:dyDescent="0.2">
      <c r="A452" s="4">
        <v>451</v>
      </c>
      <c r="B452" s="4" t="s">
        <v>34</v>
      </c>
      <c r="C452" s="4">
        <v>1</v>
      </c>
      <c r="D452" s="4">
        <v>0</v>
      </c>
      <c r="E452" s="4">
        <v>1</v>
      </c>
      <c r="F452" s="4">
        <v>19</v>
      </c>
      <c r="G452" s="4" t="b">
        <v>0</v>
      </c>
      <c r="H452" s="4">
        <v>4</v>
      </c>
      <c r="I452" s="4">
        <v>1</v>
      </c>
      <c r="J452" s="4">
        <v>0.26</v>
      </c>
      <c r="K452" s="6" t="str">
        <f>IF(H452=0,"weekend",IF(H452=6,"weekend","weekend"))</f>
        <v>weekend</v>
      </c>
      <c r="L452" s="3" t="str">
        <f>IF(C452=1,"Spring",IF(C452=2,"Summer",IF(C452=3,"Fall","Winter")))</f>
        <v>Spring</v>
      </c>
      <c r="M452" s="3">
        <f>SUM(J452:J476)</f>
        <v>5.200000000000002</v>
      </c>
      <c r="N452" s="3">
        <f>AVERAGE(J452:J1061)</f>
        <v>0.15187499999999982</v>
      </c>
      <c r="O452" s="3">
        <f>COUNT(J452:J1061)</f>
        <v>160</v>
      </c>
      <c r="P452" s="3" t="str">
        <f>TEXT(J452,"0.00")</f>
        <v>0.26</v>
      </c>
      <c r="Q452" s="3" t="str">
        <f>LEFT(L452,3)</f>
        <v>Spr</v>
      </c>
      <c r="R452" s="42" t="str">
        <f>RIGHT(L452,3)</f>
        <v>ing</v>
      </c>
      <c r="S452" s="42">
        <f>LEN(L452)</f>
        <v>6</v>
      </c>
      <c r="T452" s="3" t="str">
        <f>A452&amp;"|"&amp;B452&amp;"|"&amp;F452</f>
        <v>451|20-01-2011|19</v>
      </c>
      <c r="U452" s="3">
        <f t="shared" si="28"/>
        <v>610</v>
      </c>
      <c r="V452" s="3">
        <f t="shared" si="29"/>
        <v>120.10000000000005</v>
      </c>
      <c r="W452" s="50">
        <f t="shared" si="30"/>
        <v>8.1303845032683911E-2</v>
      </c>
      <c r="X452" s="50">
        <f t="shared" si="31"/>
        <v>0.16514794964716251</v>
      </c>
    </row>
    <row r="453" spans="1:24" x14ac:dyDescent="0.2">
      <c r="A453" s="4">
        <v>452</v>
      </c>
      <c r="B453" s="4" t="s">
        <v>34</v>
      </c>
      <c r="C453" s="4">
        <v>1</v>
      </c>
      <c r="D453" s="4">
        <v>0</v>
      </c>
      <c r="E453" s="4">
        <v>1</v>
      </c>
      <c r="F453" s="4">
        <v>20</v>
      </c>
      <c r="G453" s="4" t="b">
        <v>0</v>
      </c>
      <c r="H453" s="4">
        <v>4</v>
      </c>
      <c r="I453" s="4">
        <v>2</v>
      </c>
      <c r="J453" s="4">
        <v>0.26</v>
      </c>
      <c r="K453" s="6" t="str">
        <f>IF(H453=0,"weekend",IF(H453=6,"weekend","weekend"))</f>
        <v>weekend</v>
      </c>
      <c r="L453" s="3" t="str">
        <f>IF(C453=1,"Spring",IF(C453=2,"Summer",IF(C453=3,"Fall","Winter")))</f>
        <v>Spring</v>
      </c>
      <c r="M453" s="3">
        <f>SUM(J453:J477)</f>
        <v>5.0400000000000009</v>
      </c>
      <c r="N453" s="3">
        <f>AVERAGE(J453:J1062)</f>
        <v>0.15119496855345893</v>
      </c>
      <c r="O453" s="3">
        <f>COUNT(J453:J1062)</f>
        <v>159</v>
      </c>
      <c r="P453" s="3" t="str">
        <f>TEXT(J453,"0.00")</f>
        <v>0.26</v>
      </c>
      <c r="Q453" s="3" t="str">
        <f>LEFT(L453,3)</f>
        <v>Spr</v>
      </c>
      <c r="R453" s="42" t="str">
        <f>RIGHT(L453,3)</f>
        <v>ing</v>
      </c>
      <c r="S453" s="42">
        <f>LEN(L453)</f>
        <v>6</v>
      </c>
      <c r="T453" s="3" t="str">
        <f>A453&amp;"|"&amp;B453&amp;"|"&amp;F453</f>
        <v>452|20-01-2011|20</v>
      </c>
      <c r="U453" s="3">
        <f t="shared" si="28"/>
        <v>610</v>
      </c>
      <c r="V453" s="3">
        <f t="shared" si="29"/>
        <v>120.10000000000005</v>
      </c>
      <c r="W453" s="50">
        <f t="shared" si="30"/>
        <v>8.1303845032683911E-2</v>
      </c>
      <c r="X453" s="50">
        <f t="shared" si="31"/>
        <v>0.16514794964716251</v>
      </c>
    </row>
    <row r="454" spans="1:24" x14ac:dyDescent="0.2">
      <c r="A454" s="4">
        <v>453</v>
      </c>
      <c r="B454" s="4" t="s">
        <v>34</v>
      </c>
      <c r="C454" s="4">
        <v>1</v>
      </c>
      <c r="D454" s="4">
        <v>0</v>
      </c>
      <c r="E454" s="4">
        <v>1</v>
      </c>
      <c r="F454" s="4">
        <v>21</v>
      </c>
      <c r="G454" s="4" t="b">
        <v>0</v>
      </c>
      <c r="H454" s="4">
        <v>4</v>
      </c>
      <c r="I454" s="4">
        <v>2</v>
      </c>
      <c r="J454" s="4">
        <v>0.24</v>
      </c>
      <c r="K454" s="6" t="str">
        <f>IF(H454=0,"weekend",IF(H454=6,"weekend","weekend"))</f>
        <v>weekend</v>
      </c>
      <c r="L454" s="3" t="str">
        <f>IF(C454=1,"Spring",IF(C454=2,"Summer",IF(C454=3,"Fall","Winter")))</f>
        <v>Spring</v>
      </c>
      <c r="M454" s="3">
        <f>SUM(J454:J478)</f>
        <v>4.8600000000000012</v>
      </c>
      <c r="N454" s="3">
        <f>AVERAGE(J454:J1063)</f>
        <v>0.15050632911392386</v>
      </c>
      <c r="O454" s="3">
        <f>COUNT(J454:J1063)</f>
        <v>158</v>
      </c>
      <c r="P454" s="3" t="str">
        <f>TEXT(J454,"0.00")</f>
        <v>0.24</v>
      </c>
      <c r="Q454" s="3" t="str">
        <f>LEFT(L454,3)</f>
        <v>Spr</v>
      </c>
      <c r="R454" s="42" t="str">
        <f>RIGHT(L454,3)</f>
        <v>ing</v>
      </c>
      <c r="S454" s="42">
        <f>LEN(L454)</f>
        <v>6</v>
      </c>
      <c r="T454" s="3" t="str">
        <f>A454&amp;"|"&amp;B454&amp;"|"&amp;F454</f>
        <v>453|20-01-2011|21</v>
      </c>
      <c r="U454" s="3">
        <f t="shared" si="28"/>
        <v>610</v>
      </c>
      <c r="V454" s="3">
        <f t="shared" si="29"/>
        <v>120.10000000000005</v>
      </c>
      <c r="W454" s="50">
        <f t="shared" si="30"/>
        <v>8.1303845032683911E-2</v>
      </c>
      <c r="X454" s="50">
        <f t="shared" si="31"/>
        <v>0.16514794964716251</v>
      </c>
    </row>
    <row r="455" spans="1:24" x14ac:dyDescent="0.2">
      <c r="A455" s="4">
        <v>454</v>
      </c>
      <c r="B455" s="4" t="s">
        <v>34</v>
      </c>
      <c r="C455" s="4">
        <v>1</v>
      </c>
      <c r="D455" s="4">
        <v>0</v>
      </c>
      <c r="E455" s="4">
        <v>1</v>
      </c>
      <c r="F455" s="4">
        <v>22</v>
      </c>
      <c r="G455" s="4" t="b">
        <v>0</v>
      </c>
      <c r="H455" s="4">
        <v>4</v>
      </c>
      <c r="I455" s="4">
        <v>2</v>
      </c>
      <c r="J455" s="4">
        <v>0.24</v>
      </c>
      <c r="K455" s="6" t="str">
        <f>IF(H455=0,"weekend",IF(H455=6,"weekend","weekend"))</f>
        <v>weekend</v>
      </c>
      <c r="L455" s="3" t="str">
        <f>IF(C455=1,"Spring",IF(C455=2,"Summer",IF(C455=3,"Fall","Winter")))</f>
        <v>Spring</v>
      </c>
      <c r="M455" s="3">
        <f>SUM(J455:J479)</f>
        <v>4.6800000000000006</v>
      </c>
      <c r="N455" s="3">
        <f>AVERAGE(J455:J1064)</f>
        <v>0.1499363057324839</v>
      </c>
      <c r="O455" s="3">
        <f>COUNT(J455:J1064)</f>
        <v>157</v>
      </c>
      <c r="P455" s="3" t="str">
        <f>TEXT(J455,"0.00")</f>
        <v>0.24</v>
      </c>
      <c r="Q455" s="3" t="str">
        <f>LEFT(L455,3)</f>
        <v>Spr</v>
      </c>
      <c r="R455" s="42" t="str">
        <f>RIGHT(L455,3)</f>
        <v>ing</v>
      </c>
      <c r="S455" s="42">
        <f>LEN(L455)</f>
        <v>6</v>
      </c>
      <c r="T455" s="3" t="str">
        <f>A455&amp;"|"&amp;B455&amp;"|"&amp;F455</f>
        <v>454|20-01-2011|22</v>
      </c>
      <c r="U455" s="3">
        <f t="shared" si="28"/>
        <v>610</v>
      </c>
      <c r="V455" s="3">
        <f t="shared" si="29"/>
        <v>120.10000000000005</v>
      </c>
      <c r="W455" s="50">
        <f t="shared" si="30"/>
        <v>8.1303845032683911E-2</v>
      </c>
      <c r="X455" s="50">
        <f t="shared" si="31"/>
        <v>0.16514794964716251</v>
      </c>
    </row>
    <row r="456" spans="1:24" x14ac:dyDescent="0.2">
      <c r="A456" s="4">
        <v>455</v>
      </c>
      <c r="B456" s="4" t="s">
        <v>34</v>
      </c>
      <c r="C456" s="4">
        <v>1</v>
      </c>
      <c r="D456" s="4">
        <v>0</v>
      </c>
      <c r="E456" s="4">
        <v>1</v>
      </c>
      <c r="F456" s="4">
        <v>23</v>
      </c>
      <c r="G456" s="4" t="b">
        <v>0</v>
      </c>
      <c r="H456" s="4">
        <v>4</v>
      </c>
      <c r="I456" s="4">
        <v>2</v>
      </c>
      <c r="J456" s="4">
        <v>0.24</v>
      </c>
      <c r="K456" s="6" t="str">
        <f>IF(H456=0,"weekend",IF(H456=6,"weekend","weekend"))</f>
        <v>weekend</v>
      </c>
      <c r="L456" s="3" t="str">
        <f>IF(C456=1,"Spring",IF(C456=2,"Summer",IF(C456=3,"Fall","Winter")))</f>
        <v>Spring</v>
      </c>
      <c r="M456" s="3">
        <f>SUM(J456:J480)</f>
        <v>4.5000000000000009</v>
      </c>
      <c r="N456" s="3">
        <f>AVERAGE(J456:J1065)</f>
        <v>0.14935897435897422</v>
      </c>
      <c r="O456" s="3">
        <f>COUNT(J456:J1065)</f>
        <v>156</v>
      </c>
      <c r="P456" s="3" t="str">
        <f>TEXT(J456,"0.00")</f>
        <v>0.24</v>
      </c>
      <c r="Q456" s="3" t="str">
        <f>LEFT(L456,3)</f>
        <v>Spr</v>
      </c>
      <c r="R456" s="42" t="str">
        <f>RIGHT(L456,3)</f>
        <v>ing</v>
      </c>
      <c r="S456" s="42">
        <f>LEN(L456)</f>
        <v>6</v>
      </c>
      <c r="T456" s="3" t="str">
        <f>A456&amp;"|"&amp;B456&amp;"|"&amp;F456</f>
        <v>455|20-01-2011|23</v>
      </c>
      <c r="U456" s="3">
        <f t="shared" si="28"/>
        <v>610</v>
      </c>
      <c r="V456" s="3">
        <f t="shared" si="29"/>
        <v>120.10000000000005</v>
      </c>
      <c r="W456" s="50">
        <f t="shared" si="30"/>
        <v>8.1303845032683911E-2</v>
      </c>
      <c r="X456" s="50">
        <f t="shared" si="31"/>
        <v>0.16514794964716251</v>
      </c>
    </row>
    <row r="457" spans="1:24" x14ac:dyDescent="0.2">
      <c r="A457" s="4">
        <v>456</v>
      </c>
      <c r="B457" s="4" t="s">
        <v>35</v>
      </c>
      <c r="C457" s="4">
        <v>1</v>
      </c>
      <c r="D457" s="4">
        <v>0</v>
      </c>
      <c r="E457" s="4">
        <v>1</v>
      </c>
      <c r="F457" s="4">
        <v>0</v>
      </c>
      <c r="G457" s="4" t="b">
        <v>0</v>
      </c>
      <c r="H457" s="4">
        <v>5</v>
      </c>
      <c r="I457" s="4">
        <v>2</v>
      </c>
      <c r="J457" s="4">
        <v>0.24</v>
      </c>
      <c r="K457" s="6" t="str">
        <f>IF(H457=0,"weekend",IF(H457=6,"weekend","weekend"))</f>
        <v>weekend</v>
      </c>
      <c r="L457" s="3" t="str">
        <f>IF(C457=1,"Spring",IF(C457=2,"Summer",IF(C457=3,"Fall","Winter")))</f>
        <v>Spring</v>
      </c>
      <c r="M457" s="3">
        <f>SUM(J457:J481)</f>
        <v>4.3000000000000007</v>
      </c>
      <c r="N457" s="3">
        <f>AVERAGE(J457:J1066)</f>
        <v>0.14877419354838697</v>
      </c>
      <c r="O457" s="3">
        <f>COUNT(J457:J1066)</f>
        <v>155</v>
      </c>
      <c r="P457" s="3" t="str">
        <f>TEXT(J457,"0.00")</f>
        <v>0.24</v>
      </c>
      <c r="Q457" s="3" t="str">
        <f>LEFT(L457,3)</f>
        <v>Spr</v>
      </c>
      <c r="R457" s="42" t="str">
        <f>RIGHT(L457,3)</f>
        <v>ing</v>
      </c>
      <c r="S457" s="42">
        <f>LEN(L457)</f>
        <v>6</v>
      </c>
      <c r="T457" s="3" t="str">
        <f>A457&amp;"|"&amp;B457&amp;"|"&amp;F457</f>
        <v>456|21-01-2011|0</v>
      </c>
      <c r="U457" s="3">
        <f t="shared" si="28"/>
        <v>610</v>
      </c>
      <c r="V457" s="3">
        <f t="shared" si="29"/>
        <v>120.10000000000005</v>
      </c>
      <c r="W457" s="50">
        <f t="shared" si="30"/>
        <v>8.1303845032683911E-2</v>
      </c>
      <c r="X457" s="50">
        <f t="shared" si="31"/>
        <v>0.16514794964716251</v>
      </c>
    </row>
    <row r="458" spans="1:24" x14ac:dyDescent="0.2">
      <c r="A458" s="4">
        <v>457</v>
      </c>
      <c r="B458" s="4" t="s">
        <v>35</v>
      </c>
      <c r="C458" s="4">
        <v>1</v>
      </c>
      <c r="D458" s="4">
        <v>0</v>
      </c>
      <c r="E458" s="4">
        <v>1</v>
      </c>
      <c r="F458" s="4">
        <v>1</v>
      </c>
      <c r="G458" s="4" t="b">
        <v>0</v>
      </c>
      <c r="H458" s="4">
        <v>5</v>
      </c>
      <c r="I458" s="4">
        <v>2</v>
      </c>
      <c r="J458" s="4">
        <v>0.24</v>
      </c>
      <c r="K458" s="6" t="str">
        <f>IF(H458=0,"weekend",IF(H458=6,"weekend","weekend"))</f>
        <v>weekend</v>
      </c>
      <c r="L458" s="3" t="str">
        <f>IF(C458=1,"Spring",IF(C458=2,"Summer",IF(C458=3,"Fall","Winter")))</f>
        <v>Spring</v>
      </c>
      <c r="M458" s="3">
        <f>SUM(J458:J482)</f>
        <v>4.1000000000000014</v>
      </c>
      <c r="N458" s="3">
        <f>AVERAGE(J458:J1067)</f>
        <v>0.14818181818181805</v>
      </c>
      <c r="O458" s="3">
        <f>COUNT(J458:J1067)</f>
        <v>154</v>
      </c>
      <c r="P458" s="3" t="str">
        <f>TEXT(J458,"0.00")</f>
        <v>0.24</v>
      </c>
      <c r="Q458" s="3" t="str">
        <f>LEFT(L458,3)</f>
        <v>Spr</v>
      </c>
      <c r="R458" s="42" t="str">
        <f>RIGHT(L458,3)</f>
        <v>ing</v>
      </c>
      <c r="S458" s="42">
        <f>LEN(L458)</f>
        <v>6</v>
      </c>
      <c r="T458" s="3" t="str">
        <f>A458&amp;"|"&amp;B458&amp;"|"&amp;F458</f>
        <v>457|21-01-2011|1</v>
      </c>
      <c r="U458" s="3">
        <f t="shared" si="28"/>
        <v>610</v>
      </c>
      <c r="V458" s="3">
        <f t="shared" si="29"/>
        <v>120.10000000000005</v>
      </c>
      <c r="W458" s="50">
        <f t="shared" si="30"/>
        <v>8.1303845032683911E-2</v>
      </c>
      <c r="X458" s="50">
        <f t="shared" si="31"/>
        <v>0.16514794964716251</v>
      </c>
    </row>
    <row r="459" spans="1:24" x14ac:dyDescent="0.2">
      <c r="A459" s="4">
        <v>458</v>
      </c>
      <c r="B459" s="4" t="s">
        <v>35</v>
      </c>
      <c r="C459" s="4">
        <v>1</v>
      </c>
      <c r="D459" s="4">
        <v>0</v>
      </c>
      <c r="E459" s="4">
        <v>1</v>
      </c>
      <c r="F459" s="4">
        <v>2</v>
      </c>
      <c r="G459" s="4" t="b">
        <v>0</v>
      </c>
      <c r="H459" s="4">
        <v>5</v>
      </c>
      <c r="I459" s="4">
        <v>3</v>
      </c>
      <c r="J459" s="4">
        <v>0.24</v>
      </c>
      <c r="K459" s="6" t="str">
        <f>IF(H459=0,"weekend",IF(H459=6,"weekend","weekend"))</f>
        <v>weekend</v>
      </c>
      <c r="L459" s="3" t="str">
        <f>IF(C459=1,"Spring",IF(C459=2,"Summer",IF(C459=3,"Fall","Winter")))</f>
        <v>Spring</v>
      </c>
      <c r="M459" s="3">
        <f>SUM(J459:J483)</f>
        <v>3.9000000000000012</v>
      </c>
      <c r="N459" s="3">
        <f>AVERAGE(J459:J1068)</f>
        <v>0.14758169934640511</v>
      </c>
      <c r="O459" s="3">
        <f>COUNT(J459:J1068)</f>
        <v>153</v>
      </c>
      <c r="P459" s="3" t="str">
        <f>TEXT(J459,"0.00")</f>
        <v>0.24</v>
      </c>
      <c r="Q459" s="3" t="str">
        <f>LEFT(L459,3)</f>
        <v>Spr</v>
      </c>
      <c r="R459" s="42" t="str">
        <f>RIGHT(L459,3)</f>
        <v>ing</v>
      </c>
      <c r="S459" s="42">
        <f>LEN(L459)</f>
        <v>6</v>
      </c>
      <c r="T459" s="3" t="str">
        <f>A459&amp;"|"&amp;B459&amp;"|"&amp;F459</f>
        <v>458|21-01-2011|2</v>
      </c>
      <c r="U459" s="3">
        <f t="shared" si="28"/>
        <v>610</v>
      </c>
      <c r="V459" s="3">
        <f t="shared" si="29"/>
        <v>120.10000000000005</v>
      </c>
      <c r="W459" s="50">
        <f t="shared" si="30"/>
        <v>8.1303845032683911E-2</v>
      </c>
      <c r="X459" s="50">
        <f t="shared" si="31"/>
        <v>0.16514794964716251</v>
      </c>
    </row>
    <row r="460" spans="1:24" x14ac:dyDescent="0.2">
      <c r="A460" s="4">
        <v>459</v>
      </c>
      <c r="B460" s="4" t="s">
        <v>35</v>
      </c>
      <c r="C460" s="4">
        <v>1</v>
      </c>
      <c r="D460" s="4">
        <v>0</v>
      </c>
      <c r="E460" s="4">
        <v>1</v>
      </c>
      <c r="F460" s="4">
        <v>3</v>
      </c>
      <c r="G460" s="4" t="b">
        <v>0</v>
      </c>
      <c r="H460" s="4">
        <v>5</v>
      </c>
      <c r="I460" s="4">
        <v>3</v>
      </c>
      <c r="J460" s="4">
        <v>0.22</v>
      </c>
      <c r="K460" s="6" t="str">
        <f>IF(H460=0,"weekend",IF(H460=6,"weekend","weekend"))</f>
        <v>weekend</v>
      </c>
      <c r="L460" s="3" t="str">
        <f>IF(C460=1,"Spring",IF(C460=2,"Summer",IF(C460=3,"Fall","Winter")))</f>
        <v>Spring</v>
      </c>
      <c r="M460" s="3">
        <f>SUM(J460:J484)</f>
        <v>3.7000000000000011</v>
      </c>
      <c r="N460" s="3">
        <f>AVERAGE(J460:J1069)</f>
        <v>0.1469736842105262</v>
      </c>
      <c r="O460" s="3">
        <f>COUNT(J460:J1069)</f>
        <v>152</v>
      </c>
      <c r="P460" s="3" t="str">
        <f>TEXT(J460,"0.00")</f>
        <v>0.22</v>
      </c>
      <c r="Q460" s="3" t="str">
        <f>LEFT(L460,3)</f>
        <v>Spr</v>
      </c>
      <c r="R460" s="42" t="str">
        <f>RIGHT(L460,3)</f>
        <v>ing</v>
      </c>
      <c r="S460" s="42">
        <f>LEN(L460)</f>
        <v>6</v>
      </c>
      <c r="T460" s="3" t="str">
        <f>A460&amp;"|"&amp;B460&amp;"|"&amp;F460</f>
        <v>459|21-01-2011|3</v>
      </c>
      <c r="U460" s="3">
        <f t="shared" si="28"/>
        <v>610</v>
      </c>
      <c r="V460" s="3">
        <f t="shared" si="29"/>
        <v>120.10000000000005</v>
      </c>
      <c r="W460" s="50">
        <f t="shared" si="30"/>
        <v>8.1303845032683911E-2</v>
      </c>
      <c r="X460" s="50">
        <f t="shared" si="31"/>
        <v>0.16514794964716251</v>
      </c>
    </row>
    <row r="461" spans="1:24" x14ac:dyDescent="0.2">
      <c r="A461" s="4">
        <v>460</v>
      </c>
      <c r="B461" s="4" t="s">
        <v>35</v>
      </c>
      <c r="C461" s="4">
        <v>1</v>
      </c>
      <c r="D461" s="4">
        <v>0</v>
      </c>
      <c r="E461" s="4">
        <v>1</v>
      </c>
      <c r="F461" s="4">
        <v>4</v>
      </c>
      <c r="G461" s="4" t="b">
        <v>0</v>
      </c>
      <c r="H461" s="4">
        <v>5</v>
      </c>
      <c r="I461" s="4">
        <v>2</v>
      </c>
      <c r="J461" s="4">
        <v>0.22</v>
      </c>
      <c r="K461" s="6" t="str">
        <f>IF(H461=0,"weekend",IF(H461=6,"weekend","weekend"))</f>
        <v>weekend</v>
      </c>
      <c r="L461" s="3" t="str">
        <f>IF(C461=1,"Spring",IF(C461=2,"Summer",IF(C461=3,"Fall","Winter")))</f>
        <v>Spring</v>
      </c>
      <c r="M461" s="3">
        <f>SUM(J461:J485)</f>
        <v>3.5000000000000009</v>
      </c>
      <c r="N461" s="3">
        <f>AVERAGE(J461:J1070)</f>
        <v>0.14649006622516544</v>
      </c>
      <c r="O461" s="3">
        <f>COUNT(J461:J1070)</f>
        <v>151</v>
      </c>
      <c r="P461" s="3" t="str">
        <f>TEXT(J461,"0.00")</f>
        <v>0.22</v>
      </c>
      <c r="Q461" s="3" t="str">
        <f>LEFT(L461,3)</f>
        <v>Spr</v>
      </c>
      <c r="R461" s="42" t="str">
        <f>RIGHT(L461,3)</f>
        <v>ing</v>
      </c>
      <c r="S461" s="42">
        <f>LEN(L461)</f>
        <v>6</v>
      </c>
      <c r="T461" s="3" t="str">
        <f>A461&amp;"|"&amp;B461&amp;"|"&amp;F461</f>
        <v>460|21-01-2011|4</v>
      </c>
      <c r="U461" s="3">
        <f t="shared" si="28"/>
        <v>610</v>
      </c>
      <c r="V461" s="3">
        <f t="shared" si="29"/>
        <v>120.10000000000005</v>
      </c>
      <c r="W461" s="50">
        <f t="shared" si="30"/>
        <v>8.1303845032683911E-2</v>
      </c>
      <c r="X461" s="50">
        <f t="shared" si="31"/>
        <v>0.16514794964716251</v>
      </c>
    </row>
    <row r="462" spans="1:24" x14ac:dyDescent="0.2">
      <c r="A462" s="4">
        <v>461</v>
      </c>
      <c r="B462" s="4" t="s">
        <v>35</v>
      </c>
      <c r="C462" s="4">
        <v>1</v>
      </c>
      <c r="D462" s="4">
        <v>0</v>
      </c>
      <c r="E462" s="4">
        <v>1</v>
      </c>
      <c r="F462" s="4">
        <v>5</v>
      </c>
      <c r="G462" s="4" t="b">
        <v>0</v>
      </c>
      <c r="H462" s="4">
        <v>5</v>
      </c>
      <c r="I462" s="4">
        <v>1</v>
      </c>
      <c r="J462" s="4">
        <v>0.24</v>
      </c>
      <c r="K462" s="6" t="str">
        <f>IF(H462=0,"weekend",IF(H462=6,"weekend","weekend"))</f>
        <v>weekend</v>
      </c>
      <c r="L462" s="3" t="str">
        <f>IF(C462=1,"Spring",IF(C462=2,"Summer",IF(C462=3,"Fall","Winter")))</f>
        <v>Spring</v>
      </c>
      <c r="M462" s="3">
        <f>SUM(J462:J486)</f>
        <v>3.3000000000000007</v>
      </c>
      <c r="N462" s="3">
        <f>AVERAGE(J462:J1071)</f>
        <v>0.14599999999999991</v>
      </c>
      <c r="O462" s="3">
        <f>COUNT(J462:J1071)</f>
        <v>150</v>
      </c>
      <c r="P462" s="3" t="str">
        <f>TEXT(J462,"0.00")</f>
        <v>0.24</v>
      </c>
      <c r="Q462" s="3" t="str">
        <f>LEFT(L462,3)</f>
        <v>Spr</v>
      </c>
      <c r="R462" s="42" t="str">
        <f>RIGHT(L462,3)</f>
        <v>ing</v>
      </c>
      <c r="S462" s="42">
        <f>LEN(L462)</f>
        <v>6</v>
      </c>
      <c r="T462" s="3" t="str">
        <f>A462&amp;"|"&amp;B462&amp;"|"&amp;F462</f>
        <v>461|21-01-2011|5</v>
      </c>
      <c r="U462" s="3">
        <f t="shared" si="28"/>
        <v>610</v>
      </c>
      <c r="V462" s="3">
        <f t="shared" si="29"/>
        <v>120.10000000000005</v>
      </c>
      <c r="W462" s="50">
        <f t="shared" si="30"/>
        <v>8.1303845032683911E-2</v>
      </c>
      <c r="X462" s="50">
        <f t="shared" si="31"/>
        <v>0.16514794964716251</v>
      </c>
    </row>
    <row r="463" spans="1:24" x14ac:dyDescent="0.2">
      <c r="A463" s="4">
        <v>462</v>
      </c>
      <c r="B463" s="4" t="s">
        <v>35</v>
      </c>
      <c r="C463" s="4">
        <v>1</v>
      </c>
      <c r="D463" s="4">
        <v>0</v>
      </c>
      <c r="E463" s="4">
        <v>1</v>
      </c>
      <c r="F463" s="4">
        <v>6</v>
      </c>
      <c r="G463" s="4" t="b">
        <v>0</v>
      </c>
      <c r="H463" s="4">
        <v>5</v>
      </c>
      <c r="I463" s="4">
        <v>1</v>
      </c>
      <c r="J463" s="4">
        <v>0.22</v>
      </c>
      <c r="K463" s="6" t="str">
        <f>IF(H463=0,"weekend",IF(H463=6,"weekend","weekend"))</f>
        <v>weekend</v>
      </c>
      <c r="L463" s="3" t="str">
        <f>IF(C463=1,"Spring",IF(C463=2,"Summer",IF(C463=3,"Fall","Winter")))</f>
        <v>Spring</v>
      </c>
      <c r="M463" s="3">
        <f>SUM(J463:J487)</f>
        <v>3.080000000000001</v>
      </c>
      <c r="N463" s="3">
        <f>AVERAGE(J463:J1072)</f>
        <v>0.14536912751677844</v>
      </c>
      <c r="O463" s="3">
        <f>COUNT(J463:J1072)</f>
        <v>149</v>
      </c>
      <c r="P463" s="3" t="str">
        <f>TEXT(J463,"0.00")</f>
        <v>0.22</v>
      </c>
      <c r="Q463" s="3" t="str">
        <f>LEFT(L463,3)</f>
        <v>Spr</v>
      </c>
      <c r="R463" s="42" t="str">
        <f>RIGHT(L463,3)</f>
        <v>ing</v>
      </c>
      <c r="S463" s="42">
        <f>LEN(L463)</f>
        <v>6</v>
      </c>
      <c r="T463" s="3" t="str">
        <f>A463&amp;"|"&amp;B463&amp;"|"&amp;F463</f>
        <v>462|21-01-2011|6</v>
      </c>
      <c r="U463" s="3">
        <f t="shared" si="28"/>
        <v>610</v>
      </c>
      <c r="V463" s="3">
        <f t="shared" si="29"/>
        <v>120.10000000000005</v>
      </c>
      <c r="W463" s="50">
        <f t="shared" si="30"/>
        <v>8.1303845032683911E-2</v>
      </c>
      <c r="X463" s="50">
        <f t="shared" si="31"/>
        <v>0.16514794964716251</v>
      </c>
    </row>
    <row r="464" spans="1:24" x14ac:dyDescent="0.2">
      <c r="A464" s="4">
        <v>463</v>
      </c>
      <c r="B464" s="4" t="s">
        <v>35</v>
      </c>
      <c r="C464" s="4">
        <v>1</v>
      </c>
      <c r="D464" s="4">
        <v>0</v>
      </c>
      <c r="E464" s="4">
        <v>1</v>
      </c>
      <c r="F464" s="4">
        <v>7</v>
      </c>
      <c r="G464" s="4" t="b">
        <v>0</v>
      </c>
      <c r="H464" s="4">
        <v>5</v>
      </c>
      <c r="I464" s="4">
        <v>1</v>
      </c>
      <c r="J464" s="4">
        <v>0.2</v>
      </c>
      <c r="K464" s="6" t="str">
        <f>IF(H464=0,"weekend",IF(H464=6,"weekend","weekend"))</f>
        <v>weekend</v>
      </c>
      <c r="L464" s="3" t="str">
        <f>IF(C464=1,"Spring",IF(C464=2,"Summer",IF(C464=3,"Fall","Winter")))</f>
        <v>Spring</v>
      </c>
      <c r="M464" s="3">
        <f>SUM(J464:J488)</f>
        <v>2.8800000000000003</v>
      </c>
      <c r="N464" s="3">
        <f>AVERAGE(J464:J1073)</f>
        <v>0.14486486486486477</v>
      </c>
      <c r="O464" s="3">
        <f>COUNT(J464:J1073)</f>
        <v>148</v>
      </c>
      <c r="P464" s="3" t="str">
        <f>TEXT(J464,"0.00")</f>
        <v>0.20</v>
      </c>
      <c r="Q464" s="3" t="str">
        <f>LEFT(L464,3)</f>
        <v>Spr</v>
      </c>
      <c r="R464" s="42" t="str">
        <f>RIGHT(L464,3)</f>
        <v>ing</v>
      </c>
      <c r="S464" s="42">
        <f>LEN(L464)</f>
        <v>6</v>
      </c>
      <c r="T464" s="3" t="str">
        <f>A464&amp;"|"&amp;B464&amp;"|"&amp;F464</f>
        <v>463|21-01-2011|7</v>
      </c>
      <c r="U464" s="3">
        <f t="shared" si="28"/>
        <v>610</v>
      </c>
      <c r="V464" s="3">
        <f t="shared" si="29"/>
        <v>120.10000000000005</v>
      </c>
      <c r="W464" s="50">
        <f t="shared" si="30"/>
        <v>8.1303845032683911E-2</v>
      </c>
      <c r="X464" s="50">
        <f t="shared" si="31"/>
        <v>0.16514794964716251</v>
      </c>
    </row>
    <row r="465" spans="1:24" x14ac:dyDescent="0.2">
      <c r="A465" s="4">
        <v>464</v>
      </c>
      <c r="B465" s="4" t="s">
        <v>35</v>
      </c>
      <c r="C465" s="4">
        <v>1</v>
      </c>
      <c r="D465" s="4">
        <v>0</v>
      </c>
      <c r="E465" s="4">
        <v>1</v>
      </c>
      <c r="F465" s="4">
        <v>8</v>
      </c>
      <c r="G465" s="4" t="b">
        <v>0</v>
      </c>
      <c r="H465" s="4">
        <v>5</v>
      </c>
      <c r="I465" s="4">
        <v>1</v>
      </c>
      <c r="J465" s="4">
        <v>0.2</v>
      </c>
      <c r="K465" s="6" t="str">
        <f>IF(H465=0,"weekend",IF(H465=6,"weekend","weekend"))</f>
        <v>weekend</v>
      </c>
      <c r="L465" s="3" t="str">
        <f>IF(C465=1,"Spring",IF(C465=2,"Summer",IF(C465=3,"Fall","Winter")))</f>
        <v>Spring</v>
      </c>
      <c r="M465" s="3">
        <f>SUM(J465:J489)</f>
        <v>2.7200000000000006</v>
      </c>
      <c r="N465" s="3">
        <f>AVERAGE(J465:J1074)</f>
        <v>0.14448979591836728</v>
      </c>
      <c r="O465" s="3">
        <f>COUNT(J465:J1074)</f>
        <v>147</v>
      </c>
      <c r="P465" s="3" t="str">
        <f>TEXT(J465,"0.00")</f>
        <v>0.20</v>
      </c>
      <c r="Q465" s="3" t="str">
        <f>LEFT(L465,3)</f>
        <v>Spr</v>
      </c>
      <c r="R465" s="42" t="str">
        <f>RIGHT(L465,3)</f>
        <v>ing</v>
      </c>
      <c r="S465" s="42">
        <f>LEN(L465)</f>
        <v>6</v>
      </c>
      <c r="T465" s="3" t="str">
        <f>A465&amp;"|"&amp;B465&amp;"|"&amp;F465</f>
        <v>464|21-01-2011|8</v>
      </c>
      <c r="U465" s="3">
        <f t="shared" si="28"/>
        <v>610</v>
      </c>
      <c r="V465" s="3">
        <f t="shared" si="29"/>
        <v>120.10000000000005</v>
      </c>
      <c r="W465" s="50">
        <f t="shared" si="30"/>
        <v>8.1303845032683911E-2</v>
      </c>
      <c r="X465" s="50">
        <f t="shared" si="31"/>
        <v>0.16514794964716251</v>
      </c>
    </row>
    <row r="466" spans="1:24" x14ac:dyDescent="0.2">
      <c r="A466" s="4">
        <v>465</v>
      </c>
      <c r="B466" s="4" t="s">
        <v>35</v>
      </c>
      <c r="C466" s="4">
        <v>1</v>
      </c>
      <c r="D466" s="4">
        <v>0</v>
      </c>
      <c r="E466" s="4">
        <v>1</v>
      </c>
      <c r="F466" s="4">
        <v>9</v>
      </c>
      <c r="G466" s="4" t="b">
        <v>0</v>
      </c>
      <c r="H466" s="4">
        <v>5</v>
      </c>
      <c r="I466" s="4">
        <v>1</v>
      </c>
      <c r="J466" s="4">
        <v>0.2</v>
      </c>
      <c r="K466" s="6" t="str">
        <f>IF(H466=0,"weekend",IF(H466=6,"weekend","weekend"))</f>
        <v>weekend</v>
      </c>
      <c r="L466" s="3" t="str">
        <f>IF(C466=1,"Spring",IF(C466=2,"Summer",IF(C466=3,"Fall","Winter")))</f>
        <v>Spring</v>
      </c>
      <c r="M466" s="3">
        <f>SUM(J466:J490)</f>
        <v>2.5600000000000005</v>
      </c>
      <c r="N466" s="3">
        <f>AVERAGE(J466:J1075)</f>
        <v>0.14410958904109583</v>
      </c>
      <c r="O466" s="3">
        <f>COUNT(J466:J1075)</f>
        <v>146</v>
      </c>
      <c r="P466" s="3" t="str">
        <f>TEXT(J466,"0.00")</f>
        <v>0.20</v>
      </c>
      <c r="Q466" s="3" t="str">
        <f>LEFT(L466,3)</f>
        <v>Spr</v>
      </c>
      <c r="R466" s="42" t="str">
        <f>RIGHT(L466,3)</f>
        <v>ing</v>
      </c>
      <c r="S466" s="42">
        <f>LEN(L466)</f>
        <v>6</v>
      </c>
      <c r="T466" s="3" t="str">
        <f>A466&amp;"|"&amp;B466&amp;"|"&amp;F466</f>
        <v>465|21-01-2011|9</v>
      </c>
      <c r="U466" s="3">
        <f t="shared" si="28"/>
        <v>610</v>
      </c>
      <c r="V466" s="3">
        <f t="shared" si="29"/>
        <v>120.10000000000005</v>
      </c>
      <c r="W466" s="50">
        <f t="shared" si="30"/>
        <v>8.1303845032683911E-2</v>
      </c>
      <c r="X466" s="50">
        <f t="shared" si="31"/>
        <v>0.16514794964716251</v>
      </c>
    </row>
    <row r="467" spans="1:24" x14ac:dyDescent="0.2">
      <c r="A467" s="4">
        <v>466</v>
      </c>
      <c r="B467" s="4" t="s">
        <v>35</v>
      </c>
      <c r="C467" s="4">
        <v>1</v>
      </c>
      <c r="D467" s="4">
        <v>0</v>
      </c>
      <c r="E467" s="4">
        <v>1</v>
      </c>
      <c r="F467" s="4">
        <v>10</v>
      </c>
      <c r="G467" s="4" t="b">
        <v>0</v>
      </c>
      <c r="H467" s="4">
        <v>5</v>
      </c>
      <c r="I467" s="4">
        <v>1</v>
      </c>
      <c r="J467" s="4">
        <v>0.2</v>
      </c>
      <c r="K467" s="6" t="str">
        <f>IF(H467=0,"weekend",IF(H467=6,"weekend","weekend"))</f>
        <v>weekend</v>
      </c>
      <c r="L467" s="3" t="str">
        <f>IF(C467=1,"Spring",IF(C467=2,"Summer",IF(C467=3,"Fall","Winter")))</f>
        <v>Spring</v>
      </c>
      <c r="M467" s="3">
        <f>SUM(J467:J491)</f>
        <v>2.4200000000000008</v>
      </c>
      <c r="N467" s="3">
        <f>AVERAGE(J467:J1076)</f>
        <v>0.14372413793103445</v>
      </c>
      <c r="O467" s="3">
        <f>COUNT(J467:J1076)</f>
        <v>145</v>
      </c>
      <c r="P467" s="3" t="str">
        <f>TEXT(J467,"0.00")</f>
        <v>0.20</v>
      </c>
      <c r="Q467" s="3" t="str">
        <f>LEFT(L467,3)</f>
        <v>Spr</v>
      </c>
      <c r="R467" s="42" t="str">
        <f>RIGHT(L467,3)</f>
        <v>ing</v>
      </c>
      <c r="S467" s="42">
        <f>LEN(L467)</f>
        <v>6</v>
      </c>
      <c r="T467" s="3" t="str">
        <f>A467&amp;"|"&amp;B467&amp;"|"&amp;F467</f>
        <v>466|21-01-2011|10</v>
      </c>
      <c r="U467" s="3">
        <f t="shared" si="28"/>
        <v>610</v>
      </c>
      <c r="V467" s="3">
        <f t="shared" si="29"/>
        <v>120.10000000000005</v>
      </c>
      <c r="W467" s="50">
        <f t="shared" si="30"/>
        <v>8.1303845032683911E-2</v>
      </c>
      <c r="X467" s="50">
        <f t="shared" si="31"/>
        <v>0.16514794964716251</v>
      </c>
    </row>
    <row r="468" spans="1:24" x14ac:dyDescent="0.2">
      <c r="A468" s="4">
        <v>467</v>
      </c>
      <c r="B468" s="4" t="s">
        <v>35</v>
      </c>
      <c r="C468" s="4">
        <v>1</v>
      </c>
      <c r="D468" s="4">
        <v>0</v>
      </c>
      <c r="E468" s="4">
        <v>1</v>
      </c>
      <c r="F468" s="4">
        <v>11</v>
      </c>
      <c r="G468" s="4" t="b">
        <v>0</v>
      </c>
      <c r="H468" s="4">
        <v>5</v>
      </c>
      <c r="I468" s="4">
        <v>1</v>
      </c>
      <c r="J468" s="4">
        <v>0.22</v>
      </c>
      <c r="K468" s="6" t="str">
        <f>IF(H468=0,"weekend",IF(H468=6,"weekend","weekend"))</f>
        <v>weekend</v>
      </c>
      <c r="L468" s="3" t="str">
        <f>IF(C468=1,"Spring",IF(C468=2,"Summer",IF(C468=3,"Fall","Winter")))</f>
        <v>Spring</v>
      </c>
      <c r="M468" s="3">
        <f>SUM(J468:J492)</f>
        <v>2.2800000000000007</v>
      </c>
      <c r="N468" s="3">
        <f>AVERAGE(J468:J1077)</f>
        <v>0.14333333333333328</v>
      </c>
      <c r="O468" s="3">
        <f>COUNT(J468:J1077)</f>
        <v>144</v>
      </c>
      <c r="P468" s="3" t="str">
        <f>TEXT(J468,"0.00")</f>
        <v>0.22</v>
      </c>
      <c r="Q468" s="3" t="str">
        <f>LEFT(L468,3)</f>
        <v>Spr</v>
      </c>
      <c r="R468" s="42" t="str">
        <f>RIGHT(L468,3)</f>
        <v>ing</v>
      </c>
      <c r="S468" s="42">
        <f>LEN(L468)</f>
        <v>6</v>
      </c>
      <c r="T468" s="3" t="str">
        <f>A468&amp;"|"&amp;B468&amp;"|"&amp;F468</f>
        <v>467|21-01-2011|11</v>
      </c>
      <c r="U468" s="3">
        <f t="shared" si="28"/>
        <v>610</v>
      </c>
      <c r="V468" s="3">
        <f t="shared" si="29"/>
        <v>120.10000000000005</v>
      </c>
      <c r="W468" s="50">
        <f t="shared" si="30"/>
        <v>8.1303845032683911E-2</v>
      </c>
      <c r="X468" s="50">
        <f t="shared" si="31"/>
        <v>0.16514794964716251</v>
      </c>
    </row>
    <row r="469" spans="1:24" x14ac:dyDescent="0.2">
      <c r="A469" s="4">
        <v>468</v>
      </c>
      <c r="B469" s="4" t="s">
        <v>35</v>
      </c>
      <c r="C469" s="4">
        <v>1</v>
      </c>
      <c r="D469" s="4">
        <v>0</v>
      </c>
      <c r="E469" s="4">
        <v>1</v>
      </c>
      <c r="F469" s="4">
        <v>12</v>
      </c>
      <c r="G469" s="4" t="b">
        <v>0</v>
      </c>
      <c r="H469" s="4">
        <v>5</v>
      </c>
      <c r="I469" s="4">
        <v>1</v>
      </c>
      <c r="J469" s="4">
        <v>0.22</v>
      </c>
      <c r="K469" s="6" t="str">
        <f>IF(H469=0,"weekend",IF(H469=6,"weekend","weekend"))</f>
        <v>weekend</v>
      </c>
      <c r="L469" s="3" t="str">
        <f>IF(C469=1,"Spring",IF(C469=2,"Summer",IF(C469=3,"Fall","Winter")))</f>
        <v>Spring</v>
      </c>
      <c r="M469" s="3">
        <f>SUM(J469:J493)</f>
        <v>2.140000000000001</v>
      </c>
      <c r="N469" s="3">
        <f>AVERAGE(J469:J1078)</f>
        <v>0.14279720279720279</v>
      </c>
      <c r="O469" s="3">
        <f>COUNT(J469:J1078)</f>
        <v>143</v>
      </c>
      <c r="P469" s="3" t="str">
        <f>TEXT(J469,"0.00")</f>
        <v>0.22</v>
      </c>
      <c r="Q469" s="3" t="str">
        <f>LEFT(L469,3)</f>
        <v>Spr</v>
      </c>
      <c r="R469" s="42" t="str">
        <f>RIGHT(L469,3)</f>
        <v>ing</v>
      </c>
      <c r="S469" s="42">
        <f>LEN(L469)</f>
        <v>6</v>
      </c>
      <c r="T469" s="3" t="str">
        <f>A469&amp;"|"&amp;B469&amp;"|"&amp;F469</f>
        <v>468|21-01-2011|12</v>
      </c>
      <c r="U469" s="3">
        <f t="shared" si="28"/>
        <v>610</v>
      </c>
      <c r="V469" s="3">
        <f t="shared" si="29"/>
        <v>120.10000000000005</v>
      </c>
      <c r="W469" s="50">
        <f t="shared" si="30"/>
        <v>8.1303845032683911E-2</v>
      </c>
      <c r="X469" s="50">
        <f t="shared" si="31"/>
        <v>0.16514794964716251</v>
      </c>
    </row>
    <row r="470" spans="1:24" x14ac:dyDescent="0.2">
      <c r="A470" s="4">
        <v>469</v>
      </c>
      <c r="B470" s="4" t="s">
        <v>35</v>
      </c>
      <c r="C470" s="4">
        <v>1</v>
      </c>
      <c r="D470" s="4">
        <v>0</v>
      </c>
      <c r="E470" s="4">
        <v>1</v>
      </c>
      <c r="F470" s="4">
        <v>13</v>
      </c>
      <c r="G470" s="4" t="b">
        <v>0</v>
      </c>
      <c r="H470" s="4">
        <v>5</v>
      </c>
      <c r="I470" s="4">
        <v>1</v>
      </c>
      <c r="J470" s="4">
        <v>0.2</v>
      </c>
      <c r="K470" s="6" t="str">
        <f>IF(H470=0,"weekend",IF(H470=6,"weekend","weekend"))</f>
        <v>weekend</v>
      </c>
      <c r="L470" s="3" t="str">
        <f>IF(C470=1,"Spring",IF(C470=2,"Summer",IF(C470=3,"Fall","Winter")))</f>
        <v>Spring</v>
      </c>
      <c r="M470" s="3">
        <f>SUM(J470:J494)</f>
        <v>2.0200000000000009</v>
      </c>
      <c r="N470" s="3">
        <f>AVERAGE(J470:J1079)</f>
        <v>0.14225352112676054</v>
      </c>
      <c r="O470" s="3">
        <f>COUNT(J470:J1079)</f>
        <v>142</v>
      </c>
      <c r="P470" s="3" t="str">
        <f>TEXT(J470,"0.00")</f>
        <v>0.20</v>
      </c>
      <c r="Q470" s="3" t="str">
        <f>LEFT(L470,3)</f>
        <v>Spr</v>
      </c>
      <c r="R470" s="42" t="str">
        <f>RIGHT(L470,3)</f>
        <v>ing</v>
      </c>
      <c r="S470" s="42">
        <f>LEN(L470)</f>
        <v>6</v>
      </c>
      <c r="T470" s="3" t="str">
        <f>A470&amp;"|"&amp;B470&amp;"|"&amp;F470</f>
        <v>469|21-01-2011|13</v>
      </c>
      <c r="U470" s="3">
        <f t="shared" si="28"/>
        <v>610</v>
      </c>
      <c r="V470" s="3">
        <f t="shared" si="29"/>
        <v>120.10000000000005</v>
      </c>
      <c r="W470" s="50">
        <f t="shared" si="30"/>
        <v>8.1303845032683911E-2</v>
      </c>
      <c r="X470" s="50">
        <f t="shared" si="31"/>
        <v>0.16514794964716251</v>
      </c>
    </row>
    <row r="471" spans="1:24" x14ac:dyDescent="0.2">
      <c r="A471" s="4">
        <v>470</v>
      </c>
      <c r="B471" s="4" t="s">
        <v>35</v>
      </c>
      <c r="C471" s="4">
        <v>1</v>
      </c>
      <c r="D471" s="4">
        <v>0</v>
      </c>
      <c r="E471" s="4">
        <v>1</v>
      </c>
      <c r="F471" s="4">
        <v>14</v>
      </c>
      <c r="G471" s="4" t="b">
        <v>0</v>
      </c>
      <c r="H471" s="4">
        <v>5</v>
      </c>
      <c r="I471" s="4">
        <v>1</v>
      </c>
      <c r="J471" s="4">
        <v>0.2</v>
      </c>
      <c r="K471" s="6" t="str">
        <f>IF(H471=0,"weekend",IF(H471=6,"weekend","weekend"))</f>
        <v>weekend</v>
      </c>
      <c r="L471" s="3" t="str">
        <f>IF(C471=1,"Spring",IF(C471=2,"Summer",IF(C471=3,"Fall","Winter")))</f>
        <v>Spring</v>
      </c>
      <c r="M471" s="3">
        <f>SUM(J471:J495)</f>
        <v>1.9400000000000008</v>
      </c>
      <c r="N471" s="3">
        <f>AVERAGE(J471:J1080)</f>
        <v>0.14184397163120566</v>
      </c>
      <c r="O471" s="3">
        <f>COUNT(J471:J1080)</f>
        <v>141</v>
      </c>
      <c r="P471" s="3" t="str">
        <f>TEXT(J471,"0.00")</f>
        <v>0.20</v>
      </c>
      <c r="Q471" s="3" t="str">
        <f>LEFT(L471,3)</f>
        <v>Spr</v>
      </c>
      <c r="R471" s="42" t="str">
        <f>RIGHT(L471,3)</f>
        <v>ing</v>
      </c>
      <c r="S471" s="42">
        <f>LEN(L471)</f>
        <v>6</v>
      </c>
      <c r="T471" s="3" t="str">
        <f>A471&amp;"|"&amp;B471&amp;"|"&amp;F471</f>
        <v>470|21-01-2011|14</v>
      </c>
      <c r="U471" s="3">
        <f t="shared" si="28"/>
        <v>610</v>
      </c>
      <c r="V471" s="3">
        <f t="shared" si="29"/>
        <v>120.10000000000005</v>
      </c>
      <c r="W471" s="50">
        <f t="shared" si="30"/>
        <v>8.1303845032683911E-2</v>
      </c>
      <c r="X471" s="50">
        <f t="shared" si="31"/>
        <v>0.16514794964716251</v>
      </c>
    </row>
    <row r="472" spans="1:24" x14ac:dyDescent="0.2">
      <c r="A472" s="4">
        <v>471</v>
      </c>
      <c r="B472" s="4" t="s">
        <v>35</v>
      </c>
      <c r="C472" s="4">
        <v>1</v>
      </c>
      <c r="D472" s="4">
        <v>0</v>
      </c>
      <c r="E472" s="4">
        <v>1</v>
      </c>
      <c r="F472" s="4">
        <v>15</v>
      </c>
      <c r="G472" s="4" t="b">
        <v>0</v>
      </c>
      <c r="H472" s="4">
        <v>5</v>
      </c>
      <c r="I472" s="4">
        <v>1</v>
      </c>
      <c r="J472" s="4">
        <v>0.16</v>
      </c>
      <c r="K472" s="6" t="str">
        <f>IF(H472=0,"weekend",IF(H472=6,"weekend","weekend"))</f>
        <v>weekend</v>
      </c>
      <c r="L472" s="3" t="str">
        <f>IF(C472=1,"Spring",IF(C472=2,"Summer",IF(C472=3,"Fall","Winter")))</f>
        <v>Spring</v>
      </c>
      <c r="M472" s="3">
        <f>SUM(J472:J496)</f>
        <v>1.8600000000000008</v>
      </c>
      <c r="N472" s="3">
        <f>AVERAGE(J472:J1081)</f>
        <v>0.14142857142857143</v>
      </c>
      <c r="O472" s="3">
        <f>COUNT(J472:J1081)</f>
        <v>140</v>
      </c>
      <c r="P472" s="3" t="str">
        <f>TEXT(J472,"0.00")</f>
        <v>0.16</v>
      </c>
      <c r="Q472" s="3" t="str">
        <f>LEFT(L472,3)</f>
        <v>Spr</v>
      </c>
      <c r="R472" s="42" t="str">
        <f>RIGHT(L472,3)</f>
        <v>ing</v>
      </c>
      <c r="S472" s="42">
        <f>LEN(L472)</f>
        <v>6</v>
      </c>
      <c r="T472" s="3" t="str">
        <f>A472&amp;"|"&amp;B472&amp;"|"&amp;F472</f>
        <v>471|21-01-2011|15</v>
      </c>
      <c r="U472" s="3">
        <f t="shared" si="28"/>
        <v>610</v>
      </c>
      <c r="V472" s="3">
        <f t="shared" si="29"/>
        <v>120.10000000000005</v>
      </c>
      <c r="W472" s="50">
        <f t="shared" si="30"/>
        <v>8.1303845032683911E-2</v>
      </c>
      <c r="X472" s="50">
        <f t="shared" si="31"/>
        <v>0.16514794964716251</v>
      </c>
    </row>
    <row r="473" spans="1:24" x14ac:dyDescent="0.2">
      <c r="A473" s="4">
        <v>472</v>
      </c>
      <c r="B473" s="4" t="s">
        <v>35</v>
      </c>
      <c r="C473" s="4">
        <v>1</v>
      </c>
      <c r="D473" s="4">
        <v>0</v>
      </c>
      <c r="E473" s="4">
        <v>1</v>
      </c>
      <c r="F473" s="4">
        <v>16</v>
      </c>
      <c r="G473" s="4" t="b">
        <v>0</v>
      </c>
      <c r="H473" s="4">
        <v>5</v>
      </c>
      <c r="I473" s="4">
        <v>1</v>
      </c>
      <c r="J473" s="4">
        <v>0.16</v>
      </c>
      <c r="K473" s="6" t="str">
        <f>IF(H473=0,"weekend",IF(H473=6,"weekend","weekend"))</f>
        <v>weekend</v>
      </c>
      <c r="L473" s="3" t="str">
        <f>IF(C473=1,"Spring",IF(C473=2,"Summer",IF(C473=3,"Fall","Winter")))</f>
        <v>Spring</v>
      </c>
      <c r="M473" s="3">
        <f>SUM(J473:J497)</f>
        <v>1.8200000000000007</v>
      </c>
      <c r="N473" s="3">
        <f>AVERAGE(J473:J1082)</f>
        <v>0.14129496402877698</v>
      </c>
      <c r="O473" s="3">
        <f>COUNT(J473:J1082)</f>
        <v>139</v>
      </c>
      <c r="P473" s="3" t="str">
        <f>TEXT(J473,"0.00")</f>
        <v>0.16</v>
      </c>
      <c r="Q473" s="3" t="str">
        <f>LEFT(L473,3)</f>
        <v>Spr</v>
      </c>
      <c r="R473" s="42" t="str">
        <f>RIGHT(L473,3)</f>
        <v>ing</v>
      </c>
      <c r="S473" s="42">
        <f>LEN(L473)</f>
        <v>6</v>
      </c>
      <c r="T473" s="3" t="str">
        <f>A473&amp;"|"&amp;B473&amp;"|"&amp;F473</f>
        <v>472|21-01-2011|16</v>
      </c>
      <c r="U473" s="3">
        <f t="shared" si="28"/>
        <v>610</v>
      </c>
      <c r="V473" s="3">
        <f t="shared" si="29"/>
        <v>120.10000000000005</v>
      </c>
      <c r="W473" s="50">
        <f t="shared" si="30"/>
        <v>8.1303845032683911E-2</v>
      </c>
      <c r="X473" s="50">
        <f t="shared" si="31"/>
        <v>0.16514794964716251</v>
      </c>
    </row>
    <row r="474" spans="1:24" x14ac:dyDescent="0.2">
      <c r="A474" s="4">
        <v>473</v>
      </c>
      <c r="B474" s="4" t="s">
        <v>35</v>
      </c>
      <c r="C474" s="4">
        <v>1</v>
      </c>
      <c r="D474" s="4">
        <v>0</v>
      </c>
      <c r="E474" s="4">
        <v>1</v>
      </c>
      <c r="F474" s="4">
        <v>17</v>
      </c>
      <c r="G474" s="4" t="b">
        <v>0</v>
      </c>
      <c r="H474" s="4">
        <v>5</v>
      </c>
      <c r="I474" s="4">
        <v>1</v>
      </c>
      <c r="J474" s="4">
        <v>0.14000000000000001</v>
      </c>
      <c r="K474" s="6" t="str">
        <f>IF(H474=0,"weekend",IF(H474=6,"weekend","weekend"))</f>
        <v>weekend</v>
      </c>
      <c r="L474" s="3" t="str">
        <f>IF(C474=1,"Spring",IF(C474=2,"Summer",IF(C474=3,"Fall","Winter")))</f>
        <v>Spring</v>
      </c>
      <c r="M474" s="3">
        <f>SUM(J474:J498)</f>
        <v>1.7400000000000007</v>
      </c>
      <c r="N474" s="3">
        <f>AVERAGE(J474:J1083)</f>
        <v>0.14115942028985506</v>
      </c>
      <c r="O474" s="3">
        <f>COUNT(J474:J1083)</f>
        <v>138</v>
      </c>
      <c r="P474" s="3" t="str">
        <f>TEXT(J474,"0.00")</f>
        <v>0.14</v>
      </c>
      <c r="Q474" s="3" t="str">
        <f>LEFT(L474,3)</f>
        <v>Spr</v>
      </c>
      <c r="R474" s="42" t="str">
        <f>RIGHT(L474,3)</f>
        <v>ing</v>
      </c>
      <c r="S474" s="42">
        <f>LEN(L474)</f>
        <v>6</v>
      </c>
      <c r="T474" s="3" t="str">
        <f>A474&amp;"|"&amp;B474&amp;"|"&amp;F474</f>
        <v>473|21-01-2011|17</v>
      </c>
      <c r="U474" s="3">
        <f t="shared" si="28"/>
        <v>610</v>
      </c>
      <c r="V474" s="3">
        <f t="shared" si="29"/>
        <v>120.10000000000005</v>
      </c>
      <c r="W474" s="50">
        <f t="shared" si="30"/>
        <v>8.1303845032683911E-2</v>
      </c>
      <c r="X474" s="50">
        <f t="shared" si="31"/>
        <v>0.16514794964716251</v>
      </c>
    </row>
    <row r="475" spans="1:24" x14ac:dyDescent="0.2">
      <c r="A475" s="4">
        <v>474</v>
      </c>
      <c r="B475" s="4" t="s">
        <v>35</v>
      </c>
      <c r="C475" s="4">
        <v>1</v>
      </c>
      <c r="D475" s="4">
        <v>0</v>
      </c>
      <c r="E475" s="4">
        <v>1</v>
      </c>
      <c r="F475" s="4">
        <v>18</v>
      </c>
      <c r="G475" s="4" t="b">
        <v>0</v>
      </c>
      <c r="H475" s="4">
        <v>5</v>
      </c>
      <c r="I475" s="4">
        <v>1</v>
      </c>
      <c r="J475" s="4">
        <v>0.12</v>
      </c>
      <c r="K475" s="6" t="str">
        <f>IF(H475=0,"weekend",IF(H475=6,"weekend","weekend"))</f>
        <v>weekend</v>
      </c>
      <c r="L475" s="3" t="str">
        <f>IF(C475=1,"Spring",IF(C475=2,"Summer",IF(C475=3,"Fall","Winter")))</f>
        <v>Spring</v>
      </c>
      <c r="M475" s="3">
        <f>SUM(J475:J499)</f>
        <v>1.680000000000001</v>
      </c>
      <c r="N475" s="3">
        <f>AVERAGE(J475:J1084)</f>
        <v>0.14116788321167884</v>
      </c>
      <c r="O475" s="3">
        <f>COUNT(J475:J1084)</f>
        <v>137</v>
      </c>
      <c r="P475" s="3" t="str">
        <f>TEXT(J475,"0.00")</f>
        <v>0.12</v>
      </c>
      <c r="Q475" s="3" t="str">
        <f>LEFT(L475,3)</f>
        <v>Spr</v>
      </c>
      <c r="R475" s="42" t="str">
        <f>RIGHT(L475,3)</f>
        <v>ing</v>
      </c>
      <c r="S475" s="42">
        <f>LEN(L475)</f>
        <v>6</v>
      </c>
      <c r="T475" s="3" t="str">
        <f>A475&amp;"|"&amp;B475&amp;"|"&amp;F475</f>
        <v>474|21-01-2011|18</v>
      </c>
      <c r="U475" s="3">
        <f t="shared" si="28"/>
        <v>610</v>
      </c>
      <c r="V475" s="3">
        <f t="shared" si="29"/>
        <v>120.10000000000005</v>
      </c>
      <c r="W475" s="50">
        <f t="shared" si="30"/>
        <v>8.1303845032683911E-2</v>
      </c>
      <c r="X475" s="50">
        <f t="shared" si="31"/>
        <v>0.16514794964716251</v>
      </c>
    </row>
    <row r="476" spans="1:24" x14ac:dyDescent="0.2">
      <c r="A476" s="4">
        <v>475</v>
      </c>
      <c r="B476" s="4" t="s">
        <v>35</v>
      </c>
      <c r="C476" s="4">
        <v>1</v>
      </c>
      <c r="D476" s="4">
        <v>0</v>
      </c>
      <c r="E476" s="4">
        <v>1</v>
      </c>
      <c r="F476" s="4">
        <v>19</v>
      </c>
      <c r="G476" s="4" t="b">
        <v>0</v>
      </c>
      <c r="H476" s="4">
        <v>5</v>
      </c>
      <c r="I476" s="4">
        <v>1</v>
      </c>
      <c r="J476" s="4">
        <v>0.12</v>
      </c>
      <c r="K476" s="6" t="str">
        <f>IF(H476=0,"weekend",IF(H476=6,"weekend","weekend"))</f>
        <v>weekend</v>
      </c>
      <c r="L476" s="3" t="str">
        <f>IF(C476=1,"Spring",IF(C476=2,"Summer",IF(C476=3,"Fall","Winter")))</f>
        <v>Spring</v>
      </c>
      <c r="M476" s="3">
        <f>SUM(J476:J500)</f>
        <v>1.6200000000000006</v>
      </c>
      <c r="N476" s="3">
        <f>AVERAGE(J476:J1085)</f>
        <v>0.14132352941176471</v>
      </c>
      <c r="O476" s="3">
        <f>COUNT(J476:J1085)</f>
        <v>136</v>
      </c>
      <c r="P476" s="3" t="str">
        <f>TEXT(J476,"0.00")</f>
        <v>0.12</v>
      </c>
      <c r="Q476" s="3" t="str">
        <f>LEFT(L476,3)</f>
        <v>Spr</v>
      </c>
      <c r="R476" s="42" t="str">
        <f>RIGHT(L476,3)</f>
        <v>ing</v>
      </c>
      <c r="S476" s="42">
        <f>LEN(L476)</f>
        <v>6</v>
      </c>
      <c r="T476" s="3" t="str">
        <f>A476&amp;"|"&amp;B476&amp;"|"&amp;F476</f>
        <v>475|21-01-2011|19</v>
      </c>
      <c r="U476" s="3">
        <f t="shared" si="28"/>
        <v>610</v>
      </c>
      <c r="V476" s="3">
        <f t="shared" si="29"/>
        <v>120.10000000000005</v>
      </c>
      <c r="W476" s="50">
        <f t="shared" si="30"/>
        <v>8.1303845032683911E-2</v>
      </c>
      <c r="X476" s="50">
        <f t="shared" si="31"/>
        <v>0.16514794964716251</v>
      </c>
    </row>
    <row r="477" spans="1:24" x14ac:dyDescent="0.2">
      <c r="A477" s="4">
        <v>476</v>
      </c>
      <c r="B477" s="4" t="s">
        <v>35</v>
      </c>
      <c r="C477" s="4">
        <v>1</v>
      </c>
      <c r="D477" s="4">
        <v>0</v>
      </c>
      <c r="E477" s="4">
        <v>1</v>
      </c>
      <c r="F477" s="4">
        <v>20</v>
      </c>
      <c r="G477" s="4" t="b">
        <v>0</v>
      </c>
      <c r="H477" s="4">
        <v>5</v>
      </c>
      <c r="I477" s="4">
        <v>1</v>
      </c>
      <c r="J477" s="4">
        <v>0.1</v>
      </c>
      <c r="K477" s="6" t="str">
        <f>IF(H477=0,"weekend",IF(H477=6,"weekend","weekend"))</f>
        <v>weekend</v>
      </c>
      <c r="L477" s="3" t="str">
        <f>IF(C477=1,"Spring",IF(C477=2,"Summer",IF(C477=3,"Fall","Winter")))</f>
        <v>Spring</v>
      </c>
      <c r="M477" s="3">
        <f>SUM(J477:J501)</f>
        <v>1.5600000000000005</v>
      </c>
      <c r="N477" s="3">
        <f>AVERAGE(J477:J1086)</f>
        <v>0.14148148148148149</v>
      </c>
      <c r="O477" s="3">
        <f>COUNT(J477:J1086)</f>
        <v>135</v>
      </c>
      <c r="P477" s="3" t="str">
        <f>TEXT(J477,"0.00")</f>
        <v>0.10</v>
      </c>
      <c r="Q477" s="3" t="str">
        <f>LEFT(L477,3)</f>
        <v>Spr</v>
      </c>
      <c r="R477" s="42" t="str">
        <f>RIGHT(L477,3)</f>
        <v>ing</v>
      </c>
      <c r="S477" s="42">
        <f>LEN(L477)</f>
        <v>6</v>
      </c>
      <c r="T477" s="3" t="str">
        <f>A477&amp;"|"&amp;B477&amp;"|"&amp;F477</f>
        <v>476|21-01-2011|20</v>
      </c>
      <c r="U477" s="3">
        <f t="shared" si="28"/>
        <v>610</v>
      </c>
      <c r="V477" s="3">
        <f t="shared" si="29"/>
        <v>120.10000000000005</v>
      </c>
      <c r="W477" s="50">
        <f t="shared" si="30"/>
        <v>8.1303845032683911E-2</v>
      </c>
      <c r="X477" s="50">
        <f t="shared" si="31"/>
        <v>0.16514794964716251</v>
      </c>
    </row>
    <row r="478" spans="1:24" x14ac:dyDescent="0.2">
      <c r="A478" s="4">
        <v>477</v>
      </c>
      <c r="B478" s="4" t="s">
        <v>35</v>
      </c>
      <c r="C478" s="4">
        <v>1</v>
      </c>
      <c r="D478" s="4">
        <v>0</v>
      </c>
      <c r="E478" s="4">
        <v>1</v>
      </c>
      <c r="F478" s="4">
        <v>21</v>
      </c>
      <c r="G478" s="4" t="b">
        <v>0</v>
      </c>
      <c r="H478" s="4">
        <v>5</v>
      </c>
      <c r="I478" s="4">
        <v>1</v>
      </c>
      <c r="J478" s="4">
        <v>0.08</v>
      </c>
      <c r="K478" s="6" t="str">
        <f>IF(H478=0,"weekend",IF(H478=6,"weekend","weekend"))</f>
        <v>weekend</v>
      </c>
      <c r="L478" s="3" t="str">
        <f>IF(C478=1,"Spring",IF(C478=2,"Summer",IF(C478=3,"Fall","Winter")))</f>
        <v>Spring</v>
      </c>
      <c r="M478" s="3">
        <f>SUM(J478:J502)</f>
        <v>1.5200000000000005</v>
      </c>
      <c r="N478" s="3">
        <f>AVERAGE(J478:J1087)</f>
        <v>0.14179104477611942</v>
      </c>
      <c r="O478" s="3">
        <f>COUNT(J478:J1087)</f>
        <v>134</v>
      </c>
      <c r="P478" s="3" t="str">
        <f>TEXT(J478,"0.00")</f>
        <v>0.08</v>
      </c>
      <c r="Q478" s="3" t="str">
        <f>LEFT(L478,3)</f>
        <v>Spr</v>
      </c>
      <c r="R478" s="42" t="str">
        <f>RIGHT(L478,3)</f>
        <v>ing</v>
      </c>
      <c r="S478" s="42">
        <f>LEN(L478)</f>
        <v>6</v>
      </c>
      <c r="T478" s="3" t="str">
        <f>A478&amp;"|"&amp;B478&amp;"|"&amp;F478</f>
        <v>477|21-01-2011|21</v>
      </c>
      <c r="U478" s="3">
        <f t="shared" si="28"/>
        <v>610</v>
      </c>
      <c r="V478" s="3">
        <f t="shared" si="29"/>
        <v>120.10000000000005</v>
      </c>
      <c r="W478" s="50">
        <f t="shared" si="30"/>
        <v>8.1303845032683911E-2</v>
      </c>
      <c r="X478" s="50">
        <f t="shared" si="31"/>
        <v>0.16514794964716251</v>
      </c>
    </row>
    <row r="479" spans="1:24" x14ac:dyDescent="0.2">
      <c r="A479" s="4">
        <v>478</v>
      </c>
      <c r="B479" s="4" t="s">
        <v>35</v>
      </c>
      <c r="C479" s="4">
        <v>1</v>
      </c>
      <c r="D479" s="4">
        <v>0</v>
      </c>
      <c r="E479" s="4">
        <v>1</v>
      </c>
      <c r="F479" s="4">
        <v>22</v>
      </c>
      <c r="G479" s="4" t="b">
        <v>0</v>
      </c>
      <c r="H479" s="4">
        <v>5</v>
      </c>
      <c r="I479" s="4">
        <v>1</v>
      </c>
      <c r="J479" s="4">
        <v>0.06</v>
      </c>
      <c r="K479" s="6" t="str">
        <f>IF(H479=0,"weekend",IF(H479=6,"weekend","weekend"))</f>
        <v>weekend</v>
      </c>
      <c r="L479" s="3" t="str">
        <f>IF(C479=1,"Spring",IF(C479=2,"Summer",IF(C479=3,"Fall","Winter")))</f>
        <v>Spring</v>
      </c>
      <c r="M479" s="3">
        <f>SUM(J479:J503)</f>
        <v>1.4800000000000004</v>
      </c>
      <c r="N479" s="3">
        <f>AVERAGE(J479:J1088)</f>
        <v>0.14225563909774439</v>
      </c>
      <c r="O479" s="3">
        <f>COUNT(J479:J1088)</f>
        <v>133</v>
      </c>
      <c r="P479" s="3" t="str">
        <f>TEXT(J479,"0.00")</f>
        <v>0.06</v>
      </c>
      <c r="Q479" s="3" t="str">
        <f>LEFT(L479,3)</f>
        <v>Spr</v>
      </c>
      <c r="R479" s="42" t="str">
        <f>RIGHT(L479,3)</f>
        <v>ing</v>
      </c>
      <c r="S479" s="42">
        <f>LEN(L479)</f>
        <v>6</v>
      </c>
      <c r="T479" s="3" t="str">
        <f>A479&amp;"|"&amp;B479&amp;"|"&amp;F479</f>
        <v>478|21-01-2011|22</v>
      </c>
      <c r="U479" s="3">
        <f t="shared" si="28"/>
        <v>610</v>
      </c>
      <c r="V479" s="3">
        <f t="shared" si="29"/>
        <v>120.10000000000005</v>
      </c>
      <c r="W479" s="50">
        <f t="shared" si="30"/>
        <v>8.1303845032683911E-2</v>
      </c>
      <c r="X479" s="50">
        <f t="shared" si="31"/>
        <v>0.16514794964716251</v>
      </c>
    </row>
    <row r="480" spans="1:24" x14ac:dyDescent="0.2">
      <c r="A480" s="4">
        <v>479</v>
      </c>
      <c r="B480" s="4" t="s">
        <v>35</v>
      </c>
      <c r="C480" s="4">
        <v>1</v>
      </c>
      <c r="D480" s="4">
        <v>0</v>
      </c>
      <c r="E480" s="4">
        <v>1</v>
      </c>
      <c r="F480" s="4">
        <v>23</v>
      </c>
      <c r="G480" s="4" t="b">
        <v>0</v>
      </c>
      <c r="H480" s="4">
        <v>5</v>
      </c>
      <c r="I480" s="4">
        <v>1</v>
      </c>
      <c r="J480" s="4">
        <v>0.06</v>
      </c>
      <c r="K480" s="6" t="str">
        <f>IF(H480=0,"weekend",IF(H480=6,"weekend","weekend"))</f>
        <v>weekend</v>
      </c>
      <c r="L480" s="3" t="str">
        <f>IF(C480=1,"Spring",IF(C480=2,"Summer",IF(C480=3,"Fall","Winter")))</f>
        <v>Spring</v>
      </c>
      <c r="M480" s="3">
        <f>SUM(J480:J504)</f>
        <v>1.4600000000000004</v>
      </c>
      <c r="N480" s="3">
        <f>AVERAGE(J480:J1089)</f>
        <v>0.14287878787878791</v>
      </c>
      <c r="O480" s="3">
        <f>COUNT(J480:J1089)</f>
        <v>132</v>
      </c>
      <c r="P480" s="3" t="str">
        <f>TEXT(J480,"0.00")</f>
        <v>0.06</v>
      </c>
      <c r="Q480" s="3" t="str">
        <f>LEFT(L480,3)</f>
        <v>Spr</v>
      </c>
      <c r="R480" s="42" t="str">
        <f>RIGHT(L480,3)</f>
        <v>ing</v>
      </c>
      <c r="S480" s="42">
        <f>LEN(L480)</f>
        <v>6</v>
      </c>
      <c r="T480" s="3" t="str">
        <f>A480&amp;"|"&amp;B480&amp;"|"&amp;F480</f>
        <v>479|21-01-2011|23</v>
      </c>
      <c r="U480" s="3">
        <f t="shared" si="28"/>
        <v>610</v>
      </c>
      <c r="V480" s="3">
        <f t="shared" si="29"/>
        <v>120.10000000000005</v>
      </c>
      <c r="W480" s="50">
        <f t="shared" si="30"/>
        <v>8.1303845032683911E-2</v>
      </c>
      <c r="X480" s="50">
        <f t="shared" si="31"/>
        <v>0.16514794964716251</v>
      </c>
    </row>
    <row r="481" spans="1:24" x14ac:dyDescent="0.2">
      <c r="A481" s="4">
        <v>480</v>
      </c>
      <c r="B481" s="4" t="s">
        <v>36</v>
      </c>
      <c r="C481" s="4">
        <v>1</v>
      </c>
      <c r="D481" s="4">
        <v>0</v>
      </c>
      <c r="E481" s="4">
        <v>1</v>
      </c>
      <c r="F481" s="4">
        <v>0</v>
      </c>
      <c r="G481" s="4" t="b">
        <v>0</v>
      </c>
      <c r="H481" s="4">
        <v>6</v>
      </c>
      <c r="I481" s="4">
        <v>1</v>
      </c>
      <c r="J481" s="4">
        <v>0.04</v>
      </c>
      <c r="K481" s="6" t="str">
        <f>IF(H481=0,"weekend",IF(H481=6,"weekend","weekend"))</f>
        <v>weekend</v>
      </c>
      <c r="L481" s="3" t="str">
        <f>IF(C481=1,"Spring",IF(C481=2,"Summer",IF(C481=3,"Fall","Winter")))</f>
        <v>Spring</v>
      </c>
      <c r="M481" s="3">
        <f>SUM(J481:J505)</f>
        <v>1.4400000000000002</v>
      </c>
      <c r="N481" s="3">
        <f>AVERAGE(J481:J1090)</f>
        <v>0.14351145038167942</v>
      </c>
      <c r="O481" s="3">
        <f>COUNT(J481:J1090)</f>
        <v>131</v>
      </c>
      <c r="P481" s="3" t="str">
        <f>TEXT(J481,"0.00")</f>
        <v>0.04</v>
      </c>
      <c r="Q481" s="3" t="str">
        <f>LEFT(L481,3)</f>
        <v>Spr</v>
      </c>
      <c r="R481" s="42" t="str">
        <f>RIGHT(L481,3)</f>
        <v>ing</v>
      </c>
      <c r="S481" s="42">
        <f>LEN(L481)</f>
        <v>6</v>
      </c>
      <c r="T481" s="3" t="str">
        <f>A481&amp;"|"&amp;B481&amp;"|"&amp;F481</f>
        <v>480|22-01-2011|0</v>
      </c>
      <c r="U481" s="3">
        <f t="shared" si="28"/>
        <v>610</v>
      </c>
      <c r="V481" s="3">
        <f t="shared" si="29"/>
        <v>120.10000000000005</v>
      </c>
      <c r="W481" s="50">
        <f t="shared" si="30"/>
        <v>8.1303845032683911E-2</v>
      </c>
      <c r="X481" s="50">
        <f t="shared" si="31"/>
        <v>0.16514794964716251</v>
      </c>
    </row>
    <row r="482" spans="1:24" x14ac:dyDescent="0.2">
      <c r="A482" s="4">
        <v>481</v>
      </c>
      <c r="B482" s="4" t="s">
        <v>36</v>
      </c>
      <c r="C482" s="4">
        <v>1</v>
      </c>
      <c r="D482" s="4">
        <v>0</v>
      </c>
      <c r="E482" s="4">
        <v>1</v>
      </c>
      <c r="F482" s="4">
        <v>1</v>
      </c>
      <c r="G482" s="4" t="b">
        <v>0</v>
      </c>
      <c r="H482" s="4">
        <v>6</v>
      </c>
      <c r="I482" s="4">
        <v>2</v>
      </c>
      <c r="J482" s="4">
        <v>0.04</v>
      </c>
      <c r="K482" s="6" t="str">
        <f>IF(H482=0,"weekend",IF(H482=6,"weekend","weekend"))</f>
        <v>weekend</v>
      </c>
      <c r="L482" s="3" t="str">
        <f>IF(C482=1,"Spring",IF(C482=2,"Summer",IF(C482=3,"Fall","Winter")))</f>
        <v>Spring</v>
      </c>
      <c r="M482" s="3">
        <f>SUM(J482:J506)</f>
        <v>1.4200000000000004</v>
      </c>
      <c r="N482" s="3">
        <f>AVERAGE(J482:J1091)</f>
        <v>0.14430769230769236</v>
      </c>
      <c r="O482" s="3">
        <f>COUNT(J482:J1091)</f>
        <v>130</v>
      </c>
      <c r="P482" s="3" t="str">
        <f>TEXT(J482,"0.00")</f>
        <v>0.04</v>
      </c>
      <c r="Q482" s="3" t="str">
        <f>LEFT(L482,3)</f>
        <v>Spr</v>
      </c>
      <c r="R482" s="42" t="str">
        <f>RIGHT(L482,3)</f>
        <v>ing</v>
      </c>
      <c r="S482" s="42">
        <f>LEN(L482)</f>
        <v>6</v>
      </c>
      <c r="T482" s="3" t="str">
        <f>A482&amp;"|"&amp;B482&amp;"|"&amp;F482</f>
        <v>481|22-01-2011|1</v>
      </c>
      <c r="U482" s="3">
        <f t="shared" si="28"/>
        <v>610</v>
      </c>
      <c r="V482" s="3">
        <f t="shared" si="29"/>
        <v>120.10000000000005</v>
      </c>
      <c r="W482" s="50">
        <f t="shared" si="30"/>
        <v>8.1303845032683911E-2</v>
      </c>
      <c r="X482" s="50">
        <f t="shared" si="31"/>
        <v>0.16514794964716251</v>
      </c>
    </row>
    <row r="483" spans="1:24" x14ac:dyDescent="0.2">
      <c r="A483" s="4">
        <v>482</v>
      </c>
      <c r="B483" s="4" t="s">
        <v>36</v>
      </c>
      <c r="C483" s="4">
        <v>1</v>
      </c>
      <c r="D483" s="4">
        <v>0</v>
      </c>
      <c r="E483" s="4">
        <v>1</v>
      </c>
      <c r="F483" s="4">
        <v>2</v>
      </c>
      <c r="G483" s="4" t="b">
        <v>0</v>
      </c>
      <c r="H483" s="4">
        <v>6</v>
      </c>
      <c r="I483" s="4">
        <v>2</v>
      </c>
      <c r="J483" s="4">
        <v>0.04</v>
      </c>
      <c r="K483" s="6" t="str">
        <f>IF(H483=0,"weekend",IF(H483=6,"weekend","weekend"))</f>
        <v>weekend</v>
      </c>
      <c r="L483" s="3" t="str">
        <f>IF(C483=1,"Spring",IF(C483=2,"Summer",IF(C483=3,"Fall","Winter")))</f>
        <v>Spring</v>
      </c>
      <c r="M483" s="3">
        <f>SUM(J483:J507)</f>
        <v>1.4000000000000004</v>
      </c>
      <c r="N483" s="3">
        <f>AVERAGE(J483:J1092)</f>
        <v>0.14511627906976746</v>
      </c>
      <c r="O483" s="3">
        <f>COUNT(J483:J1092)</f>
        <v>129</v>
      </c>
      <c r="P483" s="3" t="str">
        <f>TEXT(J483,"0.00")</f>
        <v>0.04</v>
      </c>
      <c r="Q483" s="3" t="str">
        <f>LEFT(L483,3)</f>
        <v>Spr</v>
      </c>
      <c r="R483" s="42" t="str">
        <f>RIGHT(L483,3)</f>
        <v>ing</v>
      </c>
      <c r="S483" s="42">
        <f>LEN(L483)</f>
        <v>6</v>
      </c>
      <c r="T483" s="3" t="str">
        <f>A483&amp;"|"&amp;B483&amp;"|"&amp;F483</f>
        <v>482|22-01-2011|2</v>
      </c>
      <c r="U483" s="3">
        <f t="shared" si="28"/>
        <v>610</v>
      </c>
      <c r="V483" s="3">
        <f t="shared" si="29"/>
        <v>120.10000000000005</v>
      </c>
      <c r="W483" s="50">
        <f t="shared" si="30"/>
        <v>8.1303845032683911E-2</v>
      </c>
      <c r="X483" s="50">
        <f t="shared" si="31"/>
        <v>0.16514794964716251</v>
      </c>
    </row>
    <row r="484" spans="1:24" x14ac:dyDescent="0.2">
      <c r="A484" s="4">
        <v>483</v>
      </c>
      <c r="B484" s="4" t="s">
        <v>36</v>
      </c>
      <c r="C484" s="4">
        <v>1</v>
      </c>
      <c r="D484" s="4">
        <v>0</v>
      </c>
      <c r="E484" s="4">
        <v>1</v>
      </c>
      <c r="F484" s="4">
        <v>3</v>
      </c>
      <c r="G484" s="4" t="b">
        <v>0</v>
      </c>
      <c r="H484" s="4">
        <v>6</v>
      </c>
      <c r="I484" s="4">
        <v>2</v>
      </c>
      <c r="J484" s="4">
        <v>0.04</v>
      </c>
      <c r="K484" s="6" t="str">
        <f>IF(H484=0,"weekend",IF(H484=6,"weekend","weekend"))</f>
        <v>weekend</v>
      </c>
      <c r="L484" s="3" t="str">
        <f>IF(C484=1,"Spring",IF(C484=2,"Summer",IF(C484=3,"Fall","Winter")))</f>
        <v>Spring</v>
      </c>
      <c r="M484" s="3">
        <f>SUM(J484:J508)</f>
        <v>1.4000000000000004</v>
      </c>
      <c r="N484" s="3">
        <f>AVERAGE(J484:J1093)</f>
        <v>0.14593750000000003</v>
      </c>
      <c r="O484" s="3">
        <f>COUNT(J484:J1093)</f>
        <v>128</v>
      </c>
      <c r="P484" s="3" t="str">
        <f>TEXT(J484,"0.00")</f>
        <v>0.04</v>
      </c>
      <c r="Q484" s="3" t="str">
        <f>LEFT(L484,3)</f>
        <v>Spr</v>
      </c>
      <c r="R484" s="42" t="str">
        <f>RIGHT(L484,3)</f>
        <v>ing</v>
      </c>
      <c r="S484" s="42">
        <f>LEN(L484)</f>
        <v>6</v>
      </c>
      <c r="T484" s="3" t="str">
        <f>A484&amp;"|"&amp;B484&amp;"|"&amp;F484</f>
        <v>483|22-01-2011|3</v>
      </c>
      <c r="U484" s="3">
        <f t="shared" si="28"/>
        <v>610</v>
      </c>
      <c r="V484" s="3">
        <f t="shared" si="29"/>
        <v>120.10000000000005</v>
      </c>
      <c r="W484" s="50">
        <f t="shared" si="30"/>
        <v>8.1303845032683911E-2</v>
      </c>
      <c r="X484" s="50">
        <f t="shared" si="31"/>
        <v>0.16514794964716251</v>
      </c>
    </row>
    <row r="485" spans="1:24" x14ac:dyDescent="0.2">
      <c r="A485" s="4">
        <v>484</v>
      </c>
      <c r="B485" s="4" t="s">
        <v>36</v>
      </c>
      <c r="C485" s="4">
        <v>1</v>
      </c>
      <c r="D485" s="4">
        <v>0</v>
      </c>
      <c r="E485" s="4">
        <v>1</v>
      </c>
      <c r="F485" s="4">
        <v>4</v>
      </c>
      <c r="G485" s="4" t="b">
        <v>0</v>
      </c>
      <c r="H485" s="4">
        <v>6</v>
      </c>
      <c r="I485" s="4">
        <v>2</v>
      </c>
      <c r="J485" s="4">
        <v>0.02</v>
      </c>
      <c r="K485" s="6" t="str">
        <f>IF(H485=0,"weekend",IF(H485=6,"weekend","weekend"))</f>
        <v>weekend</v>
      </c>
      <c r="L485" s="3" t="str">
        <f>IF(C485=1,"Spring",IF(C485=2,"Summer",IF(C485=3,"Fall","Winter")))</f>
        <v>Spring</v>
      </c>
      <c r="M485" s="3">
        <f>SUM(J485:J509)</f>
        <v>1.4000000000000004</v>
      </c>
      <c r="N485" s="3">
        <f>AVERAGE(J485:J1094)</f>
        <v>0.14677165354330712</v>
      </c>
      <c r="O485" s="3">
        <f>COUNT(J485:J1094)</f>
        <v>127</v>
      </c>
      <c r="P485" s="3" t="str">
        <f>TEXT(J485,"0.00")</f>
        <v>0.02</v>
      </c>
      <c r="Q485" s="3" t="str">
        <f>LEFT(L485,3)</f>
        <v>Spr</v>
      </c>
      <c r="R485" s="42" t="str">
        <f>RIGHT(L485,3)</f>
        <v>ing</v>
      </c>
      <c r="S485" s="42">
        <f>LEN(L485)</f>
        <v>6</v>
      </c>
      <c r="T485" s="3" t="str">
        <f>A485&amp;"|"&amp;B485&amp;"|"&amp;F485</f>
        <v>484|22-01-2011|4</v>
      </c>
      <c r="U485" s="3">
        <f t="shared" si="28"/>
        <v>610</v>
      </c>
      <c r="V485" s="3">
        <f t="shared" si="29"/>
        <v>120.10000000000005</v>
      </c>
      <c r="W485" s="50">
        <f t="shared" si="30"/>
        <v>8.1303845032683911E-2</v>
      </c>
      <c r="X485" s="50">
        <f t="shared" si="31"/>
        <v>0.16514794964716251</v>
      </c>
    </row>
    <row r="486" spans="1:24" x14ac:dyDescent="0.2">
      <c r="A486" s="4">
        <v>485</v>
      </c>
      <c r="B486" s="4" t="s">
        <v>36</v>
      </c>
      <c r="C486" s="4">
        <v>1</v>
      </c>
      <c r="D486" s="4">
        <v>0</v>
      </c>
      <c r="E486" s="4">
        <v>1</v>
      </c>
      <c r="F486" s="4">
        <v>6</v>
      </c>
      <c r="G486" s="4" t="b">
        <v>0</v>
      </c>
      <c r="H486" s="4">
        <v>6</v>
      </c>
      <c r="I486" s="4">
        <v>2</v>
      </c>
      <c r="J486" s="4">
        <v>0.02</v>
      </c>
      <c r="K486" s="6" t="str">
        <f>IF(H486=0,"weekend",IF(H486=6,"weekend","weekend"))</f>
        <v>weekend</v>
      </c>
      <c r="L486" s="3" t="str">
        <f>IF(C486=1,"Spring",IF(C486=2,"Summer",IF(C486=3,"Fall","Winter")))</f>
        <v>Spring</v>
      </c>
      <c r="M486" s="3">
        <f>SUM(J486:J510)</f>
        <v>1.4600000000000004</v>
      </c>
      <c r="N486" s="3">
        <f>AVERAGE(J486:J1095)</f>
        <v>0.14777777777777781</v>
      </c>
      <c r="O486" s="3">
        <f>COUNT(J486:J1095)</f>
        <v>126</v>
      </c>
      <c r="P486" s="3" t="str">
        <f>TEXT(J486,"0.00")</f>
        <v>0.02</v>
      </c>
      <c r="Q486" s="3" t="str">
        <f>LEFT(L486,3)</f>
        <v>Spr</v>
      </c>
      <c r="R486" s="42" t="str">
        <f>RIGHT(L486,3)</f>
        <v>ing</v>
      </c>
      <c r="S486" s="42">
        <f>LEN(L486)</f>
        <v>6</v>
      </c>
      <c r="T486" s="3" t="str">
        <f>A486&amp;"|"&amp;B486&amp;"|"&amp;F486</f>
        <v>485|22-01-2011|6</v>
      </c>
      <c r="U486" s="3">
        <f t="shared" si="28"/>
        <v>610</v>
      </c>
      <c r="V486" s="3">
        <f t="shared" si="29"/>
        <v>120.10000000000005</v>
      </c>
      <c r="W486" s="50">
        <f t="shared" si="30"/>
        <v>8.1303845032683911E-2</v>
      </c>
      <c r="X486" s="50">
        <f t="shared" si="31"/>
        <v>0.16514794964716251</v>
      </c>
    </row>
    <row r="487" spans="1:24" x14ac:dyDescent="0.2">
      <c r="A487" s="4">
        <v>486</v>
      </c>
      <c r="B487" s="4" t="s">
        <v>36</v>
      </c>
      <c r="C487" s="4">
        <v>1</v>
      </c>
      <c r="D487" s="4">
        <v>0</v>
      </c>
      <c r="E487" s="4">
        <v>1</v>
      </c>
      <c r="F487" s="4">
        <v>7</v>
      </c>
      <c r="G487" s="4" t="b">
        <v>0</v>
      </c>
      <c r="H487" s="4">
        <v>6</v>
      </c>
      <c r="I487" s="4">
        <v>1</v>
      </c>
      <c r="J487" s="4">
        <v>0.02</v>
      </c>
      <c r="K487" s="6" t="str">
        <f>IF(H487=0,"weekend",IF(H487=6,"weekend","weekend"))</f>
        <v>weekend</v>
      </c>
      <c r="L487" s="3" t="str">
        <f>IF(C487=1,"Spring",IF(C487=2,"Summer",IF(C487=3,"Fall","Winter")))</f>
        <v>Spring</v>
      </c>
      <c r="M487" s="3">
        <f>SUM(J487:J511)</f>
        <v>1.5000000000000004</v>
      </c>
      <c r="N487" s="3">
        <f>AVERAGE(J487:J1096)</f>
        <v>0.14880000000000004</v>
      </c>
      <c r="O487" s="3">
        <f>COUNT(J487:J1096)</f>
        <v>125</v>
      </c>
      <c r="P487" s="3" t="str">
        <f>TEXT(J487,"0.00")</f>
        <v>0.02</v>
      </c>
      <c r="Q487" s="3" t="str">
        <f>LEFT(L487,3)</f>
        <v>Spr</v>
      </c>
      <c r="R487" s="42" t="str">
        <f>RIGHT(L487,3)</f>
        <v>ing</v>
      </c>
      <c r="S487" s="42">
        <f>LEN(L487)</f>
        <v>6</v>
      </c>
      <c r="T487" s="3" t="str">
        <f>A487&amp;"|"&amp;B487&amp;"|"&amp;F487</f>
        <v>486|22-01-2011|7</v>
      </c>
      <c r="U487" s="3">
        <f t="shared" si="28"/>
        <v>610</v>
      </c>
      <c r="V487" s="3">
        <f t="shared" si="29"/>
        <v>120.10000000000005</v>
      </c>
      <c r="W487" s="50">
        <f t="shared" si="30"/>
        <v>8.1303845032683911E-2</v>
      </c>
      <c r="X487" s="50">
        <f t="shared" si="31"/>
        <v>0.16514794964716251</v>
      </c>
    </row>
    <row r="488" spans="1:24" x14ac:dyDescent="0.2">
      <c r="A488" s="4">
        <v>487</v>
      </c>
      <c r="B488" s="4" t="s">
        <v>36</v>
      </c>
      <c r="C488" s="4">
        <v>1</v>
      </c>
      <c r="D488" s="4">
        <v>0</v>
      </c>
      <c r="E488" s="4">
        <v>1</v>
      </c>
      <c r="F488" s="4">
        <v>8</v>
      </c>
      <c r="G488" s="4" t="b">
        <v>0</v>
      </c>
      <c r="H488" s="4">
        <v>6</v>
      </c>
      <c r="I488" s="4">
        <v>1</v>
      </c>
      <c r="J488" s="4">
        <v>0.02</v>
      </c>
      <c r="K488" s="6" t="str">
        <f>IF(H488=0,"weekend",IF(H488=6,"weekend","weekend"))</f>
        <v>weekend</v>
      </c>
      <c r="L488" s="3" t="str">
        <f>IF(C488=1,"Spring",IF(C488=2,"Summer",IF(C488=3,"Fall","Winter")))</f>
        <v>Spring</v>
      </c>
      <c r="M488" s="3">
        <f>SUM(J488:J512)</f>
        <v>1.5800000000000005</v>
      </c>
      <c r="N488" s="3">
        <f>AVERAGE(J488:J1097)</f>
        <v>0.14983870967741938</v>
      </c>
      <c r="O488" s="3">
        <f>COUNT(J488:J1097)</f>
        <v>124</v>
      </c>
      <c r="P488" s="3" t="str">
        <f>TEXT(J488,"0.00")</f>
        <v>0.02</v>
      </c>
      <c r="Q488" s="3" t="str">
        <f>LEFT(L488,3)</f>
        <v>Spr</v>
      </c>
      <c r="R488" s="42" t="str">
        <f>RIGHT(L488,3)</f>
        <v>ing</v>
      </c>
      <c r="S488" s="42">
        <f>LEN(L488)</f>
        <v>6</v>
      </c>
      <c r="T488" s="3" t="str">
        <f>A488&amp;"|"&amp;B488&amp;"|"&amp;F488</f>
        <v>487|22-01-2011|8</v>
      </c>
      <c r="U488" s="3">
        <f t="shared" si="28"/>
        <v>610</v>
      </c>
      <c r="V488" s="3">
        <f t="shared" si="29"/>
        <v>120.10000000000005</v>
      </c>
      <c r="W488" s="50">
        <f t="shared" si="30"/>
        <v>8.1303845032683911E-2</v>
      </c>
      <c r="X488" s="50">
        <f t="shared" si="31"/>
        <v>0.16514794964716251</v>
      </c>
    </row>
    <row r="489" spans="1:24" x14ac:dyDescent="0.2">
      <c r="A489" s="4">
        <v>488</v>
      </c>
      <c r="B489" s="4" t="s">
        <v>36</v>
      </c>
      <c r="C489" s="4">
        <v>1</v>
      </c>
      <c r="D489" s="4">
        <v>0</v>
      </c>
      <c r="E489" s="4">
        <v>1</v>
      </c>
      <c r="F489" s="4">
        <v>9</v>
      </c>
      <c r="G489" s="4" t="b">
        <v>0</v>
      </c>
      <c r="H489" s="4">
        <v>6</v>
      </c>
      <c r="I489" s="4">
        <v>1</v>
      </c>
      <c r="J489" s="4">
        <v>0.04</v>
      </c>
      <c r="K489" s="6" t="str">
        <f>IF(H489=0,"weekend",IF(H489=6,"weekend","weekend"))</f>
        <v>weekend</v>
      </c>
      <c r="L489" s="3" t="str">
        <f>IF(C489=1,"Spring",IF(C489=2,"Summer",IF(C489=3,"Fall","Winter")))</f>
        <v>Spring</v>
      </c>
      <c r="M489" s="3">
        <f>SUM(J489:J513)</f>
        <v>1.7000000000000006</v>
      </c>
      <c r="N489" s="3">
        <f>AVERAGE(J489:J1098)</f>
        <v>0.15089430894308947</v>
      </c>
      <c r="O489" s="3">
        <f>COUNT(J489:J1098)</f>
        <v>123</v>
      </c>
      <c r="P489" s="3" t="str">
        <f>TEXT(J489,"0.00")</f>
        <v>0.04</v>
      </c>
      <c r="Q489" s="3" t="str">
        <f>LEFT(L489,3)</f>
        <v>Spr</v>
      </c>
      <c r="R489" s="42" t="str">
        <f>RIGHT(L489,3)</f>
        <v>ing</v>
      </c>
      <c r="S489" s="42">
        <f>LEN(L489)</f>
        <v>6</v>
      </c>
      <c r="T489" s="3" t="str">
        <f>A489&amp;"|"&amp;B489&amp;"|"&amp;F489</f>
        <v>488|22-01-2011|9</v>
      </c>
      <c r="U489" s="3">
        <f t="shared" si="28"/>
        <v>610</v>
      </c>
      <c r="V489" s="3">
        <f t="shared" si="29"/>
        <v>120.10000000000005</v>
      </c>
      <c r="W489" s="50">
        <f t="shared" si="30"/>
        <v>8.1303845032683911E-2</v>
      </c>
      <c r="X489" s="50">
        <f t="shared" si="31"/>
        <v>0.16514794964716251</v>
      </c>
    </row>
    <row r="490" spans="1:24" x14ac:dyDescent="0.2">
      <c r="A490" s="4">
        <v>489</v>
      </c>
      <c r="B490" s="4" t="s">
        <v>36</v>
      </c>
      <c r="C490" s="4">
        <v>1</v>
      </c>
      <c r="D490" s="4">
        <v>0</v>
      </c>
      <c r="E490" s="4">
        <v>1</v>
      </c>
      <c r="F490" s="4">
        <v>10</v>
      </c>
      <c r="G490" s="4" t="b">
        <v>0</v>
      </c>
      <c r="H490" s="4">
        <v>6</v>
      </c>
      <c r="I490" s="4">
        <v>2</v>
      </c>
      <c r="J490" s="4">
        <v>0.04</v>
      </c>
      <c r="K490" s="6" t="str">
        <f>IF(H490=0,"weekend",IF(H490=6,"weekend","weekend"))</f>
        <v>weekend</v>
      </c>
      <c r="L490" s="3" t="str">
        <f>IF(C490=1,"Spring",IF(C490=2,"Summer",IF(C490=3,"Fall","Winter")))</f>
        <v>Spring</v>
      </c>
      <c r="M490" s="3">
        <f>SUM(J490:J514)</f>
        <v>1.8000000000000007</v>
      </c>
      <c r="N490" s="3">
        <f>AVERAGE(J490:J1099)</f>
        <v>0.15180327868852461</v>
      </c>
      <c r="O490" s="3">
        <f>COUNT(J490:J1099)</f>
        <v>122</v>
      </c>
      <c r="P490" s="3" t="str">
        <f>TEXT(J490,"0.00")</f>
        <v>0.04</v>
      </c>
      <c r="Q490" s="3" t="str">
        <f>LEFT(L490,3)</f>
        <v>Spr</v>
      </c>
      <c r="R490" s="42" t="str">
        <f>RIGHT(L490,3)</f>
        <v>ing</v>
      </c>
      <c r="S490" s="42">
        <f>LEN(L490)</f>
        <v>6</v>
      </c>
      <c r="T490" s="3" t="str">
        <f>A490&amp;"|"&amp;B490&amp;"|"&amp;F490</f>
        <v>489|22-01-2011|10</v>
      </c>
      <c r="U490" s="3">
        <f t="shared" si="28"/>
        <v>610</v>
      </c>
      <c r="V490" s="3">
        <f t="shared" si="29"/>
        <v>120.10000000000005</v>
      </c>
      <c r="W490" s="50">
        <f t="shared" si="30"/>
        <v>8.1303845032683911E-2</v>
      </c>
      <c r="X490" s="50">
        <f t="shared" si="31"/>
        <v>0.16514794964716251</v>
      </c>
    </row>
    <row r="491" spans="1:24" x14ac:dyDescent="0.2">
      <c r="A491" s="4">
        <v>490</v>
      </c>
      <c r="B491" s="4" t="s">
        <v>36</v>
      </c>
      <c r="C491" s="4">
        <v>1</v>
      </c>
      <c r="D491" s="4">
        <v>0</v>
      </c>
      <c r="E491" s="4">
        <v>1</v>
      </c>
      <c r="F491" s="4">
        <v>11</v>
      </c>
      <c r="G491" s="4" t="b">
        <v>0</v>
      </c>
      <c r="H491" s="4">
        <v>6</v>
      </c>
      <c r="I491" s="4">
        <v>2</v>
      </c>
      <c r="J491" s="4">
        <v>0.06</v>
      </c>
      <c r="K491" s="6" t="str">
        <f>IF(H491=0,"weekend",IF(H491=6,"weekend","weekend"))</f>
        <v>weekend</v>
      </c>
      <c r="L491" s="3" t="str">
        <f>IF(C491=1,"Spring",IF(C491=2,"Summer",IF(C491=3,"Fall","Winter")))</f>
        <v>Spring</v>
      </c>
      <c r="M491" s="3">
        <f>SUM(J491:J515)</f>
        <v>1.9200000000000006</v>
      </c>
      <c r="N491" s="3">
        <f>AVERAGE(J491:J1100)</f>
        <v>0.15272727272727277</v>
      </c>
      <c r="O491" s="3">
        <f>COUNT(J491:J1100)</f>
        <v>121</v>
      </c>
      <c r="P491" s="3" t="str">
        <f>TEXT(J491,"0.00")</f>
        <v>0.06</v>
      </c>
      <c r="Q491" s="3" t="str">
        <f>LEFT(L491,3)</f>
        <v>Spr</v>
      </c>
      <c r="R491" s="42" t="str">
        <f>RIGHT(L491,3)</f>
        <v>ing</v>
      </c>
      <c r="S491" s="42">
        <f>LEN(L491)</f>
        <v>6</v>
      </c>
      <c r="T491" s="3" t="str">
        <f>A491&amp;"|"&amp;B491&amp;"|"&amp;F491</f>
        <v>490|22-01-2011|11</v>
      </c>
      <c r="U491" s="3">
        <f t="shared" si="28"/>
        <v>610</v>
      </c>
      <c r="V491" s="3">
        <f t="shared" si="29"/>
        <v>120.10000000000005</v>
      </c>
      <c r="W491" s="50">
        <f t="shared" si="30"/>
        <v>8.1303845032683911E-2</v>
      </c>
      <c r="X491" s="50">
        <f t="shared" si="31"/>
        <v>0.16514794964716251</v>
      </c>
    </row>
    <row r="492" spans="1:24" x14ac:dyDescent="0.2">
      <c r="A492" s="4">
        <v>491</v>
      </c>
      <c r="B492" s="4" t="s">
        <v>36</v>
      </c>
      <c r="C492" s="4">
        <v>1</v>
      </c>
      <c r="D492" s="4">
        <v>0</v>
      </c>
      <c r="E492" s="4">
        <v>1</v>
      </c>
      <c r="F492" s="4">
        <v>12</v>
      </c>
      <c r="G492" s="4" t="b">
        <v>0</v>
      </c>
      <c r="H492" s="4">
        <v>6</v>
      </c>
      <c r="I492" s="4">
        <v>2</v>
      </c>
      <c r="J492" s="4">
        <v>0.06</v>
      </c>
      <c r="K492" s="6" t="str">
        <f>IF(H492=0,"weekend",IF(H492=6,"weekend","weekend"))</f>
        <v>weekend</v>
      </c>
      <c r="L492" s="3" t="str">
        <f>IF(C492=1,"Spring",IF(C492=2,"Summer",IF(C492=3,"Fall","Winter")))</f>
        <v>Spring</v>
      </c>
      <c r="M492" s="3">
        <f>SUM(J492:J516)</f>
        <v>2.0000000000000004</v>
      </c>
      <c r="N492" s="3">
        <f>AVERAGE(J492:J1101)</f>
        <v>0.15350000000000003</v>
      </c>
      <c r="O492" s="3">
        <f>COUNT(J492:J1101)</f>
        <v>120</v>
      </c>
      <c r="P492" s="3" t="str">
        <f>TEXT(J492,"0.00")</f>
        <v>0.06</v>
      </c>
      <c r="Q492" s="3" t="str">
        <f>LEFT(L492,3)</f>
        <v>Spr</v>
      </c>
      <c r="R492" s="42" t="str">
        <f>RIGHT(L492,3)</f>
        <v>ing</v>
      </c>
      <c r="S492" s="42">
        <f>LEN(L492)</f>
        <v>6</v>
      </c>
      <c r="T492" s="3" t="str">
        <f>A492&amp;"|"&amp;B492&amp;"|"&amp;F492</f>
        <v>491|22-01-2011|12</v>
      </c>
      <c r="U492" s="3">
        <f t="shared" si="28"/>
        <v>610</v>
      </c>
      <c r="V492" s="3">
        <f t="shared" si="29"/>
        <v>120.10000000000005</v>
      </c>
      <c r="W492" s="50">
        <f t="shared" si="30"/>
        <v>8.1303845032683911E-2</v>
      </c>
      <c r="X492" s="50">
        <f t="shared" si="31"/>
        <v>0.16514794964716251</v>
      </c>
    </row>
    <row r="493" spans="1:24" x14ac:dyDescent="0.2">
      <c r="A493" s="4">
        <v>492</v>
      </c>
      <c r="B493" s="4" t="s">
        <v>36</v>
      </c>
      <c r="C493" s="4">
        <v>1</v>
      </c>
      <c r="D493" s="4">
        <v>0</v>
      </c>
      <c r="E493" s="4">
        <v>1</v>
      </c>
      <c r="F493" s="4">
        <v>13</v>
      </c>
      <c r="G493" s="4" t="b">
        <v>0</v>
      </c>
      <c r="H493" s="4">
        <v>6</v>
      </c>
      <c r="I493" s="4">
        <v>1</v>
      </c>
      <c r="J493" s="4">
        <v>0.08</v>
      </c>
      <c r="K493" s="6" t="str">
        <f>IF(H493=0,"weekend",IF(H493=6,"weekend","weekend"))</f>
        <v>weekend</v>
      </c>
      <c r="L493" s="3" t="str">
        <f>IF(C493=1,"Spring",IF(C493=2,"Summer",IF(C493=3,"Fall","Winter")))</f>
        <v>Spring</v>
      </c>
      <c r="M493" s="3">
        <f>SUM(J493:J517)</f>
        <v>2.1000000000000005</v>
      </c>
      <c r="N493" s="3">
        <f>AVERAGE(J493:J1102)</f>
        <v>0.1542857142857143</v>
      </c>
      <c r="O493" s="3">
        <f>COUNT(J493:J1102)</f>
        <v>119</v>
      </c>
      <c r="P493" s="3" t="str">
        <f>TEXT(J493,"0.00")</f>
        <v>0.08</v>
      </c>
      <c r="Q493" s="3" t="str">
        <f>LEFT(L493,3)</f>
        <v>Spr</v>
      </c>
      <c r="R493" s="42" t="str">
        <f>RIGHT(L493,3)</f>
        <v>ing</v>
      </c>
      <c r="S493" s="42">
        <f>LEN(L493)</f>
        <v>6</v>
      </c>
      <c r="T493" s="3" t="str">
        <f>A493&amp;"|"&amp;B493&amp;"|"&amp;F493</f>
        <v>492|22-01-2011|13</v>
      </c>
      <c r="U493" s="3">
        <f t="shared" si="28"/>
        <v>610</v>
      </c>
      <c r="V493" s="3">
        <f t="shared" si="29"/>
        <v>120.10000000000005</v>
      </c>
      <c r="W493" s="50">
        <f t="shared" si="30"/>
        <v>8.1303845032683911E-2</v>
      </c>
      <c r="X493" s="50">
        <f t="shared" si="31"/>
        <v>0.16514794964716251</v>
      </c>
    </row>
    <row r="494" spans="1:24" x14ac:dyDescent="0.2">
      <c r="A494" s="4">
        <v>493</v>
      </c>
      <c r="B494" s="4" t="s">
        <v>36</v>
      </c>
      <c r="C494" s="4">
        <v>1</v>
      </c>
      <c r="D494" s="4">
        <v>0</v>
      </c>
      <c r="E494" s="4">
        <v>1</v>
      </c>
      <c r="F494" s="4">
        <v>14</v>
      </c>
      <c r="G494" s="4" t="b">
        <v>0</v>
      </c>
      <c r="H494" s="4">
        <v>6</v>
      </c>
      <c r="I494" s="4">
        <v>1</v>
      </c>
      <c r="J494" s="4">
        <v>0.1</v>
      </c>
      <c r="K494" s="6" t="str">
        <f>IF(H494=0,"weekend",IF(H494=6,"weekend","weekend"))</f>
        <v>weekend</v>
      </c>
      <c r="L494" s="3" t="str">
        <f>IF(C494=1,"Spring",IF(C494=2,"Summer",IF(C494=3,"Fall","Winter")))</f>
        <v>Spring</v>
      </c>
      <c r="M494" s="3">
        <f>SUM(J494:J518)</f>
        <v>2.1800000000000006</v>
      </c>
      <c r="N494" s="3">
        <f>AVERAGE(J494:J1103)</f>
        <v>0.15491525423728816</v>
      </c>
      <c r="O494" s="3">
        <f>COUNT(J494:J1103)</f>
        <v>118</v>
      </c>
      <c r="P494" s="3" t="str">
        <f>TEXT(J494,"0.00")</f>
        <v>0.10</v>
      </c>
      <c r="Q494" s="3" t="str">
        <f>LEFT(L494,3)</f>
        <v>Spr</v>
      </c>
      <c r="R494" s="42" t="str">
        <f>RIGHT(L494,3)</f>
        <v>ing</v>
      </c>
      <c r="S494" s="42">
        <f>LEN(L494)</f>
        <v>6</v>
      </c>
      <c r="T494" s="3" t="str">
        <f>A494&amp;"|"&amp;B494&amp;"|"&amp;F494</f>
        <v>493|22-01-2011|14</v>
      </c>
      <c r="U494" s="3">
        <f t="shared" si="28"/>
        <v>610</v>
      </c>
      <c r="V494" s="3">
        <f t="shared" si="29"/>
        <v>120.10000000000005</v>
      </c>
      <c r="W494" s="50">
        <f t="shared" si="30"/>
        <v>8.1303845032683911E-2</v>
      </c>
      <c r="X494" s="50">
        <f t="shared" si="31"/>
        <v>0.16514794964716251</v>
      </c>
    </row>
    <row r="495" spans="1:24" x14ac:dyDescent="0.2">
      <c r="A495" s="4">
        <v>494</v>
      </c>
      <c r="B495" s="4" t="s">
        <v>36</v>
      </c>
      <c r="C495" s="4">
        <v>1</v>
      </c>
      <c r="D495" s="4">
        <v>0</v>
      </c>
      <c r="E495" s="4">
        <v>1</v>
      </c>
      <c r="F495" s="4">
        <v>15</v>
      </c>
      <c r="G495" s="4" t="b">
        <v>0</v>
      </c>
      <c r="H495" s="4">
        <v>6</v>
      </c>
      <c r="I495" s="4">
        <v>1</v>
      </c>
      <c r="J495" s="4">
        <v>0.12</v>
      </c>
      <c r="K495" s="6" t="str">
        <f>IF(H495=0,"weekend",IF(H495=6,"weekend","weekend"))</f>
        <v>weekend</v>
      </c>
      <c r="L495" s="3" t="str">
        <f>IF(C495=1,"Spring",IF(C495=2,"Summer",IF(C495=3,"Fall","Winter")))</f>
        <v>Spring</v>
      </c>
      <c r="M495" s="3">
        <f>SUM(J495:J519)</f>
        <v>2.2400000000000007</v>
      </c>
      <c r="N495" s="3">
        <f>AVERAGE(J495:J1104)</f>
        <v>0.1553846153846154</v>
      </c>
      <c r="O495" s="3">
        <f>COUNT(J495:J1104)</f>
        <v>117</v>
      </c>
      <c r="P495" s="3" t="str">
        <f>TEXT(J495,"0.00")</f>
        <v>0.12</v>
      </c>
      <c r="Q495" s="3" t="str">
        <f>LEFT(L495,3)</f>
        <v>Spr</v>
      </c>
      <c r="R495" s="42" t="str">
        <f>RIGHT(L495,3)</f>
        <v>ing</v>
      </c>
      <c r="S495" s="42">
        <f>LEN(L495)</f>
        <v>6</v>
      </c>
      <c r="T495" s="3" t="str">
        <f>A495&amp;"|"&amp;B495&amp;"|"&amp;F495</f>
        <v>494|22-01-2011|15</v>
      </c>
      <c r="U495" s="3">
        <f t="shared" si="28"/>
        <v>610</v>
      </c>
      <c r="V495" s="3">
        <f t="shared" si="29"/>
        <v>120.10000000000005</v>
      </c>
      <c r="W495" s="50">
        <f t="shared" si="30"/>
        <v>8.1303845032683911E-2</v>
      </c>
      <c r="X495" s="50">
        <f t="shared" si="31"/>
        <v>0.16514794964716251</v>
      </c>
    </row>
    <row r="496" spans="1:24" x14ac:dyDescent="0.2">
      <c r="A496" s="4">
        <v>495</v>
      </c>
      <c r="B496" s="4" t="s">
        <v>36</v>
      </c>
      <c r="C496" s="4">
        <v>1</v>
      </c>
      <c r="D496" s="4">
        <v>0</v>
      </c>
      <c r="E496" s="4">
        <v>1</v>
      </c>
      <c r="F496" s="4">
        <v>16</v>
      </c>
      <c r="G496" s="4" t="b">
        <v>0</v>
      </c>
      <c r="H496" s="4">
        <v>6</v>
      </c>
      <c r="I496" s="4">
        <v>1</v>
      </c>
      <c r="J496" s="4">
        <v>0.12</v>
      </c>
      <c r="K496" s="6" t="str">
        <f>IF(H496=0,"weekend",IF(H496=6,"weekend","weekend"))</f>
        <v>weekend</v>
      </c>
      <c r="L496" s="3" t="str">
        <f>IF(C496=1,"Spring",IF(C496=2,"Summer",IF(C496=3,"Fall","Winter")))</f>
        <v>Spring</v>
      </c>
      <c r="M496" s="3">
        <f>SUM(J496:J520)</f>
        <v>2.2600000000000002</v>
      </c>
      <c r="N496" s="3">
        <f>AVERAGE(J496:J1105)</f>
        <v>0.15568965517241382</v>
      </c>
      <c r="O496" s="3">
        <f>COUNT(J496:J1105)</f>
        <v>116</v>
      </c>
      <c r="P496" s="3" t="str">
        <f>TEXT(J496,"0.00")</f>
        <v>0.12</v>
      </c>
      <c r="Q496" s="3" t="str">
        <f>LEFT(L496,3)</f>
        <v>Spr</v>
      </c>
      <c r="R496" s="42" t="str">
        <f>RIGHT(L496,3)</f>
        <v>ing</v>
      </c>
      <c r="S496" s="42">
        <f>LEN(L496)</f>
        <v>6</v>
      </c>
      <c r="T496" s="3" t="str">
        <f>A496&amp;"|"&amp;B496&amp;"|"&amp;F496</f>
        <v>495|22-01-2011|16</v>
      </c>
      <c r="U496" s="3">
        <f t="shared" si="28"/>
        <v>610</v>
      </c>
      <c r="V496" s="3">
        <f t="shared" si="29"/>
        <v>120.10000000000005</v>
      </c>
      <c r="W496" s="50">
        <f t="shared" si="30"/>
        <v>8.1303845032683911E-2</v>
      </c>
      <c r="X496" s="50">
        <f t="shared" si="31"/>
        <v>0.16514794964716251</v>
      </c>
    </row>
    <row r="497" spans="1:24" x14ac:dyDescent="0.2">
      <c r="A497" s="4">
        <v>496</v>
      </c>
      <c r="B497" s="4" t="s">
        <v>36</v>
      </c>
      <c r="C497" s="4">
        <v>1</v>
      </c>
      <c r="D497" s="4">
        <v>0</v>
      </c>
      <c r="E497" s="4">
        <v>1</v>
      </c>
      <c r="F497" s="4">
        <v>17</v>
      </c>
      <c r="G497" s="4" t="b">
        <v>0</v>
      </c>
      <c r="H497" s="4">
        <v>6</v>
      </c>
      <c r="I497" s="4">
        <v>1</v>
      </c>
      <c r="J497" s="4">
        <v>0.12</v>
      </c>
      <c r="K497" s="6" t="str">
        <f>IF(H497=0,"weekend",IF(H497=6,"weekend","weekend"))</f>
        <v>weekend</v>
      </c>
      <c r="L497" s="3" t="str">
        <f>IF(C497=1,"Spring",IF(C497=2,"Summer",IF(C497=3,"Fall","Winter")))</f>
        <v>Spring</v>
      </c>
      <c r="M497" s="3">
        <f>SUM(J497:J521)</f>
        <v>2.2599999999999998</v>
      </c>
      <c r="N497" s="3">
        <f>AVERAGE(J497:J1106)</f>
        <v>0.156</v>
      </c>
      <c r="O497" s="3">
        <f>COUNT(J497:J1106)</f>
        <v>115</v>
      </c>
      <c r="P497" s="3" t="str">
        <f>TEXT(J497,"0.00")</f>
        <v>0.12</v>
      </c>
      <c r="Q497" s="3" t="str">
        <f>LEFT(L497,3)</f>
        <v>Spr</v>
      </c>
      <c r="R497" s="42" t="str">
        <f>RIGHT(L497,3)</f>
        <v>ing</v>
      </c>
      <c r="S497" s="42">
        <f>LEN(L497)</f>
        <v>6</v>
      </c>
      <c r="T497" s="3" t="str">
        <f>A497&amp;"|"&amp;B497&amp;"|"&amp;F497</f>
        <v>496|22-01-2011|17</v>
      </c>
      <c r="U497" s="3">
        <f t="shared" si="28"/>
        <v>610</v>
      </c>
      <c r="V497" s="3">
        <f t="shared" si="29"/>
        <v>120.10000000000005</v>
      </c>
      <c r="W497" s="50">
        <f t="shared" si="30"/>
        <v>8.1303845032683911E-2</v>
      </c>
      <c r="X497" s="50">
        <f t="shared" si="31"/>
        <v>0.16514794964716251</v>
      </c>
    </row>
    <row r="498" spans="1:24" x14ac:dyDescent="0.2">
      <c r="A498" s="4">
        <v>497</v>
      </c>
      <c r="B498" s="4" t="s">
        <v>36</v>
      </c>
      <c r="C498" s="4">
        <v>1</v>
      </c>
      <c r="D498" s="4">
        <v>0</v>
      </c>
      <c r="E498" s="4">
        <v>1</v>
      </c>
      <c r="F498" s="4">
        <v>18</v>
      </c>
      <c r="G498" s="4" t="b">
        <v>0</v>
      </c>
      <c r="H498" s="4">
        <v>6</v>
      </c>
      <c r="I498" s="4">
        <v>1</v>
      </c>
      <c r="J498" s="4">
        <v>0.08</v>
      </c>
      <c r="K498" s="6" t="str">
        <f>IF(H498=0,"weekend",IF(H498=6,"weekend","weekend"))</f>
        <v>weekend</v>
      </c>
      <c r="L498" s="3" t="str">
        <f>IF(C498=1,"Spring",IF(C498=2,"Summer",IF(C498=3,"Fall","Winter")))</f>
        <v>Spring</v>
      </c>
      <c r="M498" s="3">
        <f>SUM(J498:J522)</f>
        <v>2.2599999999999998</v>
      </c>
      <c r="N498" s="3">
        <f>AVERAGE(J498:J1107)</f>
        <v>0.15631578947368421</v>
      </c>
      <c r="O498" s="3">
        <f>COUNT(J498:J1107)</f>
        <v>114</v>
      </c>
      <c r="P498" s="3" t="str">
        <f>TEXT(J498,"0.00")</f>
        <v>0.08</v>
      </c>
      <c r="Q498" s="3" t="str">
        <f>LEFT(L498,3)</f>
        <v>Spr</v>
      </c>
      <c r="R498" s="42" t="str">
        <f>RIGHT(L498,3)</f>
        <v>ing</v>
      </c>
      <c r="S498" s="42">
        <f>LEN(L498)</f>
        <v>6</v>
      </c>
      <c r="T498" s="3" t="str">
        <f>A498&amp;"|"&amp;B498&amp;"|"&amp;F498</f>
        <v>497|22-01-2011|18</v>
      </c>
      <c r="U498" s="3">
        <f t="shared" si="28"/>
        <v>610</v>
      </c>
      <c r="V498" s="3">
        <f t="shared" si="29"/>
        <v>120.10000000000005</v>
      </c>
      <c r="W498" s="50">
        <f t="shared" si="30"/>
        <v>8.1303845032683911E-2</v>
      </c>
      <c r="X498" s="50">
        <f t="shared" si="31"/>
        <v>0.16514794964716251</v>
      </c>
    </row>
    <row r="499" spans="1:24" x14ac:dyDescent="0.2">
      <c r="A499" s="4">
        <v>498</v>
      </c>
      <c r="B499" s="4" t="s">
        <v>36</v>
      </c>
      <c r="C499" s="4">
        <v>1</v>
      </c>
      <c r="D499" s="4">
        <v>0</v>
      </c>
      <c r="E499" s="4">
        <v>1</v>
      </c>
      <c r="F499" s="4">
        <v>19</v>
      </c>
      <c r="G499" s="4" t="b">
        <v>0</v>
      </c>
      <c r="H499" s="4">
        <v>6</v>
      </c>
      <c r="I499" s="4">
        <v>1</v>
      </c>
      <c r="J499" s="4">
        <v>0.08</v>
      </c>
      <c r="K499" s="6" t="str">
        <f>IF(H499=0,"weekend",IF(H499=6,"weekend","weekend"))</f>
        <v>weekend</v>
      </c>
      <c r="L499" s="3" t="str">
        <f>IF(C499=1,"Spring",IF(C499=2,"Summer",IF(C499=3,"Fall","Winter")))</f>
        <v>Spring</v>
      </c>
      <c r="M499" s="3">
        <f>SUM(J499:J523)</f>
        <v>2.2799999999999998</v>
      </c>
      <c r="N499" s="3">
        <f>AVERAGE(J499:J1108)</f>
        <v>0.15699115044247788</v>
      </c>
      <c r="O499" s="3">
        <f>COUNT(J499:J1108)</f>
        <v>113</v>
      </c>
      <c r="P499" s="3" t="str">
        <f>TEXT(J499,"0.00")</f>
        <v>0.08</v>
      </c>
      <c r="Q499" s="3" t="str">
        <f>LEFT(L499,3)</f>
        <v>Spr</v>
      </c>
      <c r="R499" s="42" t="str">
        <f>RIGHT(L499,3)</f>
        <v>ing</v>
      </c>
      <c r="S499" s="42">
        <f>LEN(L499)</f>
        <v>6</v>
      </c>
      <c r="T499" s="3" t="str">
        <f>A499&amp;"|"&amp;B499&amp;"|"&amp;F499</f>
        <v>498|22-01-2011|19</v>
      </c>
      <c r="U499" s="3">
        <f t="shared" si="28"/>
        <v>610</v>
      </c>
      <c r="V499" s="3">
        <f t="shared" si="29"/>
        <v>120.10000000000005</v>
      </c>
      <c r="W499" s="50">
        <f t="shared" si="30"/>
        <v>8.1303845032683911E-2</v>
      </c>
      <c r="X499" s="50">
        <f t="shared" si="31"/>
        <v>0.16514794964716251</v>
      </c>
    </row>
    <row r="500" spans="1:24" x14ac:dyDescent="0.2">
      <c r="A500" s="4">
        <v>499</v>
      </c>
      <c r="B500" s="4" t="s">
        <v>36</v>
      </c>
      <c r="C500" s="4">
        <v>1</v>
      </c>
      <c r="D500" s="4">
        <v>0</v>
      </c>
      <c r="E500" s="4">
        <v>1</v>
      </c>
      <c r="F500" s="4">
        <v>20</v>
      </c>
      <c r="G500" s="4" t="b">
        <v>0</v>
      </c>
      <c r="H500" s="4">
        <v>6</v>
      </c>
      <c r="I500" s="4">
        <v>1</v>
      </c>
      <c r="J500" s="4">
        <v>0.06</v>
      </c>
      <c r="K500" s="6" t="str">
        <f>IF(H500=0,"weekend",IF(H500=6,"weekend","weekend"))</f>
        <v>weekend</v>
      </c>
      <c r="L500" s="3" t="str">
        <f>IF(C500=1,"Spring",IF(C500=2,"Summer",IF(C500=3,"Fall","Winter")))</f>
        <v>Spring</v>
      </c>
      <c r="M500" s="3">
        <f>SUM(J500:J524)</f>
        <v>2.3000000000000003</v>
      </c>
      <c r="N500" s="3">
        <f>AVERAGE(J500:J1109)</f>
        <v>0.15767857142857147</v>
      </c>
      <c r="O500" s="3">
        <f>COUNT(J500:J1109)</f>
        <v>112</v>
      </c>
      <c r="P500" s="3" t="str">
        <f>TEXT(J500,"0.00")</f>
        <v>0.06</v>
      </c>
      <c r="Q500" s="3" t="str">
        <f>LEFT(L500,3)</f>
        <v>Spr</v>
      </c>
      <c r="R500" s="42" t="str">
        <f>RIGHT(L500,3)</f>
        <v>ing</v>
      </c>
      <c r="S500" s="42">
        <f>LEN(L500)</f>
        <v>6</v>
      </c>
      <c r="T500" s="3" t="str">
        <f>A500&amp;"|"&amp;B500&amp;"|"&amp;F500</f>
        <v>499|22-01-2011|20</v>
      </c>
      <c r="U500" s="3">
        <f t="shared" si="28"/>
        <v>610</v>
      </c>
      <c r="V500" s="3">
        <f t="shared" si="29"/>
        <v>120.10000000000005</v>
      </c>
      <c r="W500" s="50">
        <f t="shared" si="30"/>
        <v>8.1303845032683911E-2</v>
      </c>
      <c r="X500" s="50">
        <f t="shared" si="31"/>
        <v>0.16514794964716251</v>
      </c>
    </row>
    <row r="501" spans="1:24" x14ac:dyDescent="0.2">
      <c r="A501" s="4">
        <v>500</v>
      </c>
      <c r="B501" s="4" t="s">
        <v>36</v>
      </c>
      <c r="C501" s="4">
        <v>1</v>
      </c>
      <c r="D501" s="4">
        <v>0</v>
      </c>
      <c r="E501" s="4">
        <v>1</v>
      </c>
      <c r="F501" s="4">
        <v>21</v>
      </c>
      <c r="G501" s="4" t="b">
        <v>0</v>
      </c>
      <c r="H501" s="4">
        <v>6</v>
      </c>
      <c r="I501" s="4">
        <v>1</v>
      </c>
      <c r="J501" s="4">
        <v>0.06</v>
      </c>
      <c r="K501" s="6" t="str">
        <f>IF(H501=0,"weekend",IF(H501=6,"weekend","weekend"))</f>
        <v>weekend</v>
      </c>
      <c r="L501" s="3" t="str">
        <f>IF(C501=1,"Spring",IF(C501=2,"Summer",IF(C501=3,"Fall","Winter")))</f>
        <v>Spring</v>
      </c>
      <c r="M501" s="3">
        <f>SUM(J501:J525)</f>
        <v>2.3200000000000003</v>
      </c>
      <c r="N501" s="3">
        <f>AVERAGE(J501:J1110)</f>
        <v>0.15855855855855858</v>
      </c>
      <c r="O501" s="3">
        <f>COUNT(J501:J1110)</f>
        <v>111</v>
      </c>
      <c r="P501" s="3" t="str">
        <f>TEXT(J501,"0.00")</f>
        <v>0.06</v>
      </c>
      <c r="Q501" s="3" t="str">
        <f>LEFT(L501,3)</f>
        <v>Spr</v>
      </c>
      <c r="R501" s="42" t="str">
        <f>RIGHT(L501,3)</f>
        <v>ing</v>
      </c>
      <c r="S501" s="42">
        <f>LEN(L501)</f>
        <v>6</v>
      </c>
      <c r="T501" s="3" t="str">
        <f>A501&amp;"|"&amp;B501&amp;"|"&amp;F501</f>
        <v>500|22-01-2011|21</v>
      </c>
      <c r="U501" s="3">
        <f t="shared" si="28"/>
        <v>610</v>
      </c>
      <c r="V501" s="3">
        <f t="shared" si="29"/>
        <v>120.10000000000005</v>
      </c>
      <c r="W501" s="50">
        <f t="shared" si="30"/>
        <v>8.1303845032683911E-2</v>
      </c>
      <c r="X501" s="50">
        <f t="shared" si="31"/>
        <v>0.16514794964716251</v>
      </c>
    </row>
    <row r="502" spans="1:24" x14ac:dyDescent="0.2">
      <c r="A502" s="4">
        <v>501</v>
      </c>
      <c r="B502" s="4" t="s">
        <v>36</v>
      </c>
      <c r="C502" s="4">
        <v>1</v>
      </c>
      <c r="D502" s="4">
        <v>0</v>
      </c>
      <c r="E502" s="4">
        <v>1</v>
      </c>
      <c r="F502" s="4">
        <v>22</v>
      </c>
      <c r="G502" s="4" t="b">
        <v>0</v>
      </c>
      <c r="H502" s="4">
        <v>6</v>
      </c>
      <c r="I502" s="4">
        <v>1</v>
      </c>
      <c r="J502" s="4">
        <v>0.06</v>
      </c>
      <c r="K502" s="6" t="str">
        <f>IF(H502=0,"weekend",IF(H502=6,"weekend","weekend"))</f>
        <v>weekend</v>
      </c>
      <c r="L502" s="3" t="str">
        <f>IF(C502=1,"Spring",IF(C502=2,"Summer",IF(C502=3,"Fall","Winter")))</f>
        <v>Spring</v>
      </c>
      <c r="M502" s="3">
        <f>SUM(J502:J526)</f>
        <v>2.3200000000000003</v>
      </c>
      <c r="N502" s="3">
        <f>AVERAGE(J502:J1111)</f>
        <v>0.15945454545454549</v>
      </c>
      <c r="O502" s="3">
        <f>COUNT(J502:J1111)</f>
        <v>110</v>
      </c>
      <c r="P502" s="3" t="str">
        <f>TEXT(J502,"0.00")</f>
        <v>0.06</v>
      </c>
      <c r="Q502" s="3" t="str">
        <f>LEFT(L502,3)</f>
        <v>Spr</v>
      </c>
      <c r="R502" s="42" t="str">
        <f>RIGHT(L502,3)</f>
        <v>ing</v>
      </c>
      <c r="S502" s="42">
        <f>LEN(L502)</f>
        <v>6</v>
      </c>
      <c r="T502" s="3" t="str">
        <f>A502&amp;"|"&amp;B502&amp;"|"&amp;F502</f>
        <v>501|22-01-2011|22</v>
      </c>
      <c r="U502" s="3">
        <f t="shared" si="28"/>
        <v>610</v>
      </c>
      <c r="V502" s="3">
        <f t="shared" si="29"/>
        <v>120.10000000000005</v>
      </c>
      <c r="W502" s="50">
        <f t="shared" si="30"/>
        <v>8.1303845032683911E-2</v>
      </c>
      <c r="X502" s="50">
        <f t="shared" si="31"/>
        <v>0.16514794964716251</v>
      </c>
    </row>
    <row r="503" spans="1:24" x14ac:dyDescent="0.2">
      <c r="A503" s="4">
        <v>502</v>
      </c>
      <c r="B503" s="4" t="s">
        <v>36</v>
      </c>
      <c r="C503" s="4">
        <v>1</v>
      </c>
      <c r="D503" s="4">
        <v>0</v>
      </c>
      <c r="E503" s="4">
        <v>1</v>
      </c>
      <c r="F503" s="4">
        <v>23</v>
      </c>
      <c r="G503" s="4" t="b">
        <v>0</v>
      </c>
      <c r="H503" s="4">
        <v>6</v>
      </c>
      <c r="I503" s="4">
        <v>1</v>
      </c>
      <c r="J503" s="4">
        <v>0.04</v>
      </c>
      <c r="K503" s="6" t="str">
        <f>IF(H503=0,"weekend",IF(H503=6,"weekend","weekend"))</f>
        <v>weekend</v>
      </c>
      <c r="L503" s="3" t="str">
        <f>IF(C503=1,"Spring",IF(C503=2,"Summer",IF(C503=3,"Fall","Winter")))</f>
        <v>Spring</v>
      </c>
      <c r="M503" s="3">
        <f>SUM(J503:J527)</f>
        <v>2.3200000000000003</v>
      </c>
      <c r="N503" s="3">
        <f>AVERAGE(J503:J1112)</f>
        <v>0.16036697247706422</v>
      </c>
      <c r="O503" s="3">
        <f>COUNT(J503:J1112)</f>
        <v>109</v>
      </c>
      <c r="P503" s="3" t="str">
        <f>TEXT(J503,"0.00")</f>
        <v>0.04</v>
      </c>
      <c r="Q503" s="3" t="str">
        <f>LEFT(L503,3)</f>
        <v>Spr</v>
      </c>
      <c r="R503" s="42" t="str">
        <f>RIGHT(L503,3)</f>
        <v>ing</v>
      </c>
      <c r="S503" s="42">
        <f>LEN(L503)</f>
        <v>6</v>
      </c>
      <c r="T503" s="3" t="str">
        <f>A503&amp;"|"&amp;B503&amp;"|"&amp;F503</f>
        <v>502|22-01-2011|23</v>
      </c>
      <c r="U503" s="3">
        <f t="shared" si="28"/>
        <v>610</v>
      </c>
      <c r="V503" s="3">
        <f t="shared" si="29"/>
        <v>120.10000000000005</v>
      </c>
      <c r="W503" s="50">
        <f t="shared" si="30"/>
        <v>8.1303845032683911E-2</v>
      </c>
      <c r="X503" s="50">
        <f t="shared" si="31"/>
        <v>0.16514794964716251</v>
      </c>
    </row>
    <row r="504" spans="1:24" x14ac:dyDescent="0.2">
      <c r="A504" s="4">
        <v>503</v>
      </c>
      <c r="B504" s="4" t="s">
        <v>37</v>
      </c>
      <c r="C504" s="4">
        <v>1</v>
      </c>
      <c r="D504" s="4">
        <v>0</v>
      </c>
      <c r="E504" s="4">
        <v>1</v>
      </c>
      <c r="F504" s="4">
        <v>0</v>
      </c>
      <c r="G504" s="4" t="b">
        <v>0</v>
      </c>
      <c r="H504" s="4">
        <v>0</v>
      </c>
      <c r="I504" s="4">
        <v>1</v>
      </c>
      <c r="J504" s="4">
        <v>0.04</v>
      </c>
      <c r="K504" s="6" t="str">
        <f>IF(H504=0,"weekend",IF(H504=6,"weekend","weekend"))</f>
        <v>weekend</v>
      </c>
      <c r="L504" s="3" t="str">
        <f>IF(C504=1,"Spring",IF(C504=2,"Summer",IF(C504=3,"Fall","Winter")))</f>
        <v>Spring</v>
      </c>
      <c r="M504" s="3">
        <f>SUM(J504:J528)</f>
        <v>2.3200000000000003</v>
      </c>
      <c r="N504" s="3">
        <f>AVERAGE(J504:J1113)</f>
        <v>0.1614814814814815</v>
      </c>
      <c r="O504" s="3">
        <f>COUNT(J504:J1113)</f>
        <v>108</v>
      </c>
      <c r="P504" s="3" t="str">
        <f>TEXT(J504,"0.00")</f>
        <v>0.04</v>
      </c>
      <c r="Q504" s="3" t="str">
        <f>LEFT(L504,3)</f>
        <v>Spr</v>
      </c>
      <c r="R504" s="42" t="str">
        <f>RIGHT(L504,3)</f>
        <v>ing</v>
      </c>
      <c r="S504" s="42">
        <f>LEN(L504)</f>
        <v>6</v>
      </c>
      <c r="T504" s="3" t="str">
        <f>A504&amp;"|"&amp;B504&amp;"|"&amp;F504</f>
        <v>503|23-01-2011|0</v>
      </c>
      <c r="U504" s="3">
        <f t="shared" si="28"/>
        <v>610</v>
      </c>
      <c r="V504" s="3">
        <f t="shared" si="29"/>
        <v>120.10000000000005</v>
      </c>
      <c r="W504" s="50">
        <f t="shared" si="30"/>
        <v>8.1303845032683911E-2</v>
      </c>
      <c r="X504" s="50">
        <f t="shared" si="31"/>
        <v>0.16514794964716251</v>
      </c>
    </row>
    <row r="505" spans="1:24" x14ac:dyDescent="0.2">
      <c r="A505" s="4">
        <v>504</v>
      </c>
      <c r="B505" s="4" t="s">
        <v>37</v>
      </c>
      <c r="C505" s="4">
        <v>1</v>
      </c>
      <c r="D505" s="4">
        <v>0</v>
      </c>
      <c r="E505" s="4">
        <v>1</v>
      </c>
      <c r="F505" s="4">
        <v>1</v>
      </c>
      <c r="G505" s="4" t="b">
        <v>0</v>
      </c>
      <c r="H505" s="4">
        <v>0</v>
      </c>
      <c r="I505" s="4">
        <v>1</v>
      </c>
      <c r="J505" s="4">
        <v>0.04</v>
      </c>
      <c r="K505" s="6" t="str">
        <f>IF(H505=0,"weekend",IF(H505=6,"weekend","weekend"))</f>
        <v>weekend</v>
      </c>
      <c r="L505" s="3" t="str">
        <f>IF(C505=1,"Spring",IF(C505=2,"Summer",IF(C505=3,"Fall","Winter")))</f>
        <v>Spring</v>
      </c>
      <c r="M505" s="3">
        <f>SUM(J505:J529)</f>
        <v>2.3200000000000007</v>
      </c>
      <c r="N505" s="3">
        <f>AVERAGE(J505:J1114)</f>
        <v>0.16261682242990655</v>
      </c>
      <c r="O505" s="3">
        <f>COUNT(J505:J1114)</f>
        <v>107</v>
      </c>
      <c r="P505" s="3" t="str">
        <f>TEXT(J505,"0.00")</f>
        <v>0.04</v>
      </c>
      <c r="Q505" s="3" t="str">
        <f>LEFT(L505,3)</f>
        <v>Spr</v>
      </c>
      <c r="R505" s="42" t="str">
        <f>RIGHT(L505,3)</f>
        <v>ing</v>
      </c>
      <c r="S505" s="42">
        <f>LEN(L505)</f>
        <v>6</v>
      </c>
      <c r="T505" s="3" t="str">
        <f>A505&amp;"|"&amp;B505&amp;"|"&amp;F505</f>
        <v>504|23-01-2011|1</v>
      </c>
      <c r="U505" s="3">
        <f t="shared" si="28"/>
        <v>610</v>
      </c>
      <c r="V505" s="3">
        <f t="shared" si="29"/>
        <v>120.10000000000005</v>
      </c>
      <c r="W505" s="50">
        <f t="shared" si="30"/>
        <v>8.1303845032683911E-2</v>
      </c>
      <c r="X505" s="50">
        <f t="shared" si="31"/>
        <v>0.16514794964716251</v>
      </c>
    </row>
    <row r="506" spans="1:24" x14ac:dyDescent="0.2">
      <c r="A506" s="4">
        <v>505</v>
      </c>
      <c r="B506" s="4" t="s">
        <v>37</v>
      </c>
      <c r="C506" s="4">
        <v>1</v>
      </c>
      <c r="D506" s="4">
        <v>0</v>
      </c>
      <c r="E506" s="4">
        <v>1</v>
      </c>
      <c r="F506" s="4">
        <v>2</v>
      </c>
      <c r="G506" s="4" t="b">
        <v>0</v>
      </c>
      <c r="H506" s="4">
        <v>0</v>
      </c>
      <c r="I506" s="4">
        <v>1</v>
      </c>
      <c r="J506" s="4">
        <v>0.02</v>
      </c>
      <c r="K506" s="6" t="str">
        <f>IF(H506=0,"weekend",IF(H506=6,"weekend","weekend"))</f>
        <v>weekend</v>
      </c>
      <c r="L506" s="3" t="str">
        <f>IF(C506=1,"Spring",IF(C506=2,"Summer",IF(C506=3,"Fall","Winter")))</f>
        <v>Spring</v>
      </c>
      <c r="M506" s="3">
        <f>SUM(J506:J530)</f>
        <v>2.3000000000000007</v>
      </c>
      <c r="N506" s="3">
        <f>AVERAGE(J506:J1115)</f>
        <v>0.16377358490566041</v>
      </c>
      <c r="O506" s="3">
        <f>COUNT(J506:J1115)</f>
        <v>106</v>
      </c>
      <c r="P506" s="3" t="str">
        <f>TEXT(J506,"0.00")</f>
        <v>0.02</v>
      </c>
      <c r="Q506" s="3" t="str">
        <f>LEFT(L506,3)</f>
        <v>Spr</v>
      </c>
      <c r="R506" s="42" t="str">
        <f>RIGHT(L506,3)</f>
        <v>ing</v>
      </c>
      <c r="S506" s="42">
        <f>LEN(L506)</f>
        <v>6</v>
      </c>
      <c r="T506" s="3" t="str">
        <f>A506&amp;"|"&amp;B506&amp;"|"&amp;F506</f>
        <v>505|23-01-2011|2</v>
      </c>
      <c r="U506" s="3">
        <f t="shared" si="28"/>
        <v>610</v>
      </c>
      <c r="V506" s="3">
        <f t="shared" si="29"/>
        <v>120.10000000000005</v>
      </c>
      <c r="W506" s="50">
        <f t="shared" si="30"/>
        <v>8.1303845032683911E-2</v>
      </c>
      <c r="X506" s="50">
        <f t="shared" si="31"/>
        <v>0.16514794964716251</v>
      </c>
    </row>
    <row r="507" spans="1:24" x14ac:dyDescent="0.2">
      <c r="A507" s="4">
        <v>506</v>
      </c>
      <c r="B507" s="4" t="s">
        <v>37</v>
      </c>
      <c r="C507" s="4">
        <v>1</v>
      </c>
      <c r="D507" s="4">
        <v>0</v>
      </c>
      <c r="E507" s="4">
        <v>1</v>
      </c>
      <c r="F507" s="4">
        <v>3</v>
      </c>
      <c r="G507" s="4" t="b">
        <v>0</v>
      </c>
      <c r="H507" s="4">
        <v>0</v>
      </c>
      <c r="I507" s="4">
        <v>1</v>
      </c>
      <c r="J507" s="4">
        <v>0.02</v>
      </c>
      <c r="K507" s="6" t="str">
        <f>IF(H507=0,"weekend",IF(H507=6,"weekend","weekend"))</f>
        <v>weekend</v>
      </c>
      <c r="L507" s="3" t="str">
        <f>IF(C507=1,"Spring",IF(C507=2,"Summer",IF(C507=3,"Fall","Winter")))</f>
        <v>Spring</v>
      </c>
      <c r="M507" s="3">
        <f>SUM(J507:J531)</f>
        <v>2.3000000000000007</v>
      </c>
      <c r="N507" s="3">
        <f>AVERAGE(J507:J1116)</f>
        <v>0.16514285714285717</v>
      </c>
      <c r="O507" s="3">
        <f>COUNT(J507:J1116)</f>
        <v>105</v>
      </c>
      <c r="P507" s="3" t="str">
        <f>TEXT(J507,"0.00")</f>
        <v>0.02</v>
      </c>
      <c r="Q507" s="3" t="str">
        <f>LEFT(L507,3)</f>
        <v>Spr</v>
      </c>
      <c r="R507" s="42" t="str">
        <f>RIGHT(L507,3)</f>
        <v>ing</v>
      </c>
      <c r="S507" s="42">
        <f>LEN(L507)</f>
        <v>6</v>
      </c>
      <c r="T507" s="3" t="str">
        <f>A507&amp;"|"&amp;B507&amp;"|"&amp;F507</f>
        <v>506|23-01-2011|3</v>
      </c>
      <c r="U507" s="3">
        <f t="shared" si="28"/>
        <v>610</v>
      </c>
      <c r="V507" s="3">
        <f t="shared" si="29"/>
        <v>120.10000000000005</v>
      </c>
      <c r="W507" s="50">
        <f t="shared" si="30"/>
        <v>8.1303845032683911E-2</v>
      </c>
      <c r="X507" s="50">
        <f t="shared" si="31"/>
        <v>0.16514794964716251</v>
      </c>
    </row>
    <row r="508" spans="1:24" x14ac:dyDescent="0.2">
      <c r="A508" s="4">
        <v>507</v>
      </c>
      <c r="B508" s="4" t="s">
        <v>37</v>
      </c>
      <c r="C508" s="4">
        <v>1</v>
      </c>
      <c r="D508" s="4">
        <v>0</v>
      </c>
      <c r="E508" s="4">
        <v>1</v>
      </c>
      <c r="F508" s="4">
        <v>5</v>
      </c>
      <c r="G508" s="4" t="b">
        <v>0</v>
      </c>
      <c r="H508" s="4">
        <v>0</v>
      </c>
      <c r="I508" s="4">
        <v>2</v>
      </c>
      <c r="J508" s="4">
        <v>0.04</v>
      </c>
      <c r="K508" s="6" t="str">
        <f>IF(H508=0,"weekend",IF(H508=6,"weekend","weekend"))</f>
        <v>weekend</v>
      </c>
      <c r="L508" s="3" t="str">
        <f>IF(C508=1,"Spring",IF(C508=2,"Summer",IF(C508=3,"Fall","Winter")))</f>
        <v>Spring</v>
      </c>
      <c r="M508" s="3">
        <f>SUM(J508:J532)</f>
        <v>2.3000000000000007</v>
      </c>
      <c r="N508" s="3">
        <f>AVERAGE(J508:J1117)</f>
        <v>0.16653846153846155</v>
      </c>
      <c r="O508" s="3">
        <f>COUNT(J508:J1117)</f>
        <v>104</v>
      </c>
      <c r="P508" s="3" t="str">
        <f>TEXT(J508,"0.00")</f>
        <v>0.04</v>
      </c>
      <c r="Q508" s="3" t="str">
        <f>LEFT(L508,3)</f>
        <v>Spr</v>
      </c>
      <c r="R508" s="42" t="str">
        <f>RIGHT(L508,3)</f>
        <v>ing</v>
      </c>
      <c r="S508" s="42">
        <f>LEN(L508)</f>
        <v>6</v>
      </c>
      <c r="T508" s="3" t="str">
        <f>A508&amp;"|"&amp;B508&amp;"|"&amp;F508</f>
        <v>507|23-01-2011|5</v>
      </c>
      <c r="U508" s="3">
        <f t="shared" si="28"/>
        <v>610</v>
      </c>
      <c r="V508" s="3">
        <f t="shared" si="29"/>
        <v>120.10000000000005</v>
      </c>
      <c r="W508" s="50">
        <f t="shared" si="30"/>
        <v>8.1303845032683911E-2</v>
      </c>
      <c r="X508" s="50">
        <f t="shared" si="31"/>
        <v>0.16514794964716251</v>
      </c>
    </row>
    <row r="509" spans="1:24" x14ac:dyDescent="0.2">
      <c r="A509" s="4">
        <v>508</v>
      </c>
      <c r="B509" s="4" t="s">
        <v>37</v>
      </c>
      <c r="C509" s="4">
        <v>1</v>
      </c>
      <c r="D509" s="4">
        <v>0</v>
      </c>
      <c r="E509" s="4">
        <v>1</v>
      </c>
      <c r="F509" s="4">
        <v>6</v>
      </c>
      <c r="G509" s="4" t="b">
        <v>0</v>
      </c>
      <c r="H509" s="4">
        <v>0</v>
      </c>
      <c r="I509" s="4">
        <v>2</v>
      </c>
      <c r="J509" s="4">
        <v>0.04</v>
      </c>
      <c r="K509" s="6" t="str">
        <f>IF(H509=0,"weekend",IF(H509=6,"weekend","weekend"))</f>
        <v>weekend</v>
      </c>
      <c r="L509" s="3" t="str">
        <f>IF(C509=1,"Spring",IF(C509=2,"Summer",IF(C509=3,"Fall","Winter")))</f>
        <v>Spring</v>
      </c>
      <c r="M509" s="3">
        <f>SUM(J509:J533)</f>
        <v>2.2800000000000007</v>
      </c>
      <c r="N509" s="3">
        <f>AVERAGE(J509:J1118)</f>
        <v>0.16776699029126216</v>
      </c>
      <c r="O509" s="3">
        <f>COUNT(J509:J1118)</f>
        <v>103</v>
      </c>
      <c r="P509" s="3" t="str">
        <f>TEXT(J509,"0.00")</f>
        <v>0.04</v>
      </c>
      <c r="Q509" s="3" t="str">
        <f>LEFT(L509,3)</f>
        <v>Spr</v>
      </c>
      <c r="R509" s="42" t="str">
        <f>RIGHT(L509,3)</f>
        <v>ing</v>
      </c>
      <c r="S509" s="42">
        <f>LEN(L509)</f>
        <v>6</v>
      </c>
      <c r="T509" s="3" t="str">
        <f>A509&amp;"|"&amp;B509&amp;"|"&amp;F509</f>
        <v>508|23-01-2011|6</v>
      </c>
      <c r="U509" s="3">
        <f t="shared" si="28"/>
        <v>610</v>
      </c>
      <c r="V509" s="3">
        <f t="shared" si="29"/>
        <v>120.10000000000005</v>
      </c>
      <c r="W509" s="50">
        <f t="shared" si="30"/>
        <v>8.1303845032683911E-2</v>
      </c>
      <c r="X509" s="50">
        <f t="shared" si="31"/>
        <v>0.16514794964716251</v>
      </c>
    </row>
    <row r="510" spans="1:24" x14ac:dyDescent="0.2">
      <c r="A510" s="4">
        <v>509</v>
      </c>
      <c r="B510" s="4" t="s">
        <v>37</v>
      </c>
      <c r="C510" s="4">
        <v>1</v>
      </c>
      <c r="D510" s="4">
        <v>0</v>
      </c>
      <c r="E510" s="4">
        <v>1</v>
      </c>
      <c r="F510" s="4">
        <v>7</v>
      </c>
      <c r="G510" s="4" t="b">
        <v>0</v>
      </c>
      <c r="H510" s="4">
        <v>0</v>
      </c>
      <c r="I510" s="4">
        <v>1</v>
      </c>
      <c r="J510" s="4">
        <v>0.08</v>
      </c>
      <c r="K510" s="6" t="str">
        <f>IF(H510=0,"weekend",IF(H510=6,"weekend","weekend"))</f>
        <v>weekend</v>
      </c>
      <c r="L510" s="3" t="str">
        <f>IF(C510=1,"Spring",IF(C510=2,"Summer",IF(C510=3,"Fall","Winter")))</f>
        <v>Spring</v>
      </c>
      <c r="M510" s="3">
        <f>SUM(J510:J534)</f>
        <v>2.2800000000000007</v>
      </c>
      <c r="N510" s="3">
        <f>AVERAGE(J510:J1119)</f>
        <v>0.16901960784313727</v>
      </c>
      <c r="O510" s="3">
        <f>COUNT(J510:J1119)</f>
        <v>102</v>
      </c>
      <c r="P510" s="3" t="str">
        <f>TEXT(J510,"0.00")</f>
        <v>0.08</v>
      </c>
      <c r="Q510" s="3" t="str">
        <f>LEFT(L510,3)</f>
        <v>Spr</v>
      </c>
      <c r="R510" s="42" t="str">
        <f>RIGHT(L510,3)</f>
        <v>ing</v>
      </c>
      <c r="S510" s="42">
        <f>LEN(L510)</f>
        <v>6</v>
      </c>
      <c r="T510" s="3" t="str">
        <f>A510&amp;"|"&amp;B510&amp;"|"&amp;F510</f>
        <v>509|23-01-2011|7</v>
      </c>
      <c r="U510" s="3">
        <f t="shared" si="28"/>
        <v>610</v>
      </c>
      <c r="V510" s="3">
        <f t="shared" si="29"/>
        <v>120.10000000000005</v>
      </c>
      <c r="W510" s="50">
        <f t="shared" si="30"/>
        <v>8.1303845032683911E-2</v>
      </c>
      <c r="X510" s="50">
        <f t="shared" si="31"/>
        <v>0.16514794964716251</v>
      </c>
    </row>
    <row r="511" spans="1:24" x14ac:dyDescent="0.2">
      <c r="A511" s="4">
        <v>510</v>
      </c>
      <c r="B511" s="4" t="s">
        <v>37</v>
      </c>
      <c r="C511" s="4">
        <v>1</v>
      </c>
      <c r="D511" s="4">
        <v>0</v>
      </c>
      <c r="E511" s="4">
        <v>1</v>
      </c>
      <c r="F511" s="4">
        <v>8</v>
      </c>
      <c r="G511" s="4" t="b">
        <v>0</v>
      </c>
      <c r="H511" s="4">
        <v>0</v>
      </c>
      <c r="I511" s="4">
        <v>1</v>
      </c>
      <c r="J511" s="4">
        <v>0.06</v>
      </c>
      <c r="K511" s="6" t="str">
        <f>IF(H511=0,"weekend",IF(H511=6,"weekend","weekend"))</f>
        <v>weekend</v>
      </c>
      <c r="L511" s="3" t="str">
        <f>IF(C511=1,"Spring",IF(C511=2,"Summer",IF(C511=3,"Fall","Winter")))</f>
        <v>Spring</v>
      </c>
      <c r="M511" s="3">
        <f>SUM(J511:J535)</f>
        <v>2.2600000000000007</v>
      </c>
      <c r="N511" s="3">
        <f>AVERAGE(J511:J1120)</f>
        <v>0.16990099009900994</v>
      </c>
      <c r="O511" s="3">
        <f>COUNT(J511:J1120)</f>
        <v>101</v>
      </c>
      <c r="P511" s="3" t="str">
        <f>TEXT(J511,"0.00")</f>
        <v>0.06</v>
      </c>
      <c r="Q511" s="3" t="str">
        <f>LEFT(L511,3)</f>
        <v>Spr</v>
      </c>
      <c r="R511" s="42" t="str">
        <f>RIGHT(L511,3)</f>
        <v>ing</v>
      </c>
      <c r="S511" s="42">
        <f>LEN(L511)</f>
        <v>6</v>
      </c>
      <c r="T511" s="3" t="str">
        <f>A511&amp;"|"&amp;B511&amp;"|"&amp;F511</f>
        <v>510|23-01-2011|8</v>
      </c>
      <c r="U511" s="3">
        <f t="shared" si="28"/>
        <v>610</v>
      </c>
      <c r="V511" s="3">
        <f t="shared" si="29"/>
        <v>120.10000000000005</v>
      </c>
      <c r="W511" s="50">
        <f t="shared" si="30"/>
        <v>8.1303845032683911E-2</v>
      </c>
      <c r="X511" s="50">
        <f t="shared" si="31"/>
        <v>0.16514794964716251</v>
      </c>
    </row>
    <row r="512" spans="1:24" x14ac:dyDescent="0.2">
      <c r="A512" s="4">
        <v>511</v>
      </c>
      <c r="B512" s="4" t="s">
        <v>37</v>
      </c>
      <c r="C512" s="4">
        <v>1</v>
      </c>
      <c r="D512" s="4">
        <v>0</v>
      </c>
      <c r="E512" s="4">
        <v>1</v>
      </c>
      <c r="F512" s="4">
        <v>9</v>
      </c>
      <c r="G512" s="4" t="b">
        <v>0</v>
      </c>
      <c r="H512" s="4">
        <v>0</v>
      </c>
      <c r="I512" s="4">
        <v>1</v>
      </c>
      <c r="J512" s="4">
        <v>0.1</v>
      </c>
      <c r="K512" s="6" t="str">
        <f>IF(H512=0,"weekend",IF(H512=6,"weekend","weekend"))</f>
        <v>weekend</v>
      </c>
      <c r="L512" s="3" t="str">
        <f>IF(C512=1,"Spring",IF(C512=2,"Summer",IF(C512=3,"Fall","Winter")))</f>
        <v>Spring</v>
      </c>
      <c r="M512" s="3">
        <f>SUM(J512:J536)</f>
        <v>2.3000000000000007</v>
      </c>
      <c r="N512" s="3">
        <f>AVERAGE(J512:J1121)</f>
        <v>0.17100000000000001</v>
      </c>
      <c r="O512" s="3">
        <f>COUNT(J512:J1121)</f>
        <v>100</v>
      </c>
      <c r="P512" s="3" t="str">
        <f>TEXT(J512,"0.00")</f>
        <v>0.10</v>
      </c>
      <c r="Q512" s="3" t="str">
        <f>LEFT(L512,3)</f>
        <v>Spr</v>
      </c>
      <c r="R512" s="42" t="str">
        <f>RIGHT(L512,3)</f>
        <v>ing</v>
      </c>
      <c r="S512" s="42">
        <f>LEN(L512)</f>
        <v>6</v>
      </c>
      <c r="T512" s="3" t="str">
        <f>A512&amp;"|"&amp;B512&amp;"|"&amp;F512</f>
        <v>511|23-01-2011|9</v>
      </c>
      <c r="U512" s="3">
        <f t="shared" si="28"/>
        <v>610</v>
      </c>
      <c r="V512" s="3">
        <f t="shared" si="29"/>
        <v>120.10000000000005</v>
      </c>
      <c r="W512" s="50">
        <f t="shared" si="30"/>
        <v>8.1303845032683911E-2</v>
      </c>
      <c r="X512" s="50">
        <f t="shared" si="31"/>
        <v>0.16514794964716251</v>
      </c>
    </row>
    <row r="513" spans="1:24" x14ac:dyDescent="0.2">
      <c r="A513" s="4">
        <v>512</v>
      </c>
      <c r="B513" s="4" t="s">
        <v>37</v>
      </c>
      <c r="C513" s="4">
        <v>1</v>
      </c>
      <c r="D513" s="4">
        <v>0</v>
      </c>
      <c r="E513" s="4">
        <v>1</v>
      </c>
      <c r="F513" s="4">
        <v>10</v>
      </c>
      <c r="G513" s="4" t="b">
        <v>0</v>
      </c>
      <c r="H513" s="4">
        <v>0</v>
      </c>
      <c r="I513" s="4">
        <v>1</v>
      </c>
      <c r="J513" s="4">
        <v>0.14000000000000001</v>
      </c>
      <c r="K513" s="6" t="str">
        <f>IF(H513=0,"weekend",IF(H513=6,"weekend","weekend"))</f>
        <v>weekend</v>
      </c>
      <c r="L513" s="3" t="str">
        <f>IF(C513=1,"Spring",IF(C513=2,"Summer",IF(C513=3,"Fall","Winter")))</f>
        <v>Spring</v>
      </c>
      <c r="M513" s="3">
        <f>SUM(J513:J537)</f>
        <v>2.3000000000000012</v>
      </c>
      <c r="N513" s="3">
        <f>AVERAGE(J513:J1122)</f>
        <v>0.17171717171717174</v>
      </c>
      <c r="O513" s="3">
        <f>COUNT(J513:J1122)</f>
        <v>99</v>
      </c>
      <c r="P513" s="3" t="str">
        <f>TEXT(J513,"0.00")</f>
        <v>0.14</v>
      </c>
      <c r="Q513" s="3" t="str">
        <f>LEFT(L513,3)</f>
        <v>Spr</v>
      </c>
      <c r="R513" s="42" t="str">
        <f>RIGHT(L513,3)</f>
        <v>ing</v>
      </c>
      <c r="S513" s="42">
        <f>LEN(L513)</f>
        <v>6</v>
      </c>
      <c r="T513" s="3" t="str">
        <f>A513&amp;"|"&amp;B513&amp;"|"&amp;F513</f>
        <v>512|23-01-2011|10</v>
      </c>
      <c r="U513" s="3">
        <f t="shared" si="28"/>
        <v>610</v>
      </c>
      <c r="V513" s="3">
        <f t="shared" si="29"/>
        <v>120.10000000000005</v>
      </c>
      <c r="W513" s="50">
        <f t="shared" si="30"/>
        <v>8.1303845032683911E-2</v>
      </c>
      <c r="X513" s="50">
        <f t="shared" si="31"/>
        <v>0.16514794964716251</v>
      </c>
    </row>
    <row r="514" spans="1:24" x14ac:dyDescent="0.2">
      <c r="A514" s="4">
        <v>513</v>
      </c>
      <c r="B514" s="4" t="s">
        <v>37</v>
      </c>
      <c r="C514" s="4">
        <v>1</v>
      </c>
      <c r="D514" s="4">
        <v>0</v>
      </c>
      <c r="E514" s="4">
        <v>1</v>
      </c>
      <c r="F514" s="4">
        <v>11</v>
      </c>
      <c r="G514" s="4" t="b">
        <v>0</v>
      </c>
      <c r="H514" s="4">
        <v>0</v>
      </c>
      <c r="I514" s="4">
        <v>1</v>
      </c>
      <c r="J514" s="4">
        <v>0.14000000000000001</v>
      </c>
      <c r="K514" s="6" t="str">
        <f>IF(H514=0,"weekend",IF(H514=6,"weekend","weekend"))</f>
        <v>weekend</v>
      </c>
      <c r="L514" s="3" t="str">
        <f>IF(C514=1,"Spring",IF(C514=2,"Summer",IF(C514=3,"Fall","Winter")))</f>
        <v>Spring</v>
      </c>
      <c r="M514" s="3">
        <f>SUM(J514:J538)</f>
        <v>2.2800000000000011</v>
      </c>
      <c r="N514" s="3">
        <f>AVERAGE(J514:J1123)</f>
        <v>0.17204081632653065</v>
      </c>
      <c r="O514" s="3">
        <f>COUNT(J514:J1123)</f>
        <v>98</v>
      </c>
      <c r="P514" s="3" t="str">
        <f>TEXT(J514,"0.00")</f>
        <v>0.14</v>
      </c>
      <c r="Q514" s="3" t="str">
        <f>LEFT(L514,3)</f>
        <v>Spr</v>
      </c>
      <c r="R514" s="42" t="str">
        <f>RIGHT(L514,3)</f>
        <v>ing</v>
      </c>
      <c r="S514" s="42">
        <f>LEN(L514)</f>
        <v>6</v>
      </c>
      <c r="T514" s="3" t="str">
        <f>A514&amp;"|"&amp;B514&amp;"|"&amp;F514</f>
        <v>513|23-01-2011|11</v>
      </c>
      <c r="U514" s="3">
        <f t="shared" ref="U514:U577" si="32">COUNTIF(K:K,"weekend")</f>
        <v>610</v>
      </c>
      <c r="V514" s="3">
        <f t="shared" ref="V514:V577" si="33">SUMIF($K:$K,"weekend",$J:$J)</f>
        <v>120.10000000000005</v>
      </c>
      <c r="W514" s="50">
        <f t="shared" ref="W514:W577" si="34">STDEV($J:$J)</f>
        <v>8.1303845032683911E-2</v>
      </c>
      <c r="X514" s="50">
        <f t="shared" ref="X514:X577" si="35">CORREL(J:J,F:F)</f>
        <v>0.16514794964716251</v>
      </c>
    </row>
    <row r="515" spans="1:24" x14ac:dyDescent="0.2">
      <c r="A515" s="4">
        <v>514</v>
      </c>
      <c r="B515" s="4" t="s">
        <v>37</v>
      </c>
      <c r="C515" s="4">
        <v>1</v>
      </c>
      <c r="D515" s="4">
        <v>0</v>
      </c>
      <c r="E515" s="4">
        <v>1</v>
      </c>
      <c r="F515" s="4">
        <v>12</v>
      </c>
      <c r="G515" s="4" t="b">
        <v>0</v>
      </c>
      <c r="H515" s="4">
        <v>0</v>
      </c>
      <c r="I515" s="4">
        <v>1</v>
      </c>
      <c r="J515" s="4">
        <v>0.16</v>
      </c>
      <c r="K515" s="6" t="str">
        <f>IF(H515=0,"weekend",IF(H515=6,"weekend","weekend"))</f>
        <v>weekend</v>
      </c>
      <c r="L515" s="3" t="str">
        <f>IF(C515=1,"Spring",IF(C515=2,"Summer",IF(C515=3,"Fall","Winter")))</f>
        <v>Spring</v>
      </c>
      <c r="M515" s="3">
        <f>SUM(J515:J539)</f>
        <v>2.2800000000000011</v>
      </c>
      <c r="N515" s="3">
        <f>AVERAGE(J515:J1124)</f>
        <v>0.17237113402061857</v>
      </c>
      <c r="O515" s="3">
        <f>COUNT(J515:J1124)</f>
        <v>97</v>
      </c>
      <c r="P515" s="3" t="str">
        <f>TEXT(J515,"0.00")</f>
        <v>0.16</v>
      </c>
      <c r="Q515" s="3" t="str">
        <f>LEFT(L515,3)</f>
        <v>Spr</v>
      </c>
      <c r="R515" s="42" t="str">
        <f>RIGHT(L515,3)</f>
        <v>ing</v>
      </c>
      <c r="S515" s="42">
        <f>LEN(L515)</f>
        <v>6</v>
      </c>
      <c r="T515" s="3" t="str">
        <f>A515&amp;"|"&amp;B515&amp;"|"&amp;F515</f>
        <v>514|23-01-2011|12</v>
      </c>
      <c r="U515" s="3">
        <f t="shared" si="32"/>
        <v>610</v>
      </c>
      <c r="V515" s="3">
        <f t="shared" si="33"/>
        <v>120.10000000000005</v>
      </c>
      <c r="W515" s="50">
        <f t="shared" si="34"/>
        <v>8.1303845032683911E-2</v>
      </c>
      <c r="X515" s="50">
        <f t="shared" si="35"/>
        <v>0.16514794964716251</v>
      </c>
    </row>
    <row r="516" spans="1:24" x14ac:dyDescent="0.2">
      <c r="A516" s="4">
        <v>515</v>
      </c>
      <c r="B516" s="4" t="s">
        <v>37</v>
      </c>
      <c r="C516" s="4">
        <v>1</v>
      </c>
      <c r="D516" s="4">
        <v>0</v>
      </c>
      <c r="E516" s="4">
        <v>1</v>
      </c>
      <c r="F516" s="4">
        <v>13</v>
      </c>
      <c r="G516" s="4" t="b">
        <v>0</v>
      </c>
      <c r="H516" s="4">
        <v>0</v>
      </c>
      <c r="I516" s="4">
        <v>1</v>
      </c>
      <c r="J516" s="4">
        <v>0.14000000000000001</v>
      </c>
      <c r="K516" s="6" t="str">
        <f>IF(H516=0,"weekend",IF(H516=6,"weekend","weekend"))</f>
        <v>weekend</v>
      </c>
      <c r="L516" s="3" t="str">
        <f>IF(C516=1,"Spring",IF(C516=2,"Summer",IF(C516=3,"Fall","Winter")))</f>
        <v>Spring</v>
      </c>
      <c r="M516" s="3">
        <f>SUM(J516:J540)</f>
        <v>2.2600000000000011</v>
      </c>
      <c r="N516" s="3">
        <f>AVERAGE(J516:J1125)</f>
        <v>0.17250000000000001</v>
      </c>
      <c r="O516" s="3">
        <f>COUNT(J516:J1125)</f>
        <v>96</v>
      </c>
      <c r="P516" s="3" t="str">
        <f>TEXT(J516,"0.00")</f>
        <v>0.14</v>
      </c>
      <c r="Q516" s="3" t="str">
        <f>LEFT(L516,3)</f>
        <v>Spr</v>
      </c>
      <c r="R516" s="42" t="str">
        <f>RIGHT(L516,3)</f>
        <v>ing</v>
      </c>
      <c r="S516" s="42">
        <f>LEN(L516)</f>
        <v>6</v>
      </c>
      <c r="T516" s="3" t="str">
        <f>A516&amp;"|"&amp;B516&amp;"|"&amp;F516</f>
        <v>515|23-01-2011|13</v>
      </c>
      <c r="U516" s="3">
        <f t="shared" si="32"/>
        <v>610</v>
      </c>
      <c r="V516" s="3">
        <f t="shared" si="33"/>
        <v>120.10000000000005</v>
      </c>
      <c r="W516" s="50">
        <f t="shared" si="34"/>
        <v>8.1303845032683911E-2</v>
      </c>
      <c r="X516" s="50">
        <f t="shared" si="35"/>
        <v>0.16514794964716251</v>
      </c>
    </row>
    <row r="517" spans="1:24" x14ac:dyDescent="0.2">
      <c r="A517" s="4">
        <v>516</v>
      </c>
      <c r="B517" s="4" t="s">
        <v>37</v>
      </c>
      <c r="C517" s="4">
        <v>1</v>
      </c>
      <c r="D517" s="4">
        <v>0</v>
      </c>
      <c r="E517" s="4">
        <v>1</v>
      </c>
      <c r="F517" s="4">
        <v>14</v>
      </c>
      <c r="G517" s="4" t="b">
        <v>0</v>
      </c>
      <c r="H517" s="4">
        <v>0</v>
      </c>
      <c r="I517" s="4">
        <v>1</v>
      </c>
      <c r="J517" s="4">
        <v>0.16</v>
      </c>
      <c r="K517" s="6" t="str">
        <f>IF(H517=0,"weekend",IF(H517=6,"weekend","weekend"))</f>
        <v>weekend</v>
      </c>
      <c r="L517" s="3" t="str">
        <f>IF(C517=1,"Spring",IF(C517=2,"Summer",IF(C517=3,"Fall","Winter")))</f>
        <v>Spring</v>
      </c>
      <c r="M517" s="3">
        <f>SUM(J517:J541)</f>
        <v>2.2800000000000011</v>
      </c>
      <c r="N517" s="3">
        <f>AVERAGE(J517:J1126)</f>
        <v>0.17284210526315791</v>
      </c>
      <c r="O517" s="3">
        <f>COUNT(J517:J1126)</f>
        <v>95</v>
      </c>
      <c r="P517" s="3" t="str">
        <f>TEXT(J517,"0.00")</f>
        <v>0.16</v>
      </c>
      <c r="Q517" s="3" t="str">
        <f>LEFT(L517,3)</f>
        <v>Spr</v>
      </c>
      <c r="R517" s="42" t="str">
        <f>RIGHT(L517,3)</f>
        <v>ing</v>
      </c>
      <c r="S517" s="42">
        <f>LEN(L517)</f>
        <v>6</v>
      </c>
      <c r="T517" s="3" t="str">
        <f>A517&amp;"|"&amp;B517&amp;"|"&amp;F517</f>
        <v>516|23-01-2011|14</v>
      </c>
      <c r="U517" s="3">
        <f t="shared" si="32"/>
        <v>610</v>
      </c>
      <c r="V517" s="3">
        <f t="shared" si="33"/>
        <v>120.10000000000005</v>
      </c>
      <c r="W517" s="50">
        <f t="shared" si="34"/>
        <v>8.1303845032683911E-2</v>
      </c>
      <c r="X517" s="50">
        <f t="shared" si="35"/>
        <v>0.16514794964716251</v>
      </c>
    </row>
    <row r="518" spans="1:24" x14ac:dyDescent="0.2">
      <c r="A518" s="4">
        <v>517</v>
      </c>
      <c r="B518" s="4" t="s">
        <v>37</v>
      </c>
      <c r="C518" s="4">
        <v>1</v>
      </c>
      <c r="D518" s="4">
        <v>0</v>
      </c>
      <c r="E518" s="4">
        <v>1</v>
      </c>
      <c r="F518" s="4">
        <v>15</v>
      </c>
      <c r="G518" s="4" t="b">
        <v>0</v>
      </c>
      <c r="H518" s="4">
        <v>0</v>
      </c>
      <c r="I518" s="4">
        <v>1</v>
      </c>
      <c r="J518" s="4">
        <v>0.16</v>
      </c>
      <c r="K518" s="6" t="str">
        <f>IF(H518=0,"weekend",IF(H518=6,"weekend","weekend"))</f>
        <v>weekend</v>
      </c>
      <c r="L518" s="3" t="str">
        <f>IF(C518=1,"Spring",IF(C518=2,"Summer",IF(C518=3,"Fall","Winter")))</f>
        <v>Spring</v>
      </c>
      <c r="M518" s="3">
        <f>SUM(J518:J542)</f>
        <v>2.2800000000000011</v>
      </c>
      <c r="N518" s="3">
        <f>AVERAGE(J518:J1127)</f>
        <v>0.17297872340425532</v>
      </c>
      <c r="O518" s="3">
        <f>COUNT(J518:J1127)</f>
        <v>94</v>
      </c>
      <c r="P518" s="3" t="str">
        <f>TEXT(J518,"0.00")</f>
        <v>0.16</v>
      </c>
      <c r="Q518" s="3" t="str">
        <f>LEFT(L518,3)</f>
        <v>Spr</v>
      </c>
      <c r="R518" s="42" t="str">
        <f>RIGHT(L518,3)</f>
        <v>ing</v>
      </c>
      <c r="S518" s="42">
        <f>LEN(L518)</f>
        <v>6</v>
      </c>
      <c r="T518" s="3" t="str">
        <f>A518&amp;"|"&amp;B518&amp;"|"&amp;F518</f>
        <v>517|23-01-2011|15</v>
      </c>
      <c r="U518" s="3">
        <f t="shared" si="32"/>
        <v>610</v>
      </c>
      <c r="V518" s="3">
        <f t="shared" si="33"/>
        <v>120.10000000000005</v>
      </c>
      <c r="W518" s="50">
        <f t="shared" si="34"/>
        <v>8.1303845032683911E-2</v>
      </c>
      <c r="X518" s="50">
        <f t="shared" si="35"/>
        <v>0.16514794964716251</v>
      </c>
    </row>
    <row r="519" spans="1:24" x14ac:dyDescent="0.2">
      <c r="A519" s="4">
        <v>518</v>
      </c>
      <c r="B519" s="4" t="s">
        <v>37</v>
      </c>
      <c r="C519" s="4">
        <v>1</v>
      </c>
      <c r="D519" s="4">
        <v>0</v>
      </c>
      <c r="E519" s="4">
        <v>1</v>
      </c>
      <c r="F519" s="4">
        <v>16</v>
      </c>
      <c r="G519" s="4" t="b">
        <v>0</v>
      </c>
      <c r="H519" s="4">
        <v>0</v>
      </c>
      <c r="I519" s="4">
        <v>1</v>
      </c>
      <c r="J519" s="4">
        <v>0.16</v>
      </c>
      <c r="K519" s="6" t="str">
        <f>IF(H519=0,"weekend",IF(H519=6,"weekend","weekend"))</f>
        <v>weekend</v>
      </c>
      <c r="L519" s="3" t="str">
        <f>IF(C519=1,"Spring",IF(C519=2,"Summer",IF(C519=3,"Fall","Winter")))</f>
        <v>Spring</v>
      </c>
      <c r="M519" s="3">
        <f>SUM(J519:J543)</f>
        <v>2.2600000000000007</v>
      </c>
      <c r="N519" s="3">
        <f>AVERAGE(J519:J1128)</f>
        <v>0.17311827956989254</v>
      </c>
      <c r="O519" s="3">
        <f>COUNT(J519:J1128)</f>
        <v>93</v>
      </c>
      <c r="P519" s="3" t="str">
        <f>TEXT(J519,"0.00")</f>
        <v>0.16</v>
      </c>
      <c r="Q519" s="3" t="str">
        <f>LEFT(L519,3)</f>
        <v>Spr</v>
      </c>
      <c r="R519" s="42" t="str">
        <f>RIGHT(L519,3)</f>
        <v>ing</v>
      </c>
      <c r="S519" s="42">
        <f>LEN(L519)</f>
        <v>6</v>
      </c>
      <c r="T519" s="3" t="str">
        <f>A519&amp;"|"&amp;B519&amp;"|"&amp;F519</f>
        <v>518|23-01-2011|16</v>
      </c>
      <c r="U519" s="3">
        <f t="shared" si="32"/>
        <v>610</v>
      </c>
      <c r="V519" s="3">
        <f t="shared" si="33"/>
        <v>120.10000000000005</v>
      </c>
      <c r="W519" s="50">
        <f t="shared" si="34"/>
        <v>8.1303845032683911E-2</v>
      </c>
      <c r="X519" s="50">
        <f t="shared" si="35"/>
        <v>0.16514794964716251</v>
      </c>
    </row>
    <row r="520" spans="1:24" x14ac:dyDescent="0.2">
      <c r="A520" s="4">
        <v>519</v>
      </c>
      <c r="B520" s="4" t="s">
        <v>37</v>
      </c>
      <c r="C520" s="4">
        <v>1</v>
      </c>
      <c r="D520" s="4">
        <v>0</v>
      </c>
      <c r="E520" s="4">
        <v>1</v>
      </c>
      <c r="F520" s="4">
        <v>17</v>
      </c>
      <c r="G520" s="4" t="b">
        <v>0</v>
      </c>
      <c r="H520" s="4">
        <v>0</v>
      </c>
      <c r="I520" s="4">
        <v>1</v>
      </c>
      <c r="J520" s="4">
        <v>0.14000000000000001</v>
      </c>
      <c r="K520" s="6" t="str">
        <f>IF(H520=0,"weekend",IF(H520=6,"weekend","weekend"))</f>
        <v>weekend</v>
      </c>
      <c r="L520" s="3" t="str">
        <f>IF(C520=1,"Spring",IF(C520=2,"Summer",IF(C520=3,"Fall","Winter")))</f>
        <v>Spring</v>
      </c>
      <c r="M520" s="3">
        <f>SUM(J520:J544)</f>
        <v>2.2400000000000007</v>
      </c>
      <c r="N520" s="3">
        <f>AVERAGE(J520:J1129)</f>
        <v>0.17326086956521741</v>
      </c>
      <c r="O520" s="3">
        <f>COUNT(J520:J1129)</f>
        <v>92</v>
      </c>
      <c r="P520" s="3" t="str">
        <f>TEXT(J520,"0.00")</f>
        <v>0.14</v>
      </c>
      <c r="Q520" s="3" t="str">
        <f>LEFT(L520,3)</f>
        <v>Spr</v>
      </c>
      <c r="R520" s="42" t="str">
        <f>RIGHT(L520,3)</f>
        <v>ing</v>
      </c>
      <c r="S520" s="42">
        <f>LEN(L520)</f>
        <v>6</v>
      </c>
      <c r="T520" s="3" t="str">
        <f>A520&amp;"|"&amp;B520&amp;"|"&amp;F520</f>
        <v>519|23-01-2011|17</v>
      </c>
      <c r="U520" s="3">
        <f t="shared" si="32"/>
        <v>610</v>
      </c>
      <c r="V520" s="3">
        <f t="shared" si="33"/>
        <v>120.10000000000005</v>
      </c>
      <c r="W520" s="50">
        <f t="shared" si="34"/>
        <v>8.1303845032683911E-2</v>
      </c>
      <c r="X520" s="50">
        <f t="shared" si="35"/>
        <v>0.16514794964716251</v>
      </c>
    </row>
    <row r="521" spans="1:24" x14ac:dyDescent="0.2">
      <c r="A521" s="4">
        <v>520</v>
      </c>
      <c r="B521" s="4" t="s">
        <v>37</v>
      </c>
      <c r="C521" s="4">
        <v>1</v>
      </c>
      <c r="D521" s="4">
        <v>0</v>
      </c>
      <c r="E521" s="4">
        <v>1</v>
      </c>
      <c r="F521" s="4">
        <v>18</v>
      </c>
      <c r="G521" s="4" t="b">
        <v>0</v>
      </c>
      <c r="H521" s="4">
        <v>0</v>
      </c>
      <c r="I521" s="4">
        <v>1</v>
      </c>
      <c r="J521" s="4">
        <v>0.12</v>
      </c>
      <c r="K521" s="6" t="str">
        <f>IF(H521=0,"weekend",IF(H521=6,"weekend","weekend"))</f>
        <v>weekend</v>
      </c>
      <c r="L521" s="3" t="str">
        <f>IF(C521=1,"Spring",IF(C521=2,"Summer",IF(C521=3,"Fall","Winter")))</f>
        <v>Spring</v>
      </c>
      <c r="M521" s="3">
        <f>SUM(J521:J545)</f>
        <v>2.2400000000000007</v>
      </c>
      <c r="N521" s="3">
        <f>AVERAGE(J521:J1130)</f>
        <v>0.17362637362637365</v>
      </c>
      <c r="O521" s="3">
        <f>COUNT(J521:J1130)</f>
        <v>91</v>
      </c>
      <c r="P521" s="3" t="str">
        <f>TEXT(J521,"0.00")</f>
        <v>0.12</v>
      </c>
      <c r="Q521" s="3" t="str">
        <f>LEFT(L521,3)</f>
        <v>Spr</v>
      </c>
      <c r="R521" s="42" t="str">
        <f>RIGHT(L521,3)</f>
        <v>ing</v>
      </c>
      <c r="S521" s="42">
        <f>LEN(L521)</f>
        <v>6</v>
      </c>
      <c r="T521" s="3" t="str">
        <f>A521&amp;"|"&amp;B521&amp;"|"&amp;F521</f>
        <v>520|23-01-2011|18</v>
      </c>
      <c r="U521" s="3">
        <f t="shared" si="32"/>
        <v>610</v>
      </c>
      <c r="V521" s="3">
        <f t="shared" si="33"/>
        <v>120.10000000000005</v>
      </c>
      <c r="W521" s="50">
        <f t="shared" si="34"/>
        <v>8.1303845032683911E-2</v>
      </c>
      <c r="X521" s="50">
        <f t="shared" si="35"/>
        <v>0.16514794964716251</v>
      </c>
    </row>
    <row r="522" spans="1:24" x14ac:dyDescent="0.2">
      <c r="A522" s="4">
        <v>521</v>
      </c>
      <c r="B522" s="4" t="s">
        <v>37</v>
      </c>
      <c r="C522" s="4">
        <v>1</v>
      </c>
      <c r="D522" s="4">
        <v>0</v>
      </c>
      <c r="E522" s="4">
        <v>1</v>
      </c>
      <c r="F522" s="4">
        <v>19</v>
      </c>
      <c r="G522" s="4" t="b">
        <v>0</v>
      </c>
      <c r="H522" s="4">
        <v>0</v>
      </c>
      <c r="I522" s="4">
        <v>1</v>
      </c>
      <c r="J522" s="4">
        <v>0.12</v>
      </c>
      <c r="K522" s="6" t="str">
        <f>IF(H522=0,"weekend",IF(H522=6,"weekend","weekend"))</f>
        <v>weekend</v>
      </c>
      <c r="L522" s="3" t="str">
        <f>IF(C522=1,"Spring",IF(C522=2,"Summer",IF(C522=3,"Fall","Winter")))</f>
        <v>Spring</v>
      </c>
      <c r="M522" s="3">
        <f>SUM(J522:J546)</f>
        <v>2.2600000000000007</v>
      </c>
      <c r="N522" s="3">
        <f>AVERAGE(J522:J1131)</f>
        <v>0.17422222222222225</v>
      </c>
      <c r="O522" s="3">
        <f>COUNT(J522:J1131)</f>
        <v>90</v>
      </c>
      <c r="P522" s="3" t="str">
        <f>TEXT(J522,"0.00")</f>
        <v>0.12</v>
      </c>
      <c r="Q522" s="3" t="str">
        <f>LEFT(L522,3)</f>
        <v>Spr</v>
      </c>
      <c r="R522" s="42" t="str">
        <f>RIGHT(L522,3)</f>
        <v>ing</v>
      </c>
      <c r="S522" s="42">
        <f>LEN(L522)</f>
        <v>6</v>
      </c>
      <c r="T522" s="3" t="str">
        <f>A522&amp;"|"&amp;B522&amp;"|"&amp;F522</f>
        <v>521|23-01-2011|19</v>
      </c>
      <c r="U522" s="3">
        <f t="shared" si="32"/>
        <v>610</v>
      </c>
      <c r="V522" s="3">
        <f t="shared" si="33"/>
        <v>120.10000000000005</v>
      </c>
      <c r="W522" s="50">
        <f t="shared" si="34"/>
        <v>8.1303845032683911E-2</v>
      </c>
      <c r="X522" s="50">
        <f t="shared" si="35"/>
        <v>0.16514794964716251</v>
      </c>
    </row>
    <row r="523" spans="1:24" x14ac:dyDescent="0.2">
      <c r="A523" s="4">
        <v>522</v>
      </c>
      <c r="B523" s="4" t="s">
        <v>37</v>
      </c>
      <c r="C523" s="4">
        <v>1</v>
      </c>
      <c r="D523" s="4">
        <v>0</v>
      </c>
      <c r="E523" s="4">
        <v>1</v>
      </c>
      <c r="F523" s="4">
        <v>20</v>
      </c>
      <c r="G523" s="4" t="b">
        <v>0</v>
      </c>
      <c r="H523" s="4">
        <v>0</v>
      </c>
      <c r="I523" s="4">
        <v>1</v>
      </c>
      <c r="J523" s="4">
        <v>0.1</v>
      </c>
      <c r="K523" s="6" t="str">
        <f>IF(H523=0,"weekend",IF(H523=6,"weekend","weekend"))</f>
        <v>weekend</v>
      </c>
      <c r="L523" s="3" t="str">
        <f>IF(C523=1,"Spring",IF(C523=2,"Summer",IF(C523=3,"Fall","Winter")))</f>
        <v>Spring</v>
      </c>
      <c r="M523" s="3">
        <f>SUM(J523:J547)</f>
        <v>2.2800000000000007</v>
      </c>
      <c r="N523" s="3">
        <f>AVERAGE(J523:J1132)</f>
        <v>0.17483146067415731</v>
      </c>
      <c r="O523" s="3">
        <f>COUNT(J523:J1132)</f>
        <v>89</v>
      </c>
      <c r="P523" s="3" t="str">
        <f>TEXT(J523,"0.00")</f>
        <v>0.10</v>
      </c>
      <c r="Q523" s="3" t="str">
        <f>LEFT(L523,3)</f>
        <v>Spr</v>
      </c>
      <c r="R523" s="42" t="str">
        <f>RIGHT(L523,3)</f>
        <v>ing</v>
      </c>
      <c r="S523" s="42">
        <f>LEN(L523)</f>
        <v>6</v>
      </c>
      <c r="T523" s="3" t="str">
        <f>A523&amp;"|"&amp;B523&amp;"|"&amp;F523</f>
        <v>522|23-01-2011|20</v>
      </c>
      <c r="U523" s="3">
        <f t="shared" si="32"/>
        <v>610</v>
      </c>
      <c r="V523" s="3">
        <f t="shared" si="33"/>
        <v>120.10000000000005</v>
      </c>
      <c r="W523" s="50">
        <f t="shared" si="34"/>
        <v>8.1303845032683911E-2</v>
      </c>
      <c r="X523" s="50">
        <f t="shared" si="35"/>
        <v>0.16514794964716251</v>
      </c>
    </row>
    <row r="524" spans="1:24" x14ac:dyDescent="0.2">
      <c r="A524" s="4">
        <v>523</v>
      </c>
      <c r="B524" s="4" t="s">
        <v>37</v>
      </c>
      <c r="C524" s="4">
        <v>1</v>
      </c>
      <c r="D524" s="4">
        <v>0</v>
      </c>
      <c r="E524" s="4">
        <v>1</v>
      </c>
      <c r="F524" s="4">
        <v>21</v>
      </c>
      <c r="G524" s="4" t="b">
        <v>0</v>
      </c>
      <c r="H524" s="4">
        <v>0</v>
      </c>
      <c r="I524" s="4">
        <v>1</v>
      </c>
      <c r="J524" s="4">
        <v>0.1</v>
      </c>
      <c r="K524" s="6" t="str">
        <f>IF(H524=0,"weekend",IF(H524=6,"weekend","weekend"))</f>
        <v>weekend</v>
      </c>
      <c r="L524" s="3" t="str">
        <f>IF(C524=1,"Spring",IF(C524=2,"Summer",IF(C524=3,"Fall","Winter")))</f>
        <v>Spring</v>
      </c>
      <c r="M524" s="3">
        <f>SUM(J524:J548)</f>
        <v>2.3200000000000007</v>
      </c>
      <c r="N524" s="3">
        <f>AVERAGE(J524:J1133)</f>
        <v>0.17568181818181819</v>
      </c>
      <c r="O524" s="3">
        <f>COUNT(J524:J1133)</f>
        <v>88</v>
      </c>
      <c r="P524" s="3" t="str">
        <f>TEXT(J524,"0.00")</f>
        <v>0.10</v>
      </c>
      <c r="Q524" s="3" t="str">
        <f>LEFT(L524,3)</f>
        <v>Spr</v>
      </c>
      <c r="R524" s="42" t="str">
        <f>RIGHT(L524,3)</f>
        <v>ing</v>
      </c>
      <c r="S524" s="42">
        <f>LEN(L524)</f>
        <v>6</v>
      </c>
      <c r="T524" s="3" t="str">
        <f>A524&amp;"|"&amp;B524&amp;"|"&amp;F524</f>
        <v>523|23-01-2011|21</v>
      </c>
      <c r="U524" s="3">
        <f t="shared" si="32"/>
        <v>610</v>
      </c>
      <c r="V524" s="3">
        <f t="shared" si="33"/>
        <v>120.10000000000005</v>
      </c>
      <c r="W524" s="50">
        <f t="shared" si="34"/>
        <v>8.1303845032683911E-2</v>
      </c>
      <c r="X524" s="50">
        <f t="shared" si="35"/>
        <v>0.16514794964716251</v>
      </c>
    </row>
    <row r="525" spans="1:24" x14ac:dyDescent="0.2">
      <c r="A525" s="4">
        <v>524</v>
      </c>
      <c r="B525" s="4" t="s">
        <v>37</v>
      </c>
      <c r="C525" s="4">
        <v>1</v>
      </c>
      <c r="D525" s="4">
        <v>0</v>
      </c>
      <c r="E525" s="4">
        <v>1</v>
      </c>
      <c r="F525" s="4">
        <v>22</v>
      </c>
      <c r="G525" s="4" t="b">
        <v>0</v>
      </c>
      <c r="H525" s="4">
        <v>0</v>
      </c>
      <c r="I525" s="4">
        <v>1</v>
      </c>
      <c r="J525" s="4">
        <v>0.08</v>
      </c>
      <c r="K525" s="6" t="str">
        <f>IF(H525=0,"weekend",IF(H525=6,"weekend","weekend"))</f>
        <v>weekend</v>
      </c>
      <c r="L525" s="3" t="str">
        <f>IF(C525=1,"Spring",IF(C525=2,"Summer",IF(C525=3,"Fall","Winter")))</f>
        <v>Spring</v>
      </c>
      <c r="M525" s="3">
        <f>SUM(J525:J549)</f>
        <v>2.3800000000000008</v>
      </c>
      <c r="N525" s="3">
        <f>AVERAGE(J525:J1134)</f>
        <v>0.17655172413793102</v>
      </c>
      <c r="O525" s="3">
        <f>COUNT(J525:J1134)</f>
        <v>87</v>
      </c>
      <c r="P525" s="3" t="str">
        <f>TEXT(J525,"0.00")</f>
        <v>0.08</v>
      </c>
      <c r="Q525" s="3" t="str">
        <f>LEFT(L525,3)</f>
        <v>Spr</v>
      </c>
      <c r="R525" s="42" t="str">
        <f>RIGHT(L525,3)</f>
        <v>ing</v>
      </c>
      <c r="S525" s="42">
        <f>LEN(L525)</f>
        <v>6</v>
      </c>
      <c r="T525" s="3" t="str">
        <f>A525&amp;"|"&amp;B525&amp;"|"&amp;F525</f>
        <v>524|23-01-2011|22</v>
      </c>
      <c r="U525" s="3">
        <f t="shared" si="32"/>
        <v>610</v>
      </c>
      <c r="V525" s="3">
        <f t="shared" si="33"/>
        <v>120.10000000000005</v>
      </c>
      <c r="W525" s="50">
        <f t="shared" si="34"/>
        <v>8.1303845032683911E-2</v>
      </c>
      <c r="X525" s="50">
        <f t="shared" si="35"/>
        <v>0.16514794964716251</v>
      </c>
    </row>
    <row r="526" spans="1:24" x14ac:dyDescent="0.2">
      <c r="A526" s="4">
        <v>525</v>
      </c>
      <c r="B526" s="4" t="s">
        <v>37</v>
      </c>
      <c r="C526" s="4">
        <v>1</v>
      </c>
      <c r="D526" s="4">
        <v>0</v>
      </c>
      <c r="E526" s="4">
        <v>1</v>
      </c>
      <c r="F526" s="4">
        <v>23</v>
      </c>
      <c r="G526" s="4" t="b">
        <v>0</v>
      </c>
      <c r="H526" s="4">
        <v>0</v>
      </c>
      <c r="I526" s="4">
        <v>1</v>
      </c>
      <c r="J526" s="4">
        <v>0.06</v>
      </c>
      <c r="K526" s="6" t="str">
        <f>IF(H526=0,"weekend",IF(H526=6,"weekend","weekend"))</f>
        <v>weekend</v>
      </c>
      <c r="L526" s="3" t="str">
        <f>IF(C526=1,"Spring",IF(C526=2,"Summer",IF(C526=3,"Fall","Winter")))</f>
        <v>Spring</v>
      </c>
      <c r="M526" s="3">
        <f>SUM(J526:J550)</f>
        <v>2.4600000000000009</v>
      </c>
      <c r="N526" s="3">
        <f>AVERAGE(J526:J1135)</f>
        <v>0.17767441860465116</v>
      </c>
      <c r="O526" s="3">
        <f>COUNT(J526:J1135)</f>
        <v>86</v>
      </c>
      <c r="P526" s="3" t="str">
        <f>TEXT(J526,"0.00")</f>
        <v>0.06</v>
      </c>
      <c r="Q526" s="3" t="str">
        <f>LEFT(L526,3)</f>
        <v>Spr</v>
      </c>
      <c r="R526" s="42" t="str">
        <f>RIGHT(L526,3)</f>
        <v>ing</v>
      </c>
      <c r="S526" s="42">
        <f>LEN(L526)</f>
        <v>6</v>
      </c>
      <c r="T526" s="3" t="str">
        <f>A526&amp;"|"&amp;B526&amp;"|"&amp;F526</f>
        <v>525|23-01-2011|23</v>
      </c>
      <c r="U526" s="3">
        <f t="shared" si="32"/>
        <v>610</v>
      </c>
      <c r="V526" s="3">
        <f t="shared" si="33"/>
        <v>120.10000000000005</v>
      </c>
      <c r="W526" s="50">
        <f t="shared" si="34"/>
        <v>8.1303845032683911E-2</v>
      </c>
      <c r="X526" s="50">
        <f t="shared" si="35"/>
        <v>0.16514794964716251</v>
      </c>
    </row>
    <row r="527" spans="1:24" x14ac:dyDescent="0.2">
      <c r="A527" s="4">
        <v>526</v>
      </c>
      <c r="B527" s="4" t="s">
        <v>38</v>
      </c>
      <c r="C527" s="4">
        <v>1</v>
      </c>
      <c r="D527" s="4">
        <v>0</v>
      </c>
      <c r="E527" s="4">
        <v>1</v>
      </c>
      <c r="F527" s="4">
        <v>0</v>
      </c>
      <c r="G527" s="4" t="b">
        <v>0</v>
      </c>
      <c r="H527" s="4">
        <v>1</v>
      </c>
      <c r="I527" s="4">
        <v>1</v>
      </c>
      <c r="J527" s="4">
        <v>0.06</v>
      </c>
      <c r="K527" s="6" t="str">
        <f>IF(H527=0,"weekend",IF(H527=6,"weekend","weekend"))</f>
        <v>weekend</v>
      </c>
      <c r="L527" s="3" t="str">
        <f>IF(C527=1,"Spring",IF(C527=2,"Summer",IF(C527=3,"Fall","Winter")))</f>
        <v>Spring</v>
      </c>
      <c r="M527" s="3">
        <f>SUM(J527:J551)</f>
        <v>2.5600000000000009</v>
      </c>
      <c r="N527" s="3">
        <f>AVERAGE(J527:J1136)</f>
        <v>0.17905882352941177</v>
      </c>
      <c r="O527" s="3">
        <f>COUNT(J527:J1136)</f>
        <v>85</v>
      </c>
      <c r="P527" s="3" t="str">
        <f>TEXT(J527,"0.00")</f>
        <v>0.06</v>
      </c>
      <c r="Q527" s="3" t="str">
        <f>LEFT(L527,3)</f>
        <v>Spr</v>
      </c>
      <c r="R527" s="42" t="str">
        <f>RIGHT(L527,3)</f>
        <v>ing</v>
      </c>
      <c r="S527" s="42">
        <f>LEN(L527)</f>
        <v>6</v>
      </c>
      <c r="T527" s="3" t="str">
        <f>A527&amp;"|"&amp;B527&amp;"|"&amp;F527</f>
        <v>526|24-01-2011|0</v>
      </c>
      <c r="U527" s="3">
        <f t="shared" si="32"/>
        <v>610</v>
      </c>
      <c r="V527" s="3">
        <f t="shared" si="33"/>
        <v>120.10000000000005</v>
      </c>
      <c r="W527" s="50">
        <f t="shared" si="34"/>
        <v>8.1303845032683911E-2</v>
      </c>
      <c r="X527" s="50">
        <f t="shared" si="35"/>
        <v>0.16514794964716251</v>
      </c>
    </row>
    <row r="528" spans="1:24" x14ac:dyDescent="0.2">
      <c r="A528" s="4">
        <v>527</v>
      </c>
      <c r="B528" s="4" t="s">
        <v>38</v>
      </c>
      <c r="C528" s="4">
        <v>1</v>
      </c>
      <c r="D528" s="4">
        <v>0</v>
      </c>
      <c r="E528" s="4">
        <v>1</v>
      </c>
      <c r="F528" s="4">
        <v>1</v>
      </c>
      <c r="G528" s="4" t="b">
        <v>0</v>
      </c>
      <c r="H528" s="4">
        <v>1</v>
      </c>
      <c r="I528" s="4">
        <v>1</v>
      </c>
      <c r="J528" s="4">
        <v>0.04</v>
      </c>
      <c r="K528" s="6" t="str">
        <f>IF(H528=0,"weekend",IF(H528=6,"weekend","weekend"))</f>
        <v>weekend</v>
      </c>
      <c r="L528" s="3" t="str">
        <f>IF(C528=1,"Spring",IF(C528=2,"Summer",IF(C528=3,"Fall","Winter")))</f>
        <v>Spring</v>
      </c>
      <c r="M528" s="3">
        <f>SUM(J528:J552)</f>
        <v>2.660000000000001</v>
      </c>
      <c r="N528" s="3">
        <f>AVERAGE(J528:J1137)</f>
        <v>0.18047619047619048</v>
      </c>
      <c r="O528" s="3">
        <f>COUNT(J528:J1137)</f>
        <v>84</v>
      </c>
      <c r="P528" s="3" t="str">
        <f>TEXT(J528,"0.00")</f>
        <v>0.04</v>
      </c>
      <c r="Q528" s="3" t="str">
        <f>LEFT(L528,3)</f>
        <v>Spr</v>
      </c>
      <c r="R528" s="42" t="str">
        <f>RIGHT(L528,3)</f>
        <v>ing</v>
      </c>
      <c r="S528" s="42">
        <f>LEN(L528)</f>
        <v>6</v>
      </c>
      <c r="T528" s="3" t="str">
        <f>A528&amp;"|"&amp;B528&amp;"|"&amp;F528</f>
        <v>527|24-01-2011|1</v>
      </c>
      <c r="U528" s="3">
        <f t="shared" si="32"/>
        <v>610</v>
      </c>
      <c r="V528" s="3">
        <f t="shared" si="33"/>
        <v>120.10000000000005</v>
      </c>
      <c r="W528" s="50">
        <f t="shared" si="34"/>
        <v>8.1303845032683911E-2</v>
      </c>
      <c r="X528" s="50">
        <f t="shared" si="35"/>
        <v>0.16514794964716251</v>
      </c>
    </row>
    <row r="529" spans="1:24" x14ac:dyDescent="0.2">
      <c r="A529" s="4">
        <v>528</v>
      </c>
      <c r="B529" s="4" t="s">
        <v>38</v>
      </c>
      <c r="C529" s="4">
        <v>1</v>
      </c>
      <c r="D529" s="4">
        <v>0</v>
      </c>
      <c r="E529" s="4">
        <v>1</v>
      </c>
      <c r="F529" s="4">
        <v>3</v>
      </c>
      <c r="G529" s="4" t="b">
        <v>0</v>
      </c>
      <c r="H529" s="4">
        <v>1</v>
      </c>
      <c r="I529" s="4">
        <v>1</v>
      </c>
      <c r="J529" s="4">
        <v>0.04</v>
      </c>
      <c r="K529" s="6" t="str">
        <f>IF(H529=0,"weekend",IF(H529=6,"weekend","weekend"))</f>
        <v>weekend</v>
      </c>
      <c r="L529" s="3" t="str">
        <f>IF(C529=1,"Spring",IF(C529=2,"Summer",IF(C529=3,"Fall","Winter")))</f>
        <v>Spring</v>
      </c>
      <c r="M529" s="3">
        <f>SUM(J529:J553)</f>
        <v>2.7600000000000016</v>
      </c>
      <c r="N529" s="3">
        <f>AVERAGE(J529:J1138)</f>
        <v>0.18216867469879519</v>
      </c>
      <c r="O529" s="3">
        <f>COUNT(J529:J1138)</f>
        <v>83</v>
      </c>
      <c r="P529" s="3" t="str">
        <f>TEXT(J529,"0.00")</f>
        <v>0.04</v>
      </c>
      <c r="Q529" s="3" t="str">
        <f>LEFT(L529,3)</f>
        <v>Spr</v>
      </c>
      <c r="R529" s="42" t="str">
        <f>RIGHT(L529,3)</f>
        <v>ing</v>
      </c>
      <c r="S529" s="42">
        <f>LEN(L529)</f>
        <v>6</v>
      </c>
      <c r="T529" s="3" t="str">
        <f>A529&amp;"|"&amp;B529&amp;"|"&amp;F529</f>
        <v>528|24-01-2011|3</v>
      </c>
      <c r="U529" s="3">
        <f t="shared" si="32"/>
        <v>610</v>
      </c>
      <c r="V529" s="3">
        <f t="shared" si="33"/>
        <v>120.10000000000005</v>
      </c>
      <c r="W529" s="50">
        <f t="shared" si="34"/>
        <v>8.1303845032683911E-2</v>
      </c>
      <c r="X529" s="50">
        <f t="shared" si="35"/>
        <v>0.16514794964716251</v>
      </c>
    </row>
    <row r="530" spans="1:24" x14ac:dyDescent="0.2">
      <c r="A530" s="4">
        <v>529</v>
      </c>
      <c r="B530" s="4" t="s">
        <v>38</v>
      </c>
      <c r="C530" s="4">
        <v>1</v>
      </c>
      <c r="D530" s="4">
        <v>0</v>
      </c>
      <c r="E530" s="4">
        <v>1</v>
      </c>
      <c r="F530" s="4">
        <v>4</v>
      </c>
      <c r="G530" s="4" t="b">
        <v>0</v>
      </c>
      <c r="H530" s="4">
        <v>1</v>
      </c>
      <c r="I530" s="4">
        <v>1</v>
      </c>
      <c r="J530" s="4">
        <v>0.02</v>
      </c>
      <c r="K530" s="6" t="str">
        <f>IF(H530=0,"weekend",IF(H530=6,"weekend","weekend"))</f>
        <v>weekend</v>
      </c>
      <c r="L530" s="3" t="str">
        <f>IF(C530=1,"Spring",IF(C530=2,"Summer",IF(C530=3,"Fall","Winter")))</f>
        <v>Spring</v>
      </c>
      <c r="M530" s="3">
        <f>SUM(J530:J554)</f>
        <v>2.8600000000000017</v>
      </c>
      <c r="N530" s="3">
        <f>AVERAGE(J530:J1139)</f>
        <v>0.18390243902439024</v>
      </c>
      <c r="O530" s="3">
        <f>COUNT(J530:J1139)</f>
        <v>82</v>
      </c>
      <c r="P530" s="3" t="str">
        <f>TEXT(J530,"0.00")</f>
        <v>0.02</v>
      </c>
      <c r="Q530" s="3" t="str">
        <f>LEFT(L530,3)</f>
        <v>Spr</v>
      </c>
      <c r="R530" s="42" t="str">
        <f>RIGHT(L530,3)</f>
        <v>ing</v>
      </c>
      <c r="S530" s="42">
        <f>LEN(L530)</f>
        <v>6</v>
      </c>
      <c r="T530" s="3" t="str">
        <f>A530&amp;"|"&amp;B530&amp;"|"&amp;F530</f>
        <v>529|24-01-2011|4</v>
      </c>
      <c r="U530" s="3">
        <f t="shared" si="32"/>
        <v>610</v>
      </c>
      <c r="V530" s="3">
        <f t="shared" si="33"/>
        <v>120.10000000000005</v>
      </c>
      <c r="W530" s="50">
        <f t="shared" si="34"/>
        <v>8.1303845032683911E-2</v>
      </c>
      <c r="X530" s="50">
        <f t="shared" si="35"/>
        <v>0.16514794964716251</v>
      </c>
    </row>
    <row r="531" spans="1:24" x14ac:dyDescent="0.2">
      <c r="A531" s="4">
        <v>530</v>
      </c>
      <c r="B531" s="4" t="s">
        <v>38</v>
      </c>
      <c r="C531" s="4">
        <v>1</v>
      </c>
      <c r="D531" s="4">
        <v>0</v>
      </c>
      <c r="E531" s="4">
        <v>1</v>
      </c>
      <c r="F531" s="4">
        <v>5</v>
      </c>
      <c r="G531" s="4" t="b">
        <v>0</v>
      </c>
      <c r="H531" s="4">
        <v>1</v>
      </c>
      <c r="I531" s="4">
        <v>1</v>
      </c>
      <c r="J531" s="4">
        <v>0.02</v>
      </c>
      <c r="K531" s="6" t="str">
        <f>IF(H531=0,"weekend",IF(H531=6,"weekend","weekend"))</f>
        <v>weekend</v>
      </c>
      <c r="L531" s="3" t="str">
        <f>IF(C531=1,"Spring",IF(C531=2,"Summer",IF(C531=3,"Fall","Winter")))</f>
        <v>Spring</v>
      </c>
      <c r="M531" s="3">
        <f>SUM(J531:J555)</f>
        <v>3.0000000000000018</v>
      </c>
      <c r="N531" s="3">
        <f>AVERAGE(J531:J1140)</f>
        <v>0.18592592592592594</v>
      </c>
      <c r="O531" s="3">
        <f>COUNT(J531:J1140)</f>
        <v>81</v>
      </c>
      <c r="P531" s="3" t="str">
        <f>TEXT(J531,"0.00")</f>
        <v>0.02</v>
      </c>
      <c r="Q531" s="3" t="str">
        <f>LEFT(L531,3)</f>
        <v>Spr</v>
      </c>
      <c r="R531" s="42" t="str">
        <f>RIGHT(L531,3)</f>
        <v>ing</v>
      </c>
      <c r="S531" s="42">
        <f>LEN(L531)</f>
        <v>6</v>
      </c>
      <c r="T531" s="3" t="str">
        <f>A531&amp;"|"&amp;B531&amp;"|"&amp;F531</f>
        <v>530|24-01-2011|5</v>
      </c>
      <c r="U531" s="3">
        <f t="shared" si="32"/>
        <v>610</v>
      </c>
      <c r="V531" s="3">
        <f t="shared" si="33"/>
        <v>120.10000000000005</v>
      </c>
      <c r="W531" s="50">
        <f t="shared" si="34"/>
        <v>8.1303845032683911E-2</v>
      </c>
      <c r="X531" s="50">
        <f t="shared" si="35"/>
        <v>0.16514794964716251</v>
      </c>
    </row>
    <row r="532" spans="1:24" x14ac:dyDescent="0.2">
      <c r="A532" s="4">
        <v>531</v>
      </c>
      <c r="B532" s="4" t="s">
        <v>38</v>
      </c>
      <c r="C532" s="4">
        <v>1</v>
      </c>
      <c r="D532" s="4">
        <v>0</v>
      </c>
      <c r="E532" s="4">
        <v>1</v>
      </c>
      <c r="F532" s="4">
        <v>6</v>
      </c>
      <c r="G532" s="4" t="b">
        <v>0</v>
      </c>
      <c r="H532" s="4">
        <v>1</v>
      </c>
      <c r="I532" s="4">
        <v>1</v>
      </c>
      <c r="J532" s="4">
        <v>0.02</v>
      </c>
      <c r="K532" s="6" t="str">
        <f>IF(H532=0,"weekend",IF(H532=6,"weekend","weekend"))</f>
        <v>weekend</v>
      </c>
      <c r="L532" s="3" t="str">
        <f>IF(C532=1,"Spring",IF(C532=2,"Summer",IF(C532=3,"Fall","Winter")))</f>
        <v>Spring</v>
      </c>
      <c r="M532" s="3">
        <f>SUM(J532:J556)</f>
        <v>3.1400000000000019</v>
      </c>
      <c r="N532" s="3">
        <f>AVERAGE(J532:J1141)</f>
        <v>0.188</v>
      </c>
      <c r="O532" s="3">
        <f>COUNT(J532:J1141)</f>
        <v>80</v>
      </c>
      <c r="P532" s="3" t="str">
        <f>TEXT(J532,"0.00")</f>
        <v>0.02</v>
      </c>
      <c r="Q532" s="3" t="str">
        <f>LEFT(L532,3)</f>
        <v>Spr</v>
      </c>
      <c r="R532" s="42" t="str">
        <f>RIGHT(L532,3)</f>
        <v>ing</v>
      </c>
      <c r="S532" s="42">
        <f>LEN(L532)</f>
        <v>6</v>
      </c>
      <c r="T532" s="3" t="str">
        <f>A532&amp;"|"&amp;B532&amp;"|"&amp;F532</f>
        <v>531|24-01-2011|6</v>
      </c>
      <c r="U532" s="3">
        <f t="shared" si="32"/>
        <v>610</v>
      </c>
      <c r="V532" s="3">
        <f t="shared" si="33"/>
        <v>120.10000000000005</v>
      </c>
      <c r="W532" s="50">
        <f t="shared" si="34"/>
        <v>8.1303845032683911E-2</v>
      </c>
      <c r="X532" s="50">
        <f t="shared" si="35"/>
        <v>0.16514794964716251</v>
      </c>
    </row>
    <row r="533" spans="1:24" x14ac:dyDescent="0.2">
      <c r="A533" s="4">
        <v>532</v>
      </c>
      <c r="B533" s="4" t="s">
        <v>38</v>
      </c>
      <c r="C533" s="4">
        <v>1</v>
      </c>
      <c r="D533" s="4">
        <v>0</v>
      </c>
      <c r="E533" s="4">
        <v>1</v>
      </c>
      <c r="F533" s="4">
        <v>7</v>
      </c>
      <c r="G533" s="4" t="b">
        <v>0</v>
      </c>
      <c r="H533" s="4">
        <v>1</v>
      </c>
      <c r="I533" s="4">
        <v>1</v>
      </c>
      <c r="J533" s="4">
        <v>0.02</v>
      </c>
      <c r="K533" s="6" t="str">
        <f>IF(H533=0,"weekend",IF(H533=6,"weekend","weekend"))</f>
        <v>weekend</v>
      </c>
      <c r="L533" s="3" t="str">
        <f>IF(C533=1,"Spring",IF(C533=2,"Summer",IF(C533=3,"Fall","Winter")))</f>
        <v>Spring</v>
      </c>
      <c r="M533" s="3">
        <f>SUM(J533:J557)</f>
        <v>3.280000000000002</v>
      </c>
      <c r="N533" s="3">
        <f>AVERAGE(J533:J1142)</f>
        <v>0.190126582278481</v>
      </c>
      <c r="O533" s="3">
        <f>COUNT(J533:J1142)</f>
        <v>79</v>
      </c>
      <c r="P533" s="3" t="str">
        <f>TEXT(J533,"0.00")</f>
        <v>0.02</v>
      </c>
      <c r="Q533" s="3" t="str">
        <f>LEFT(L533,3)</f>
        <v>Spr</v>
      </c>
      <c r="R533" s="42" t="str">
        <f>RIGHT(L533,3)</f>
        <v>ing</v>
      </c>
      <c r="S533" s="42">
        <f>LEN(L533)</f>
        <v>6</v>
      </c>
      <c r="T533" s="3" t="str">
        <f>A533&amp;"|"&amp;B533&amp;"|"&amp;F533</f>
        <v>532|24-01-2011|7</v>
      </c>
      <c r="U533" s="3">
        <f t="shared" si="32"/>
        <v>610</v>
      </c>
      <c r="V533" s="3">
        <f t="shared" si="33"/>
        <v>120.10000000000005</v>
      </c>
      <c r="W533" s="50">
        <f t="shared" si="34"/>
        <v>8.1303845032683911E-2</v>
      </c>
      <c r="X533" s="50">
        <f t="shared" si="35"/>
        <v>0.16514794964716251</v>
      </c>
    </row>
    <row r="534" spans="1:24" x14ac:dyDescent="0.2">
      <c r="A534" s="4">
        <v>533</v>
      </c>
      <c r="B534" s="4" t="s">
        <v>38</v>
      </c>
      <c r="C534" s="4">
        <v>1</v>
      </c>
      <c r="D534" s="4">
        <v>0</v>
      </c>
      <c r="E534" s="4">
        <v>1</v>
      </c>
      <c r="F534" s="4">
        <v>8</v>
      </c>
      <c r="G534" s="4" t="b">
        <v>0</v>
      </c>
      <c r="H534" s="4">
        <v>1</v>
      </c>
      <c r="I534" s="4">
        <v>1</v>
      </c>
      <c r="J534" s="4">
        <v>0.04</v>
      </c>
      <c r="K534" s="6" t="str">
        <f>IF(H534=0,"weekend",IF(H534=6,"weekend","weekend"))</f>
        <v>weekend</v>
      </c>
      <c r="L534" s="3" t="str">
        <f>IF(C534=1,"Spring",IF(C534=2,"Summer",IF(C534=3,"Fall","Winter")))</f>
        <v>Spring</v>
      </c>
      <c r="M534" s="3">
        <f>SUM(J534:J558)</f>
        <v>3.4600000000000022</v>
      </c>
      <c r="N534" s="3">
        <f>AVERAGE(J534:J1143)</f>
        <v>0.19230769230769232</v>
      </c>
      <c r="O534" s="3">
        <f>COUNT(J534:J1143)</f>
        <v>78</v>
      </c>
      <c r="P534" s="3" t="str">
        <f>TEXT(J534,"0.00")</f>
        <v>0.04</v>
      </c>
      <c r="Q534" s="3" t="str">
        <f>LEFT(L534,3)</f>
        <v>Spr</v>
      </c>
      <c r="R534" s="42" t="str">
        <f>RIGHT(L534,3)</f>
        <v>ing</v>
      </c>
      <c r="S534" s="42">
        <f>LEN(L534)</f>
        <v>6</v>
      </c>
      <c r="T534" s="3" t="str">
        <f>A534&amp;"|"&amp;B534&amp;"|"&amp;F534</f>
        <v>533|24-01-2011|8</v>
      </c>
      <c r="U534" s="3">
        <f t="shared" si="32"/>
        <v>610</v>
      </c>
      <c r="V534" s="3">
        <f t="shared" si="33"/>
        <v>120.10000000000005</v>
      </c>
      <c r="W534" s="50">
        <f t="shared" si="34"/>
        <v>8.1303845032683911E-2</v>
      </c>
      <c r="X534" s="50">
        <f t="shared" si="35"/>
        <v>0.16514794964716251</v>
      </c>
    </row>
    <row r="535" spans="1:24" x14ac:dyDescent="0.2">
      <c r="A535" s="4">
        <v>534</v>
      </c>
      <c r="B535" s="4" t="s">
        <v>38</v>
      </c>
      <c r="C535" s="4">
        <v>1</v>
      </c>
      <c r="D535" s="4">
        <v>0</v>
      </c>
      <c r="E535" s="4">
        <v>1</v>
      </c>
      <c r="F535" s="4">
        <v>9</v>
      </c>
      <c r="G535" s="4" t="b">
        <v>0</v>
      </c>
      <c r="H535" s="4">
        <v>1</v>
      </c>
      <c r="I535" s="4">
        <v>1</v>
      </c>
      <c r="J535" s="4">
        <v>0.06</v>
      </c>
      <c r="K535" s="6" t="str">
        <f>IF(H535=0,"weekend",IF(H535=6,"weekend","weekend"))</f>
        <v>weekend</v>
      </c>
      <c r="L535" s="3" t="str">
        <f>IF(C535=1,"Spring",IF(C535=2,"Summer",IF(C535=3,"Fall","Winter")))</f>
        <v>Spring</v>
      </c>
      <c r="M535" s="3">
        <f>SUM(J535:J559)</f>
        <v>3.6400000000000019</v>
      </c>
      <c r="N535" s="3">
        <f>AVERAGE(J535:J1144)</f>
        <v>0.19428571428571428</v>
      </c>
      <c r="O535" s="3">
        <f>COUNT(J535:J1144)</f>
        <v>77</v>
      </c>
      <c r="P535" s="3" t="str">
        <f>TEXT(J535,"0.00")</f>
        <v>0.06</v>
      </c>
      <c r="Q535" s="3" t="str">
        <f>LEFT(L535,3)</f>
        <v>Spr</v>
      </c>
      <c r="R535" s="42" t="str">
        <f>RIGHT(L535,3)</f>
        <v>ing</v>
      </c>
      <c r="S535" s="42">
        <f>LEN(L535)</f>
        <v>6</v>
      </c>
      <c r="T535" s="3" t="str">
        <f>A535&amp;"|"&amp;B535&amp;"|"&amp;F535</f>
        <v>534|24-01-2011|9</v>
      </c>
      <c r="U535" s="3">
        <f t="shared" si="32"/>
        <v>610</v>
      </c>
      <c r="V535" s="3">
        <f t="shared" si="33"/>
        <v>120.10000000000005</v>
      </c>
      <c r="W535" s="50">
        <f t="shared" si="34"/>
        <v>8.1303845032683911E-2</v>
      </c>
      <c r="X535" s="50">
        <f t="shared" si="35"/>
        <v>0.16514794964716251</v>
      </c>
    </row>
    <row r="536" spans="1:24" x14ac:dyDescent="0.2">
      <c r="A536" s="4">
        <v>535</v>
      </c>
      <c r="B536" s="4" t="s">
        <v>38</v>
      </c>
      <c r="C536" s="4">
        <v>1</v>
      </c>
      <c r="D536" s="4">
        <v>0</v>
      </c>
      <c r="E536" s="4">
        <v>1</v>
      </c>
      <c r="F536" s="4">
        <v>10</v>
      </c>
      <c r="G536" s="4" t="b">
        <v>0</v>
      </c>
      <c r="H536" s="4">
        <v>1</v>
      </c>
      <c r="I536" s="4">
        <v>1</v>
      </c>
      <c r="J536" s="4">
        <v>0.1</v>
      </c>
      <c r="K536" s="6" t="str">
        <f>IF(H536=0,"weekend",IF(H536=6,"weekend","weekend"))</f>
        <v>weekend</v>
      </c>
      <c r="L536" s="3" t="str">
        <f>IF(C536=1,"Spring",IF(C536=2,"Summer",IF(C536=3,"Fall","Winter")))</f>
        <v>Spring</v>
      </c>
      <c r="M536" s="3">
        <f>SUM(J536:J560)</f>
        <v>3.8200000000000021</v>
      </c>
      <c r="N536" s="3">
        <f>AVERAGE(J536:J1145)</f>
        <v>0.19605263157894737</v>
      </c>
      <c r="O536" s="3">
        <f>COUNT(J536:J1145)</f>
        <v>76</v>
      </c>
      <c r="P536" s="3" t="str">
        <f>TEXT(J536,"0.00")</f>
        <v>0.10</v>
      </c>
      <c r="Q536" s="3" t="str">
        <f>LEFT(L536,3)</f>
        <v>Spr</v>
      </c>
      <c r="R536" s="42" t="str">
        <f>RIGHT(L536,3)</f>
        <v>ing</v>
      </c>
      <c r="S536" s="42">
        <f>LEN(L536)</f>
        <v>6</v>
      </c>
      <c r="T536" s="3" t="str">
        <f>A536&amp;"|"&amp;B536&amp;"|"&amp;F536</f>
        <v>535|24-01-2011|10</v>
      </c>
      <c r="U536" s="3">
        <f t="shared" si="32"/>
        <v>610</v>
      </c>
      <c r="V536" s="3">
        <f t="shared" si="33"/>
        <v>120.10000000000005</v>
      </c>
      <c r="W536" s="50">
        <f t="shared" si="34"/>
        <v>8.1303845032683911E-2</v>
      </c>
      <c r="X536" s="50">
        <f t="shared" si="35"/>
        <v>0.16514794964716251</v>
      </c>
    </row>
    <row r="537" spans="1:24" x14ac:dyDescent="0.2">
      <c r="A537" s="4">
        <v>536</v>
      </c>
      <c r="B537" s="4" t="s">
        <v>38</v>
      </c>
      <c r="C537" s="4">
        <v>1</v>
      </c>
      <c r="D537" s="4">
        <v>0</v>
      </c>
      <c r="E537" s="4">
        <v>1</v>
      </c>
      <c r="F537" s="4">
        <v>11</v>
      </c>
      <c r="G537" s="4" t="b">
        <v>0</v>
      </c>
      <c r="H537" s="4">
        <v>1</v>
      </c>
      <c r="I537" s="4">
        <v>1</v>
      </c>
      <c r="J537" s="4">
        <v>0.1</v>
      </c>
      <c r="K537" s="6" t="str">
        <f>IF(H537=0,"weekend",IF(H537=6,"weekend","weekend"))</f>
        <v>weekend</v>
      </c>
      <c r="L537" s="3" t="str">
        <f>IF(C537=1,"Spring",IF(C537=2,"Summer",IF(C537=3,"Fall","Winter")))</f>
        <v>Spring</v>
      </c>
      <c r="M537" s="3">
        <f>SUM(J537:J561)</f>
        <v>3.9800000000000013</v>
      </c>
      <c r="N537" s="3">
        <f>AVERAGE(J537:J1146)</f>
        <v>0.19733333333333333</v>
      </c>
      <c r="O537" s="3">
        <f>COUNT(J537:J1146)</f>
        <v>75</v>
      </c>
      <c r="P537" s="3" t="str">
        <f>TEXT(J537,"0.00")</f>
        <v>0.10</v>
      </c>
      <c r="Q537" s="3" t="str">
        <f>LEFT(L537,3)</f>
        <v>Spr</v>
      </c>
      <c r="R537" s="42" t="str">
        <f>RIGHT(L537,3)</f>
        <v>ing</v>
      </c>
      <c r="S537" s="42">
        <f>LEN(L537)</f>
        <v>6</v>
      </c>
      <c r="T537" s="3" t="str">
        <f>A537&amp;"|"&amp;B537&amp;"|"&amp;F537</f>
        <v>536|24-01-2011|11</v>
      </c>
      <c r="U537" s="3">
        <f t="shared" si="32"/>
        <v>610</v>
      </c>
      <c r="V537" s="3">
        <f t="shared" si="33"/>
        <v>120.10000000000005</v>
      </c>
      <c r="W537" s="50">
        <f t="shared" si="34"/>
        <v>8.1303845032683911E-2</v>
      </c>
      <c r="X537" s="50">
        <f t="shared" si="35"/>
        <v>0.16514794964716251</v>
      </c>
    </row>
    <row r="538" spans="1:24" x14ac:dyDescent="0.2">
      <c r="A538" s="4">
        <v>537</v>
      </c>
      <c r="B538" s="4" t="s">
        <v>38</v>
      </c>
      <c r="C538" s="4">
        <v>1</v>
      </c>
      <c r="D538" s="4">
        <v>0</v>
      </c>
      <c r="E538" s="4">
        <v>1</v>
      </c>
      <c r="F538" s="4">
        <v>12</v>
      </c>
      <c r="G538" s="4" t="b">
        <v>0</v>
      </c>
      <c r="H538" s="4">
        <v>1</v>
      </c>
      <c r="I538" s="4">
        <v>2</v>
      </c>
      <c r="J538" s="4">
        <v>0.12</v>
      </c>
      <c r="K538" s="6" t="str">
        <f>IF(H538=0,"weekend",IF(H538=6,"weekend","weekend"))</f>
        <v>weekend</v>
      </c>
      <c r="L538" s="3" t="str">
        <f>IF(C538=1,"Spring",IF(C538=2,"Summer",IF(C538=3,"Fall","Winter")))</f>
        <v>Spring</v>
      </c>
      <c r="M538" s="3">
        <f>SUM(J538:J562)</f>
        <v>4.1400000000000015</v>
      </c>
      <c r="N538" s="3">
        <f>AVERAGE(J538:J1147)</f>
        <v>0.19864864864864867</v>
      </c>
      <c r="O538" s="3">
        <f>COUNT(J538:J1147)</f>
        <v>74</v>
      </c>
      <c r="P538" s="3" t="str">
        <f>TEXT(J538,"0.00")</f>
        <v>0.12</v>
      </c>
      <c r="Q538" s="3" t="str">
        <f>LEFT(L538,3)</f>
        <v>Spr</v>
      </c>
      <c r="R538" s="42" t="str">
        <f>RIGHT(L538,3)</f>
        <v>ing</v>
      </c>
      <c r="S538" s="42">
        <f>LEN(L538)</f>
        <v>6</v>
      </c>
      <c r="T538" s="3" t="str">
        <f>A538&amp;"|"&amp;B538&amp;"|"&amp;F538</f>
        <v>537|24-01-2011|12</v>
      </c>
      <c r="U538" s="3">
        <f t="shared" si="32"/>
        <v>610</v>
      </c>
      <c r="V538" s="3">
        <f t="shared" si="33"/>
        <v>120.10000000000005</v>
      </c>
      <c r="W538" s="50">
        <f t="shared" si="34"/>
        <v>8.1303845032683911E-2</v>
      </c>
      <c r="X538" s="50">
        <f t="shared" si="35"/>
        <v>0.16514794964716251</v>
      </c>
    </row>
    <row r="539" spans="1:24" x14ac:dyDescent="0.2">
      <c r="A539" s="4">
        <v>538</v>
      </c>
      <c r="B539" s="4" t="s">
        <v>38</v>
      </c>
      <c r="C539" s="4">
        <v>1</v>
      </c>
      <c r="D539" s="4">
        <v>0</v>
      </c>
      <c r="E539" s="4">
        <v>1</v>
      </c>
      <c r="F539" s="4">
        <v>13</v>
      </c>
      <c r="G539" s="4" t="b">
        <v>0</v>
      </c>
      <c r="H539" s="4">
        <v>1</v>
      </c>
      <c r="I539" s="4">
        <v>2</v>
      </c>
      <c r="J539" s="4">
        <v>0.14000000000000001</v>
      </c>
      <c r="K539" s="6" t="str">
        <f>IF(H539=0,"weekend",IF(H539=6,"weekend","weekend"))</f>
        <v>weekend</v>
      </c>
      <c r="L539" s="3" t="str">
        <f>IF(C539=1,"Spring",IF(C539=2,"Summer",IF(C539=3,"Fall","Winter")))</f>
        <v>Spring</v>
      </c>
      <c r="M539" s="3">
        <f>SUM(J539:J563)</f>
        <v>4.32</v>
      </c>
      <c r="N539" s="3">
        <f>AVERAGE(J539:J1148)</f>
        <v>0.19972602739726028</v>
      </c>
      <c r="O539" s="3">
        <f>COUNT(J539:J1148)</f>
        <v>73</v>
      </c>
      <c r="P539" s="3" t="str">
        <f>TEXT(J539,"0.00")</f>
        <v>0.14</v>
      </c>
      <c r="Q539" s="3" t="str">
        <f>LEFT(L539,3)</f>
        <v>Spr</v>
      </c>
      <c r="R539" s="42" t="str">
        <f>RIGHT(L539,3)</f>
        <v>ing</v>
      </c>
      <c r="S539" s="42">
        <f>LEN(L539)</f>
        <v>6</v>
      </c>
      <c r="T539" s="3" t="str">
        <f>A539&amp;"|"&amp;B539&amp;"|"&amp;F539</f>
        <v>538|24-01-2011|13</v>
      </c>
      <c r="U539" s="3">
        <f t="shared" si="32"/>
        <v>610</v>
      </c>
      <c r="V539" s="3">
        <f t="shared" si="33"/>
        <v>120.10000000000005</v>
      </c>
      <c r="W539" s="50">
        <f t="shared" si="34"/>
        <v>8.1303845032683911E-2</v>
      </c>
      <c r="X539" s="50">
        <f t="shared" si="35"/>
        <v>0.16514794964716251</v>
      </c>
    </row>
    <row r="540" spans="1:24" x14ac:dyDescent="0.2">
      <c r="A540" s="4">
        <v>539</v>
      </c>
      <c r="B540" s="4" t="s">
        <v>38</v>
      </c>
      <c r="C540" s="4">
        <v>1</v>
      </c>
      <c r="D540" s="4">
        <v>0</v>
      </c>
      <c r="E540" s="4">
        <v>1</v>
      </c>
      <c r="F540" s="4">
        <v>14</v>
      </c>
      <c r="G540" s="4" t="b">
        <v>0</v>
      </c>
      <c r="H540" s="4">
        <v>1</v>
      </c>
      <c r="I540" s="4">
        <v>2</v>
      </c>
      <c r="J540" s="4">
        <v>0.14000000000000001</v>
      </c>
      <c r="K540" s="6" t="str">
        <f>IF(H540=0,"weekend",IF(H540=6,"weekend","weekend"))</f>
        <v>weekend</v>
      </c>
      <c r="L540" s="3" t="str">
        <f>IF(C540=1,"Spring",IF(C540=2,"Summer",IF(C540=3,"Fall","Winter")))</f>
        <v>Spring</v>
      </c>
      <c r="M540" s="3">
        <f>SUM(J540:J564)</f>
        <v>4.5000000000000009</v>
      </c>
      <c r="N540" s="3">
        <f>AVERAGE(J540:J1149)</f>
        <v>0.20055555555555554</v>
      </c>
      <c r="O540" s="3">
        <f>COUNT(J540:J1149)</f>
        <v>72</v>
      </c>
      <c r="P540" s="3" t="str">
        <f>TEXT(J540,"0.00")</f>
        <v>0.14</v>
      </c>
      <c r="Q540" s="3" t="str">
        <f>LEFT(L540,3)</f>
        <v>Spr</v>
      </c>
      <c r="R540" s="42" t="str">
        <f>RIGHT(L540,3)</f>
        <v>ing</v>
      </c>
      <c r="S540" s="42">
        <f>LEN(L540)</f>
        <v>6</v>
      </c>
      <c r="T540" s="3" t="str">
        <f>A540&amp;"|"&amp;B540&amp;"|"&amp;F540</f>
        <v>539|24-01-2011|14</v>
      </c>
      <c r="U540" s="3">
        <f t="shared" si="32"/>
        <v>610</v>
      </c>
      <c r="V540" s="3">
        <f t="shared" si="33"/>
        <v>120.10000000000005</v>
      </c>
      <c r="W540" s="50">
        <f t="shared" si="34"/>
        <v>8.1303845032683911E-2</v>
      </c>
      <c r="X540" s="50">
        <f t="shared" si="35"/>
        <v>0.16514794964716251</v>
      </c>
    </row>
    <row r="541" spans="1:24" x14ac:dyDescent="0.2">
      <c r="A541" s="4">
        <v>540</v>
      </c>
      <c r="B541" s="4" t="s">
        <v>38</v>
      </c>
      <c r="C541" s="4">
        <v>1</v>
      </c>
      <c r="D541" s="4">
        <v>0</v>
      </c>
      <c r="E541" s="4">
        <v>1</v>
      </c>
      <c r="F541" s="4">
        <v>15</v>
      </c>
      <c r="G541" s="4" t="b">
        <v>0</v>
      </c>
      <c r="H541" s="4">
        <v>1</v>
      </c>
      <c r="I541" s="4">
        <v>1</v>
      </c>
      <c r="J541" s="4">
        <v>0.16</v>
      </c>
      <c r="K541" s="6" t="str">
        <f>IF(H541=0,"weekend",IF(H541=6,"weekend","weekend"))</f>
        <v>weekend</v>
      </c>
      <c r="L541" s="3" t="str">
        <f>IF(C541=1,"Spring",IF(C541=2,"Summer",IF(C541=3,"Fall","Winter")))</f>
        <v>Spring</v>
      </c>
      <c r="M541" s="3">
        <f>SUM(J541:J565)</f>
        <v>4.6800000000000006</v>
      </c>
      <c r="N541" s="3">
        <f>AVERAGE(J541:J1150)</f>
        <v>0.20140845070422531</v>
      </c>
      <c r="O541" s="3">
        <f>COUNT(J541:J1150)</f>
        <v>71</v>
      </c>
      <c r="P541" s="3" t="str">
        <f>TEXT(J541,"0.00")</f>
        <v>0.16</v>
      </c>
      <c r="Q541" s="3" t="str">
        <f>LEFT(L541,3)</f>
        <v>Spr</v>
      </c>
      <c r="R541" s="42" t="str">
        <f>RIGHT(L541,3)</f>
        <v>ing</v>
      </c>
      <c r="S541" s="42">
        <f>LEN(L541)</f>
        <v>6</v>
      </c>
      <c r="T541" s="3" t="str">
        <f>A541&amp;"|"&amp;B541&amp;"|"&amp;F541</f>
        <v>540|24-01-2011|15</v>
      </c>
      <c r="U541" s="3">
        <f t="shared" si="32"/>
        <v>610</v>
      </c>
      <c r="V541" s="3">
        <f t="shared" si="33"/>
        <v>120.10000000000005</v>
      </c>
      <c r="W541" s="50">
        <f t="shared" si="34"/>
        <v>8.1303845032683911E-2</v>
      </c>
      <c r="X541" s="50">
        <f t="shared" si="35"/>
        <v>0.16514794964716251</v>
      </c>
    </row>
    <row r="542" spans="1:24" x14ac:dyDescent="0.2">
      <c r="A542" s="4">
        <v>541</v>
      </c>
      <c r="B542" s="4" t="s">
        <v>38</v>
      </c>
      <c r="C542" s="4">
        <v>1</v>
      </c>
      <c r="D542" s="4">
        <v>0</v>
      </c>
      <c r="E542" s="4">
        <v>1</v>
      </c>
      <c r="F542" s="4">
        <v>16</v>
      </c>
      <c r="G542" s="4" t="b">
        <v>0</v>
      </c>
      <c r="H542" s="4">
        <v>1</v>
      </c>
      <c r="I542" s="4">
        <v>1</v>
      </c>
      <c r="J542" s="4">
        <v>0.16</v>
      </c>
      <c r="K542" s="6" t="str">
        <f>IF(H542=0,"weekend",IF(H542=6,"weekend","weekend"))</f>
        <v>weekend</v>
      </c>
      <c r="L542" s="3" t="str">
        <f>IF(C542=1,"Spring",IF(C542=2,"Summer",IF(C542=3,"Fall","Winter")))</f>
        <v>Spring</v>
      </c>
      <c r="M542" s="3">
        <f>SUM(J542:J566)</f>
        <v>4.82</v>
      </c>
      <c r="N542" s="3">
        <f>AVERAGE(J542:J1151)</f>
        <v>0.20199999999999996</v>
      </c>
      <c r="O542" s="3">
        <f>COUNT(J542:J1151)</f>
        <v>70</v>
      </c>
      <c r="P542" s="3" t="str">
        <f>TEXT(J542,"0.00")</f>
        <v>0.16</v>
      </c>
      <c r="Q542" s="3" t="str">
        <f>LEFT(L542,3)</f>
        <v>Spr</v>
      </c>
      <c r="R542" s="42" t="str">
        <f>RIGHT(L542,3)</f>
        <v>ing</v>
      </c>
      <c r="S542" s="42">
        <f>LEN(L542)</f>
        <v>6</v>
      </c>
      <c r="T542" s="3" t="str">
        <f>A542&amp;"|"&amp;B542&amp;"|"&amp;F542</f>
        <v>541|24-01-2011|16</v>
      </c>
      <c r="U542" s="3">
        <f t="shared" si="32"/>
        <v>610</v>
      </c>
      <c r="V542" s="3">
        <f t="shared" si="33"/>
        <v>120.10000000000005</v>
      </c>
      <c r="W542" s="50">
        <f t="shared" si="34"/>
        <v>8.1303845032683911E-2</v>
      </c>
      <c r="X542" s="50">
        <f t="shared" si="35"/>
        <v>0.16514794964716251</v>
      </c>
    </row>
    <row r="543" spans="1:24" x14ac:dyDescent="0.2">
      <c r="A543" s="4">
        <v>542</v>
      </c>
      <c r="B543" s="4" t="s">
        <v>38</v>
      </c>
      <c r="C543" s="4">
        <v>1</v>
      </c>
      <c r="D543" s="4">
        <v>0</v>
      </c>
      <c r="E543" s="4">
        <v>1</v>
      </c>
      <c r="F543" s="4">
        <v>17</v>
      </c>
      <c r="G543" s="4" t="b">
        <v>0</v>
      </c>
      <c r="H543" s="4">
        <v>1</v>
      </c>
      <c r="I543" s="4">
        <v>1</v>
      </c>
      <c r="J543" s="4">
        <v>0.14000000000000001</v>
      </c>
      <c r="K543" s="6" t="str">
        <f>IF(H543=0,"weekend",IF(H543=6,"weekend","weekend"))</f>
        <v>weekend</v>
      </c>
      <c r="L543" s="3" t="str">
        <f>IF(C543=1,"Spring",IF(C543=2,"Summer",IF(C543=3,"Fall","Winter")))</f>
        <v>Spring</v>
      </c>
      <c r="M543" s="3">
        <f>SUM(J543:J567)</f>
        <v>4.96</v>
      </c>
      <c r="N543" s="3">
        <f>AVERAGE(J543:J1152)</f>
        <v>0.20260869565217388</v>
      </c>
      <c r="O543" s="3">
        <f>COUNT(J543:J1152)</f>
        <v>69</v>
      </c>
      <c r="P543" s="3" t="str">
        <f>TEXT(J543,"0.00")</f>
        <v>0.14</v>
      </c>
      <c r="Q543" s="3" t="str">
        <f>LEFT(L543,3)</f>
        <v>Spr</v>
      </c>
      <c r="R543" s="42" t="str">
        <f>RIGHT(L543,3)</f>
        <v>ing</v>
      </c>
      <c r="S543" s="42">
        <f>LEN(L543)</f>
        <v>6</v>
      </c>
      <c r="T543" s="3" t="str">
        <f>A543&amp;"|"&amp;B543&amp;"|"&amp;F543</f>
        <v>542|24-01-2011|17</v>
      </c>
      <c r="U543" s="3">
        <f t="shared" si="32"/>
        <v>610</v>
      </c>
      <c r="V543" s="3">
        <f t="shared" si="33"/>
        <v>120.10000000000005</v>
      </c>
      <c r="W543" s="50">
        <f t="shared" si="34"/>
        <v>8.1303845032683911E-2</v>
      </c>
      <c r="X543" s="50">
        <f t="shared" si="35"/>
        <v>0.16514794964716251</v>
      </c>
    </row>
    <row r="544" spans="1:24" x14ac:dyDescent="0.2">
      <c r="A544" s="4">
        <v>543</v>
      </c>
      <c r="B544" s="4" t="s">
        <v>38</v>
      </c>
      <c r="C544" s="4">
        <v>1</v>
      </c>
      <c r="D544" s="4">
        <v>0</v>
      </c>
      <c r="E544" s="4">
        <v>1</v>
      </c>
      <c r="F544" s="4">
        <v>18</v>
      </c>
      <c r="G544" s="4" t="b">
        <v>0</v>
      </c>
      <c r="H544" s="4">
        <v>1</v>
      </c>
      <c r="I544" s="4">
        <v>1</v>
      </c>
      <c r="J544" s="4">
        <v>0.14000000000000001</v>
      </c>
      <c r="K544" s="6" t="str">
        <f>IF(H544=0,"weekend",IF(H544=6,"weekend","weekend"))</f>
        <v>weekend</v>
      </c>
      <c r="L544" s="3" t="str">
        <f>IF(C544=1,"Spring",IF(C544=2,"Summer",IF(C544=3,"Fall","Winter")))</f>
        <v>Spring</v>
      </c>
      <c r="M544" s="3">
        <f>SUM(J544:J568)</f>
        <v>5.0799999999999992</v>
      </c>
      <c r="N544" s="3">
        <f>AVERAGE(J544:J1153)</f>
        <v>0.20352941176470579</v>
      </c>
      <c r="O544" s="3">
        <f>COUNT(J544:J1153)</f>
        <v>68</v>
      </c>
      <c r="P544" s="3" t="str">
        <f>TEXT(J544,"0.00")</f>
        <v>0.14</v>
      </c>
      <c r="Q544" s="3" t="str">
        <f>LEFT(L544,3)</f>
        <v>Spr</v>
      </c>
      <c r="R544" s="42" t="str">
        <f>RIGHT(L544,3)</f>
        <v>ing</v>
      </c>
      <c r="S544" s="42">
        <f>LEN(L544)</f>
        <v>6</v>
      </c>
      <c r="T544" s="3" t="str">
        <f>A544&amp;"|"&amp;B544&amp;"|"&amp;F544</f>
        <v>543|24-01-2011|18</v>
      </c>
      <c r="U544" s="3">
        <f t="shared" si="32"/>
        <v>610</v>
      </c>
      <c r="V544" s="3">
        <f t="shared" si="33"/>
        <v>120.10000000000005</v>
      </c>
      <c r="W544" s="50">
        <f t="shared" si="34"/>
        <v>8.1303845032683911E-2</v>
      </c>
      <c r="X544" s="50">
        <f t="shared" si="35"/>
        <v>0.16514794964716251</v>
      </c>
    </row>
    <row r="545" spans="1:24" x14ac:dyDescent="0.2">
      <c r="A545" s="4">
        <v>544</v>
      </c>
      <c r="B545" s="4" t="s">
        <v>38</v>
      </c>
      <c r="C545" s="4">
        <v>1</v>
      </c>
      <c r="D545" s="4">
        <v>0</v>
      </c>
      <c r="E545" s="4">
        <v>1</v>
      </c>
      <c r="F545" s="4">
        <v>19</v>
      </c>
      <c r="G545" s="4" t="b">
        <v>0</v>
      </c>
      <c r="H545" s="4">
        <v>1</v>
      </c>
      <c r="I545" s="4">
        <v>1</v>
      </c>
      <c r="J545" s="4">
        <v>0.14000000000000001</v>
      </c>
      <c r="K545" s="6" t="str">
        <f>IF(H545=0,"weekend",IF(H545=6,"weekend","weekend"))</f>
        <v>weekend</v>
      </c>
      <c r="L545" s="3" t="str">
        <f>IF(C545=1,"Spring",IF(C545=2,"Summer",IF(C545=3,"Fall","Winter")))</f>
        <v>Spring</v>
      </c>
      <c r="M545" s="3">
        <f>SUM(J545:J569)</f>
        <v>5.1799999999999988</v>
      </c>
      <c r="N545" s="3">
        <f>AVERAGE(J545:J1154)</f>
        <v>0.20447761194029843</v>
      </c>
      <c r="O545" s="3">
        <f>COUNT(J545:J1154)</f>
        <v>67</v>
      </c>
      <c r="P545" s="3" t="str">
        <f>TEXT(J545,"0.00")</f>
        <v>0.14</v>
      </c>
      <c r="Q545" s="3" t="str">
        <f>LEFT(L545,3)</f>
        <v>Spr</v>
      </c>
      <c r="R545" s="42" t="str">
        <f>RIGHT(L545,3)</f>
        <v>ing</v>
      </c>
      <c r="S545" s="42">
        <f>LEN(L545)</f>
        <v>6</v>
      </c>
      <c r="T545" s="3" t="str">
        <f>A545&amp;"|"&amp;B545&amp;"|"&amp;F545</f>
        <v>544|24-01-2011|19</v>
      </c>
      <c r="U545" s="3">
        <f t="shared" si="32"/>
        <v>610</v>
      </c>
      <c r="V545" s="3">
        <f t="shared" si="33"/>
        <v>120.10000000000005</v>
      </c>
      <c r="W545" s="50">
        <f t="shared" si="34"/>
        <v>8.1303845032683911E-2</v>
      </c>
      <c r="X545" s="50">
        <f t="shared" si="35"/>
        <v>0.16514794964716251</v>
      </c>
    </row>
    <row r="546" spans="1:24" x14ac:dyDescent="0.2">
      <c r="A546" s="4">
        <v>545</v>
      </c>
      <c r="B546" s="4" t="s">
        <v>38</v>
      </c>
      <c r="C546" s="4">
        <v>1</v>
      </c>
      <c r="D546" s="4">
        <v>0</v>
      </c>
      <c r="E546" s="4">
        <v>1</v>
      </c>
      <c r="F546" s="4">
        <v>20</v>
      </c>
      <c r="G546" s="4" t="b">
        <v>0</v>
      </c>
      <c r="H546" s="4">
        <v>1</v>
      </c>
      <c r="I546" s="4">
        <v>1</v>
      </c>
      <c r="J546" s="4">
        <v>0.14000000000000001</v>
      </c>
      <c r="K546" s="6" t="str">
        <f>IF(H546=0,"weekend",IF(H546=6,"weekend","weekend"))</f>
        <v>weekend</v>
      </c>
      <c r="L546" s="3" t="str">
        <f>IF(C546=1,"Spring",IF(C546=2,"Summer",IF(C546=3,"Fall","Winter")))</f>
        <v>Spring</v>
      </c>
      <c r="M546" s="3">
        <f>SUM(J546:J570)</f>
        <v>5.2799999999999994</v>
      </c>
      <c r="N546" s="3">
        <f>AVERAGE(J546:J1155)</f>
        <v>0.20545454545454536</v>
      </c>
      <c r="O546" s="3">
        <f>COUNT(J546:J1155)</f>
        <v>66</v>
      </c>
      <c r="P546" s="3" t="str">
        <f>TEXT(J546,"0.00")</f>
        <v>0.14</v>
      </c>
      <c r="Q546" s="3" t="str">
        <f>LEFT(L546,3)</f>
        <v>Spr</v>
      </c>
      <c r="R546" s="42" t="str">
        <f>RIGHT(L546,3)</f>
        <v>ing</v>
      </c>
      <c r="S546" s="42">
        <f>LEN(L546)</f>
        <v>6</v>
      </c>
      <c r="T546" s="3" t="str">
        <f>A546&amp;"|"&amp;B546&amp;"|"&amp;F546</f>
        <v>545|24-01-2011|20</v>
      </c>
      <c r="U546" s="3">
        <f t="shared" si="32"/>
        <v>610</v>
      </c>
      <c r="V546" s="3">
        <f t="shared" si="33"/>
        <v>120.10000000000005</v>
      </c>
      <c r="W546" s="50">
        <f t="shared" si="34"/>
        <v>8.1303845032683911E-2</v>
      </c>
      <c r="X546" s="50">
        <f t="shared" si="35"/>
        <v>0.16514794964716251</v>
      </c>
    </row>
    <row r="547" spans="1:24" x14ac:dyDescent="0.2">
      <c r="A547" s="4">
        <v>546</v>
      </c>
      <c r="B547" s="4" t="s">
        <v>38</v>
      </c>
      <c r="C547" s="4">
        <v>1</v>
      </c>
      <c r="D547" s="4">
        <v>0</v>
      </c>
      <c r="E547" s="4">
        <v>1</v>
      </c>
      <c r="F547" s="4">
        <v>21</v>
      </c>
      <c r="G547" s="4" t="b">
        <v>0</v>
      </c>
      <c r="H547" s="4">
        <v>1</v>
      </c>
      <c r="I547" s="4">
        <v>1</v>
      </c>
      <c r="J547" s="4">
        <v>0.14000000000000001</v>
      </c>
      <c r="K547" s="6" t="str">
        <f>IF(H547=0,"weekend",IF(H547=6,"weekend","weekend"))</f>
        <v>weekend</v>
      </c>
      <c r="L547" s="3" t="str">
        <f>IF(C547=1,"Spring",IF(C547=2,"Summer",IF(C547=3,"Fall","Winter")))</f>
        <v>Spring</v>
      </c>
      <c r="M547" s="3">
        <f>SUM(J547:J571)</f>
        <v>5.3599999999999985</v>
      </c>
      <c r="N547" s="3">
        <f>AVERAGE(J547:J1156)</f>
        <v>0.20646153846153836</v>
      </c>
      <c r="O547" s="3">
        <f>COUNT(J547:J1156)</f>
        <v>65</v>
      </c>
      <c r="P547" s="3" t="str">
        <f>TEXT(J547,"0.00")</f>
        <v>0.14</v>
      </c>
      <c r="Q547" s="3" t="str">
        <f>LEFT(L547,3)</f>
        <v>Spr</v>
      </c>
      <c r="R547" s="42" t="str">
        <f>RIGHT(L547,3)</f>
        <v>ing</v>
      </c>
      <c r="S547" s="42">
        <f>LEN(L547)</f>
        <v>6</v>
      </c>
      <c r="T547" s="3" t="str">
        <f>A547&amp;"|"&amp;B547&amp;"|"&amp;F547</f>
        <v>546|24-01-2011|21</v>
      </c>
      <c r="U547" s="3">
        <f t="shared" si="32"/>
        <v>610</v>
      </c>
      <c r="V547" s="3">
        <f t="shared" si="33"/>
        <v>120.10000000000005</v>
      </c>
      <c r="W547" s="50">
        <f t="shared" si="34"/>
        <v>8.1303845032683911E-2</v>
      </c>
      <c r="X547" s="50">
        <f t="shared" si="35"/>
        <v>0.16514794964716251</v>
      </c>
    </row>
    <row r="548" spans="1:24" x14ac:dyDescent="0.2">
      <c r="A548" s="4">
        <v>547</v>
      </c>
      <c r="B548" s="4" t="s">
        <v>38</v>
      </c>
      <c r="C548" s="4">
        <v>1</v>
      </c>
      <c r="D548" s="4">
        <v>0</v>
      </c>
      <c r="E548" s="4">
        <v>1</v>
      </c>
      <c r="F548" s="4">
        <v>22</v>
      </c>
      <c r="G548" s="4" t="b">
        <v>0</v>
      </c>
      <c r="H548" s="4">
        <v>1</v>
      </c>
      <c r="I548" s="4">
        <v>2</v>
      </c>
      <c r="J548" s="4">
        <v>0.14000000000000001</v>
      </c>
      <c r="K548" s="6" t="str">
        <f>IF(H548=0,"weekend",IF(H548=6,"weekend","weekend"))</f>
        <v>weekend</v>
      </c>
      <c r="L548" s="3" t="str">
        <f>IF(C548=1,"Spring",IF(C548=2,"Summer",IF(C548=3,"Fall","Winter")))</f>
        <v>Spring</v>
      </c>
      <c r="M548" s="3">
        <f>SUM(J548:J572)</f>
        <v>5.4399999999999986</v>
      </c>
      <c r="N548" s="3">
        <f>AVERAGE(J548:J1157)</f>
        <v>0.20749999999999988</v>
      </c>
      <c r="O548" s="3">
        <f>COUNT(J548:J1157)</f>
        <v>64</v>
      </c>
      <c r="P548" s="3" t="str">
        <f>TEXT(J548,"0.00")</f>
        <v>0.14</v>
      </c>
      <c r="Q548" s="3" t="str">
        <f>LEFT(L548,3)</f>
        <v>Spr</v>
      </c>
      <c r="R548" s="42" t="str">
        <f>RIGHT(L548,3)</f>
        <v>ing</v>
      </c>
      <c r="S548" s="42">
        <f>LEN(L548)</f>
        <v>6</v>
      </c>
      <c r="T548" s="3" t="str">
        <f>A548&amp;"|"&amp;B548&amp;"|"&amp;F548</f>
        <v>547|24-01-2011|22</v>
      </c>
      <c r="U548" s="3">
        <f t="shared" si="32"/>
        <v>610</v>
      </c>
      <c r="V548" s="3">
        <f t="shared" si="33"/>
        <v>120.10000000000005</v>
      </c>
      <c r="W548" s="50">
        <f t="shared" si="34"/>
        <v>8.1303845032683911E-2</v>
      </c>
      <c r="X548" s="50">
        <f t="shared" si="35"/>
        <v>0.16514794964716251</v>
      </c>
    </row>
    <row r="549" spans="1:24" x14ac:dyDescent="0.2">
      <c r="A549" s="4">
        <v>548</v>
      </c>
      <c r="B549" s="4" t="s">
        <v>38</v>
      </c>
      <c r="C549" s="4">
        <v>1</v>
      </c>
      <c r="D549" s="4">
        <v>0</v>
      </c>
      <c r="E549" s="4">
        <v>1</v>
      </c>
      <c r="F549" s="4">
        <v>23</v>
      </c>
      <c r="G549" s="4" t="b">
        <v>0</v>
      </c>
      <c r="H549" s="4">
        <v>1</v>
      </c>
      <c r="I549" s="4">
        <v>2</v>
      </c>
      <c r="J549" s="4">
        <v>0.16</v>
      </c>
      <c r="K549" s="6" t="str">
        <f>IF(H549=0,"weekend",IF(H549=6,"weekend","weekend"))</f>
        <v>weekend</v>
      </c>
      <c r="L549" s="3" t="str">
        <f>IF(C549=1,"Spring",IF(C549=2,"Summer",IF(C549=3,"Fall","Winter")))</f>
        <v>Spring</v>
      </c>
      <c r="M549" s="3">
        <f>SUM(J549:J573)</f>
        <v>5.5199999999999978</v>
      </c>
      <c r="N549" s="3">
        <f>AVERAGE(J549:J1158)</f>
        <v>0.20857142857142844</v>
      </c>
      <c r="O549" s="3">
        <f>COUNT(J549:J1158)</f>
        <v>63</v>
      </c>
      <c r="P549" s="3" t="str">
        <f>TEXT(J549,"0.00")</f>
        <v>0.16</v>
      </c>
      <c r="Q549" s="3" t="str">
        <f>LEFT(L549,3)</f>
        <v>Spr</v>
      </c>
      <c r="R549" s="42" t="str">
        <f>RIGHT(L549,3)</f>
        <v>ing</v>
      </c>
      <c r="S549" s="42">
        <f>LEN(L549)</f>
        <v>6</v>
      </c>
      <c r="T549" s="3" t="str">
        <f>A549&amp;"|"&amp;B549&amp;"|"&amp;F549</f>
        <v>548|24-01-2011|23</v>
      </c>
      <c r="U549" s="3">
        <f t="shared" si="32"/>
        <v>610</v>
      </c>
      <c r="V549" s="3">
        <f t="shared" si="33"/>
        <v>120.10000000000005</v>
      </c>
      <c r="W549" s="50">
        <f t="shared" si="34"/>
        <v>8.1303845032683911E-2</v>
      </c>
      <c r="X549" s="50">
        <f t="shared" si="35"/>
        <v>0.16514794964716251</v>
      </c>
    </row>
    <row r="550" spans="1:24" x14ac:dyDescent="0.2">
      <c r="A550" s="4">
        <v>549</v>
      </c>
      <c r="B550" s="4" t="s">
        <v>39</v>
      </c>
      <c r="C550" s="4">
        <v>1</v>
      </c>
      <c r="D550" s="4">
        <v>0</v>
      </c>
      <c r="E550" s="4">
        <v>1</v>
      </c>
      <c r="F550" s="4">
        <v>0</v>
      </c>
      <c r="G550" s="4" t="b">
        <v>0</v>
      </c>
      <c r="H550" s="4">
        <v>2</v>
      </c>
      <c r="I550" s="4">
        <v>2</v>
      </c>
      <c r="J550" s="4">
        <v>0.16</v>
      </c>
      <c r="K550" s="6" t="str">
        <f>IF(H550=0,"weekend",IF(H550=6,"weekend","weekend"))</f>
        <v>weekend</v>
      </c>
      <c r="L550" s="3" t="str">
        <f>IF(C550=1,"Spring",IF(C550=2,"Summer",IF(C550=3,"Fall","Winter")))</f>
        <v>Spring</v>
      </c>
      <c r="M550" s="3">
        <f>SUM(J550:J574)</f>
        <v>5.5999999999999988</v>
      </c>
      <c r="N550" s="3">
        <f>AVERAGE(J550:J1159)</f>
        <v>0.20935483870967728</v>
      </c>
      <c r="O550" s="3">
        <f>COUNT(J550:J1159)</f>
        <v>62</v>
      </c>
      <c r="P550" s="3" t="str">
        <f>TEXT(J550,"0.00")</f>
        <v>0.16</v>
      </c>
      <c r="Q550" s="3" t="str">
        <f>LEFT(L550,3)</f>
        <v>Spr</v>
      </c>
      <c r="R550" s="42" t="str">
        <f>RIGHT(L550,3)</f>
        <v>ing</v>
      </c>
      <c r="S550" s="42">
        <f>LEN(L550)</f>
        <v>6</v>
      </c>
      <c r="T550" s="3" t="str">
        <f>A550&amp;"|"&amp;B550&amp;"|"&amp;F550</f>
        <v>549|25-01-2011|0</v>
      </c>
      <c r="U550" s="3">
        <f t="shared" si="32"/>
        <v>610</v>
      </c>
      <c r="V550" s="3">
        <f t="shared" si="33"/>
        <v>120.10000000000005</v>
      </c>
      <c r="W550" s="50">
        <f t="shared" si="34"/>
        <v>8.1303845032683911E-2</v>
      </c>
      <c r="X550" s="50">
        <f t="shared" si="35"/>
        <v>0.16514794964716251</v>
      </c>
    </row>
    <row r="551" spans="1:24" x14ac:dyDescent="0.2">
      <c r="A551" s="4">
        <v>550</v>
      </c>
      <c r="B551" s="4" t="s">
        <v>39</v>
      </c>
      <c r="C551" s="4">
        <v>1</v>
      </c>
      <c r="D551" s="4">
        <v>0</v>
      </c>
      <c r="E551" s="4">
        <v>1</v>
      </c>
      <c r="F551" s="4">
        <v>1</v>
      </c>
      <c r="G551" s="4" t="b">
        <v>0</v>
      </c>
      <c r="H551" s="4">
        <v>2</v>
      </c>
      <c r="I551" s="4">
        <v>2</v>
      </c>
      <c r="J551" s="4">
        <v>0.16</v>
      </c>
      <c r="K551" s="6" t="str">
        <f>IF(H551=0,"weekend",IF(H551=6,"weekend","weekend"))</f>
        <v>weekend</v>
      </c>
      <c r="L551" s="3" t="str">
        <f>IF(C551=1,"Spring",IF(C551=2,"Summer",IF(C551=3,"Fall","Winter")))</f>
        <v>Spring</v>
      </c>
      <c r="M551" s="3">
        <f>SUM(J551:J575)</f>
        <v>5.6599999999999984</v>
      </c>
      <c r="N551" s="3">
        <f>AVERAGE(J551:J1160)</f>
        <v>0.21016393442622935</v>
      </c>
      <c r="O551" s="3">
        <f>COUNT(J551:J1160)</f>
        <v>61</v>
      </c>
      <c r="P551" s="3" t="str">
        <f>TEXT(J551,"0.00")</f>
        <v>0.16</v>
      </c>
      <c r="Q551" s="3" t="str">
        <f>LEFT(L551,3)</f>
        <v>Spr</v>
      </c>
      <c r="R551" s="42" t="str">
        <f>RIGHT(L551,3)</f>
        <v>ing</v>
      </c>
      <c r="S551" s="42">
        <f>LEN(L551)</f>
        <v>6</v>
      </c>
      <c r="T551" s="3" t="str">
        <f>A551&amp;"|"&amp;B551&amp;"|"&amp;F551</f>
        <v>550|25-01-2011|1</v>
      </c>
      <c r="U551" s="3">
        <f t="shared" si="32"/>
        <v>610</v>
      </c>
      <c r="V551" s="3">
        <f t="shared" si="33"/>
        <v>120.10000000000005</v>
      </c>
      <c r="W551" s="50">
        <f t="shared" si="34"/>
        <v>8.1303845032683911E-2</v>
      </c>
      <c r="X551" s="50">
        <f t="shared" si="35"/>
        <v>0.16514794964716251</v>
      </c>
    </row>
    <row r="552" spans="1:24" x14ac:dyDescent="0.2">
      <c r="A552" s="4">
        <v>551</v>
      </c>
      <c r="B552" s="4" t="s">
        <v>39</v>
      </c>
      <c r="C552" s="4">
        <v>1</v>
      </c>
      <c r="D552" s="4">
        <v>0</v>
      </c>
      <c r="E552" s="4">
        <v>1</v>
      </c>
      <c r="F552" s="4">
        <v>2</v>
      </c>
      <c r="G552" s="4" t="b">
        <v>0</v>
      </c>
      <c r="H552" s="4">
        <v>2</v>
      </c>
      <c r="I552" s="4">
        <v>1</v>
      </c>
      <c r="J552" s="4">
        <v>0.16</v>
      </c>
      <c r="K552" s="6" t="str">
        <f>IF(H552=0,"weekend",IF(H552=6,"weekend","weekend"))</f>
        <v>weekend</v>
      </c>
      <c r="L552" s="3" t="str">
        <f>IF(C552=1,"Spring",IF(C552=2,"Summer",IF(C552=3,"Fall","Winter")))</f>
        <v>Spring</v>
      </c>
      <c r="M552" s="3">
        <f>SUM(J552:J576)</f>
        <v>5.6999999999999993</v>
      </c>
      <c r="N552" s="3">
        <f>AVERAGE(J552:J1161)</f>
        <v>0.21099999999999985</v>
      </c>
      <c r="O552" s="3">
        <f>COUNT(J552:J1161)</f>
        <v>60</v>
      </c>
      <c r="P552" s="3" t="str">
        <f>TEXT(J552,"0.00")</f>
        <v>0.16</v>
      </c>
      <c r="Q552" s="3" t="str">
        <f>LEFT(L552,3)</f>
        <v>Spr</v>
      </c>
      <c r="R552" s="42" t="str">
        <f>RIGHT(L552,3)</f>
        <v>ing</v>
      </c>
      <c r="S552" s="42">
        <f>LEN(L552)</f>
        <v>6</v>
      </c>
      <c r="T552" s="3" t="str">
        <f>A552&amp;"|"&amp;B552&amp;"|"&amp;F552</f>
        <v>551|25-01-2011|2</v>
      </c>
      <c r="U552" s="3">
        <f t="shared" si="32"/>
        <v>610</v>
      </c>
      <c r="V552" s="3">
        <f t="shared" si="33"/>
        <v>120.10000000000005</v>
      </c>
      <c r="W552" s="50">
        <f t="shared" si="34"/>
        <v>8.1303845032683911E-2</v>
      </c>
      <c r="X552" s="50">
        <f t="shared" si="35"/>
        <v>0.16514794964716251</v>
      </c>
    </row>
    <row r="553" spans="1:24" x14ac:dyDescent="0.2">
      <c r="A553" s="4">
        <v>552</v>
      </c>
      <c r="B553" s="4" t="s">
        <v>39</v>
      </c>
      <c r="C553" s="4">
        <v>1</v>
      </c>
      <c r="D553" s="4">
        <v>0</v>
      </c>
      <c r="E553" s="4">
        <v>1</v>
      </c>
      <c r="F553" s="4">
        <v>4</v>
      </c>
      <c r="G553" s="4" t="b">
        <v>0</v>
      </c>
      <c r="H553" s="4">
        <v>2</v>
      </c>
      <c r="I553" s="4">
        <v>1</v>
      </c>
      <c r="J553" s="4">
        <v>0.14000000000000001</v>
      </c>
      <c r="K553" s="6" t="str">
        <f>IF(H553=0,"weekend",IF(H553=6,"weekend","weekend"))</f>
        <v>weekend</v>
      </c>
      <c r="L553" s="3" t="str">
        <f>IF(C553=1,"Spring",IF(C553=2,"Summer",IF(C553=3,"Fall","Winter")))</f>
        <v>Spring</v>
      </c>
      <c r="M553" s="3">
        <f>SUM(J553:J577)</f>
        <v>5.7399999999999993</v>
      </c>
      <c r="N553" s="3">
        <f>AVERAGE(J553:J1162)</f>
        <v>0.21186440677966087</v>
      </c>
      <c r="O553" s="3">
        <f>COUNT(J553:J1162)</f>
        <v>59</v>
      </c>
      <c r="P553" s="3" t="str">
        <f>TEXT(J553,"0.00")</f>
        <v>0.14</v>
      </c>
      <c r="Q553" s="3" t="str">
        <f>LEFT(L553,3)</f>
        <v>Spr</v>
      </c>
      <c r="R553" s="42" t="str">
        <f>RIGHT(L553,3)</f>
        <v>ing</v>
      </c>
      <c r="S553" s="42">
        <f>LEN(L553)</f>
        <v>6</v>
      </c>
      <c r="T553" s="3" t="str">
        <f>A553&amp;"|"&amp;B553&amp;"|"&amp;F553</f>
        <v>552|25-01-2011|4</v>
      </c>
      <c r="U553" s="3">
        <f t="shared" si="32"/>
        <v>610</v>
      </c>
      <c r="V553" s="3">
        <f t="shared" si="33"/>
        <v>120.10000000000005</v>
      </c>
      <c r="W553" s="50">
        <f t="shared" si="34"/>
        <v>8.1303845032683911E-2</v>
      </c>
      <c r="X553" s="50">
        <f t="shared" si="35"/>
        <v>0.16514794964716251</v>
      </c>
    </row>
    <row r="554" spans="1:24" x14ac:dyDescent="0.2">
      <c r="A554" s="4">
        <v>553</v>
      </c>
      <c r="B554" s="4" t="s">
        <v>39</v>
      </c>
      <c r="C554" s="4">
        <v>1</v>
      </c>
      <c r="D554" s="4">
        <v>0</v>
      </c>
      <c r="E554" s="4">
        <v>1</v>
      </c>
      <c r="F554" s="4">
        <v>5</v>
      </c>
      <c r="G554" s="4" t="b">
        <v>0</v>
      </c>
      <c r="H554" s="4">
        <v>2</v>
      </c>
      <c r="I554" s="4">
        <v>1</v>
      </c>
      <c r="J554" s="4">
        <v>0.14000000000000001</v>
      </c>
      <c r="K554" s="6" t="str">
        <f>IF(H554=0,"weekend",IF(H554=6,"weekend","weekend"))</f>
        <v>weekend</v>
      </c>
      <c r="L554" s="3" t="str">
        <f>IF(C554=1,"Spring",IF(C554=2,"Summer",IF(C554=3,"Fall","Winter")))</f>
        <v>Spring</v>
      </c>
      <c r="M554" s="3">
        <f>SUM(J554:J578)</f>
        <v>5.8199999999999994</v>
      </c>
      <c r="N554" s="3">
        <f>AVERAGE(J554:J1163)</f>
        <v>0.21310344827586192</v>
      </c>
      <c r="O554" s="3">
        <f>COUNT(J554:J1163)</f>
        <v>58</v>
      </c>
      <c r="P554" s="3" t="str">
        <f>TEXT(J554,"0.00")</f>
        <v>0.14</v>
      </c>
      <c r="Q554" s="3" t="str">
        <f>LEFT(L554,3)</f>
        <v>Spr</v>
      </c>
      <c r="R554" s="42" t="str">
        <f>RIGHT(L554,3)</f>
        <v>ing</v>
      </c>
      <c r="S554" s="42">
        <f>LEN(L554)</f>
        <v>6</v>
      </c>
      <c r="T554" s="3" t="str">
        <f>A554&amp;"|"&amp;B554&amp;"|"&amp;F554</f>
        <v>553|25-01-2011|5</v>
      </c>
      <c r="U554" s="3">
        <f t="shared" si="32"/>
        <v>610</v>
      </c>
      <c r="V554" s="3">
        <f t="shared" si="33"/>
        <v>120.10000000000005</v>
      </c>
      <c r="W554" s="50">
        <f t="shared" si="34"/>
        <v>8.1303845032683911E-2</v>
      </c>
      <c r="X554" s="50">
        <f t="shared" si="35"/>
        <v>0.16514794964716251</v>
      </c>
    </row>
    <row r="555" spans="1:24" x14ac:dyDescent="0.2">
      <c r="A555" s="4">
        <v>554</v>
      </c>
      <c r="B555" s="4" t="s">
        <v>39</v>
      </c>
      <c r="C555" s="4">
        <v>1</v>
      </c>
      <c r="D555" s="4">
        <v>0</v>
      </c>
      <c r="E555" s="4">
        <v>1</v>
      </c>
      <c r="F555" s="4">
        <v>6</v>
      </c>
      <c r="G555" s="4" t="b">
        <v>0</v>
      </c>
      <c r="H555" s="4">
        <v>2</v>
      </c>
      <c r="I555" s="4">
        <v>1</v>
      </c>
      <c r="J555" s="4">
        <v>0.16</v>
      </c>
      <c r="K555" s="6" t="str">
        <f>IF(H555=0,"weekend",IF(H555=6,"weekend","weekend"))</f>
        <v>weekend</v>
      </c>
      <c r="L555" s="3" t="str">
        <f>IF(C555=1,"Spring",IF(C555=2,"Summer",IF(C555=3,"Fall","Winter")))</f>
        <v>Spring</v>
      </c>
      <c r="M555" s="3">
        <f>SUM(J555:J579)</f>
        <v>5.8999999999999986</v>
      </c>
      <c r="N555" s="3">
        <f>AVERAGE(J555:J1164)</f>
        <v>0.21438596491228051</v>
      </c>
      <c r="O555" s="3">
        <f>COUNT(J555:J1164)</f>
        <v>57</v>
      </c>
      <c r="P555" s="3" t="str">
        <f>TEXT(J555,"0.00")</f>
        <v>0.16</v>
      </c>
      <c r="Q555" s="3" t="str">
        <f>LEFT(L555,3)</f>
        <v>Spr</v>
      </c>
      <c r="R555" s="42" t="str">
        <f>RIGHT(L555,3)</f>
        <v>ing</v>
      </c>
      <c r="S555" s="42">
        <f>LEN(L555)</f>
        <v>6</v>
      </c>
      <c r="T555" s="3" t="str">
        <f>A555&amp;"|"&amp;B555&amp;"|"&amp;F555</f>
        <v>554|25-01-2011|6</v>
      </c>
      <c r="U555" s="3">
        <f t="shared" si="32"/>
        <v>610</v>
      </c>
      <c r="V555" s="3">
        <f t="shared" si="33"/>
        <v>120.10000000000005</v>
      </c>
      <c r="W555" s="50">
        <f t="shared" si="34"/>
        <v>8.1303845032683911E-2</v>
      </c>
      <c r="X555" s="50">
        <f t="shared" si="35"/>
        <v>0.16514794964716251</v>
      </c>
    </row>
    <row r="556" spans="1:24" x14ac:dyDescent="0.2">
      <c r="A556" s="4">
        <v>555</v>
      </c>
      <c r="B556" s="4" t="s">
        <v>39</v>
      </c>
      <c r="C556" s="4">
        <v>1</v>
      </c>
      <c r="D556" s="4">
        <v>0</v>
      </c>
      <c r="E556" s="4">
        <v>1</v>
      </c>
      <c r="F556" s="4">
        <v>7</v>
      </c>
      <c r="G556" s="4" t="b">
        <v>0</v>
      </c>
      <c r="H556" s="4">
        <v>2</v>
      </c>
      <c r="I556" s="4">
        <v>1</v>
      </c>
      <c r="J556" s="4">
        <v>0.16</v>
      </c>
      <c r="K556" s="6" t="str">
        <f>IF(H556=0,"weekend",IF(H556=6,"weekend","weekend"))</f>
        <v>weekend</v>
      </c>
      <c r="L556" s="3" t="str">
        <f>IF(C556=1,"Spring",IF(C556=2,"Summer",IF(C556=3,"Fall","Winter")))</f>
        <v>Spring</v>
      </c>
      <c r="M556" s="3">
        <f>SUM(J556:J580)</f>
        <v>5.9599999999999991</v>
      </c>
      <c r="N556" s="3">
        <f>AVERAGE(J556:J1165)</f>
        <v>0.21535714285714266</v>
      </c>
      <c r="O556" s="3">
        <f>COUNT(J556:J1165)</f>
        <v>56</v>
      </c>
      <c r="P556" s="3" t="str">
        <f>TEXT(J556,"0.00")</f>
        <v>0.16</v>
      </c>
      <c r="Q556" s="3" t="str">
        <f>LEFT(L556,3)</f>
        <v>Spr</v>
      </c>
      <c r="R556" s="42" t="str">
        <f>RIGHT(L556,3)</f>
        <v>ing</v>
      </c>
      <c r="S556" s="42">
        <f>LEN(L556)</f>
        <v>6</v>
      </c>
      <c r="T556" s="3" t="str">
        <f>A556&amp;"|"&amp;B556&amp;"|"&amp;F556</f>
        <v>555|25-01-2011|7</v>
      </c>
      <c r="U556" s="3">
        <f t="shared" si="32"/>
        <v>610</v>
      </c>
      <c r="V556" s="3">
        <f t="shared" si="33"/>
        <v>120.10000000000005</v>
      </c>
      <c r="W556" s="50">
        <f t="shared" si="34"/>
        <v>8.1303845032683911E-2</v>
      </c>
      <c r="X556" s="50">
        <f t="shared" si="35"/>
        <v>0.16514794964716251</v>
      </c>
    </row>
    <row r="557" spans="1:24" x14ac:dyDescent="0.2">
      <c r="A557" s="4">
        <v>556</v>
      </c>
      <c r="B557" s="4" t="s">
        <v>39</v>
      </c>
      <c r="C557" s="4">
        <v>1</v>
      </c>
      <c r="D557" s="4">
        <v>0</v>
      </c>
      <c r="E557" s="4">
        <v>1</v>
      </c>
      <c r="F557" s="4">
        <v>8</v>
      </c>
      <c r="G557" s="4" t="b">
        <v>0</v>
      </c>
      <c r="H557" s="4">
        <v>2</v>
      </c>
      <c r="I557" s="4">
        <v>2</v>
      </c>
      <c r="J557" s="4">
        <v>0.16</v>
      </c>
      <c r="K557" s="6" t="str">
        <f>IF(H557=0,"weekend",IF(H557=6,"weekend","weekend"))</f>
        <v>weekend</v>
      </c>
      <c r="L557" s="3" t="str">
        <f>IF(C557=1,"Spring",IF(C557=2,"Summer",IF(C557=3,"Fall","Winter")))</f>
        <v>Spring</v>
      </c>
      <c r="M557" s="3">
        <f>SUM(J557:J581)</f>
        <v>6.02</v>
      </c>
      <c r="N557" s="3">
        <f>AVERAGE(J557:J1166)</f>
        <v>0.2163636363636362</v>
      </c>
      <c r="O557" s="3">
        <f>COUNT(J557:J1166)</f>
        <v>55</v>
      </c>
      <c r="P557" s="3" t="str">
        <f>TEXT(J557,"0.00")</f>
        <v>0.16</v>
      </c>
      <c r="Q557" s="3" t="str">
        <f>LEFT(L557,3)</f>
        <v>Spr</v>
      </c>
      <c r="R557" s="42" t="str">
        <f>RIGHT(L557,3)</f>
        <v>ing</v>
      </c>
      <c r="S557" s="42">
        <f>LEN(L557)</f>
        <v>6</v>
      </c>
      <c r="T557" s="3" t="str">
        <f>A557&amp;"|"&amp;B557&amp;"|"&amp;F557</f>
        <v>556|25-01-2011|8</v>
      </c>
      <c r="U557" s="3">
        <f t="shared" si="32"/>
        <v>610</v>
      </c>
      <c r="V557" s="3">
        <f t="shared" si="33"/>
        <v>120.10000000000005</v>
      </c>
      <c r="W557" s="50">
        <f t="shared" si="34"/>
        <v>8.1303845032683911E-2</v>
      </c>
      <c r="X557" s="50">
        <f t="shared" si="35"/>
        <v>0.16514794964716251</v>
      </c>
    </row>
    <row r="558" spans="1:24" x14ac:dyDescent="0.2">
      <c r="A558" s="4">
        <v>557</v>
      </c>
      <c r="B558" s="4" t="s">
        <v>39</v>
      </c>
      <c r="C558" s="4">
        <v>1</v>
      </c>
      <c r="D558" s="4">
        <v>0</v>
      </c>
      <c r="E558" s="4">
        <v>1</v>
      </c>
      <c r="F558" s="4">
        <v>9</v>
      </c>
      <c r="G558" s="4" t="b">
        <v>0</v>
      </c>
      <c r="H558" s="4">
        <v>2</v>
      </c>
      <c r="I558" s="4">
        <v>2</v>
      </c>
      <c r="J558" s="4">
        <v>0.2</v>
      </c>
      <c r="K558" s="6" t="str">
        <f>IF(H558=0,"weekend",IF(H558=6,"weekend","weekend"))</f>
        <v>weekend</v>
      </c>
      <c r="L558" s="3" t="str">
        <f>IF(C558=1,"Spring",IF(C558=2,"Summer",IF(C558=3,"Fall","Winter")))</f>
        <v>Spring</v>
      </c>
      <c r="M558" s="3">
        <f>SUM(J558:J582)</f>
        <v>6.0799999999999992</v>
      </c>
      <c r="N558" s="3">
        <f>AVERAGE(J558:J1167)</f>
        <v>0.21740740740740724</v>
      </c>
      <c r="O558" s="3">
        <f>COUNT(J558:J1167)</f>
        <v>54</v>
      </c>
      <c r="P558" s="3" t="str">
        <f>TEXT(J558,"0.00")</f>
        <v>0.20</v>
      </c>
      <c r="Q558" s="3" t="str">
        <f>LEFT(L558,3)</f>
        <v>Spr</v>
      </c>
      <c r="R558" s="42" t="str">
        <f>RIGHT(L558,3)</f>
        <v>ing</v>
      </c>
      <c r="S558" s="42">
        <f>LEN(L558)</f>
        <v>6</v>
      </c>
      <c r="T558" s="3" t="str">
        <f>A558&amp;"|"&amp;B558&amp;"|"&amp;F558</f>
        <v>557|25-01-2011|9</v>
      </c>
      <c r="U558" s="3">
        <f t="shared" si="32"/>
        <v>610</v>
      </c>
      <c r="V558" s="3">
        <f t="shared" si="33"/>
        <v>120.10000000000005</v>
      </c>
      <c r="W558" s="50">
        <f t="shared" si="34"/>
        <v>8.1303845032683911E-2</v>
      </c>
      <c r="X558" s="50">
        <f t="shared" si="35"/>
        <v>0.16514794964716251</v>
      </c>
    </row>
    <row r="559" spans="1:24" x14ac:dyDescent="0.2">
      <c r="A559" s="4">
        <v>558</v>
      </c>
      <c r="B559" s="4" t="s">
        <v>39</v>
      </c>
      <c r="C559" s="4">
        <v>1</v>
      </c>
      <c r="D559" s="4">
        <v>0</v>
      </c>
      <c r="E559" s="4">
        <v>1</v>
      </c>
      <c r="F559" s="4">
        <v>10</v>
      </c>
      <c r="G559" s="4" t="b">
        <v>0</v>
      </c>
      <c r="H559" s="4">
        <v>2</v>
      </c>
      <c r="I559" s="4">
        <v>2</v>
      </c>
      <c r="J559" s="4">
        <v>0.22</v>
      </c>
      <c r="K559" s="6" t="str">
        <f>IF(H559=0,"weekend",IF(H559=6,"weekend","weekend"))</f>
        <v>weekend</v>
      </c>
      <c r="L559" s="3" t="str">
        <f>IF(C559=1,"Spring",IF(C559=2,"Summer",IF(C559=3,"Fall","Winter")))</f>
        <v>Spring</v>
      </c>
      <c r="M559" s="3">
        <f>SUM(J559:J583)</f>
        <v>6.1</v>
      </c>
      <c r="N559" s="3">
        <f>AVERAGE(J559:J1168)</f>
        <v>0.21773584905660362</v>
      </c>
      <c r="O559" s="3">
        <f>COUNT(J559:J1168)</f>
        <v>53</v>
      </c>
      <c r="P559" s="3" t="str">
        <f>TEXT(J559,"0.00")</f>
        <v>0.22</v>
      </c>
      <c r="Q559" s="3" t="str">
        <f>LEFT(L559,3)</f>
        <v>Spr</v>
      </c>
      <c r="R559" s="42" t="str">
        <f>RIGHT(L559,3)</f>
        <v>ing</v>
      </c>
      <c r="S559" s="42">
        <f>LEN(L559)</f>
        <v>6</v>
      </c>
      <c r="T559" s="3" t="str">
        <f>A559&amp;"|"&amp;B559&amp;"|"&amp;F559</f>
        <v>558|25-01-2011|10</v>
      </c>
      <c r="U559" s="3">
        <f t="shared" si="32"/>
        <v>610</v>
      </c>
      <c r="V559" s="3">
        <f t="shared" si="33"/>
        <v>120.10000000000005</v>
      </c>
      <c r="W559" s="50">
        <f t="shared" si="34"/>
        <v>8.1303845032683911E-2</v>
      </c>
      <c r="X559" s="50">
        <f t="shared" si="35"/>
        <v>0.16514794964716251</v>
      </c>
    </row>
    <row r="560" spans="1:24" x14ac:dyDescent="0.2">
      <c r="A560" s="4">
        <v>559</v>
      </c>
      <c r="B560" s="4" t="s">
        <v>39</v>
      </c>
      <c r="C560" s="4">
        <v>1</v>
      </c>
      <c r="D560" s="4">
        <v>0</v>
      </c>
      <c r="E560" s="4">
        <v>1</v>
      </c>
      <c r="F560" s="4">
        <v>11</v>
      </c>
      <c r="G560" s="4" t="b">
        <v>0</v>
      </c>
      <c r="H560" s="4">
        <v>2</v>
      </c>
      <c r="I560" s="4">
        <v>2</v>
      </c>
      <c r="J560" s="4">
        <v>0.24</v>
      </c>
      <c r="K560" s="6" t="str">
        <f>IF(H560=0,"weekend",IF(H560=6,"weekend","weekend"))</f>
        <v>weekend</v>
      </c>
      <c r="L560" s="3" t="str">
        <f>IF(C560=1,"Spring",IF(C560=2,"Summer",IF(C560=3,"Fall","Winter")))</f>
        <v>Spring</v>
      </c>
      <c r="M560" s="3">
        <f>SUM(J560:J584)</f>
        <v>6.0999999999999988</v>
      </c>
      <c r="N560" s="3">
        <f>AVERAGE(J560:J1169)</f>
        <v>0.21769230769230757</v>
      </c>
      <c r="O560" s="3">
        <f>COUNT(J560:J1169)</f>
        <v>52</v>
      </c>
      <c r="P560" s="3" t="str">
        <f>TEXT(J560,"0.00")</f>
        <v>0.24</v>
      </c>
      <c r="Q560" s="3" t="str">
        <f>LEFT(L560,3)</f>
        <v>Spr</v>
      </c>
      <c r="R560" s="42" t="str">
        <f>RIGHT(L560,3)</f>
        <v>ing</v>
      </c>
      <c r="S560" s="42">
        <f>LEN(L560)</f>
        <v>6</v>
      </c>
      <c r="T560" s="3" t="str">
        <f>A560&amp;"|"&amp;B560&amp;"|"&amp;F560</f>
        <v>559|25-01-2011|11</v>
      </c>
      <c r="U560" s="3">
        <f t="shared" si="32"/>
        <v>610</v>
      </c>
      <c r="V560" s="3">
        <f t="shared" si="33"/>
        <v>120.10000000000005</v>
      </c>
      <c r="W560" s="50">
        <f t="shared" si="34"/>
        <v>8.1303845032683911E-2</v>
      </c>
      <c r="X560" s="50">
        <f t="shared" si="35"/>
        <v>0.16514794964716251</v>
      </c>
    </row>
    <row r="561" spans="1:24" x14ac:dyDescent="0.2">
      <c r="A561" s="4">
        <v>560</v>
      </c>
      <c r="B561" s="4" t="s">
        <v>39</v>
      </c>
      <c r="C561" s="4">
        <v>1</v>
      </c>
      <c r="D561" s="4">
        <v>0</v>
      </c>
      <c r="E561" s="4">
        <v>1</v>
      </c>
      <c r="F561" s="4">
        <v>12</v>
      </c>
      <c r="G561" s="4" t="b">
        <v>0</v>
      </c>
      <c r="H561" s="4">
        <v>2</v>
      </c>
      <c r="I561" s="4">
        <v>2</v>
      </c>
      <c r="J561" s="4">
        <v>0.26</v>
      </c>
      <c r="K561" s="6" t="str">
        <f>IF(H561=0,"weekend",IF(H561=6,"weekend","weekend"))</f>
        <v>weekend</v>
      </c>
      <c r="L561" s="3" t="str">
        <f>IF(C561=1,"Spring",IF(C561=2,"Summer",IF(C561=3,"Fall","Winter")))</f>
        <v>Spring</v>
      </c>
      <c r="M561" s="3">
        <f>SUM(J561:J585)</f>
        <v>6.0799999999999992</v>
      </c>
      <c r="N561" s="3">
        <f>AVERAGE(J561:J1170)</f>
        <v>0.21725490196078417</v>
      </c>
      <c r="O561" s="3">
        <f>COUNT(J561:J1170)</f>
        <v>51</v>
      </c>
      <c r="P561" s="3" t="str">
        <f>TEXT(J561,"0.00")</f>
        <v>0.26</v>
      </c>
      <c r="Q561" s="3" t="str">
        <f>LEFT(L561,3)</f>
        <v>Spr</v>
      </c>
      <c r="R561" s="42" t="str">
        <f>RIGHT(L561,3)</f>
        <v>ing</v>
      </c>
      <c r="S561" s="42">
        <f>LEN(L561)</f>
        <v>6</v>
      </c>
      <c r="T561" s="3" t="str">
        <f>A561&amp;"|"&amp;B561&amp;"|"&amp;F561</f>
        <v>560|25-01-2011|12</v>
      </c>
      <c r="U561" s="3">
        <f t="shared" si="32"/>
        <v>610</v>
      </c>
      <c r="V561" s="3">
        <f t="shared" si="33"/>
        <v>120.10000000000005</v>
      </c>
      <c r="W561" s="50">
        <f t="shared" si="34"/>
        <v>8.1303845032683911E-2</v>
      </c>
      <c r="X561" s="50">
        <f t="shared" si="35"/>
        <v>0.16514794964716251</v>
      </c>
    </row>
    <row r="562" spans="1:24" x14ac:dyDescent="0.2">
      <c r="A562" s="4">
        <v>561</v>
      </c>
      <c r="B562" s="4" t="s">
        <v>39</v>
      </c>
      <c r="C562" s="4">
        <v>1</v>
      </c>
      <c r="D562" s="4">
        <v>0</v>
      </c>
      <c r="E562" s="4">
        <v>1</v>
      </c>
      <c r="F562" s="4">
        <v>13</v>
      </c>
      <c r="G562" s="4" t="b">
        <v>0</v>
      </c>
      <c r="H562" s="4">
        <v>2</v>
      </c>
      <c r="I562" s="4">
        <v>2</v>
      </c>
      <c r="J562" s="4">
        <v>0.26</v>
      </c>
      <c r="K562" s="6" t="str">
        <f>IF(H562=0,"weekend",IF(H562=6,"weekend","weekend"))</f>
        <v>weekend</v>
      </c>
      <c r="L562" s="3" t="str">
        <f>IF(C562=1,"Spring",IF(C562=2,"Summer",IF(C562=3,"Fall","Winter")))</f>
        <v>Spring</v>
      </c>
      <c r="M562" s="3">
        <f>SUM(J562:J586)</f>
        <v>6.0399999999999991</v>
      </c>
      <c r="N562" s="3">
        <f>AVERAGE(J562:J1171)</f>
        <v>0.21639999999999987</v>
      </c>
      <c r="O562" s="3">
        <f>COUNT(J562:J1171)</f>
        <v>50</v>
      </c>
      <c r="P562" s="3" t="str">
        <f>TEXT(J562,"0.00")</f>
        <v>0.26</v>
      </c>
      <c r="Q562" s="3" t="str">
        <f>LEFT(L562,3)</f>
        <v>Spr</v>
      </c>
      <c r="R562" s="42" t="str">
        <f>RIGHT(L562,3)</f>
        <v>ing</v>
      </c>
      <c r="S562" s="42">
        <f>LEN(L562)</f>
        <v>6</v>
      </c>
      <c r="T562" s="3" t="str">
        <f>A562&amp;"|"&amp;B562&amp;"|"&amp;F562</f>
        <v>561|25-01-2011|13</v>
      </c>
      <c r="U562" s="3">
        <f t="shared" si="32"/>
        <v>610</v>
      </c>
      <c r="V562" s="3">
        <f t="shared" si="33"/>
        <v>120.10000000000005</v>
      </c>
      <c r="W562" s="50">
        <f t="shared" si="34"/>
        <v>8.1303845032683911E-2</v>
      </c>
      <c r="X562" s="50">
        <f t="shared" si="35"/>
        <v>0.16514794964716251</v>
      </c>
    </row>
    <row r="563" spans="1:24" x14ac:dyDescent="0.2">
      <c r="A563" s="4">
        <v>562</v>
      </c>
      <c r="B563" s="4" t="s">
        <v>39</v>
      </c>
      <c r="C563" s="4">
        <v>1</v>
      </c>
      <c r="D563" s="4">
        <v>0</v>
      </c>
      <c r="E563" s="4">
        <v>1</v>
      </c>
      <c r="F563" s="4">
        <v>14</v>
      </c>
      <c r="G563" s="4" t="b">
        <v>0</v>
      </c>
      <c r="H563" s="4">
        <v>2</v>
      </c>
      <c r="I563" s="4">
        <v>2</v>
      </c>
      <c r="J563" s="4">
        <v>0.3</v>
      </c>
      <c r="K563" s="6" t="str">
        <f>IF(H563=0,"weekend",IF(H563=6,"weekend","weekend"))</f>
        <v>weekend</v>
      </c>
      <c r="L563" s="3" t="str">
        <f>IF(C563=1,"Spring",IF(C563=2,"Summer",IF(C563=3,"Fall","Winter")))</f>
        <v>Spring</v>
      </c>
      <c r="M563" s="3">
        <f>SUM(J563:J587)</f>
        <v>5.9999999999999991</v>
      </c>
      <c r="N563" s="3">
        <f>AVERAGE(J563:J1172)</f>
        <v>0.21551020408163254</v>
      </c>
      <c r="O563" s="3">
        <f>COUNT(J563:J1172)</f>
        <v>49</v>
      </c>
      <c r="P563" s="3" t="str">
        <f>TEXT(J563,"0.00")</f>
        <v>0.30</v>
      </c>
      <c r="Q563" s="3" t="str">
        <f>LEFT(L563,3)</f>
        <v>Spr</v>
      </c>
      <c r="R563" s="42" t="str">
        <f>RIGHT(L563,3)</f>
        <v>ing</v>
      </c>
      <c r="S563" s="42">
        <f>LEN(L563)</f>
        <v>6</v>
      </c>
      <c r="T563" s="3" t="str">
        <f>A563&amp;"|"&amp;B563&amp;"|"&amp;F563</f>
        <v>562|25-01-2011|14</v>
      </c>
      <c r="U563" s="3">
        <f t="shared" si="32"/>
        <v>610</v>
      </c>
      <c r="V563" s="3">
        <f t="shared" si="33"/>
        <v>120.10000000000005</v>
      </c>
      <c r="W563" s="50">
        <f t="shared" si="34"/>
        <v>8.1303845032683911E-2</v>
      </c>
      <c r="X563" s="50">
        <f t="shared" si="35"/>
        <v>0.16514794964716251</v>
      </c>
    </row>
    <row r="564" spans="1:24" x14ac:dyDescent="0.2">
      <c r="A564" s="4">
        <v>563</v>
      </c>
      <c r="B564" s="4" t="s">
        <v>39</v>
      </c>
      <c r="C564" s="4">
        <v>1</v>
      </c>
      <c r="D564" s="4">
        <v>0</v>
      </c>
      <c r="E564" s="4">
        <v>1</v>
      </c>
      <c r="F564" s="4">
        <v>15</v>
      </c>
      <c r="G564" s="4" t="b">
        <v>0</v>
      </c>
      <c r="H564" s="4">
        <v>2</v>
      </c>
      <c r="I564" s="4">
        <v>2</v>
      </c>
      <c r="J564" s="4">
        <v>0.32</v>
      </c>
      <c r="K564" s="6" t="str">
        <f>IF(H564=0,"weekend",IF(H564=6,"weekend","weekend"))</f>
        <v>weekend</v>
      </c>
      <c r="L564" s="3" t="str">
        <f>IF(C564=1,"Spring",IF(C564=2,"Summer",IF(C564=3,"Fall","Winter")))</f>
        <v>Spring</v>
      </c>
      <c r="M564" s="3">
        <f>SUM(J564:J588)</f>
        <v>5.9</v>
      </c>
      <c r="N564" s="3">
        <f>AVERAGE(J564:J1173)</f>
        <v>0.21374999999999991</v>
      </c>
      <c r="O564" s="3">
        <f>COUNT(J564:J1173)</f>
        <v>48</v>
      </c>
      <c r="P564" s="3" t="str">
        <f>TEXT(J564,"0.00")</f>
        <v>0.32</v>
      </c>
      <c r="Q564" s="3" t="str">
        <f>LEFT(L564,3)</f>
        <v>Spr</v>
      </c>
      <c r="R564" s="42" t="str">
        <f>RIGHT(L564,3)</f>
        <v>ing</v>
      </c>
      <c r="S564" s="42">
        <f>LEN(L564)</f>
        <v>6</v>
      </c>
      <c r="T564" s="3" t="str">
        <f>A564&amp;"|"&amp;B564&amp;"|"&amp;F564</f>
        <v>563|25-01-2011|15</v>
      </c>
      <c r="U564" s="3">
        <f t="shared" si="32"/>
        <v>610</v>
      </c>
      <c r="V564" s="3">
        <f t="shared" si="33"/>
        <v>120.10000000000005</v>
      </c>
      <c r="W564" s="50">
        <f t="shared" si="34"/>
        <v>8.1303845032683911E-2</v>
      </c>
      <c r="X564" s="50">
        <f t="shared" si="35"/>
        <v>0.16514794964716251</v>
      </c>
    </row>
    <row r="565" spans="1:24" x14ac:dyDescent="0.2">
      <c r="A565" s="4">
        <v>564</v>
      </c>
      <c r="B565" s="4" t="s">
        <v>39</v>
      </c>
      <c r="C565" s="4">
        <v>1</v>
      </c>
      <c r="D565" s="4">
        <v>0</v>
      </c>
      <c r="E565" s="4">
        <v>1</v>
      </c>
      <c r="F565" s="4">
        <v>16</v>
      </c>
      <c r="G565" s="4" t="b">
        <v>0</v>
      </c>
      <c r="H565" s="4">
        <v>2</v>
      </c>
      <c r="I565" s="4">
        <v>2</v>
      </c>
      <c r="J565" s="4">
        <v>0.32</v>
      </c>
      <c r="K565" s="6" t="str">
        <f>IF(H565=0,"weekend",IF(H565=6,"weekend","weekend"))</f>
        <v>weekend</v>
      </c>
      <c r="L565" s="3" t="str">
        <f>IF(C565=1,"Spring",IF(C565=2,"Summer",IF(C565=3,"Fall","Winter")))</f>
        <v>Spring</v>
      </c>
      <c r="M565" s="3">
        <f>SUM(J565:J589)</f>
        <v>5.8</v>
      </c>
      <c r="N565" s="3">
        <f>AVERAGE(J565:J1174)</f>
        <v>0.21148936170212762</v>
      </c>
      <c r="O565" s="3">
        <f>COUNT(J565:J1174)</f>
        <v>47</v>
      </c>
      <c r="P565" s="3" t="str">
        <f>TEXT(J565,"0.00")</f>
        <v>0.32</v>
      </c>
      <c r="Q565" s="3" t="str">
        <f>LEFT(L565,3)</f>
        <v>Spr</v>
      </c>
      <c r="R565" s="42" t="str">
        <f>RIGHT(L565,3)</f>
        <v>ing</v>
      </c>
      <c r="S565" s="42">
        <f>LEN(L565)</f>
        <v>6</v>
      </c>
      <c r="T565" s="3" t="str">
        <f>A565&amp;"|"&amp;B565&amp;"|"&amp;F565</f>
        <v>564|25-01-2011|16</v>
      </c>
      <c r="U565" s="3">
        <f t="shared" si="32"/>
        <v>610</v>
      </c>
      <c r="V565" s="3">
        <f t="shared" si="33"/>
        <v>120.10000000000005</v>
      </c>
      <c r="W565" s="50">
        <f t="shared" si="34"/>
        <v>8.1303845032683911E-2</v>
      </c>
      <c r="X565" s="50">
        <f t="shared" si="35"/>
        <v>0.16514794964716251</v>
      </c>
    </row>
    <row r="566" spans="1:24" x14ac:dyDescent="0.2">
      <c r="A566" s="4">
        <v>565</v>
      </c>
      <c r="B566" s="4" t="s">
        <v>39</v>
      </c>
      <c r="C566" s="4">
        <v>1</v>
      </c>
      <c r="D566" s="4">
        <v>0</v>
      </c>
      <c r="E566" s="4">
        <v>1</v>
      </c>
      <c r="F566" s="4">
        <v>17</v>
      </c>
      <c r="G566" s="4" t="b">
        <v>0</v>
      </c>
      <c r="H566" s="4">
        <v>2</v>
      </c>
      <c r="I566" s="4">
        <v>1</v>
      </c>
      <c r="J566" s="4">
        <v>0.3</v>
      </c>
      <c r="K566" s="6" t="str">
        <f>IF(H566=0,"weekend",IF(H566=6,"weekend","weekend"))</f>
        <v>weekend</v>
      </c>
      <c r="L566" s="3" t="str">
        <f>IF(C566=1,"Spring",IF(C566=2,"Summer",IF(C566=3,"Fall","Winter")))</f>
        <v>Spring</v>
      </c>
      <c r="M566" s="3">
        <f>SUM(J566:J590)</f>
        <v>5.7</v>
      </c>
      <c r="N566" s="3">
        <f>AVERAGE(J566:J1175)</f>
        <v>0.20913043478260865</v>
      </c>
      <c r="O566" s="3">
        <f>COUNT(J566:J1175)</f>
        <v>46</v>
      </c>
      <c r="P566" s="3" t="str">
        <f>TEXT(J566,"0.00")</f>
        <v>0.30</v>
      </c>
      <c r="Q566" s="3" t="str">
        <f>LEFT(L566,3)</f>
        <v>Spr</v>
      </c>
      <c r="R566" s="42" t="str">
        <f>RIGHT(L566,3)</f>
        <v>ing</v>
      </c>
      <c r="S566" s="42">
        <f>LEN(L566)</f>
        <v>6</v>
      </c>
      <c r="T566" s="3" t="str">
        <f>A566&amp;"|"&amp;B566&amp;"|"&amp;F566</f>
        <v>565|25-01-2011|17</v>
      </c>
      <c r="U566" s="3">
        <f t="shared" si="32"/>
        <v>610</v>
      </c>
      <c r="V566" s="3">
        <f t="shared" si="33"/>
        <v>120.10000000000005</v>
      </c>
      <c r="W566" s="50">
        <f t="shared" si="34"/>
        <v>8.1303845032683911E-2</v>
      </c>
      <c r="X566" s="50">
        <f t="shared" si="35"/>
        <v>0.16514794964716251</v>
      </c>
    </row>
    <row r="567" spans="1:24" x14ac:dyDescent="0.2">
      <c r="A567" s="4">
        <v>566</v>
      </c>
      <c r="B567" s="4" t="s">
        <v>39</v>
      </c>
      <c r="C567" s="4">
        <v>1</v>
      </c>
      <c r="D567" s="4">
        <v>0</v>
      </c>
      <c r="E567" s="4">
        <v>1</v>
      </c>
      <c r="F567" s="4">
        <v>18</v>
      </c>
      <c r="G567" s="4" t="b">
        <v>0</v>
      </c>
      <c r="H567" s="4">
        <v>2</v>
      </c>
      <c r="I567" s="4">
        <v>2</v>
      </c>
      <c r="J567" s="4">
        <v>0.3</v>
      </c>
      <c r="K567" s="6" t="str">
        <f>IF(H567=0,"weekend",IF(H567=6,"weekend","weekend"))</f>
        <v>weekend</v>
      </c>
      <c r="L567" s="3" t="str">
        <f>IF(C567=1,"Spring",IF(C567=2,"Summer",IF(C567=3,"Fall","Winter")))</f>
        <v>Spring</v>
      </c>
      <c r="M567" s="3">
        <f>SUM(J567:J591)</f>
        <v>5.6000000000000005</v>
      </c>
      <c r="N567" s="3">
        <f>AVERAGE(J567:J1176)</f>
        <v>0.20711111111111108</v>
      </c>
      <c r="O567" s="3">
        <f>COUNT(J567:J1176)</f>
        <v>45</v>
      </c>
      <c r="P567" s="3" t="str">
        <f>TEXT(J567,"0.00")</f>
        <v>0.30</v>
      </c>
      <c r="Q567" s="3" t="str">
        <f>LEFT(L567,3)</f>
        <v>Spr</v>
      </c>
      <c r="R567" s="42" t="str">
        <f>RIGHT(L567,3)</f>
        <v>ing</v>
      </c>
      <c r="S567" s="42">
        <f>LEN(L567)</f>
        <v>6</v>
      </c>
      <c r="T567" s="3" t="str">
        <f>A567&amp;"|"&amp;B567&amp;"|"&amp;F567</f>
        <v>566|25-01-2011|18</v>
      </c>
      <c r="U567" s="3">
        <f t="shared" si="32"/>
        <v>610</v>
      </c>
      <c r="V567" s="3">
        <f t="shared" si="33"/>
        <v>120.10000000000005</v>
      </c>
      <c r="W567" s="50">
        <f t="shared" si="34"/>
        <v>8.1303845032683911E-2</v>
      </c>
      <c r="X567" s="50">
        <f t="shared" si="35"/>
        <v>0.16514794964716251</v>
      </c>
    </row>
    <row r="568" spans="1:24" x14ac:dyDescent="0.2">
      <c r="A568" s="4">
        <v>567</v>
      </c>
      <c r="B568" s="4" t="s">
        <v>39</v>
      </c>
      <c r="C568" s="4">
        <v>1</v>
      </c>
      <c r="D568" s="4">
        <v>0</v>
      </c>
      <c r="E568" s="4">
        <v>1</v>
      </c>
      <c r="F568" s="4">
        <v>19</v>
      </c>
      <c r="G568" s="4" t="b">
        <v>0</v>
      </c>
      <c r="H568" s="4">
        <v>2</v>
      </c>
      <c r="I568" s="4">
        <v>2</v>
      </c>
      <c r="J568" s="4">
        <v>0.26</v>
      </c>
      <c r="K568" s="6" t="str">
        <f>IF(H568=0,"weekend",IF(H568=6,"weekend","weekend"))</f>
        <v>weekend</v>
      </c>
      <c r="L568" s="3" t="str">
        <f>IF(C568=1,"Spring",IF(C568=2,"Summer",IF(C568=3,"Fall","Winter")))</f>
        <v>Spring</v>
      </c>
      <c r="M568" s="3">
        <f>SUM(J568:J592)</f>
        <v>5.5000000000000009</v>
      </c>
      <c r="N568" s="3">
        <f>AVERAGE(J568:J1177)</f>
        <v>0.20499999999999999</v>
      </c>
      <c r="O568" s="3">
        <f>COUNT(J568:J1177)</f>
        <v>44</v>
      </c>
      <c r="P568" s="3" t="str">
        <f>TEXT(J568,"0.00")</f>
        <v>0.26</v>
      </c>
      <c r="Q568" s="3" t="str">
        <f>LEFT(L568,3)</f>
        <v>Spr</v>
      </c>
      <c r="R568" s="42" t="str">
        <f>RIGHT(L568,3)</f>
        <v>ing</v>
      </c>
      <c r="S568" s="42">
        <f>LEN(L568)</f>
        <v>6</v>
      </c>
      <c r="T568" s="3" t="str">
        <f>A568&amp;"|"&amp;B568&amp;"|"&amp;F568</f>
        <v>567|25-01-2011|19</v>
      </c>
      <c r="U568" s="3">
        <f t="shared" si="32"/>
        <v>610</v>
      </c>
      <c r="V568" s="3">
        <f t="shared" si="33"/>
        <v>120.10000000000005</v>
      </c>
      <c r="W568" s="50">
        <f t="shared" si="34"/>
        <v>8.1303845032683911E-2</v>
      </c>
      <c r="X568" s="50">
        <f t="shared" si="35"/>
        <v>0.16514794964716251</v>
      </c>
    </row>
    <row r="569" spans="1:24" x14ac:dyDescent="0.2">
      <c r="A569" s="4">
        <v>568</v>
      </c>
      <c r="B569" s="4" t="s">
        <v>39</v>
      </c>
      <c r="C569" s="4">
        <v>1</v>
      </c>
      <c r="D569" s="4">
        <v>0</v>
      </c>
      <c r="E569" s="4">
        <v>1</v>
      </c>
      <c r="F569" s="4">
        <v>20</v>
      </c>
      <c r="G569" s="4" t="b">
        <v>0</v>
      </c>
      <c r="H569" s="4">
        <v>2</v>
      </c>
      <c r="I569" s="4">
        <v>1</v>
      </c>
      <c r="J569" s="4">
        <v>0.24</v>
      </c>
      <c r="K569" s="6" t="str">
        <f>IF(H569=0,"weekend",IF(H569=6,"weekend","weekend"))</f>
        <v>weekend</v>
      </c>
      <c r="L569" s="3" t="str">
        <f>IF(C569=1,"Spring",IF(C569=2,"Summer",IF(C569=3,"Fall","Winter")))</f>
        <v>Spring</v>
      </c>
      <c r="M569" s="3">
        <f>SUM(J569:J593)</f>
        <v>5.4200000000000008</v>
      </c>
      <c r="N569" s="3">
        <f>AVERAGE(J569:J1178)</f>
        <v>0.20372093023255813</v>
      </c>
      <c r="O569" s="3">
        <f>COUNT(J569:J1178)</f>
        <v>43</v>
      </c>
      <c r="P569" s="3" t="str">
        <f>TEXT(J569,"0.00")</f>
        <v>0.24</v>
      </c>
      <c r="Q569" s="3" t="str">
        <f>LEFT(L569,3)</f>
        <v>Spr</v>
      </c>
      <c r="R569" s="42" t="str">
        <f>RIGHT(L569,3)</f>
        <v>ing</v>
      </c>
      <c r="S569" s="42">
        <f>LEN(L569)</f>
        <v>6</v>
      </c>
      <c r="T569" s="3" t="str">
        <f>A569&amp;"|"&amp;B569&amp;"|"&amp;F569</f>
        <v>568|25-01-2011|20</v>
      </c>
      <c r="U569" s="3">
        <f t="shared" si="32"/>
        <v>610</v>
      </c>
      <c r="V569" s="3">
        <f t="shared" si="33"/>
        <v>120.10000000000005</v>
      </c>
      <c r="W569" s="50">
        <f t="shared" si="34"/>
        <v>8.1303845032683911E-2</v>
      </c>
      <c r="X569" s="50">
        <f t="shared" si="35"/>
        <v>0.16514794964716251</v>
      </c>
    </row>
    <row r="570" spans="1:24" x14ac:dyDescent="0.2">
      <c r="A570" s="4">
        <v>569</v>
      </c>
      <c r="B570" s="4" t="s">
        <v>39</v>
      </c>
      <c r="C570" s="4">
        <v>1</v>
      </c>
      <c r="D570" s="4">
        <v>0</v>
      </c>
      <c r="E570" s="4">
        <v>1</v>
      </c>
      <c r="F570" s="4">
        <v>21</v>
      </c>
      <c r="G570" s="4" t="b">
        <v>0</v>
      </c>
      <c r="H570" s="4">
        <v>2</v>
      </c>
      <c r="I570" s="4">
        <v>1</v>
      </c>
      <c r="J570" s="4">
        <v>0.24</v>
      </c>
      <c r="K570" s="6" t="str">
        <f>IF(H570=0,"weekend",IF(H570=6,"weekend","weekend"))</f>
        <v>weekend</v>
      </c>
      <c r="L570" s="3" t="str">
        <f>IF(C570=1,"Spring",IF(C570=2,"Summer",IF(C570=3,"Fall","Winter")))</f>
        <v>Spring</v>
      </c>
      <c r="M570" s="3">
        <f>SUM(J570:J594)</f>
        <v>5.36</v>
      </c>
      <c r="N570" s="3">
        <f>AVERAGE(J570:J1179)</f>
        <v>0.20285714285714285</v>
      </c>
      <c r="O570" s="3">
        <f>COUNT(J570:J1179)</f>
        <v>42</v>
      </c>
      <c r="P570" s="3" t="str">
        <f>TEXT(J570,"0.00")</f>
        <v>0.24</v>
      </c>
      <c r="Q570" s="3" t="str">
        <f>LEFT(L570,3)</f>
        <v>Spr</v>
      </c>
      <c r="R570" s="42" t="str">
        <f>RIGHT(L570,3)</f>
        <v>ing</v>
      </c>
      <c r="S570" s="42">
        <f>LEN(L570)</f>
        <v>6</v>
      </c>
      <c r="T570" s="3" t="str">
        <f>A570&amp;"|"&amp;B570&amp;"|"&amp;F570</f>
        <v>569|25-01-2011|21</v>
      </c>
      <c r="U570" s="3">
        <f t="shared" si="32"/>
        <v>610</v>
      </c>
      <c r="V570" s="3">
        <f t="shared" si="33"/>
        <v>120.10000000000005</v>
      </c>
      <c r="W570" s="50">
        <f t="shared" si="34"/>
        <v>8.1303845032683911E-2</v>
      </c>
      <c r="X570" s="50">
        <f t="shared" si="35"/>
        <v>0.16514794964716251</v>
      </c>
    </row>
    <row r="571" spans="1:24" x14ac:dyDescent="0.2">
      <c r="A571" s="4">
        <v>570</v>
      </c>
      <c r="B571" s="4" t="s">
        <v>39</v>
      </c>
      <c r="C571" s="4">
        <v>1</v>
      </c>
      <c r="D571" s="4">
        <v>0</v>
      </c>
      <c r="E571" s="4">
        <v>1</v>
      </c>
      <c r="F571" s="4">
        <v>22</v>
      </c>
      <c r="G571" s="4" t="b">
        <v>0</v>
      </c>
      <c r="H571" s="4">
        <v>2</v>
      </c>
      <c r="I571" s="4">
        <v>1</v>
      </c>
      <c r="J571" s="4">
        <v>0.22</v>
      </c>
      <c r="K571" s="6" t="str">
        <f>IF(H571=0,"weekend",IF(H571=6,"weekend","weekend"))</f>
        <v>weekend</v>
      </c>
      <c r="L571" s="3" t="str">
        <f>IF(C571=1,"Spring",IF(C571=2,"Summer",IF(C571=3,"Fall","Winter")))</f>
        <v>Spring</v>
      </c>
      <c r="M571" s="3">
        <f>SUM(J571:J595)</f>
        <v>5.3000000000000007</v>
      </c>
      <c r="N571" s="3">
        <f>AVERAGE(J571:J1180)</f>
        <v>0.20195121951219511</v>
      </c>
      <c r="O571" s="3">
        <f>COUNT(J571:J1180)</f>
        <v>41</v>
      </c>
      <c r="P571" s="3" t="str">
        <f>TEXT(J571,"0.00")</f>
        <v>0.22</v>
      </c>
      <c r="Q571" s="3" t="str">
        <f>LEFT(L571,3)</f>
        <v>Spr</v>
      </c>
      <c r="R571" s="42" t="str">
        <f>RIGHT(L571,3)</f>
        <v>ing</v>
      </c>
      <c r="S571" s="42">
        <f>LEN(L571)</f>
        <v>6</v>
      </c>
      <c r="T571" s="3" t="str">
        <f>A571&amp;"|"&amp;B571&amp;"|"&amp;F571</f>
        <v>570|25-01-2011|22</v>
      </c>
      <c r="U571" s="3">
        <f t="shared" si="32"/>
        <v>610</v>
      </c>
      <c r="V571" s="3">
        <f t="shared" si="33"/>
        <v>120.10000000000005</v>
      </c>
      <c r="W571" s="50">
        <f t="shared" si="34"/>
        <v>8.1303845032683911E-2</v>
      </c>
      <c r="X571" s="50">
        <f t="shared" si="35"/>
        <v>0.16514794964716251</v>
      </c>
    </row>
    <row r="572" spans="1:24" x14ac:dyDescent="0.2">
      <c r="A572" s="4">
        <v>571</v>
      </c>
      <c r="B572" s="4" t="s">
        <v>39</v>
      </c>
      <c r="C572" s="4">
        <v>1</v>
      </c>
      <c r="D572" s="4">
        <v>0</v>
      </c>
      <c r="E572" s="4">
        <v>1</v>
      </c>
      <c r="F572" s="4">
        <v>23</v>
      </c>
      <c r="G572" s="4" t="b">
        <v>0</v>
      </c>
      <c r="H572" s="4">
        <v>2</v>
      </c>
      <c r="I572" s="4">
        <v>2</v>
      </c>
      <c r="J572" s="4">
        <v>0.22</v>
      </c>
      <c r="K572" s="6" t="str">
        <f>IF(H572=0,"weekend",IF(H572=6,"weekend","weekend"))</f>
        <v>weekend</v>
      </c>
      <c r="L572" s="3" t="str">
        <f>IF(C572=1,"Spring",IF(C572=2,"Summer",IF(C572=3,"Fall","Winter")))</f>
        <v>Spring</v>
      </c>
      <c r="M572" s="3">
        <f>SUM(J572:J596)</f>
        <v>5.2600000000000007</v>
      </c>
      <c r="N572" s="3">
        <f>AVERAGE(J572:J1181)</f>
        <v>0.20149999999999996</v>
      </c>
      <c r="O572" s="3">
        <f>COUNT(J572:J1181)</f>
        <v>40</v>
      </c>
      <c r="P572" s="3" t="str">
        <f>TEXT(J572,"0.00")</f>
        <v>0.22</v>
      </c>
      <c r="Q572" s="3" t="str">
        <f>LEFT(L572,3)</f>
        <v>Spr</v>
      </c>
      <c r="R572" s="42" t="str">
        <f>RIGHT(L572,3)</f>
        <v>ing</v>
      </c>
      <c r="S572" s="42">
        <f>LEN(L572)</f>
        <v>6</v>
      </c>
      <c r="T572" s="3" t="str">
        <f>A572&amp;"|"&amp;B572&amp;"|"&amp;F572</f>
        <v>571|25-01-2011|23</v>
      </c>
      <c r="U572" s="3">
        <f t="shared" si="32"/>
        <v>610</v>
      </c>
      <c r="V572" s="3">
        <f t="shared" si="33"/>
        <v>120.10000000000005</v>
      </c>
      <c r="W572" s="50">
        <f t="shared" si="34"/>
        <v>8.1303845032683911E-2</v>
      </c>
      <c r="X572" s="50">
        <f t="shared" si="35"/>
        <v>0.16514794964716251</v>
      </c>
    </row>
    <row r="573" spans="1:24" x14ac:dyDescent="0.2">
      <c r="A573" s="4">
        <v>572</v>
      </c>
      <c r="B573" s="4" t="s">
        <v>40</v>
      </c>
      <c r="C573" s="4">
        <v>1</v>
      </c>
      <c r="D573" s="4">
        <v>0</v>
      </c>
      <c r="E573" s="4">
        <v>1</v>
      </c>
      <c r="F573" s="4">
        <v>0</v>
      </c>
      <c r="G573" s="4" t="b">
        <v>0</v>
      </c>
      <c r="H573" s="4">
        <v>3</v>
      </c>
      <c r="I573" s="4">
        <v>2</v>
      </c>
      <c r="J573" s="4">
        <v>0.22</v>
      </c>
      <c r="K573" s="6" t="str">
        <f>IF(H573=0,"weekend",IF(H573=6,"weekend","weekend"))</f>
        <v>weekend</v>
      </c>
      <c r="L573" s="3" t="str">
        <f>IF(C573=1,"Spring",IF(C573=2,"Summer",IF(C573=3,"Fall","Winter")))</f>
        <v>Spring</v>
      </c>
      <c r="M573" s="3">
        <f>SUM(J573:J597)</f>
        <v>5.24</v>
      </c>
      <c r="N573" s="3">
        <f>AVERAGE(J573:J1182)</f>
        <v>0.20102564102564099</v>
      </c>
      <c r="O573" s="3">
        <f>COUNT(J573:J1182)</f>
        <v>39</v>
      </c>
      <c r="P573" s="3" t="str">
        <f>TEXT(J573,"0.00")</f>
        <v>0.22</v>
      </c>
      <c r="Q573" s="3" t="str">
        <f>LEFT(L573,3)</f>
        <v>Spr</v>
      </c>
      <c r="R573" s="42" t="str">
        <f>RIGHT(L573,3)</f>
        <v>ing</v>
      </c>
      <c r="S573" s="42">
        <f>LEN(L573)</f>
        <v>6</v>
      </c>
      <c r="T573" s="3" t="str">
        <f>A573&amp;"|"&amp;B573&amp;"|"&amp;F573</f>
        <v>572|26-01-2011|0</v>
      </c>
      <c r="U573" s="3">
        <f t="shared" si="32"/>
        <v>610</v>
      </c>
      <c r="V573" s="3">
        <f t="shared" si="33"/>
        <v>120.10000000000005</v>
      </c>
      <c r="W573" s="50">
        <f t="shared" si="34"/>
        <v>8.1303845032683911E-2</v>
      </c>
      <c r="X573" s="50">
        <f t="shared" si="35"/>
        <v>0.16514794964716251</v>
      </c>
    </row>
    <row r="574" spans="1:24" x14ac:dyDescent="0.2">
      <c r="A574" s="4">
        <v>573</v>
      </c>
      <c r="B574" s="4" t="s">
        <v>40</v>
      </c>
      <c r="C574" s="4">
        <v>1</v>
      </c>
      <c r="D574" s="4">
        <v>0</v>
      </c>
      <c r="E574" s="4">
        <v>1</v>
      </c>
      <c r="F574" s="4">
        <v>1</v>
      </c>
      <c r="G574" s="4" t="b">
        <v>0</v>
      </c>
      <c r="H574" s="4">
        <v>3</v>
      </c>
      <c r="I574" s="4">
        <v>2</v>
      </c>
      <c r="J574" s="4">
        <v>0.24</v>
      </c>
      <c r="K574" s="6" t="str">
        <f>IF(H574=0,"weekend",IF(H574=6,"weekend","weekend"))</f>
        <v>weekend</v>
      </c>
      <c r="L574" s="3" t="str">
        <f>IF(C574=1,"Spring",IF(C574=2,"Summer",IF(C574=3,"Fall","Winter")))</f>
        <v>Spring</v>
      </c>
      <c r="M574" s="3">
        <f>SUM(J574:J598)</f>
        <v>5.2200000000000006</v>
      </c>
      <c r="N574" s="3">
        <f>AVERAGE(J574:J1183)</f>
        <v>0.20052631578947366</v>
      </c>
      <c r="O574" s="3">
        <f>COUNT(J574:J1183)</f>
        <v>38</v>
      </c>
      <c r="P574" s="3" t="str">
        <f>TEXT(J574,"0.00")</f>
        <v>0.24</v>
      </c>
      <c r="Q574" s="3" t="str">
        <f>LEFT(L574,3)</f>
        <v>Spr</v>
      </c>
      <c r="R574" s="42" t="str">
        <f>RIGHT(L574,3)</f>
        <v>ing</v>
      </c>
      <c r="S574" s="42">
        <f>LEN(L574)</f>
        <v>6</v>
      </c>
      <c r="T574" s="3" t="str">
        <f>A574&amp;"|"&amp;B574&amp;"|"&amp;F574</f>
        <v>573|26-01-2011|1</v>
      </c>
      <c r="U574" s="3">
        <f t="shared" si="32"/>
        <v>610</v>
      </c>
      <c r="V574" s="3">
        <f t="shared" si="33"/>
        <v>120.10000000000005</v>
      </c>
      <c r="W574" s="50">
        <f t="shared" si="34"/>
        <v>8.1303845032683911E-2</v>
      </c>
      <c r="X574" s="50">
        <f t="shared" si="35"/>
        <v>0.16514794964716251</v>
      </c>
    </row>
    <row r="575" spans="1:24" x14ac:dyDescent="0.2">
      <c r="A575" s="4">
        <v>574</v>
      </c>
      <c r="B575" s="4" t="s">
        <v>40</v>
      </c>
      <c r="C575" s="4">
        <v>1</v>
      </c>
      <c r="D575" s="4">
        <v>0</v>
      </c>
      <c r="E575" s="4">
        <v>1</v>
      </c>
      <c r="F575" s="4">
        <v>2</v>
      </c>
      <c r="G575" s="4" t="b">
        <v>0</v>
      </c>
      <c r="H575" s="4">
        <v>3</v>
      </c>
      <c r="I575" s="4">
        <v>3</v>
      </c>
      <c r="J575" s="4">
        <v>0.22</v>
      </c>
      <c r="K575" s="6" t="str">
        <f>IF(H575=0,"weekend",IF(H575=6,"weekend","weekend"))</f>
        <v>weekend</v>
      </c>
      <c r="L575" s="3" t="str">
        <f>IF(C575=1,"Spring",IF(C575=2,"Summer",IF(C575=3,"Fall","Winter")))</f>
        <v>Spring</v>
      </c>
      <c r="M575" s="3">
        <f>SUM(J575:J599)</f>
        <v>5.1800000000000015</v>
      </c>
      <c r="N575" s="3">
        <f>AVERAGE(J575:J1184)</f>
        <v>0.19945945945945945</v>
      </c>
      <c r="O575" s="3">
        <f>COUNT(J575:J1184)</f>
        <v>37</v>
      </c>
      <c r="P575" s="3" t="str">
        <f>TEXT(J575,"0.00")</f>
        <v>0.22</v>
      </c>
      <c r="Q575" s="3" t="str">
        <f>LEFT(L575,3)</f>
        <v>Spr</v>
      </c>
      <c r="R575" s="42" t="str">
        <f>RIGHT(L575,3)</f>
        <v>ing</v>
      </c>
      <c r="S575" s="42">
        <f>LEN(L575)</f>
        <v>6</v>
      </c>
      <c r="T575" s="3" t="str">
        <f>A575&amp;"|"&amp;B575&amp;"|"&amp;F575</f>
        <v>574|26-01-2011|2</v>
      </c>
      <c r="U575" s="3">
        <f t="shared" si="32"/>
        <v>610</v>
      </c>
      <c r="V575" s="3">
        <f t="shared" si="33"/>
        <v>120.10000000000005</v>
      </c>
      <c r="W575" s="50">
        <f t="shared" si="34"/>
        <v>8.1303845032683911E-2</v>
      </c>
      <c r="X575" s="50">
        <f t="shared" si="35"/>
        <v>0.16514794964716251</v>
      </c>
    </row>
    <row r="576" spans="1:24" x14ac:dyDescent="0.2">
      <c r="A576" s="4">
        <v>575</v>
      </c>
      <c r="B576" s="4" t="s">
        <v>40</v>
      </c>
      <c r="C576" s="4">
        <v>1</v>
      </c>
      <c r="D576" s="4">
        <v>0</v>
      </c>
      <c r="E576" s="4">
        <v>1</v>
      </c>
      <c r="F576" s="4">
        <v>5</v>
      </c>
      <c r="G576" s="4" t="b">
        <v>0</v>
      </c>
      <c r="H576" s="4">
        <v>3</v>
      </c>
      <c r="I576" s="4">
        <v>3</v>
      </c>
      <c r="J576" s="4">
        <v>0.2</v>
      </c>
      <c r="K576" s="6" t="str">
        <f>IF(H576=0,"weekend",IF(H576=6,"weekend","weekend"))</f>
        <v>weekend</v>
      </c>
      <c r="L576" s="3" t="str">
        <f>IF(C576=1,"Spring",IF(C576=2,"Summer",IF(C576=3,"Fall","Winter")))</f>
        <v>Spring</v>
      </c>
      <c r="M576" s="3">
        <f>SUM(J576:J600)</f>
        <v>5.1600000000000019</v>
      </c>
      <c r="N576" s="3">
        <f>AVERAGE(J576:J1185)</f>
        <v>0.19888888888888889</v>
      </c>
      <c r="O576" s="3">
        <f>COUNT(J576:J1185)</f>
        <v>36</v>
      </c>
      <c r="P576" s="3" t="str">
        <f>TEXT(J576,"0.00")</f>
        <v>0.20</v>
      </c>
      <c r="Q576" s="3" t="str">
        <f>LEFT(L576,3)</f>
        <v>Spr</v>
      </c>
      <c r="R576" s="42" t="str">
        <f>RIGHT(L576,3)</f>
        <v>ing</v>
      </c>
      <c r="S576" s="42">
        <f>LEN(L576)</f>
        <v>6</v>
      </c>
      <c r="T576" s="3" t="str">
        <f>A576&amp;"|"&amp;B576&amp;"|"&amp;F576</f>
        <v>575|26-01-2011|5</v>
      </c>
      <c r="U576" s="3">
        <f t="shared" si="32"/>
        <v>610</v>
      </c>
      <c r="V576" s="3">
        <f t="shared" si="33"/>
        <v>120.10000000000005</v>
      </c>
      <c r="W576" s="50">
        <f t="shared" si="34"/>
        <v>8.1303845032683911E-2</v>
      </c>
      <c r="X576" s="50">
        <f t="shared" si="35"/>
        <v>0.16514794964716251</v>
      </c>
    </row>
    <row r="577" spans="1:24" x14ac:dyDescent="0.2">
      <c r="A577" s="4">
        <v>576</v>
      </c>
      <c r="B577" s="4" t="s">
        <v>40</v>
      </c>
      <c r="C577" s="4">
        <v>1</v>
      </c>
      <c r="D577" s="4">
        <v>0</v>
      </c>
      <c r="E577" s="4">
        <v>1</v>
      </c>
      <c r="F577" s="4">
        <v>6</v>
      </c>
      <c r="G577" s="4" t="b">
        <v>0</v>
      </c>
      <c r="H577" s="4">
        <v>3</v>
      </c>
      <c r="I577" s="4">
        <v>3</v>
      </c>
      <c r="J577" s="4">
        <v>0.2</v>
      </c>
      <c r="K577" s="6" t="str">
        <f>IF(H577=0,"weekend",IF(H577=6,"weekend","weekend"))</f>
        <v>weekend</v>
      </c>
      <c r="L577" s="3" t="str">
        <f>IF(C577=1,"Spring",IF(C577=2,"Summer",IF(C577=3,"Fall","Winter")))</f>
        <v>Spring</v>
      </c>
      <c r="M577" s="3">
        <f>SUM(J577:J601)</f>
        <v>5.1400000000000023</v>
      </c>
      <c r="N577" s="3">
        <f>AVERAGE(J577:J1186)</f>
        <v>0.19885714285714287</v>
      </c>
      <c r="O577" s="3">
        <f>COUNT(J577:J1186)</f>
        <v>35</v>
      </c>
      <c r="P577" s="3" t="str">
        <f>TEXT(J577,"0.00")</f>
        <v>0.20</v>
      </c>
      <c r="Q577" s="3" t="str">
        <f>LEFT(L577,3)</f>
        <v>Spr</v>
      </c>
      <c r="R577" s="42" t="str">
        <f>RIGHT(L577,3)</f>
        <v>ing</v>
      </c>
      <c r="S577" s="42">
        <f>LEN(L577)</f>
        <v>6</v>
      </c>
      <c r="T577" s="3" t="str">
        <f>A577&amp;"|"&amp;B577&amp;"|"&amp;F577</f>
        <v>576|26-01-2011|6</v>
      </c>
      <c r="U577" s="3">
        <f t="shared" si="32"/>
        <v>610</v>
      </c>
      <c r="V577" s="3">
        <f t="shared" si="33"/>
        <v>120.10000000000005</v>
      </c>
      <c r="W577" s="50">
        <f t="shared" si="34"/>
        <v>8.1303845032683911E-2</v>
      </c>
      <c r="X577" s="50">
        <f t="shared" si="35"/>
        <v>0.16514794964716251</v>
      </c>
    </row>
    <row r="578" spans="1:24" x14ac:dyDescent="0.2">
      <c r="A578" s="4">
        <v>577</v>
      </c>
      <c r="B578" s="4" t="s">
        <v>40</v>
      </c>
      <c r="C578" s="4">
        <v>1</v>
      </c>
      <c r="D578" s="4">
        <v>0</v>
      </c>
      <c r="E578" s="4">
        <v>1</v>
      </c>
      <c r="F578" s="4">
        <v>7</v>
      </c>
      <c r="G578" s="4" t="b">
        <v>0</v>
      </c>
      <c r="H578" s="4">
        <v>3</v>
      </c>
      <c r="I578" s="4">
        <v>3</v>
      </c>
      <c r="J578" s="4">
        <v>0.22</v>
      </c>
      <c r="K578" s="6" t="str">
        <f>IF(H578=0,"weekend",IF(H578=6,"weekend","weekend"))</f>
        <v>weekend</v>
      </c>
      <c r="L578" s="3" t="str">
        <f>IF(C578=1,"Spring",IF(C578=2,"Summer",IF(C578=3,"Fall","Winter")))</f>
        <v>Spring</v>
      </c>
      <c r="M578" s="3">
        <f>SUM(J578:J602)</f>
        <v>5.1200000000000019</v>
      </c>
      <c r="N578" s="3">
        <f>AVERAGE(J578:J1187)</f>
        <v>0.19882352941176473</v>
      </c>
      <c r="O578" s="3">
        <f>COUNT(J578:J1187)</f>
        <v>34</v>
      </c>
      <c r="P578" s="3" t="str">
        <f>TEXT(J578,"0.00")</f>
        <v>0.22</v>
      </c>
      <c r="Q578" s="3" t="str">
        <f>LEFT(L578,3)</f>
        <v>Spr</v>
      </c>
      <c r="R578" s="42" t="str">
        <f>RIGHT(L578,3)</f>
        <v>ing</v>
      </c>
      <c r="S578" s="42">
        <f>LEN(L578)</f>
        <v>6</v>
      </c>
      <c r="T578" s="3" t="str">
        <f>A578&amp;"|"&amp;B578&amp;"|"&amp;F578</f>
        <v>577|26-01-2011|7</v>
      </c>
      <c r="U578" s="3">
        <f t="shared" ref="U578:U611" si="36">COUNTIF(K:K,"weekend")</f>
        <v>610</v>
      </c>
      <c r="V578" s="3">
        <f t="shared" ref="V578:V611" si="37">SUMIF($K:$K,"weekend",$J:$J)</f>
        <v>120.10000000000005</v>
      </c>
      <c r="W578" s="50">
        <f t="shared" ref="W578:W611" si="38">STDEV($J:$J)</f>
        <v>8.1303845032683911E-2</v>
      </c>
      <c r="X578" s="50">
        <f t="shared" ref="X578:X611" si="39">CORREL(J:J,F:F)</f>
        <v>0.16514794964716251</v>
      </c>
    </row>
    <row r="579" spans="1:24" x14ac:dyDescent="0.2">
      <c r="A579" s="4">
        <v>578</v>
      </c>
      <c r="B579" s="4" t="s">
        <v>40</v>
      </c>
      <c r="C579" s="4">
        <v>1</v>
      </c>
      <c r="D579" s="4">
        <v>0</v>
      </c>
      <c r="E579" s="4">
        <v>1</v>
      </c>
      <c r="F579" s="4">
        <v>8</v>
      </c>
      <c r="G579" s="4" t="b">
        <v>0</v>
      </c>
      <c r="H579" s="4">
        <v>3</v>
      </c>
      <c r="I579" s="4">
        <v>3</v>
      </c>
      <c r="J579" s="4">
        <v>0.22</v>
      </c>
      <c r="K579" s="6" t="str">
        <f>IF(H579=0,"weekend",IF(H579=6,"weekend","weekend"))</f>
        <v>weekend</v>
      </c>
      <c r="L579" s="3" t="str">
        <f>IF(C579=1,"Spring",IF(C579=2,"Summer",IF(C579=3,"Fall","Winter")))</f>
        <v>Spring</v>
      </c>
      <c r="M579" s="3">
        <f>SUM(J579:J603)</f>
        <v>5.0600000000000014</v>
      </c>
      <c r="N579" s="3">
        <f>AVERAGE(J579:J1188)</f>
        <v>0.19818181818181818</v>
      </c>
      <c r="O579" s="3">
        <f>COUNT(J579:J1188)</f>
        <v>33</v>
      </c>
      <c r="P579" s="3" t="str">
        <f>TEXT(J579,"0.00")</f>
        <v>0.22</v>
      </c>
      <c r="Q579" s="3" t="str">
        <f>LEFT(L579,3)</f>
        <v>Spr</v>
      </c>
      <c r="R579" s="42" t="str">
        <f>RIGHT(L579,3)</f>
        <v>ing</v>
      </c>
      <c r="S579" s="42">
        <f>LEN(L579)</f>
        <v>6</v>
      </c>
      <c r="T579" s="3" t="str">
        <f>A579&amp;"|"&amp;B579&amp;"|"&amp;F579</f>
        <v>578|26-01-2011|8</v>
      </c>
      <c r="U579" s="3">
        <f t="shared" si="36"/>
        <v>610</v>
      </c>
      <c r="V579" s="3">
        <f t="shared" si="37"/>
        <v>120.10000000000005</v>
      </c>
      <c r="W579" s="50">
        <f t="shared" si="38"/>
        <v>8.1303845032683911E-2</v>
      </c>
      <c r="X579" s="50">
        <f t="shared" si="39"/>
        <v>0.16514794964716251</v>
      </c>
    </row>
    <row r="580" spans="1:24" x14ac:dyDescent="0.2">
      <c r="A580" s="4">
        <v>579</v>
      </c>
      <c r="B580" s="4" t="s">
        <v>40</v>
      </c>
      <c r="C580" s="4">
        <v>1</v>
      </c>
      <c r="D580" s="4">
        <v>0</v>
      </c>
      <c r="E580" s="4">
        <v>1</v>
      </c>
      <c r="F580" s="4">
        <v>9</v>
      </c>
      <c r="G580" s="4" t="b">
        <v>0</v>
      </c>
      <c r="H580" s="4">
        <v>3</v>
      </c>
      <c r="I580" s="4">
        <v>3</v>
      </c>
      <c r="J580" s="4">
        <v>0.22</v>
      </c>
      <c r="K580" s="6" t="str">
        <f>IF(H580=0,"weekend",IF(H580=6,"weekend","weekend"))</f>
        <v>weekend</v>
      </c>
      <c r="L580" s="3" t="str">
        <f>IF(C580=1,"Spring",IF(C580=2,"Summer",IF(C580=3,"Fall","Winter")))</f>
        <v>Spring</v>
      </c>
      <c r="M580" s="3">
        <f>SUM(J580:J604)</f>
        <v>5.0000000000000018</v>
      </c>
      <c r="N580" s="3">
        <f>AVERAGE(J580:J1189)</f>
        <v>0.19750000000000001</v>
      </c>
      <c r="O580" s="3">
        <f>COUNT(J580:J1189)</f>
        <v>32</v>
      </c>
      <c r="P580" s="3" t="str">
        <f>TEXT(J580,"0.00")</f>
        <v>0.22</v>
      </c>
      <c r="Q580" s="3" t="str">
        <f>LEFT(L580,3)</f>
        <v>Spr</v>
      </c>
      <c r="R580" s="42" t="str">
        <f>RIGHT(L580,3)</f>
        <v>ing</v>
      </c>
      <c r="S580" s="42">
        <f>LEN(L580)</f>
        <v>6</v>
      </c>
      <c r="T580" s="3" t="str">
        <f>A580&amp;"|"&amp;B580&amp;"|"&amp;F580</f>
        <v>579|26-01-2011|9</v>
      </c>
      <c r="U580" s="3">
        <f t="shared" si="36"/>
        <v>610</v>
      </c>
      <c r="V580" s="3">
        <f t="shared" si="37"/>
        <v>120.10000000000005</v>
      </c>
      <c r="W580" s="50">
        <f t="shared" si="38"/>
        <v>8.1303845032683911E-2</v>
      </c>
      <c r="X580" s="50">
        <f t="shared" si="39"/>
        <v>0.16514794964716251</v>
      </c>
    </row>
    <row r="581" spans="1:24" x14ac:dyDescent="0.2">
      <c r="A581" s="4">
        <v>580</v>
      </c>
      <c r="B581" s="4" t="s">
        <v>40</v>
      </c>
      <c r="C581" s="4">
        <v>1</v>
      </c>
      <c r="D581" s="4">
        <v>0</v>
      </c>
      <c r="E581" s="4">
        <v>1</v>
      </c>
      <c r="F581" s="4">
        <v>10</v>
      </c>
      <c r="G581" s="4" t="b">
        <v>0</v>
      </c>
      <c r="H581" s="4">
        <v>3</v>
      </c>
      <c r="I581" s="4">
        <v>3</v>
      </c>
      <c r="J581" s="4">
        <v>0.22</v>
      </c>
      <c r="K581" s="6" t="str">
        <f>IF(H581=0,"weekend",IF(H581=6,"weekend","weekend"))</f>
        <v>weekend</v>
      </c>
      <c r="L581" s="3" t="str">
        <f>IF(C581=1,"Spring",IF(C581=2,"Summer",IF(C581=3,"Fall","Winter")))</f>
        <v>Spring</v>
      </c>
      <c r="M581" s="3">
        <f>SUM(J581:J605)</f>
        <v>4.9600000000000009</v>
      </c>
      <c r="N581" s="3">
        <f>AVERAGE(J581:J1190)</f>
        <v>0.19677419354838707</v>
      </c>
      <c r="O581" s="3">
        <f>COUNT(J581:J1190)</f>
        <v>31</v>
      </c>
      <c r="P581" s="3" t="str">
        <f>TEXT(J581,"0.00")</f>
        <v>0.22</v>
      </c>
      <c r="Q581" s="3" t="str">
        <f>LEFT(L581,3)</f>
        <v>Spr</v>
      </c>
      <c r="R581" s="42" t="str">
        <f>RIGHT(L581,3)</f>
        <v>ing</v>
      </c>
      <c r="S581" s="42">
        <f>LEN(L581)</f>
        <v>6</v>
      </c>
      <c r="T581" s="3" t="str">
        <f>A581&amp;"|"&amp;B581&amp;"|"&amp;F581</f>
        <v>580|26-01-2011|10</v>
      </c>
      <c r="U581" s="3">
        <f t="shared" si="36"/>
        <v>610</v>
      </c>
      <c r="V581" s="3">
        <f t="shared" si="37"/>
        <v>120.10000000000005</v>
      </c>
      <c r="W581" s="50">
        <f t="shared" si="38"/>
        <v>8.1303845032683911E-2</v>
      </c>
      <c r="X581" s="50">
        <f t="shared" si="39"/>
        <v>0.16514794964716251</v>
      </c>
    </row>
    <row r="582" spans="1:24" x14ac:dyDescent="0.2">
      <c r="A582" s="4">
        <v>581</v>
      </c>
      <c r="B582" s="4" t="s">
        <v>40</v>
      </c>
      <c r="C582" s="4">
        <v>1</v>
      </c>
      <c r="D582" s="4">
        <v>0</v>
      </c>
      <c r="E582" s="4">
        <v>1</v>
      </c>
      <c r="F582" s="4">
        <v>11</v>
      </c>
      <c r="G582" s="4" t="b">
        <v>0</v>
      </c>
      <c r="H582" s="4">
        <v>3</v>
      </c>
      <c r="I582" s="4">
        <v>3</v>
      </c>
      <c r="J582" s="4">
        <v>0.22</v>
      </c>
      <c r="K582" s="6" t="str">
        <f>IF(H582=0,"weekend",IF(H582=6,"weekend","weekend"))</f>
        <v>weekend</v>
      </c>
      <c r="L582" s="3" t="str">
        <f>IF(C582=1,"Spring",IF(C582=2,"Summer",IF(C582=3,"Fall","Winter")))</f>
        <v>Spring</v>
      </c>
      <c r="M582" s="3">
        <f>SUM(J582:J606)</f>
        <v>4.9200000000000008</v>
      </c>
      <c r="N582" s="3">
        <f>AVERAGE(J582:J1191)</f>
        <v>0.19600000000000001</v>
      </c>
      <c r="O582" s="3">
        <f>COUNT(J582:J1191)</f>
        <v>30</v>
      </c>
      <c r="P582" s="3" t="str">
        <f>TEXT(J582,"0.00")</f>
        <v>0.22</v>
      </c>
      <c r="Q582" s="3" t="str">
        <f>LEFT(L582,3)</f>
        <v>Spr</v>
      </c>
      <c r="R582" s="42" t="str">
        <f>RIGHT(L582,3)</f>
        <v>ing</v>
      </c>
      <c r="S582" s="42">
        <f>LEN(L582)</f>
        <v>6</v>
      </c>
      <c r="T582" s="3" t="str">
        <f>A582&amp;"|"&amp;B582&amp;"|"&amp;F582</f>
        <v>581|26-01-2011|11</v>
      </c>
      <c r="U582" s="3">
        <f t="shared" si="36"/>
        <v>610</v>
      </c>
      <c r="V582" s="3">
        <f t="shared" si="37"/>
        <v>120.10000000000005</v>
      </c>
      <c r="W582" s="50">
        <f t="shared" si="38"/>
        <v>8.1303845032683911E-2</v>
      </c>
      <c r="X582" s="50">
        <f t="shared" si="39"/>
        <v>0.16514794964716251</v>
      </c>
    </row>
    <row r="583" spans="1:24" x14ac:dyDescent="0.2">
      <c r="A583" s="4">
        <v>582</v>
      </c>
      <c r="B583" s="4" t="s">
        <v>40</v>
      </c>
      <c r="C583" s="4">
        <v>1</v>
      </c>
      <c r="D583" s="4">
        <v>0</v>
      </c>
      <c r="E583" s="4">
        <v>1</v>
      </c>
      <c r="F583" s="4">
        <v>12</v>
      </c>
      <c r="G583" s="4" t="b">
        <v>0</v>
      </c>
      <c r="H583" s="4">
        <v>3</v>
      </c>
      <c r="I583" s="4">
        <v>3</v>
      </c>
      <c r="J583" s="4">
        <v>0.22</v>
      </c>
      <c r="K583" s="6" t="str">
        <f>IF(H583=0,"weekend",IF(H583=6,"weekend","weekend"))</f>
        <v>weekend</v>
      </c>
      <c r="L583" s="3" t="str">
        <f>IF(C583=1,"Spring",IF(C583=2,"Summer",IF(C583=3,"Fall","Winter")))</f>
        <v>Spring</v>
      </c>
      <c r="M583" s="3">
        <f>SUM(J583:J607)</f>
        <v>4.8800000000000008</v>
      </c>
      <c r="N583" s="3">
        <f>AVERAGE(J583:J1192)</f>
        <v>0.19517241379310346</v>
      </c>
      <c r="O583" s="3">
        <f>COUNT(J583:J1192)</f>
        <v>29</v>
      </c>
      <c r="P583" s="3" t="str">
        <f>TEXT(J583,"0.00")</f>
        <v>0.22</v>
      </c>
      <c r="Q583" s="3" t="str">
        <f>LEFT(L583,3)</f>
        <v>Spr</v>
      </c>
      <c r="R583" s="42" t="str">
        <f>RIGHT(L583,3)</f>
        <v>ing</v>
      </c>
      <c r="S583" s="42">
        <f>LEN(L583)</f>
        <v>6</v>
      </c>
      <c r="T583" s="3" t="str">
        <f>A583&amp;"|"&amp;B583&amp;"|"&amp;F583</f>
        <v>582|26-01-2011|12</v>
      </c>
      <c r="U583" s="3">
        <f t="shared" si="36"/>
        <v>610</v>
      </c>
      <c r="V583" s="3">
        <f t="shared" si="37"/>
        <v>120.10000000000005</v>
      </c>
      <c r="W583" s="50">
        <f t="shared" si="38"/>
        <v>8.1303845032683911E-2</v>
      </c>
      <c r="X583" s="50">
        <f t="shared" si="39"/>
        <v>0.16514794964716251</v>
      </c>
    </row>
    <row r="584" spans="1:24" x14ac:dyDescent="0.2">
      <c r="A584" s="4">
        <v>583</v>
      </c>
      <c r="B584" s="4" t="s">
        <v>40</v>
      </c>
      <c r="C584" s="4">
        <v>1</v>
      </c>
      <c r="D584" s="4">
        <v>0</v>
      </c>
      <c r="E584" s="4">
        <v>1</v>
      </c>
      <c r="F584" s="4">
        <v>13</v>
      </c>
      <c r="G584" s="4" t="b">
        <v>0</v>
      </c>
      <c r="H584" s="4">
        <v>3</v>
      </c>
      <c r="I584" s="4">
        <v>3</v>
      </c>
      <c r="J584" s="4">
        <v>0.22</v>
      </c>
      <c r="K584" s="6" t="str">
        <f>IF(H584=0,"weekend",IF(H584=6,"weekend","weekend"))</f>
        <v>weekend</v>
      </c>
      <c r="L584" s="3" t="str">
        <f>IF(C584=1,"Spring",IF(C584=2,"Summer",IF(C584=3,"Fall","Winter")))</f>
        <v>Spring</v>
      </c>
      <c r="M584" s="3">
        <f>SUM(J584:J608)</f>
        <v>4.8400000000000007</v>
      </c>
      <c r="N584" s="3">
        <f>AVERAGE(J584:J1193)</f>
        <v>0.19428571428571431</v>
      </c>
      <c r="O584" s="3">
        <f>COUNT(J584:J1193)</f>
        <v>28</v>
      </c>
      <c r="P584" s="3" t="str">
        <f>TEXT(J584,"0.00")</f>
        <v>0.22</v>
      </c>
      <c r="Q584" s="3" t="str">
        <f>LEFT(L584,3)</f>
        <v>Spr</v>
      </c>
      <c r="R584" s="42" t="str">
        <f>RIGHT(L584,3)</f>
        <v>ing</v>
      </c>
      <c r="S584" s="42">
        <f>LEN(L584)</f>
        <v>6</v>
      </c>
      <c r="T584" s="3" t="str">
        <f>A584&amp;"|"&amp;B584&amp;"|"&amp;F584</f>
        <v>583|26-01-2011|13</v>
      </c>
      <c r="U584" s="3">
        <f t="shared" si="36"/>
        <v>610</v>
      </c>
      <c r="V584" s="3">
        <f t="shared" si="37"/>
        <v>120.10000000000005</v>
      </c>
      <c r="W584" s="50">
        <f t="shared" si="38"/>
        <v>8.1303845032683911E-2</v>
      </c>
      <c r="X584" s="50">
        <f t="shared" si="39"/>
        <v>0.16514794964716251</v>
      </c>
    </row>
    <row r="585" spans="1:24" x14ac:dyDescent="0.2">
      <c r="A585" s="4">
        <v>584</v>
      </c>
      <c r="B585" s="4" t="s">
        <v>40</v>
      </c>
      <c r="C585" s="4">
        <v>1</v>
      </c>
      <c r="D585" s="4">
        <v>0</v>
      </c>
      <c r="E585" s="4">
        <v>1</v>
      </c>
      <c r="F585" s="4">
        <v>14</v>
      </c>
      <c r="G585" s="4" t="b">
        <v>0</v>
      </c>
      <c r="H585" s="4">
        <v>3</v>
      </c>
      <c r="I585" s="4">
        <v>3</v>
      </c>
      <c r="J585" s="4">
        <v>0.22</v>
      </c>
      <c r="K585" s="6" t="str">
        <f>IF(H585=0,"weekend",IF(H585=6,"weekend","weekend"))</f>
        <v>weekend</v>
      </c>
      <c r="L585" s="3" t="str">
        <f>IF(C585=1,"Spring",IF(C585=2,"Summer",IF(C585=3,"Fall","Winter")))</f>
        <v>Spring</v>
      </c>
      <c r="M585" s="3">
        <f>SUM(J585:J609)</f>
        <v>4.8000000000000007</v>
      </c>
      <c r="N585" s="3">
        <f>AVERAGE(J585:J1194)</f>
        <v>0.19333333333333336</v>
      </c>
      <c r="O585" s="3">
        <f>COUNT(J585:J1194)</f>
        <v>27</v>
      </c>
      <c r="P585" s="3" t="str">
        <f>TEXT(J585,"0.00")</f>
        <v>0.22</v>
      </c>
      <c r="Q585" s="3" t="str">
        <f>LEFT(L585,3)</f>
        <v>Spr</v>
      </c>
      <c r="R585" s="42" t="str">
        <f>RIGHT(L585,3)</f>
        <v>ing</v>
      </c>
      <c r="S585" s="42">
        <f>LEN(L585)</f>
        <v>6</v>
      </c>
      <c r="T585" s="3" t="str">
        <f>A585&amp;"|"&amp;B585&amp;"|"&amp;F585</f>
        <v>584|26-01-2011|14</v>
      </c>
      <c r="U585" s="3">
        <f t="shared" si="36"/>
        <v>610</v>
      </c>
      <c r="V585" s="3">
        <f t="shared" si="37"/>
        <v>120.10000000000005</v>
      </c>
      <c r="W585" s="50">
        <f t="shared" si="38"/>
        <v>8.1303845032683911E-2</v>
      </c>
      <c r="X585" s="50">
        <f t="shared" si="39"/>
        <v>0.16514794964716251</v>
      </c>
    </row>
    <row r="586" spans="1:24" x14ac:dyDescent="0.2">
      <c r="A586" s="4">
        <v>585</v>
      </c>
      <c r="B586" s="4" t="s">
        <v>40</v>
      </c>
      <c r="C586" s="4">
        <v>1</v>
      </c>
      <c r="D586" s="4">
        <v>0</v>
      </c>
      <c r="E586" s="4">
        <v>1</v>
      </c>
      <c r="F586" s="4">
        <v>15</v>
      </c>
      <c r="G586" s="4" t="b">
        <v>0</v>
      </c>
      <c r="H586" s="4">
        <v>3</v>
      </c>
      <c r="I586" s="4">
        <v>3</v>
      </c>
      <c r="J586" s="4">
        <v>0.22</v>
      </c>
      <c r="K586" s="6" t="str">
        <f>IF(H586=0,"weekend",IF(H586=6,"weekend","weekend"))</f>
        <v>weekend</v>
      </c>
      <c r="L586" s="3" t="str">
        <f>IF(C586=1,"Spring",IF(C586=2,"Summer",IF(C586=3,"Fall","Winter")))</f>
        <v>Spring</v>
      </c>
      <c r="M586" s="3">
        <f>SUM(J586:J610)</f>
        <v>4.8000000000000007</v>
      </c>
      <c r="N586" s="3">
        <f>AVERAGE(J586:J1195)</f>
        <v>0.19230769230769235</v>
      </c>
      <c r="O586" s="3">
        <f>COUNT(J586:J1195)</f>
        <v>26</v>
      </c>
      <c r="P586" s="3" t="str">
        <f>TEXT(J586,"0.00")</f>
        <v>0.22</v>
      </c>
      <c r="Q586" s="3" t="str">
        <f>LEFT(L586,3)</f>
        <v>Spr</v>
      </c>
      <c r="R586" s="42" t="str">
        <f>RIGHT(L586,3)</f>
        <v>ing</v>
      </c>
      <c r="S586" s="42">
        <f>LEN(L586)</f>
        <v>6</v>
      </c>
      <c r="T586" s="3" t="str">
        <f>A586&amp;"|"&amp;B586&amp;"|"&amp;F586</f>
        <v>585|26-01-2011|15</v>
      </c>
      <c r="U586" s="3">
        <f t="shared" si="36"/>
        <v>610</v>
      </c>
      <c r="V586" s="3">
        <f t="shared" si="37"/>
        <v>120.10000000000005</v>
      </c>
      <c r="W586" s="50">
        <f t="shared" si="38"/>
        <v>8.1303845032683911E-2</v>
      </c>
      <c r="X586" s="50">
        <f t="shared" si="39"/>
        <v>0.16514794964716251</v>
      </c>
    </row>
    <row r="587" spans="1:24" x14ac:dyDescent="0.2">
      <c r="A587" s="4">
        <v>586</v>
      </c>
      <c r="B587" s="4" t="s">
        <v>40</v>
      </c>
      <c r="C587" s="4">
        <v>1</v>
      </c>
      <c r="D587" s="4">
        <v>0</v>
      </c>
      <c r="E587" s="4">
        <v>1</v>
      </c>
      <c r="F587" s="4">
        <v>16</v>
      </c>
      <c r="G587" s="4" t="b">
        <v>0</v>
      </c>
      <c r="H587" s="4">
        <v>3</v>
      </c>
      <c r="I587" s="4">
        <v>4</v>
      </c>
      <c r="J587" s="4">
        <v>0.22</v>
      </c>
      <c r="K587" s="6" t="str">
        <f>IF(H587=0,"weekend",IF(H587=6,"weekend","weekend"))</f>
        <v>weekend</v>
      </c>
      <c r="L587" s="3" t="str">
        <f>IF(C587=1,"Spring",IF(C587=2,"Summer",IF(C587=3,"Fall","Winter")))</f>
        <v>Spring</v>
      </c>
      <c r="M587" s="3">
        <f>SUM(J587:J611)</f>
        <v>4.78</v>
      </c>
      <c r="N587" s="3">
        <f>AVERAGE(J587:J1196)</f>
        <v>0.19120000000000001</v>
      </c>
      <c r="O587" s="3">
        <f>COUNT(J587:J1196)</f>
        <v>25</v>
      </c>
      <c r="P587" s="3" t="str">
        <f>TEXT(J587,"0.00")</f>
        <v>0.22</v>
      </c>
      <c r="Q587" s="3" t="str">
        <f>LEFT(L587,3)</f>
        <v>Spr</v>
      </c>
      <c r="R587" s="42" t="str">
        <f>RIGHT(L587,3)</f>
        <v>ing</v>
      </c>
      <c r="S587" s="42">
        <f>LEN(L587)</f>
        <v>6</v>
      </c>
      <c r="T587" s="3" t="str">
        <f>A587&amp;"|"&amp;B587&amp;"|"&amp;F587</f>
        <v>586|26-01-2011|16</v>
      </c>
      <c r="U587" s="3">
        <f t="shared" si="36"/>
        <v>610</v>
      </c>
      <c r="V587" s="3">
        <f t="shared" si="37"/>
        <v>120.10000000000005</v>
      </c>
      <c r="W587" s="50">
        <f t="shared" si="38"/>
        <v>8.1303845032683911E-2</v>
      </c>
      <c r="X587" s="50">
        <f t="shared" si="39"/>
        <v>0.16514794964716251</v>
      </c>
    </row>
    <row r="588" spans="1:24" x14ac:dyDescent="0.2">
      <c r="A588" s="4">
        <v>587</v>
      </c>
      <c r="B588" s="4" t="s">
        <v>40</v>
      </c>
      <c r="C588" s="4">
        <v>1</v>
      </c>
      <c r="D588" s="4">
        <v>0</v>
      </c>
      <c r="E588" s="4">
        <v>1</v>
      </c>
      <c r="F588" s="4">
        <v>17</v>
      </c>
      <c r="G588" s="4" t="b">
        <v>0</v>
      </c>
      <c r="H588" s="4">
        <v>3</v>
      </c>
      <c r="I588" s="4">
        <v>3</v>
      </c>
      <c r="J588" s="4">
        <v>0.2</v>
      </c>
      <c r="K588" s="6" t="str">
        <f>IF(H588=0,"weekend",IF(H588=6,"weekend","weekend"))</f>
        <v>weekend</v>
      </c>
      <c r="L588" s="3" t="str">
        <f>IF(C588=1,"Spring",IF(C588=2,"Summer",IF(C588=3,"Fall","Winter")))</f>
        <v>Spring</v>
      </c>
      <c r="M588" s="3">
        <f>SUM(J588:J612)</f>
        <v>4.5600000000000014</v>
      </c>
      <c r="N588" s="3">
        <f>AVERAGE(J588:J1197)</f>
        <v>0.19000000000000006</v>
      </c>
      <c r="O588" s="3">
        <f>COUNT(J588:J1197)</f>
        <v>24</v>
      </c>
      <c r="P588" s="3" t="str">
        <f>TEXT(J588,"0.00")</f>
        <v>0.20</v>
      </c>
      <c r="Q588" s="3" t="str">
        <f>LEFT(L588,3)</f>
        <v>Spr</v>
      </c>
      <c r="R588" s="42" t="str">
        <f>RIGHT(L588,3)</f>
        <v>ing</v>
      </c>
      <c r="S588" s="42">
        <f>LEN(L588)</f>
        <v>6</v>
      </c>
      <c r="T588" s="3" t="str">
        <f>A588&amp;"|"&amp;B588&amp;"|"&amp;F588</f>
        <v>587|26-01-2011|17</v>
      </c>
      <c r="U588" s="3">
        <f t="shared" si="36"/>
        <v>610</v>
      </c>
      <c r="V588" s="3">
        <f t="shared" si="37"/>
        <v>120.10000000000005</v>
      </c>
      <c r="W588" s="50">
        <f t="shared" si="38"/>
        <v>8.1303845032683911E-2</v>
      </c>
      <c r="X588" s="50">
        <f t="shared" si="39"/>
        <v>0.16514794964716251</v>
      </c>
    </row>
    <row r="589" spans="1:24" x14ac:dyDescent="0.2">
      <c r="A589" s="4">
        <v>588</v>
      </c>
      <c r="B589" s="4" t="s">
        <v>41</v>
      </c>
      <c r="C589" s="4">
        <v>1</v>
      </c>
      <c r="D589" s="4">
        <v>0</v>
      </c>
      <c r="E589" s="4">
        <v>1</v>
      </c>
      <c r="F589" s="4">
        <v>16</v>
      </c>
      <c r="G589" s="4" t="b">
        <v>0</v>
      </c>
      <c r="H589" s="4">
        <v>4</v>
      </c>
      <c r="I589" s="4">
        <v>1</v>
      </c>
      <c r="J589" s="4">
        <v>0.22</v>
      </c>
      <c r="K589" s="6" t="str">
        <f>IF(H589=0,"weekend",IF(H589=6,"weekend","weekend"))</f>
        <v>weekend</v>
      </c>
      <c r="L589" s="3" t="str">
        <f>IF(C589=1,"Spring",IF(C589=2,"Summer",IF(C589=3,"Fall","Winter")))</f>
        <v>Spring</v>
      </c>
      <c r="M589" s="3">
        <f>SUM(J589:J613)</f>
        <v>4.3600000000000012</v>
      </c>
      <c r="N589" s="3">
        <f>AVERAGE(J589:J1198)</f>
        <v>0.18956521739130441</v>
      </c>
      <c r="O589" s="3">
        <f>COUNT(J589:J1198)</f>
        <v>23</v>
      </c>
      <c r="P589" s="3" t="str">
        <f>TEXT(J589,"0.00")</f>
        <v>0.22</v>
      </c>
      <c r="Q589" s="3" t="str">
        <f>LEFT(L589,3)</f>
        <v>Spr</v>
      </c>
      <c r="R589" s="42" t="str">
        <f>RIGHT(L589,3)</f>
        <v>ing</v>
      </c>
      <c r="S589" s="42">
        <f>LEN(L589)</f>
        <v>6</v>
      </c>
      <c r="T589" s="3" t="str">
        <f>A589&amp;"|"&amp;B589&amp;"|"&amp;F589</f>
        <v>588|27-01-2011|16</v>
      </c>
      <c r="U589" s="3">
        <f t="shared" si="36"/>
        <v>610</v>
      </c>
      <c r="V589" s="3">
        <f t="shared" si="37"/>
        <v>120.10000000000005</v>
      </c>
      <c r="W589" s="50">
        <f t="shared" si="38"/>
        <v>8.1303845032683911E-2</v>
      </c>
      <c r="X589" s="50">
        <f t="shared" si="39"/>
        <v>0.16514794964716251</v>
      </c>
    </row>
    <row r="590" spans="1:24" x14ac:dyDescent="0.2">
      <c r="A590" s="4">
        <v>589</v>
      </c>
      <c r="B590" s="4" t="s">
        <v>41</v>
      </c>
      <c r="C590" s="4">
        <v>1</v>
      </c>
      <c r="D590" s="4">
        <v>0</v>
      </c>
      <c r="E590" s="4">
        <v>1</v>
      </c>
      <c r="F590" s="4">
        <v>17</v>
      </c>
      <c r="G590" s="4" t="b">
        <v>0</v>
      </c>
      <c r="H590" s="4">
        <v>4</v>
      </c>
      <c r="I590" s="4">
        <v>1</v>
      </c>
      <c r="J590" s="4">
        <v>0.22</v>
      </c>
      <c r="K590" s="6" t="str">
        <f>IF(H590=0,"weekend",IF(H590=6,"weekend","weekend"))</f>
        <v>weekend</v>
      </c>
      <c r="L590" s="3" t="str">
        <f>IF(C590=1,"Spring",IF(C590=2,"Summer",IF(C590=3,"Fall","Winter")))</f>
        <v>Spring</v>
      </c>
      <c r="M590" s="3">
        <f>SUM(J590:J614)</f>
        <v>4.1400000000000015</v>
      </c>
      <c r="N590" s="3">
        <f>AVERAGE(J590:J1199)</f>
        <v>0.18818181818181826</v>
      </c>
      <c r="O590" s="3">
        <f>COUNT(J590:J1199)</f>
        <v>22</v>
      </c>
      <c r="P590" s="3" t="str">
        <f>TEXT(J590,"0.00")</f>
        <v>0.22</v>
      </c>
      <c r="Q590" s="3" t="str">
        <f>LEFT(L590,3)</f>
        <v>Spr</v>
      </c>
      <c r="R590" s="42" t="str">
        <f>RIGHT(L590,3)</f>
        <v>ing</v>
      </c>
      <c r="S590" s="42">
        <f>LEN(L590)</f>
        <v>6</v>
      </c>
      <c r="T590" s="3" t="str">
        <f>A590&amp;"|"&amp;B590&amp;"|"&amp;F590</f>
        <v>589|27-01-2011|17</v>
      </c>
      <c r="U590" s="3">
        <f t="shared" si="36"/>
        <v>610</v>
      </c>
      <c r="V590" s="3">
        <f t="shared" si="37"/>
        <v>120.10000000000005</v>
      </c>
      <c r="W590" s="50">
        <f t="shared" si="38"/>
        <v>8.1303845032683911E-2</v>
      </c>
      <c r="X590" s="50">
        <f t="shared" si="39"/>
        <v>0.16514794964716251</v>
      </c>
    </row>
    <row r="591" spans="1:24" x14ac:dyDescent="0.2">
      <c r="A591" s="4">
        <v>590</v>
      </c>
      <c r="B591" s="4" t="s">
        <v>41</v>
      </c>
      <c r="C591" s="4">
        <v>1</v>
      </c>
      <c r="D591" s="4">
        <v>0</v>
      </c>
      <c r="E591" s="4">
        <v>1</v>
      </c>
      <c r="F591" s="4">
        <v>18</v>
      </c>
      <c r="G591" s="4" t="b">
        <v>0</v>
      </c>
      <c r="H591" s="4">
        <v>4</v>
      </c>
      <c r="I591" s="4">
        <v>1</v>
      </c>
      <c r="J591" s="4">
        <v>0.2</v>
      </c>
      <c r="K591" s="6" t="str">
        <f>IF(H591=0,"weekend",IF(H591=6,"weekend","weekend"))</f>
        <v>weekend</v>
      </c>
      <c r="L591" s="3" t="str">
        <f>IF(C591=1,"Spring",IF(C591=2,"Summer",IF(C591=3,"Fall","Winter")))</f>
        <v>Spring</v>
      </c>
      <c r="M591" s="3">
        <f>SUM(J591:J615)</f>
        <v>3.9200000000000013</v>
      </c>
      <c r="N591" s="3">
        <f>AVERAGE(J591:J1200)</f>
        <v>0.18666666666666673</v>
      </c>
      <c r="O591" s="3">
        <f>COUNT(J591:J1200)</f>
        <v>21</v>
      </c>
      <c r="P591" s="3" t="str">
        <f>TEXT(J591,"0.00")</f>
        <v>0.20</v>
      </c>
      <c r="Q591" s="3" t="str">
        <f>LEFT(L591,3)</f>
        <v>Spr</v>
      </c>
      <c r="R591" s="42" t="str">
        <f>RIGHT(L591,3)</f>
        <v>ing</v>
      </c>
      <c r="S591" s="42">
        <f>LEN(L591)</f>
        <v>6</v>
      </c>
      <c r="T591" s="3" t="str">
        <f>A591&amp;"|"&amp;B591&amp;"|"&amp;F591</f>
        <v>590|27-01-2011|18</v>
      </c>
      <c r="U591" s="3">
        <f t="shared" si="36"/>
        <v>610</v>
      </c>
      <c r="V591" s="3">
        <f t="shared" si="37"/>
        <v>120.10000000000005</v>
      </c>
      <c r="W591" s="50">
        <f t="shared" si="38"/>
        <v>8.1303845032683911E-2</v>
      </c>
      <c r="X591" s="50">
        <f t="shared" si="39"/>
        <v>0.16514794964716251</v>
      </c>
    </row>
    <row r="592" spans="1:24" x14ac:dyDescent="0.2">
      <c r="A592" s="4">
        <v>591</v>
      </c>
      <c r="B592" s="4" t="s">
        <v>41</v>
      </c>
      <c r="C592" s="4">
        <v>1</v>
      </c>
      <c r="D592" s="4">
        <v>0</v>
      </c>
      <c r="E592" s="4">
        <v>1</v>
      </c>
      <c r="F592" s="4">
        <v>19</v>
      </c>
      <c r="G592" s="4" t="b">
        <v>0</v>
      </c>
      <c r="H592" s="4">
        <v>4</v>
      </c>
      <c r="I592" s="4">
        <v>1</v>
      </c>
      <c r="J592" s="4">
        <v>0.2</v>
      </c>
      <c r="K592" s="6" t="str">
        <f>IF(H592=0,"weekend",IF(H592=6,"weekend","weekend"))</f>
        <v>weekend</v>
      </c>
      <c r="L592" s="3" t="str">
        <f>IF(C592=1,"Spring",IF(C592=2,"Summer",IF(C592=3,"Fall","Winter")))</f>
        <v>Spring</v>
      </c>
      <c r="M592" s="3">
        <f>SUM(J592:J616)</f>
        <v>3.7200000000000011</v>
      </c>
      <c r="N592" s="3">
        <f>AVERAGE(J592:J1201)</f>
        <v>0.18600000000000005</v>
      </c>
      <c r="O592" s="3">
        <f>COUNT(J592:J1201)</f>
        <v>20</v>
      </c>
      <c r="P592" s="3" t="str">
        <f>TEXT(J592,"0.00")</f>
        <v>0.20</v>
      </c>
      <c r="Q592" s="3" t="str">
        <f>LEFT(L592,3)</f>
        <v>Spr</v>
      </c>
      <c r="R592" s="42" t="str">
        <f>RIGHT(L592,3)</f>
        <v>ing</v>
      </c>
      <c r="S592" s="42">
        <f>LEN(L592)</f>
        <v>6</v>
      </c>
      <c r="T592" s="3" t="str">
        <f>A592&amp;"|"&amp;B592&amp;"|"&amp;F592</f>
        <v>591|27-01-2011|19</v>
      </c>
      <c r="U592" s="3">
        <f t="shared" si="36"/>
        <v>610</v>
      </c>
      <c r="V592" s="3">
        <f t="shared" si="37"/>
        <v>120.10000000000005</v>
      </c>
      <c r="W592" s="50">
        <f t="shared" si="38"/>
        <v>8.1303845032683911E-2</v>
      </c>
      <c r="X592" s="50">
        <f t="shared" si="39"/>
        <v>0.16514794964716251</v>
      </c>
    </row>
    <row r="593" spans="1:24" x14ac:dyDescent="0.2">
      <c r="A593" s="4">
        <v>592</v>
      </c>
      <c r="B593" s="4" t="s">
        <v>41</v>
      </c>
      <c r="C593" s="4">
        <v>1</v>
      </c>
      <c r="D593" s="4">
        <v>0</v>
      </c>
      <c r="E593" s="4">
        <v>1</v>
      </c>
      <c r="F593" s="4">
        <v>20</v>
      </c>
      <c r="G593" s="4" t="b">
        <v>0</v>
      </c>
      <c r="H593" s="4">
        <v>4</v>
      </c>
      <c r="I593" s="4">
        <v>1</v>
      </c>
      <c r="J593" s="4">
        <v>0.18</v>
      </c>
      <c r="K593" s="6" t="str">
        <f>IF(H593=0,"weekend",IF(H593=6,"weekend","weekend"))</f>
        <v>weekend</v>
      </c>
      <c r="L593" s="3" t="str">
        <f>IF(C593=1,"Spring",IF(C593=2,"Summer",IF(C593=3,"Fall","Winter")))</f>
        <v>Spring</v>
      </c>
      <c r="M593" s="3">
        <f>SUM(J593:J617)</f>
        <v>3.5200000000000009</v>
      </c>
      <c r="N593" s="3">
        <f>AVERAGE(J593:J1202)</f>
        <v>0.18526315789473688</v>
      </c>
      <c r="O593" s="3">
        <f>COUNT(J593:J1202)</f>
        <v>19</v>
      </c>
      <c r="P593" s="3" t="str">
        <f>TEXT(J593,"0.00")</f>
        <v>0.18</v>
      </c>
      <c r="Q593" s="3" t="str">
        <f>LEFT(L593,3)</f>
        <v>Spr</v>
      </c>
      <c r="R593" s="42" t="str">
        <f>RIGHT(L593,3)</f>
        <v>ing</v>
      </c>
      <c r="S593" s="42">
        <f>LEN(L593)</f>
        <v>6</v>
      </c>
      <c r="T593" s="3" t="str">
        <f>A593&amp;"|"&amp;B593&amp;"|"&amp;F593</f>
        <v>592|27-01-2011|20</v>
      </c>
      <c r="U593" s="3">
        <f t="shared" si="36"/>
        <v>610</v>
      </c>
      <c r="V593" s="3">
        <f t="shared" si="37"/>
        <v>120.10000000000005</v>
      </c>
      <c r="W593" s="50">
        <f t="shared" si="38"/>
        <v>8.1303845032683911E-2</v>
      </c>
      <c r="X593" s="50">
        <f t="shared" si="39"/>
        <v>0.16514794964716251</v>
      </c>
    </row>
    <row r="594" spans="1:24" x14ac:dyDescent="0.2">
      <c r="A594" s="4">
        <v>593</v>
      </c>
      <c r="B594" s="4" t="s">
        <v>41</v>
      </c>
      <c r="C594" s="4">
        <v>1</v>
      </c>
      <c r="D594" s="4">
        <v>0</v>
      </c>
      <c r="E594" s="4">
        <v>1</v>
      </c>
      <c r="F594" s="4">
        <v>21</v>
      </c>
      <c r="G594" s="4" t="b">
        <v>0</v>
      </c>
      <c r="H594" s="4">
        <v>4</v>
      </c>
      <c r="I594" s="4">
        <v>1</v>
      </c>
      <c r="J594" s="4">
        <v>0.18</v>
      </c>
      <c r="K594" s="6" t="str">
        <f>IF(H594=0,"weekend",IF(H594=6,"weekend","weekend"))</f>
        <v>weekend</v>
      </c>
      <c r="L594" s="3" t="str">
        <f>IF(C594=1,"Spring",IF(C594=2,"Summer",IF(C594=3,"Fall","Winter")))</f>
        <v>Spring</v>
      </c>
      <c r="M594" s="3">
        <f>SUM(J594:J618)</f>
        <v>3.3400000000000007</v>
      </c>
      <c r="N594" s="3">
        <f>AVERAGE(J594:J1203)</f>
        <v>0.18555555555555558</v>
      </c>
      <c r="O594" s="3">
        <f>COUNT(J594:J1203)</f>
        <v>18</v>
      </c>
      <c r="P594" s="3" t="str">
        <f>TEXT(J594,"0.00")</f>
        <v>0.18</v>
      </c>
      <c r="Q594" s="3" t="str">
        <f>LEFT(L594,3)</f>
        <v>Spr</v>
      </c>
      <c r="R594" s="42" t="str">
        <f>RIGHT(L594,3)</f>
        <v>ing</v>
      </c>
      <c r="S594" s="42">
        <f>LEN(L594)</f>
        <v>6</v>
      </c>
      <c r="T594" s="3" t="str">
        <f>A594&amp;"|"&amp;B594&amp;"|"&amp;F594</f>
        <v>593|27-01-2011|21</v>
      </c>
      <c r="U594" s="3">
        <f t="shared" si="36"/>
        <v>610</v>
      </c>
      <c r="V594" s="3">
        <f t="shared" si="37"/>
        <v>120.10000000000005</v>
      </c>
      <c r="W594" s="50">
        <f t="shared" si="38"/>
        <v>8.1303845032683911E-2</v>
      </c>
      <c r="X594" s="50">
        <f t="shared" si="39"/>
        <v>0.16514794964716251</v>
      </c>
    </row>
    <row r="595" spans="1:24" x14ac:dyDescent="0.2">
      <c r="A595" s="4">
        <v>594</v>
      </c>
      <c r="B595" s="4" t="s">
        <v>41</v>
      </c>
      <c r="C595" s="4">
        <v>1</v>
      </c>
      <c r="D595" s="4">
        <v>0</v>
      </c>
      <c r="E595" s="4">
        <v>1</v>
      </c>
      <c r="F595" s="4">
        <v>22</v>
      </c>
      <c r="G595" s="4" t="b">
        <v>0</v>
      </c>
      <c r="H595" s="4">
        <v>4</v>
      </c>
      <c r="I595" s="4">
        <v>1</v>
      </c>
      <c r="J595" s="4">
        <v>0.18</v>
      </c>
      <c r="K595" s="6" t="str">
        <f>IF(H595=0,"weekend",IF(H595=6,"weekend","weekend"))</f>
        <v>weekend</v>
      </c>
      <c r="L595" s="3" t="str">
        <f>IF(C595=1,"Spring",IF(C595=2,"Summer",IF(C595=3,"Fall","Winter")))</f>
        <v>Spring</v>
      </c>
      <c r="M595" s="3">
        <f>SUM(J595:J619)</f>
        <v>3.1600000000000006</v>
      </c>
      <c r="N595" s="3">
        <f>AVERAGE(J595:J1204)</f>
        <v>0.1858823529411765</v>
      </c>
      <c r="O595" s="3">
        <f>COUNT(J595:J1204)</f>
        <v>17</v>
      </c>
      <c r="P595" s="3" t="str">
        <f>TEXT(J595,"0.00")</f>
        <v>0.18</v>
      </c>
      <c r="Q595" s="3" t="str">
        <f>LEFT(L595,3)</f>
        <v>Spr</v>
      </c>
      <c r="R595" s="42" t="str">
        <f>RIGHT(L595,3)</f>
        <v>ing</v>
      </c>
      <c r="S595" s="42">
        <f>LEN(L595)</f>
        <v>6</v>
      </c>
      <c r="T595" s="3" t="str">
        <f>A595&amp;"|"&amp;B595&amp;"|"&amp;F595</f>
        <v>594|27-01-2011|22</v>
      </c>
      <c r="U595" s="3">
        <f t="shared" si="36"/>
        <v>610</v>
      </c>
      <c r="V595" s="3">
        <f t="shared" si="37"/>
        <v>120.10000000000005</v>
      </c>
      <c r="W595" s="50">
        <f t="shared" si="38"/>
        <v>8.1303845032683911E-2</v>
      </c>
      <c r="X595" s="50">
        <f t="shared" si="39"/>
        <v>0.16514794964716251</v>
      </c>
    </row>
    <row r="596" spans="1:24" x14ac:dyDescent="0.2">
      <c r="A596" s="4">
        <v>595</v>
      </c>
      <c r="B596" s="4" t="s">
        <v>41</v>
      </c>
      <c r="C596" s="4">
        <v>1</v>
      </c>
      <c r="D596" s="4">
        <v>0</v>
      </c>
      <c r="E596" s="4">
        <v>1</v>
      </c>
      <c r="F596" s="4">
        <v>23</v>
      </c>
      <c r="G596" s="4" t="b">
        <v>0</v>
      </c>
      <c r="H596" s="4">
        <v>4</v>
      </c>
      <c r="I596" s="4">
        <v>1</v>
      </c>
      <c r="J596" s="4">
        <v>0.18</v>
      </c>
      <c r="K596" s="6" t="str">
        <f>IF(H596=0,"weekend",IF(H596=6,"weekend","weekend"))</f>
        <v>weekend</v>
      </c>
      <c r="L596" s="3" t="str">
        <f>IF(C596=1,"Spring",IF(C596=2,"Summer",IF(C596=3,"Fall","Winter")))</f>
        <v>Spring</v>
      </c>
      <c r="M596" s="3">
        <f>SUM(J596:J620)</f>
        <v>2.9800000000000004</v>
      </c>
      <c r="N596" s="3">
        <f>AVERAGE(J596:J1205)</f>
        <v>0.18625000000000003</v>
      </c>
      <c r="O596" s="3">
        <f>COUNT(J596:J1205)</f>
        <v>16</v>
      </c>
      <c r="P596" s="3" t="str">
        <f>TEXT(J596,"0.00")</f>
        <v>0.18</v>
      </c>
      <c r="Q596" s="3" t="str">
        <f>LEFT(L596,3)</f>
        <v>Spr</v>
      </c>
      <c r="R596" s="42" t="str">
        <f>RIGHT(L596,3)</f>
        <v>ing</v>
      </c>
      <c r="S596" s="42">
        <f>LEN(L596)</f>
        <v>6</v>
      </c>
      <c r="T596" s="3" t="str">
        <f>A596&amp;"|"&amp;B596&amp;"|"&amp;F596</f>
        <v>595|27-01-2011|23</v>
      </c>
      <c r="U596" s="3">
        <f t="shared" si="36"/>
        <v>610</v>
      </c>
      <c r="V596" s="3">
        <f t="shared" si="37"/>
        <v>120.10000000000005</v>
      </c>
      <c r="W596" s="50">
        <f t="shared" si="38"/>
        <v>8.1303845032683911E-2</v>
      </c>
      <c r="X596" s="50">
        <f t="shared" si="39"/>
        <v>0.16514794964716251</v>
      </c>
    </row>
    <row r="597" spans="1:24" x14ac:dyDescent="0.2">
      <c r="A597" s="4">
        <v>596</v>
      </c>
      <c r="B597" s="4" t="s">
        <v>42</v>
      </c>
      <c r="C597" s="4">
        <v>1</v>
      </c>
      <c r="D597" s="4">
        <v>0</v>
      </c>
      <c r="E597" s="4">
        <v>1</v>
      </c>
      <c r="F597" s="4">
        <v>0</v>
      </c>
      <c r="G597" s="4" t="b">
        <v>0</v>
      </c>
      <c r="H597" s="4">
        <v>5</v>
      </c>
      <c r="I597" s="4">
        <v>2</v>
      </c>
      <c r="J597" s="4">
        <v>0.2</v>
      </c>
      <c r="K597" s="6" t="str">
        <f>IF(H597=0,"weekend",IF(H597=6,"weekend","weekend"))</f>
        <v>weekend</v>
      </c>
      <c r="L597" s="3" t="str">
        <f>IF(C597=1,"Spring",IF(C597=2,"Summer",IF(C597=3,"Fall","Winter")))</f>
        <v>Spring</v>
      </c>
      <c r="M597" s="3">
        <f>SUM(J597:J621)</f>
        <v>2.8000000000000003</v>
      </c>
      <c r="N597" s="3">
        <f>AVERAGE(J597:J1206)</f>
        <v>0.18666666666666668</v>
      </c>
      <c r="O597" s="3">
        <f>COUNT(J597:J1206)</f>
        <v>15</v>
      </c>
      <c r="P597" s="3" t="str">
        <f>TEXT(J597,"0.00")</f>
        <v>0.20</v>
      </c>
      <c r="Q597" s="3" t="str">
        <f>LEFT(L597,3)</f>
        <v>Spr</v>
      </c>
      <c r="R597" s="42" t="str">
        <f>RIGHT(L597,3)</f>
        <v>ing</v>
      </c>
      <c r="S597" s="42">
        <f>LEN(L597)</f>
        <v>6</v>
      </c>
      <c r="T597" s="3" t="str">
        <f>A597&amp;"|"&amp;B597&amp;"|"&amp;F597</f>
        <v>596|28-01-2011|0</v>
      </c>
      <c r="U597" s="3">
        <f t="shared" si="36"/>
        <v>610</v>
      </c>
      <c r="V597" s="3">
        <f t="shared" si="37"/>
        <v>120.10000000000005</v>
      </c>
      <c r="W597" s="50">
        <f t="shared" si="38"/>
        <v>8.1303845032683911E-2</v>
      </c>
      <c r="X597" s="50">
        <f t="shared" si="39"/>
        <v>0.16514794964716251</v>
      </c>
    </row>
    <row r="598" spans="1:24" x14ac:dyDescent="0.2">
      <c r="A598" s="4">
        <v>597</v>
      </c>
      <c r="B598" s="4" t="s">
        <v>42</v>
      </c>
      <c r="C598" s="4">
        <v>1</v>
      </c>
      <c r="D598" s="4">
        <v>0</v>
      </c>
      <c r="E598" s="4">
        <v>1</v>
      </c>
      <c r="F598" s="4">
        <v>1</v>
      </c>
      <c r="G598" s="4" t="b">
        <v>0</v>
      </c>
      <c r="H598" s="4">
        <v>5</v>
      </c>
      <c r="I598" s="4">
        <v>2</v>
      </c>
      <c r="J598" s="4">
        <v>0.2</v>
      </c>
      <c r="K598" s="6" t="str">
        <f>IF(H598=0,"weekend",IF(H598=6,"weekend","weekend"))</f>
        <v>weekend</v>
      </c>
      <c r="L598" s="3" t="str">
        <f>IF(C598=1,"Spring",IF(C598=2,"Summer",IF(C598=3,"Fall","Winter")))</f>
        <v>Spring</v>
      </c>
      <c r="M598" s="3">
        <f>SUM(J598:J622)</f>
        <v>2.6</v>
      </c>
      <c r="N598" s="3">
        <f>AVERAGE(J598:J1207)</f>
        <v>0.18571428571428572</v>
      </c>
      <c r="O598" s="3">
        <f>COUNT(J598:J1207)</f>
        <v>14</v>
      </c>
      <c r="P598" s="3" t="str">
        <f>TEXT(J598,"0.00")</f>
        <v>0.20</v>
      </c>
      <c r="Q598" s="3" t="str">
        <f>LEFT(L598,3)</f>
        <v>Spr</v>
      </c>
      <c r="R598" s="42" t="str">
        <f>RIGHT(L598,3)</f>
        <v>ing</v>
      </c>
      <c r="S598" s="42">
        <f>LEN(L598)</f>
        <v>6</v>
      </c>
      <c r="T598" s="3" t="str">
        <f>A598&amp;"|"&amp;B598&amp;"|"&amp;F598</f>
        <v>597|28-01-2011|1</v>
      </c>
      <c r="U598" s="3">
        <f t="shared" si="36"/>
        <v>610</v>
      </c>
      <c r="V598" s="3">
        <f t="shared" si="37"/>
        <v>120.10000000000005</v>
      </c>
      <c r="W598" s="50">
        <f t="shared" si="38"/>
        <v>8.1303845032683911E-2</v>
      </c>
      <c r="X598" s="50">
        <f t="shared" si="39"/>
        <v>0.16514794964716251</v>
      </c>
    </row>
    <row r="599" spans="1:24" x14ac:dyDescent="0.2">
      <c r="A599" s="4">
        <v>598</v>
      </c>
      <c r="B599" s="4" t="s">
        <v>42</v>
      </c>
      <c r="C599" s="4">
        <v>1</v>
      </c>
      <c r="D599" s="4">
        <v>0</v>
      </c>
      <c r="E599" s="4">
        <v>1</v>
      </c>
      <c r="F599" s="4">
        <v>2</v>
      </c>
      <c r="G599" s="4" t="b">
        <v>0</v>
      </c>
      <c r="H599" s="4">
        <v>5</v>
      </c>
      <c r="I599" s="4">
        <v>2</v>
      </c>
      <c r="J599" s="4">
        <v>0.2</v>
      </c>
      <c r="K599" s="6" t="str">
        <f>IF(H599=0,"weekend",IF(H599=6,"weekend","weekend"))</f>
        <v>weekend</v>
      </c>
      <c r="L599" s="3" t="str">
        <f>IF(C599=1,"Spring",IF(C599=2,"Summer",IF(C599=3,"Fall","Winter")))</f>
        <v>Spring</v>
      </c>
      <c r="M599" s="3">
        <f>SUM(J599:J623)</f>
        <v>2.4</v>
      </c>
      <c r="N599" s="3">
        <f>AVERAGE(J599:J1208)</f>
        <v>0.1846153846153846</v>
      </c>
      <c r="O599" s="3">
        <f>COUNT(J599:J1208)</f>
        <v>13</v>
      </c>
      <c r="P599" s="3" t="str">
        <f>TEXT(J599,"0.00")</f>
        <v>0.20</v>
      </c>
      <c r="Q599" s="3" t="str">
        <f>LEFT(L599,3)</f>
        <v>Spr</v>
      </c>
      <c r="R599" s="42" t="str">
        <f>RIGHT(L599,3)</f>
        <v>ing</v>
      </c>
      <c r="S599" s="42">
        <f>LEN(L599)</f>
        <v>6</v>
      </c>
      <c r="T599" s="3" t="str">
        <f>A599&amp;"|"&amp;B599&amp;"|"&amp;F599</f>
        <v>598|28-01-2011|2</v>
      </c>
      <c r="U599" s="3">
        <f t="shared" si="36"/>
        <v>610</v>
      </c>
      <c r="V599" s="3">
        <f t="shared" si="37"/>
        <v>120.10000000000005</v>
      </c>
      <c r="W599" s="50">
        <f t="shared" si="38"/>
        <v>8.1303845032683911E-2</v>
      </c>
      <c r="X599" s="50">
        <f t="shared" si="39"/>
        <v>0.16514794964716251</v>
      </c>
    </row>
    <row r="600" spans="1:24" x14ac:dyDescent="0.2">
      <c r="A600" s="4">
        <v>599</v>
      </c>
      <c r="B600" s="4" t="s">
        <v>42</v>
      </c>
      <c r="C600" s="4">
        <v>1</v>
      </c>
      <c r="D600" s="4">
        <v>0</v>
      </c>
      <c r="E600" s="4">
        <v>1</v>
      </c>
      <c r="F600" s="4">
        <v>3</v>
      </c>
      <c r="G600" s="4" t="b">
        <v>0</v>
      </c>
      <c r="H600" s="4">
        <v>5</v>
      </c>
      <c r="I600" s="4">
        <v>2</v>
      </c>
      <c r="J600" s="4">
        <v>0.2</v>
      </c>
      <c r="K600" s="6" t="str">
        <f>IF(H600=0,"weekend",IF(H600=6,"weekend","weekend"))</f>
        <v>weekend</v>
      </c>
      <c r="L600" s="3" t="str">
        <f>IF(C600=1,"Spring",IF(C600=2,"Summer",IF(C600=3,"Fall","Winter")))</f>
        <v>Spring</v>
      </c>
      <c r="M600" s="3">
        <f>SUM(J600:J624)</f>
        <v>2.1999999999999997</v>
      </c>
      <c r="N600" s="3">
        <f>AVERAGE(J600:J1209)</f>
        <v>0.18333333333333332</v>
      </c>
      <c r="O600" s="3">
        <f>COUNT(J600:J1209)</f>
        <v>12</v>
      </c>
      <c r="P600" s="3" t="str">
        <f>TEXT(J600,"0.00")</f>
        <v>0.20</v>
      </c>
      <c r="Q600" s="3" t="str">
        <f>LEFT(L600,3)</f>
        <v>Spr</v>
      </c>
      <c r="R600" s="42" t="str">
        <f>RIGHT(L600,3)</f>
        <v>ing</v>
      </c>
      <c r="S600" s="42">
        <f>LEN(L600)</f>
        <v>6</v>
      </c>
      <c r="T600" s="3" t="str">
        <f>A600&amp;"|"&amp;B600&amp;"|"&amp;F600</f>
        <v>599|28-01-2011|3</v>
      </c>
      <c r="U600" s="3">
        <f t="shared" si="36"/>
        <v>610</v>
      </c>
      <c r="V600" s="3">
        <f t="shared" si="37"/>
        <v>120.10000000000005</v>
      </c>
      <c r="W600" s="50">
        <f t="shared" si="38"/>
        <v>8.1303845032683911E-2</v>
      </c>
      <c r="X600" s="50">
        <f t="shared" si="39"/>
        <v>0.16514794964716251</v>
      </c>
    </row>
    <row r="601" spans="1:24" x14ac:dyDescent="0.2">
      <c r="A601" s="4">
        <v>600</v>
      </c>
      <c r="B601" s="4" t="s">
        <v>42</v>
      </c>
      <c r="C601" s="4">
        <v>1</v>
      </c>
      <c r="D601" s="4">
        <v>0</v>
      </c>
      <c r="E601" s="4">
        <v>1</v>
      </c>
      <c r="F601" s="4">
        <v>5</v>
      </c>
      <c r="G601" s="4" t="b">
        <v>0</v>
      </c>
      <c r="H601" s="4">
        <v>5</v>
      </c>
      <c r="I601" s="4">
        <v>2</v>
      </c>
      <c r="J601" s="4">
        <v>0.18</v>
      </c>
      <c r="K601" s="6" t="str">
        <f>IF(H601=0,"weekend",IF(H601=6,"weekend","weekend"))</f>
        <v>weekend</v>
      </c>
      <c r="L601" s="3" t="str">
        <f>IF(C601=1,"Spring",IF(C601=2,"Summer",IF(C601=3,"Fall","Winter")))</f>
        <v>Spring</v>
      </c>
      <c r="M601" s="3">
        <f>SUM(J601:J625)</f>
        <v>1.9999999999999998</v>
      </c>
      <c r="N601" s="3">
        <f>AVERAGE(J601:J1210)</f>
        <v>0.1818181818181818</v>
      </c>
      <c r="O601" s="3">
        <f>COUNT(J601:J1210)</f>
        <v>11</v>
      </c>
      <c r="P601" s="3" t="str">
        <f>TEXT(J601,"0.00")</f>
        <v>0.18</v>
      </c>
      <c r="Q601" s="3" t="str">
        <f>LEFT(L601,3)</f>
        <v>Spr</v>
      </c>
      <c r="R601" s="42" t="str">
        <f>RIGHT(L601,3)</f>
        <v>ing</v>
      </c>
      <c r="S601" s="42">
        <f>LEN(L601)</f>
        <v>6</v>
      </c>
      <c r="T601" s="3" t="str">
        <f>A601&amp;"|"&amp;B601&amp;"|"&amp;F601</f>
        <v>600|28-01-2011|5</v>
      </c>
      <c r="U601" s="3">
        <f t="shared" si="36"/>
        <v>610</v>
      </c>
      <c r="V601" s="3">
        <f t="shared" si="37"/>
        <v>120.10000000000005</v>
      </c>
      <c r="W601" s="50">
        <f t="shared" si="38"/>
        <v>8.1303845032683911E-2</v>
      </c>
      <c r="X601" s="50">
        <f t="shared" si="39"/>
        <v>0.16514794964716251</v>
      </c>
    </row>
    <row r="602" spans="1:24" x14ac:dyDescent="0.2">
      <c r="A602" s="4">
        <v>601</v>
      </c>
      <c r="B602" s="4" t="s">
        <v>42</v>
      </c>
      <c r="C602" s="4">
        <v>1</v>
      </c>
      <c r="D602" s="4">
        <v>0</v>
      </c>
      <c r="E602" s="4">
        <v>1</v>
      </c>
      <c r="F602" s="4">
        <v>6</v>
      </c>
      <c r="G602" s="4" t="b">
        <v>0</v>
      </c>
      <c r="H602" s="4">
        <v>5</v>
      </c>
      <c r="I602" s="4">
        <v>2</v>
      </c>
      <c r="J602" s="4">
        <v>0.18</v>
      </c>
      <c r="K602" s="6" t="str">
        <f>IF(H602=0,"weekend",IF(H602=6,"weekend","weekend"))</f>
        <v>weekend</v>
      </c>
      <c r="L602" s="3" t="str">
        <f>IF(C602=1,"Spring",IF(C602=2,"Summer",IF(C602=3,"Fall","Winter")))</f>
        <v>Spring</v>
      </c>
      <c r="M602" s="3">
        <f>SUM(J602:J626)</f>
        <v>1.8199999999999996</v>
      </c>
      <c r="N602" s="3">
        <f>AVERAGE(J602:J1211)</f>
        <v>0.18199999999999997</v>
      </c>
      <c r="O602" s="3">
        <f>COUNT(J602:J1211)</f>
        <v>10</v>
      </c>
      <c r="P602" s="3" t="str">
        <f>TEXT(J602,"0.00")</f>
        <v>0.18</v>
      </c>
      <c r="Q602" s="3" t="str">
        <f>LEFT(L602,3)</f>
        <v>Spr</v>
      </c>
      <c r="R602" s="42" t="str">
        <f>RIGHT(L602,3)</f>
        <v>ing</v>
      </c>
      <c r="S602" s="42">
        <f>LEN(L602)</f>
        <v>6</v>
      </c>
      <c r="T602" s="3" t="str">
        <f>A602&amp;"|"&amp;B602&amp;"|"&amp;F602</f>
        <v>601|28-01-2011|6</v>
      </c>
      <c r="U602" s="3">
        <f t="shared" si="36"/>
        <v>610</v>
      </c>
      <c r="V602" s="3">
        <f t="shared" si="37"/>
        <v>120.10000000000005</v>
      </c>
      <c r="W602" s="50">
        <f t="shared" si="38"/>
        <v>8.1303845032683911E-2</v>
      </c>
      <c r="X602" s="50">
        <f t="shared" si="39"/>
        <v>0.16514794964716251</v>
      </c>
    </row>
    <row r="603" spans="1:24" x14ac:dyDescent="0.2">
      <c r="A603" s="4">
        <v>602</v>
      </c>
      <c r="B603" s="4" t="s">
        <v>42</v>
      </c>
      <c r="C603" s="4">
        <v>1</v>
      </c>
      <c r="D603" s="4">
        <v>0</v>
      </c>
      <c r="E603" s="4">
        <v>1</v>
      </c>
      <c r="F603" s="4">
        <v>7</v>
      </c>
      <c r="G603" s="4" t="b">
        <v>0</v>
      </c>
      <c r="H603" s="4">
        <v>5</v>
      </c>
      <c r="I603" s="4">
        <v>2</v>
      </c>
      <c r="J603" s="4">
        <v>0.16</v>
      </c>
      <c r="K603" s="6" t="str">
        <f>IF(H603=0,"weekend",IF(H603=6,"weekend","weekend"))</f>
        <v>weekend</v>
      </c>
      <c r="L603" s="3" t="str">
        <f>IF(C603=1,"Spring",IF(C603=2,"Summer",IF(C603=3,"Fall","Winter")))</f>
        <v>Spring</v>
      </c>
      <c r="M603" s="3">
        <f>SUM(J603:J627)</f>
        <v>1.6399999999999997</v>
      </c>
      <c r="N603" s="3">
        <f>AVERAGE(J603:J1212)</f>
        <v>0.18222222222222217</v>
      </c>
      <c r="O603" s="3">
        <f>COUNT(J603:J1212)</f>
        <v>9</v>
      </c>
      <c r="P603" s="3" t="str">
        <f>TEXT(J603,"0.00")</f>
        <v>0.16</v>
      </c>
      <c r="Q603" s="3" t="str">
        <f>LEFT(L603,3)</f>
        <v>Spr</v>
      </c>
      <c r="R603" s="42" t="str">
        <f>RIGHT(L603,3)</f>
        <v>ing</v>
      </c>
      <c r="S603" s="42">
        <f>LEN(L603)</f>
        <v>6</v>
      </c>
      <c r="T603" s="3" t="str">
        <f>A603&amp;"|"&amp;B603&amp;"|"&amp;F603</f>
        <v>602|28-01-2011|7</v>
      </c>
      <c r="U603" s="3">
        <f t="shared" si="36"/>
        <v>610</v>
      </c>
      <c r="V603" s="3">
        <f t="shared" si="37"/>
        <v>120.10000000000005</v>
      </c>
      <c r="W603" s="50">
        <f t="shared" si="38"/>
        <v>8.1303845032683911E-2</v>
      </c>
      <c r="X603" s="50">
        <f t="shared" si="39"/>
        <v>0.16514794964716251</v>
      </c>
    </row>
    <row r="604" spans="1:24" x14ac:dyDescent="0.2">
      <c r="A604" s="4">
        <v>603</v>
      </c>
      <c r="B604" s="4" t="s">
        <v>42</v>
      </c>
      <c r="C604" s="4">
        <v>1</v>
      </c>
      <c r="D604" s="4">
        <v>0</v>
      </c>
      <c r="E604" s="4">
        <v>1</v>
      </c>
      <c r="F604" s="4">
        <v>8</v>
      </c>
      <c r="G604" s="4" t="b">
        <v>0</v>
      </c>
      <c r="H604" s="4">
        <v>5</v>
      </c>
      <c r="I604" s="4">
        <v>2</v>
      </c>
      <c r="J604" s="4">
        <v>0.16</v>
      </c>
      <c r="K604" s="6" t="str">
        <f>IF(H604=0,"weekend",IF(H604=6,"weekend","weekend"))</f>
        <v>weekend</v>
      </c>
      <c r="L604" s="3" t="str">
        <f>IF(C604=1,"Spring",IF(C604=2,"Summer",IF(C604=3,"Fall","Winter")))</f>
        <v>Spring</v>
      </c>
      <c r="M604" s="3">
        <f>SUM(J604:J628)</f>
        <v>1.4799999999999998</v>
      </c>
      <c r="N604" s="3">
        <f>AVERAGE(J604:J1213)</f>
        <v>0.18499999999999997</v>
      </c>
      <c r="O604" s="3">
        <f>COUNT(J604:J1213)</f>
        <v>8</v>
      </c>
      <c r="P604" s="3" t="str">
        <f>TEXT(J604,"0.00")</f>
        <v>0.16</v>
      </c>
      <c r="Q604" s="3" t="str">
        <f>LEFT(L604,3)</f>
        <v>Spr</v>
      </c>
      <c r="R604" s="42" t="str">
        <f>RIGHT(L604,3)</f>
        <v>ing</v>
      </c>
      <c r="S604" s="42">
        <f>LEN(L604)</f>
        <v>6</v>
      </c>
      <c r="T604" s="3" t="str">
        <f>A604&amp;"|"&amp;B604&amp;"|"&amp;F604</f>
        <v>603|28-01-2011|8</v>
      </c>
      <c r="U604" s="3">
        <f t="shared" si="36"/>
        <v>610</v>
      </c>
      <c r="V604" s="3">
        <f t="shared" si="37"/>
        <v>120.10000000000005</v>
      </c>
      <c r="W604" s="50">
        <f t="shared" si="38"/>
        <v>8.1303845032683911E-2</v>
      </c>
      <c r="X604" s="50">
        <f t="shared" si="39"/>
        <v>0.16514794964716251</v>
      </c>
    </row>
    <row r="605" spans="1:24" x14ac:dyDescent="0.2">
      <c r="A605" s="4">
        <v>604</v>
      </c>
      <c r="B605" s="4" t="s">
        <v>42</v>
      </c>
      <c r="C605" s="4">
        <v>1</v>
      </c>
      <c r="D605" s="4">
        <v>0</v>
      </c>
      <c r="E605" s="4">
        <v>1</v>
      </c>
      <c r="F605" s="4">
        <v>9</v>
      </c>
      <c r="G605" s="4" t="b">
        <v>0</v>
      </c>
      <c r="H605" s="4">
        <v>5</v>
      </c>
      <c r="I605" s="4">
        <v>3</v>
      </c>
      <c r="J605" s="4">
        <v>0.18</v>
      </c>
      <c r="K605" s="6" t="str">
        <f>IF(H605=0,"weekend",IF(H605=6,"weekend","weekend"))</f>
        <v>weekend</v>
      </c>
      <c r="L605" s="3" t="str">
        <f>IF(C605=1,"Spring",IF(C605=2,"Summer",IF(C605=3,"Fall","Winter")))</f>
        <v>Spring</v>
      </c>
      <c r="M605" s="3">
        <f>SUM(J605:J629)</f>
        <v>1.3199999999999998</v>
      </c>
      <c r="N605" s="3">
        <f>AVERAGE(J605:J1214)</f>
        <v>0.18857142857142856</v>
      </c>
      <c r="O605" s="3">
        <f>COUNT(J605:J1214)</f>
        <v>7</v>
      </c>
      <c r="P605" s="3" t="str">
        <f>TEXT(J605,"0.00")</f>
        <v>0.18</v>
      </c>
      <c r="Q605" s="3" t="str">
        <f>LEFT(L605,3)</f>
        <v>Spr</v>
      </c>
      <c r="R605" s="42" t="str">
        <f>RIGHT(L605,3)</f>
        <v>ing</v>
      </c>
      <c r="S605" s="42">
        <f>LEN(L605)</f>
        <v>6</v>
      </c>
      <c r="T605" s="3" t="str">
        <f>A605&amp;"|"&amp;B605&amp;"|"&amp;F605</f>
        <v>604|28-01-2011|9</v>
      </c>
      <c r="U605" s="3">
        <f t="shared" si="36"/>
        <v>610</v>
      </c>
      <c r="V605" s="3">
        <f t="shared" si="37"/>
        <v>120.10000000000005</v>
      </c>
      <c r="W605" s="50">
        <f t="shared" si="38"/>
        <v>8.1303845032683911E-2</v>
      </c>
      <c r="X605" s="50">
        <f t="shared" si="39"/>
        <v>0.16514794964716251</v>
      </c>
    </row>
    <row r="606" spans="1:24" x14ac:dyDescent="0.2">
      <c r="A606" s="4">
        <v>605</v>
      </c>
      <c r="B606" s="4" t="s">
        <v>42</v>
      </c>
      <c r="C606" s="4">
        <v>1</v>
      </c>
      <c r="D606" s="4">
        <v>0</v>
      </c>
      <c r="E606" s="4">
        <v>1</v>
      </c>
      <c r="F606" s="4">
        <v>10</v>
      </c>
      <c r="G606" s="4" t="b">
        <v>0</v>
      </c>
      <c r="H606" s="4">
        <v>5</v>
      </c>
      <c r="I606" s="4">
        <v>3</v>
      </c>
      <c r="J606" s="4">
        <v>0.18</v>
      </c>
      <c r="K606" s="6" t="str">
        <f>IF(H606=0,"weekend",IF(H606=6,"weekend","weekend"))</f>
        <v>weekend</v>
      </c>
      <c r="L606" s="3" t="str">
        <f>IF(C606=1,"Spring",IF(C606=2,"Summer",IF(C606=3,"Fall","Winter")))</f>
        <v>Spring</v>
      </c>
      <c r="M606" s="3">
        <f>SUM(J606:J630)</f>
        <v>1.1399999999999999</v>
      </c>
      <c r="N606" s="3">
        <f>AVERAGE(J606:J1215)</f>
        <v>0.18999999999999997</v>
      </c>
      <c r="O606" s="3">
        <f>COUNT(J606:J1215)</f>
        <v>6</v>
      </c>
      <c r="P606" s="3" t="str">
        <f>TEXT(J606,"0.00")</f>
        <v>0.18</v>
      </c>
      <c r="Q606" s="3" t="str">
        <f>LEFT(L606,3)</f>
        <v>Spr</v>
      </c>
      <c r="R606" s="42" t="str">
        <f>RIGHT(L606,3)</f>
        <v>ing</v>
      </c>
      <c r="S606" s="42">
        <f>LEN(L606)</f>
        <v>6</v>
      </c>
      <c r="T606" s="3" t="str">
        <f>A606&amp;"|"&amp;B606&amp;"|"&amp;F606</f>
        <v>605|28-01-2011|10</v>
      </c>
      <c r="U606" s="3">
        <f t="shared" si="36"/>
        <v>610</v>
      </c>
      <c r="V606" s="3">
        <f t="shared" si="37"/>
        <v>120.10000000000005</v>
      </c>
      <c r="W606" s="50">
        <f t="shared" si="38"/>
        <v>8.1303845032683911E-2</v>
      </c>
      <c r="X606" s="50">
        <f t="shared" si="39"/>
        <v>0.16514794964716251</v>
      </c>
    </row>
    <row r="607" spans="1:24" x14ac:dyDescent="0.2">
      <c r="A607" s="4">
        <v>606</v>
      </c>
      <c r="B607" s="4" t="s">
        <v>42</v>
      </c>
      <c r="C607" s="4">
        <v>1</v>
      </c>
      <c r="D607" s="4">
        <v>0</v>
      </c>
      <c r="E607" s="4">
        <v>1</v>
      </c>
      <c r="F607" s="4">
        <v>11</v>
      </c>
      <c r="G607" s="4" t="b">
        <v>0</v>
      </c>
      <c r="H607" s="4">
        <v>5</v>
      </c>
      <c r="I607" s="4">
        <v>3</v>
      </c>
      <c r="J607" s="4">
        <v>0.18</v>
      </c>
      <c r="K607" s="6" t="str">
        <f>IF(H607=0,"weekend",IF(H607=6,"weekend","weekend"))</f>
        <v>weekend</v>
      </c>
      <c r="L607" s="3" t="str">
        <f>IF(C607=1,"Spring",IF(C607=2,"Summer",IF(C607=3,"Fall","Winter")))</f>
        <v>Spring</v>
      </c>
      <c r="M607" s="3">
        <f>SUM(J607:J631)</f>
        <v>0.96</v>
      </c>
      <c r="N607" s="3">
        <f>AVERAGE(J607:J1216)</f>
        <v>0.192</v>
      </c>
      <c r="O607" s="3">
        <f>COUNT(J607:J1216)</f>
        <v>5</v>
      </c>
      <c r="P607" s="3" t="str">
        <f>TEXT(J607,"0.00")</f>
        <v>0.18</v>
      </c>
      <c r="Q607" s="3" t="str">
        <f>LEFT(L607,3)</f>
        <v>Spr</v>
      </c>
      <c r="R607" s="42" t="str">
        <f>RIGHT(L607,3)</f>
        <v>ing</v>
      </c>
      <c r="S607" s="42">
        <f>LEN(L607)</f>
        <v>6</v>
      </c>
      <c r="T607" s="3" t="str">
        <f>A607&amp;"|"&amp;B607&amp;"|"&amp;F607</f>
        <v>606|28-01-2011|11</v>
      </c>
      <c r="U607" s="3">
        <f t="shared" si="36"/>
        <v>610</v>
      </c>
      <c r="V607" s="3">
        <f t="shared" si="37"/>
        <v>120.10000000000005</v>
      </c>
      <c r="W607" s="50">
        <f t="shared" si="38"/>
        <v>8.1303845032683911E-2</v>
      </c>
      <c r="X607" s="50">
        <f t="shared" si="39"/>
        <v>0.16514794964716251</v>
      </c>
    </row>
    <row r="608" spans="1:24" x14ac:dyDescent="0.2">
      <c r="A608" s="4">
        <v>607</v>
      </c>
      <c r="B608" s="4" t="s">
        <v>42</v>
      </c>
      <c r="C608" s="4">
        <v>1</v>
      </c>
      <c r="D608" s="4">
        <v>0</v>
      </c>
      <c r="E608" s="4">
        <v>1</v>
      </c>
      <c r="F608" s="4">
        <v>12</v>
      </c>
      <c r="G608" s="4" t="b">
        <v>0</v>
      </c>
      <c r="H608" s="4">
        <v>5</v>
      </c>
      <c r="I608" s="4">
        <v>3</v>
      </c>
      <c r="J608" s="4">
        <v>0.18</v>
      </c>
      <c r="K608" s="6" t="str">
        <f>IF(H608=0,"weekend",IF(H608=6,"weekend","weekend"))</f>
        <v>weekend</v>
      </c>
      <c r="L608" s="3" t="str">
        <f>IF(C608=1,"Spring",IF(C608=2,"Summer",IF(C608=3,"Fall","Winter")))</f>
        <v>Spring</v>
      </c>
      <c r="M608" s="3">
        <f>SUM(J608:J632)</f>
        <v>0.78</v>
      </c>
      <c r="N608" s="3">
        <f>AVERAGE(J608:J1217)</f>
        <v>0.19500000000000001</v>
      </c>
      <c r="O608" s="3">
        <f>COUNT(J608:J1217)</f>
        <v>4</v>
      </c>
      <c r="P608" s="3" t="str">
        <f>TEXT(J608,"0.00")</f>
        <v>0.18</v>
      </c>
      <c r="Q608" s="3" t="str">
        <f>LEFT(L608,3)</f>
        <v>Spr</v>
      </c>
      <c r="R608" s="42" t="str">
        <f>RIGHT(L608,3)</f>
        <v>ing</v>
      </c>
      <c r="S608" s="42">
        <f>LEN(L608)</f>
        <v>6</v>
      </c>
      <c r="T608" s="3" t="str">
        <f>A608&amp;"|"&amp;B608&amp;"|"&amp;F608</f>
        <v>607|28-01-2011|12</v>
      </c>
      <c r="U608" s="3">
        <f t="shared" si="36"/>
        <v>610</v>
      </c>
      <c r="V608" s="3">
        <f t="shared" si="37"/>
        <v>120.10000000000005</v>
      </c>
      <c r="W608" s="50">
        <f t="shared" si="38"/>
        <v>8.1303845032683911E-2</v>
      </c>
      <c r="X608" s="50">
        <f t="shared" si="39"/>
        <v>0.16514794964716251</v>
      </c>
    </row>
    <row r="609" spans="1:24" x14ac:dyDescent="0.2">
      <c r="A609" s="4">
        <v>608</v>
      </c>
      <c r="B609" s="4" t="s">
        <v>42</v>
      </c>
      <c r="C609" s="4">
        <v>1</v>
      </c>
      <c r="D609" s="4">
        <v>0</v>
      </c>
      <c r="E609" s="4">
        <v>1</v>
      </c>
      <c r="F609" s="4">
        <v>13</v>
      </c>
      <c r="G609" s="4" t="b">
        <v>0</v>
      </c>
      <c r="H609" s="4">
        <v>5</v>
      </c>
      <c r="I609" s="4">
        <v>3</v>
      </c>
      <c r="J609" s="4">
        <v>0.18</v>
      </c>
      <c r="K609" s="6" t="str">
        <f>IF(H609=0,"weekend",IF(H609=6,"weekend","weekend"))</f>
        <v>weekend</v>
      </c>
      <c r="L609" s="3" t="str">
        <f>IF(C609=1,"Spring",IF(C609=2,"Summer",IF(C609=3,"Fall","Winter")))</f>
        <v>Spring</v>
      </c>
      <c r="M609" s="3">
        <f>SUM(J609:J633)</f>
        <v>0.60000000000000009</v>
      </c>
      <c r="N609" s="3">
        <f>AVERAGE(J609:J1218)</f>
        <v>0.20000000000000004</v>
      </c>
      <c r="O609" s="3">
        <f>COUNT(J609:J1218)</f>
        <v>3</v>
      </c>
      <c r="P609" s="3" t="str">
        <f>TEXT(J609,"0.00")</f>
        <v>0.18</v>
      </c>
      <c r="Q609" s="3" t="str">
        <f>LEFT(L609,3)</f>
        <v>Spr</v>
      </c>
      <c r="R609" s="42" t="str">
        <f>RIGHT(L609,3)</f>
        <v>ing</v>
      </c>
      <c r="S609" s="42">
        <f>LEN(L609)</f>
        <v>6</v>
      </c>
      <c r="T609" s="3" t="str">
        <f>A609&amp;"|"&amp;B609&amp;"|"&amp;F609</f>
        <v>608|28-01-2011|13</v>
      </c>
      <c r="U609" s="3">
        <f t="shared" si="36"/>
        <v>610</v>
      </c>
      <c r="V609" s="3">
        <f t="shared" si="37"/>
        <v>120.10000000000005</v>
      </c>
      <c r="W609" s="50">
        <f t="shared" si="38"/>
        <v>8.1303845032683911E-2</v>
      </c>
      <c r="X609" s="50">
        <f t="shared" si="39"/>
        <v>0.16514794964716251</v>
      </c>
    </row>
    <row r="610" spans="1:24" x14ac:dyDescent="0.2">
      <c r="A610" s="4">
        <v>609</v>
      </c>
      <c r="B610" s="4" t="s">
        <v>42</v>
      </c>
      <c r="C610" s="4">
        <v>1</v>
      </c>
      <c r="D610" s="4">
        <v>0</v>
      </c>
      <c r="E610" s="4">
        <v>1</v>
      </c>
      <c r="F610" s="4">
        <v>14</v>
      </c>
      <c r="G610" s="4" t="b">
        <v>0</v>
      </c>
      <c r="H610" s="4">
        <v>5</v>
      </c>
      <c r="I610" s="4">
        <v>3</v>
      </c>
      <c r="J610" s="4">
        <v>0.22</v>
      </c>
      <c r="K610" s="6" t="str">
        <f>IF(H610=0,"weekend",IF(H610=6,"weekend","weekend"))</f>
        <v>weekend</v>
      </c>
      <c r="L610" s="3" t="str">
        <f>IF(C610=1,"Spring",IF(C610=2,"Summer",IF(C610=3,"Fall","Winter")))</f>
        <v>Spring</v>
      </c>
      <c r="M610" s="3">
        <f>SUM(J610:J634)</f>
        <v>0.42000000000000004</v>
      </c>
      <c r="N610" s="3">
        <f>AVERAGE(J610:J1219)</f>
        <v>0.21000000000000002</v>
      </c>
      <c r="O610" s="3">
        <f>COUNT(J610:J1219)</f>
        <v>2</v>
      </c>
      <c r="P610" s="3" t="str">
        <f>TEXT(J610,"0.00")</f>
        <v>0.22</v>
      </c>
      <c r="Q610" s="3" t="str">
        <f>LEFT(L610,3)</f>
        <v>Spr</v>
      </c>
      <c r="R610" s="42" t="str">
        <f>RIGHT(L610,3)</f>
        <v>ing</v>
      </c>
      <c r="S610" s="42">
        <f>LEN(L610)</f>
        <v>6</v>
      </c>
      <c r="T610" s="3" t="str">
        <f>A610&amp;"|"&amp;B610&amp;"|"&amp;F610</f>
        <v>609|28-01-2011|14</v>
      </c>
      <c r="U610" s="3">
        <f t="shared" si="36"/>
        <v>610</v>
      </c>
      <c r="V610" s="3">
        <f t="shared" si="37"/>
        <v>120.10000000000005</v>
      </c>
      <c r="W610" s="50">
        <f t="shared" si="38"/>
        <v>8.1303845032683911E-2</v>
      </c>
      <c r="X610" s="50">
        <f t="shared" si="39"/>
        <v>0.16514794964716251</v>
      </c>
    </row>
    <row r="611" spans="1:24" x14ac:dyDescent="0.2">
      <c r="A611" s="4">
        <v>610</v>
      </c>
      <c r="B611" s="4" t="s">
        <v>42</v>
      </c>
      <c r="C611" s="4">
        <v>1</v>
      </c>
      <c r="D611" s="4">
        <v>0</v>
      </c>
      <c r="E611" s="4">
        <v>1</v>
      </c>
      <c r="F611" s="4">
        <v>15</v>
      </c>
      <c r="G611" s="4" t="b">
        <v>0</v>
      </c>
      <c r="H611" s="4">
        <v>5</v>
      </c>
      <c r="I611" s="4">
        <v>2</v>
      </c>
      <c r="J611" s="4">
        <v>0.2</v>
      </c>
      <c r="K611" s="6" t="str">
        <f>IF(H611=0,"weekend",IF(H611=6,"weekend","weekend"))</f>
        <v>weekend</v>
      </c>
      <c r="L611" s="3" t="str">
        <f>IF(C611=1,"Spring",IF(C611=2,"Summer",IF(C611=3,"Fall","Winter")))</f>
        <v>Spring</v>
      </c>
      <c r="M611" s="3">
        <f>SUM(J611:J635)</f>
        <v>0.2</v>
      </c>
      <c r="N611" s="3">
        <f>AVERAGE(J611:J1220)</f>
        <v>0.2</v>
      </c>
      <c r="O611" s="3">
        <f>COUNT(J611:J1220)</f>
        <v>1</v>
      </c>
      <c r="P611" s="3" t="str">
        <f>TEXT(J611,"0.00")</f>
        <v>0.20</v>
      </c>
      <c r="Q611" s="3" t="str">
        <f>LEFT(L611,3)</f>
        <v>Spr</v>
      </c>
      <c r="R611" s="42" t="str">
        <f>RIGHT(L611,3)</f>
        <v>ing</v>
      </c>
      <c r="S611" s="42">
        <f>LEN(L611)</f>
        <v>6</v>
      </c>
      <c r="T611" s="3" t="str">
        <f>A611&amp;"|"&amp;B611&amp;"|"&amp;F611</f>
        <v>610|28-01-2011|15</v>
      </c>
      <c r="U611" s="3">
        <f t="shared" si="36"/>
        <v>610</v>
      </c>
      <c r="V611" s="3">
        <f t="shared" si="37"/>
        <v>120.10000000000005</v>
      </c>
      <c r="W611" s="50">
        <f t="shared" si="38"/>
        <v>8.1303845032683911E-2</v>
      </c>
      <c r="X611" s="50">
        <f t="shared" si="39"/>
        <v>0.16514794964716251</v>
      </c>
    </row>
  </sheetData>
  <conditionalFormatting sqref="M1:M611">
    <cfRule type="notContainsBlanks" dxfId="42" priority="4">
      <formula>LEN(TRIM(M1))&gt;0</formula>
    </cfRule>
  </conditionalFormatting>
  <conditionalFormatting sqref="M1:M1048576">
    <cfRule type="cellIs" dxfId="41" priority="7" operator="greaterThan">
      <formula>"m10"</formula>
    </cfRule>
  </conditionalFormatting>
  <conditionalFormatting sqref="N1:N611">
    <cfRule type="notContainsBlanks" dxfId="40" priority="5">
      <formula>LEN(TRIM(N1))&gt;0</formula>
    </cfRule>
    <cfRule type="cellIs" dxfId="39" priority="6" operator="greaterThan">
      <formula>"n10"</formula>
    </cfRule>
  </conditionalFormatting>
  <conditionalFormatting sqref="O1:O611">
    <cfRule type="cellIs" dxfId="38" priority="3" operator="greaterThan">
      <formula>10</formula>
    </cfRule>
  </conditionalFormatting>
  <conditionalFormatting sqref="P1:P611">
    <cfRule type="notContainsBlanks" dxfId="37" priority="2">
      <formula>LEN(TRIM(P1))&gt;0</formula>
    </cfRule>
  </conditionalFormatting>
  <conditionalFormatting sqref="Q1:Q611">
    <cfRule type="notContainsBlanks" dxfId="36" priority="1">
      <formula>LEN(TRIM(Q1))&gt;0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489-F7BD-47AE-931E-4EDC740C6ADD}">
  <dimension ref="A1:AK611"/>
  <sheetViews>
    <sheetView topLeftCell="J1" workbookViewId="0">
      <selection activeCell="V1" sqref="V1:X2"/>
    </sheetView>
  </sheetViews>
  <sheetFormatPr defaultRowHeight="15" x14ac:dyDescent="0.2"/>
  <sheetData>
    <row r="1" spans="1:37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0</v>
      </c>
      <c r="G1" s="4" t="s">
        <v>11</v>
      </c>
      <c r="H1" s="4" t="s">
        <v>12</v>
      </c>
      <c r="I1" s="4" t="s">
        <v>3</v>
      </c>
      <c r="J1" s="4" t="s">
        <v>13</v>
      </c>
      <c r="K1" s="33" t="s">
        <v>4</v>
      </c>
      <c r="L1" s="33" t="s">
        <v>14</v>
      </c>
      <c r="M1" s="33" t="s">
        <v>15</v>
      </c>
      <c r="N1" s="33" t="s">
        <v>16</v>
      </c>
      <c r="O1" s="33" t="s">
        <v>17</v>
      </c>
      <c r="P1" s="33" t="s">
        <v>18</v>
      </c>
      <c r="Q1" s="33" t="s">
        <v>19</v>
      </c>
      <c r="R1" s="34" t="s">
        <v>20</v>
      </c>
      <c r="S1" s="35" t="s">
        <v>21</v>
      </c>
      <c r="T1" s="37" t="s">
        <v>22</v>
      </c>
      <c r="U1" t="s">
        <v>43</v>
      </c>
      <c r="V1" s="37" t="s">
        <v>44</v>
      </c>
      <c r="W1" s="37" t="s">
        <v>45</v>
      </c>
      <c r="X1" s="37" t="s">
        <v>46</v>
      </c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37" x14ac:dyDescent="0.2">
      <c r="A2" s="4">
        <v>1</v>
      </c>
      <c r="B2" s="5">
        <v>40544</v>
      </c>
      <c r="C2" s="4">
        <v>1</v>
      </c>
      <c r="D2" s="4">
        <v>0</v>
      </c>
      <c r="E2" s="4">
        <v>1</v>
      </c>
      <c r="F2" s="4">
        <v>0</v>
      </c>
      <c r="G2" s="4" t="b">
        <v>0</v>
      </c>
      <c r="H2" s="4">
        <v>6</v>
      </c>
      <c r="I2" s="4">
        <v>1</v>
      </c>
      <c r="J2" s="4">
        <v>0.24</v>
      </c>
      <c r="K2" s="6" t="str">
        <f>IF(H2=0,"weekend",IF(H2=6,"weekend","weekend"))</f>
        <v>weekend</v>
      </c>
      <c r="L2" s="3" t="str">
        <f>IF(C2=1,"Spring",IF(C2=2,"Summer",IF(C2=3,"Fall","Winter")))</f>
        <v>Spring</v>
      </c>
      <c r="M2" s="3">
        <f>SUM(J2:J26)</f>
        <v>8.7200000000000024</v>
      </c>
      <c r="N2" s="3">
        <f>AVERAGE(J2:J611)</f>
        <v>0.19688524590163942</v>
      </c>
      <c r="O2" s="3">
        <f>COUNT(J2:J611)</f>
        <v>610</v>
      </c>
      <c r="P2" s="3" t="str">
        <f>TEXT(J2,"0.00")</f>
        <v>0.24</v>
      </c>
      <c r="Q2" s="3" t="str">
        <f>LEFT(L2,3)</f>
        <v>Spr</v>
      </c>
      <c r="R2" s="7" t="str">
        <f>RIGHT(L2,3)</f>
        <v>ing</v>
      </c>
      <c r="S2" s="8">
        <f>LEN(L2)</f>
        <v>6</v>
      </c>
      <c r="T2" s="36" t="str">
        <f>A2&amp;"|"&amp;B2&amp;"|"&amp;F2</f>
        <v>1|40544|0</v>
      </c>
      <c r="V2" s="32">
        <f>VLOOKUP(A2,Sheet2!A:H,3,FALSE)</f>
        <v>0.2727</v>
      </c>
      <c r="W2" s="32">
        <f>VLOOKUP(A2,Sheet2!A:H,4,FALSE)</f>
        <v>0.8</v>
      </c>
      <c r="X2" s="32">
        <f>VLOOKUP(A2,Sheet2!A:H,7,FALSE)</f>
        <v>32</v>
      </c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37" x14ac:dyDescent="0.2">
      <c r="A3" s="4">
        <v>2</v>
      </c>
      <c r="B3" s="5">
        <v>40544</v>
      </c>
      <c r="C3" s="4">
        <v>1</v>
      </c>
      <c r="D3" s="4">
        <v>0</v>
      </c>
      <c r="E3" s="4">
        <v>1</v>
      </c>
      <c r="F3" s="4">
        <v>1</v>
      </c>
      <c r="G3" s="4" t="b">
        <v>0</v>
      </c>
      <c r="H3" s="4">
        <v>6</v>
      </c>
      <c r="I3" s="4">
        <v>1</v>
      </c>
      <c r="J3" s="4">
        <v>0.22</v>
      </c>
      <c r="K3" s="6" t="str">
        <f>IF(H3=0,"weekend",IF(H3=6,"weekend","weekend"))</f>
        <v>weekend</v>
      </c>
      <c r="L3" s="3" t="str">
        <f>IF(C3=1,"Spring",IF(C3=2,"Summer",IF(C3=3,"Fall","Winter")))</f>
        <v>Spring</v>
      </c>
      <c r="M3" s="3">
        <f>SUM(J3:J27)</f>
        <v>8.9200000000000017</v>
      </c>
      <c r="N3" s="3">
        <f>AVERAGE(J3:J612)</f>
        <v>0.19681444991789826</v>
      </c>
      <c r="O3" s="3">
        <f>COUNT(J3:J612)</f>
        <v>609</v>
      </c>
      <c r="P3" s="3" t="str">
        <f>TEXT(J3,"0.00")</f>
        <v>0.22</v>
      </c>
      <c r="Q3" s="3" t="str">
        <f>LEFT(L3,3)</f>
        <v>Spr</v>
      </c>
      <c r="R3" s="7" t="str">
        <f>RIGHT(L3,3)</f>
        <v>ing</v>
      </c>
      <c r="S3" s="8">
        <f>LEN(L3)</f>
        <v>6</v>
      </c>
      <c r="T3" s="36" t="str">
        <f>A3&amp;"|"&amp;B3&amp;"|"&amp;F3</f>
        <v>2|40544|1</v>
      </c>
      <c r="V3" s="32">
        <f>VLOOKUP(A3,Sheet2!A:H,3,FALSE)</f>
        <v>0.2727</v>
      </c>
      <c r="W3" s="32">
        <f>VLOOKUP(A3,Sheet2!A:H,4,FALSE)</f>
        <v>0.8</v>
      </c>
      <c r="X3" s="32">
        <f>VLOOKUP(A3,Sheet2!A:H,7,FALSE)</f>
        <v>27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x14ac:dyDescent="0.2">
      <c r="A4" s="4">
        <v>3</v>
      </c>
      <c r="B4" s="5">
        <v>40544</v>
      </c>
      <c r="C4" s="4">
        <v>1</v>
      </c>
      <c r="D4" s="4">
        <v>0</v>
      </c>
      <c r="E4" s="4">
        <v>1</v>
      </c>
      <c r="F4" s="4">
        <v>2</v>
      </c>
      <c r="G4" s="4" t="b">
        <v>0</v>
      </c>
      <c r="H4" s="4">
        <v>6</v>
      </c>
      <c r="I4" s="4">
        <v>1</v>
      </c>
      <c r="J4" s="4">
        <v>0.22</v>
      </c>
      <c r="K4" s="6" t="str">
        <f>IF(H4=0,"weekend",IF(H4=6,"weekend","weekend"))</f>
        <v>weekend</v>
      </c>
      <c r="L4" s="3" t="str">
        <f>IF(C4=1,"Spring",IF(C4=2,"Summer",IF(C4=3,"Fall","Winter")))</f>
        <v>Spring</v>
      </c>
      <c r="M4" s="3">
        <f>SUM(J4:J28)</f>
        <v>9.120000000000001</v>
      </c>
      <c r="N4" s="3">
        <f>AVERAGE(J4:J613)</f>
        <v>0.19677631578947374</v>
      </c>
      <c r="O4" s="3">
        <f>COUNT(J4:J613)</f>
        <v>608</v>
      </c>
      <c r="P4" s="3" t="str">
        <f>TEXT(J4,"0.00")</f>
        <v>0.22</v>
      </c>
      <c r="Q4" s="3" t="str">
        <f>LEFT(L4,3)</f>
        <v>Spr</v>
      </c>
      <c r="R4" s="7" t="str">
        <f>RIGHT(L4,3)</f>
        <v>ing</v>
      </c>
      <c r="S4" s="8">
        <f>LEN(L4)</f>
        <v>6</v>
      </c>
      <c r="T4" s="36" t="str">
        <f>A4&amp;"|"&amp;B4&amp;"|"&amp;F4</f>
        <v>3|40544|2</v>
      </c>
      <c r="V4" s="32">
        <f>VLOOKUP(A4,Sheet2!A:H,3,FALSE)</f>
        <v>0.28789999999999999</v>
      </c>
      <c r="W4" s="32">
        <f>VLOOKUP(A4,Sheet2!A:H,4,FALSE)</f>
        <v>0.75</v>
      </c>
      <c r="X4" s="32">
        <f>VLOOKUP(A4,Sheet2!A:H,7,FALSE)</f>
        <v>10</v>
      </c>
      <c r="Y4" s="32"/>
      <c r="Z4" s="32"/>
      <c r="AA4" s="32"/>
      <c r="AB4" s="32"/>
      <c r="AC4" s="32"/>
      <c r="AD4" s="32"/>
      <c r="AE4" s="32"/>
      <c r="AF4" s="32"/>
      <c r="AG4" s="31"/>
      <c r="AH4" s="31"/>
      <c r="AI4" s="31"/>
      <c r="AJ4" s="31"/>
      <c r="AK4" s="31"/>
    </row>
    <row r="5" spans="1:37" x14ac:dyDescent="0.2">
      <c r="A5" s="4">
        <v>4</v>
      </c>
      <c r="B5" s="5">
        <v>40544</v>
      </c>
      <c r="C5" s="4">
        <v>1</v>
      </c>
      <c r="D5" s="4">
        <v>0</v>
      </c>
      <c r="E5" s="4">
        <v>1</v>
      </c>
      <c r="F5" s="4">
        <v>3</v>
      </c>
      <c r="G5" s="4" t="b">
        <v>0</v>
      </c>
      <c r="H5" s="4">
        <v>6</v>
      </c>
      <c r="I5" s="4">
        <v>1</v>
      </c>
      <c r="J5" s="4">
        <v>0.24</v>
      </c>
      <c r="K5" s="6" t="str">
        <f>IF(H5=0,"weekend",IF(H5=6,"weekend","weekend"))</f>
        <v>weekend</v>
      </c>
      <c r="L5" s="3" t="str">
        <f>IF(C5=1,"Spring",IF(C5=2,"Summer",IF(C5=3,"Fall","Winter")))</f>
        <v>Spring</v>
      </c>
      <c r="M5" s="3">
        <f>SUM(J5:J29)</f>
        <v>9.3600000000000012</v>
      </c>
      <c r="N5" s="3">
        <f>AVERAGE(J5:J614)</f>
        <v>0.19673805601317967</v>
      </c>
      <c r="O5" s="3">
        <f>COUNT(J5:J614)</f>
        <v>607</v>
      </c>
      <c r="P5" s="3" t="str">
        <f>TEXT(J5,"0.00")</f>
        <v>0.24</v>
      </c>
      <c r="Q5" s="3" t="str">
        <f>LEFT(L5,3)</f>
        <v>Spr</v>
      </c>
      <c r="R5" s="7" t="str">
        <f>RIGHT(L5,3)</f>
        <v>ing</v>
      </c>
      <c r="S5" s="8">
        <f>LEN(L5)</f>
        <v>6</v>
      </c>
      <c r="T5" s="36" t="str">
        <f>A5&amp;"|"&amp;B5&amp;"|"&amp;F5</f>
        <v>4|40544|3</v>
      </c>
      <c r="V5" s="32">
        <f>VLOOKUP(A5,Sheet2!A:H,3,FALSE)</f>
        <v>0.28789999999999999</v>
      </c>
      <c r="W5" s="32">
        <f>VLOOKUP(A5,Sheet2!A:H,4,FALSE)</f>
        <v>0.75</v>
      </c>
      <c r="X5" s="32">
        <f>VLOOKUP(A5,Sheet2!A:H,7,FALSE)</f>
        <v>1</v>
      </c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x14ac:dyDescent="0.2">
      <c r="A6" s="4">
        <v>5</v>
      </c>
      <c r="B6" s="5">
        <v>40544</v>
      </c>
      <c r="C6" s="4">
        <v>1</v>
      </c>
      <c r="D6" s="4">
        <v>0</v>
      </c>
      <c r="E6" s="4">
        <v>1</v>
      </c>
      <c r="F6" s="4">
        <v>4</v>
      </c>
      <c r="G6" s="4" t="b">
        <v>0</v>
      </c>
      <c r="H6" s="4">
        <v>6</v>
      </c>
      <c r="I6" s="4">
        <v>1</v>
      </c>
      <c r="J6" s="4">
        <v>0.24</v>
      </c>
      <c r="K6" s="6" t="str">
        <f>IF(H6=0,"weekend",IF(H6=6,"weekend","weekend"))</f>
        <v>weekend</v>
      </c>
      <c r="L6" s="3" t="str">
        <f>IF(C6=1,"Spring",IF(C6=2,"Summer",IF(C6=3,"Fall","Winter")))</f>
        <v>Spring</v>
      </c>
      <c r="M6" s="3">
        <f>SUM(J6:J30)</f>
        <v>9.5800000000000018</v>
      </c>
      <c r="N6" s="3">
        <f>AVERAGE(J6:J615)</f>
        <v>0.19666666666666677</v>
      </c>
      <c r="O6" s="3">
        <f>COUNT(J6:J615)</f>
        <v>606</v>
      </c>
      <c r="P6" s="3" t="str">
        <f>TEXT(J6,"0.00")</f>
        <v>0.24</v>
      </c>
      <c r="Q6" s="3" t="str">
        <f>LEFT(L6,3)</f>
        <v>Spr</v>
      </c>
      <c r="R6" s="7" t="str">
        <f>RIGHT(L6,3)</f>
        <v>ing</v>
      </c>
      <c r="S6" s="8">
        <f>LEN(L6)</f>
        <v>6</v>
      </c>
      <c r="T6" s="36" t="str">
        <f>A6&amp;"|"&amp;B6&amp;"|"&amp;F6</f>
        <v>5|40544|4</v>
      </c>
      <c r="V6" s="32">
        <f>VLOOKUP(A6,Sheet2!A:H,3,FALSE)</f>
        <v>0.2576</v>
      </c>
      <c r="W6" s="32">
        <f>VLOOKUP(A6,Sheet2!A:H,4,FALSE)</f>
        <v>0.75</v>
      </c>
      <c r="X6" s="32">
        <f>VLOOKUP(A6,Sheet2!A:H,7,FALSE)</f>
        <v>1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</row>
    <row r="7" spans="1:37" x14ac:dyDescent="0.2">
      <c r="A7" s="4">
        <v>6</v>
      </c>
      <c r="B7" s="5">
        <v>40544</v>
      </c>
      <c r="C7" s="4">
        <v>1</v>
      </c>
      <c r="D7" s="4">
        <v>0</v>
      </c>
      <c r="E7" s="4">
        <v>1</v>
      </c>
      <c r="F7" s="4">
        <v>5</v>
      </c>
      <c r="G7" s="4" t="b">
        <v>0</v>
      </c>
      <c r="H7" s="4">
        <v>6</v>
      </c>
      <c r="I7" s="4">
        <v>2</v>
      </c>
      <c r="J7" s="4">
        <v>0.24</v>
      </c>
      <c r="K7" s="6" t="str">
        <f>IF(H7=0,"weekend",IF(H7=6,"weekend","weekend"))</f>
        <v>weekend</v>
      </c>
      <c r="L7" s="3" t="str">
        <f>IF(C7=1,"Spring",IF(C7=2,"Summer",IF(C7=3,"Fall","Winter")))</f>
        <v>Spring</v>
      </c>
      <c r="M7" s="3">
        <f>SUM(J7:J31)</f>
        <v>9.7600000000000033</v>
      </c>
      <c r="N7" s="3">
        <f>AVERAGE(J7:J616)</f>
        <v>0.19659504132231415</v>
      </c>
      <c r="O7" s="3">
        <f>COUNT(J7:J616)</f>
        <v>605</v>
      </c>
      <c r="P7" s="3" t="str">
        <f>TEXT(J7,"0.00")</f>
        <v>0.24</v>
      </c>
      <c r="Q7" s="3" t="str">
        <f>LEFT(L7,3)</f>
        <v>Spr</v>
      </c>
      <c r="R7" s="7" t="str">
        <f>RIGHT(L7,3)</f>
        <v>ing</v>
      </c>
      <c r="S7" s="8">
        <f>LEN(L7)</f>
        <v>6</v>
      </c>
      <c r="T7" s="36" t="str">
        <f>A7&amp;"|"&amp;B7&amp;"|"&amp;F7</f>
        <v>6|40544|5</v>
      </c>
      <c r="V7" s="32">
        <f>VLOOKUP(A7,Sheet2!A:H,3,FALSE)</f>
        <v>0.2727</v>
      </c>
      <c r="W7" s="32">
        <f>VLOOKUP(A7,Sheet2!A:H,4,FALSE)</f>
        <v>0.8</v>
      </c>
      <c r="X7" s="32">
        <f>VLOOKUP(A7,Sheet2!A:H,7,FALSE)</f>
        <v>0</v>
      </c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37" x14ac:dyDescent="0.2">
      <c r="A8" s="4">
        <v>7</v>
      </c>
      <c r="B8" s="5">
        <v>40544</v>
      </c>
      <c r="C8" s="4">
        <v>1</v>
      </c>
      <c r="D8" s="4">
        <v>0</v>
      </c>
      <c r="E8" s="4">
        <v>1</v>
      </c>
      <c r="F8" s="4">
        <v>6</v>
      </c>
      <c r="G8" s="4" t="b">
        <v>0</v>
      </c>
      <c r="H8" s="4">
        <v>6</v>
      </c>
      <c r="I8" s="4">
        <v>1</v>
      </c>
      <c r="J8" s="4">
        <v>0.22</v>
      </c>
      <c r="K8" s="6" t="str">
        <f>IF(H8=0,"weekend",IF(H8=6,"weekend","weekend"))</f>
        <v>weekend</v>
      </c>
      <c r="L8" s="3" t="str">
        <f>IF(C8=1,"Spring",IF(C8=2,"Summer",IF(C8=3,"Fall","Winter")))</f>
        <v>Spring</v>
      </c>
      <c r="M8" s="3">
        <f>SUM(J8:J32)</f>
        <v>9.9200000000000035</v>
      </c>
      <c r="N8" s="3">
        <f>AVERAGE(J8:J617)</f>
        <v>0.19652317880794712</v>
      </c>
      <c r="O8" s="3">
        <f>COUNT(J8:J617)</f>
        <v>604</v>
      </c>
      <c r="P8" s="3" t="str">
        <f>TEXT(J8,"0.00")</f>
        <v>0.22</v>
      </c>
      <c r="Q8" s="3" t="str">
        <f>LEFT(L8,3)</f>
        <v>Spr</v>
      </c>
      <c r="R8" s="7" t="str">
        <f>RIGHT(L8,3)</f>
        <v>ing</v>
      </c>
      <c r="S8" s="8">
        <f>LEN(L8)</f>
        <v>6</v>
      </c>
      <c r="T8" s="36" t="str">
        <f>A8&amp;"|"&amp;B8&amp;"|"&amp;F8</f>
        <v>7|40544|6</v>
      </c>
      <c r="V8" s="32">
        <f>VLOOKUP(A8,Sheet2!A:H,3,FALSE)</f>
        <v>0.2576</v>
      </c>
      <c r="W8" s="32">
        <f>VLOOKUP(A8,Sheet2!A:H,4,FALSE)</f>
        <v>0.86</v>
      </c>
      <c r="X8" s="32">
        <f>VLOOKUP(A8,Sheet2!A:H,7,FALSE)</f>
        <v>2</v>
      </c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x14ac:dyDescent="0.2">
      <c r="A9" s="4">
        <v>8</v>
      </c>
      <c r="B9" s="5">
        <v>40544</v>
      </c>
      <c r="C9" s="4">
        <v>1</v>
      </c>
      <c r="D9" s="4">
        <v>0</v>
      </c>
      <c r="E9" s="4">
        <v>1</v>
      </c>
      <c r="F9" s="4">
        <v>7</v>
      </c>
      <c r="G9" s="4" t="b">
        <v>0</v>
      </c>
      <c r="H9" s="4">
        <v>6</v>
      </c>
      <c r="I9" s="4">
        <v>1</v>
      </c>
      <c r="J9" s="4">
        <v>0.2</v>
      </c>
      <c r="K9" s="6" t="str">
        <f>IF(H9=0,"weekend",IF(H9=6,"weekend","weekend"))</f>
        <v>weekend</v>
      </c>
      <c r="L9" s="3" t="str">
        <f>IF(C9=1,"Spring",IF(C9=2,"Summer",IF(C9=3,"Fall","Winter")))</f>
        <v>Spring</v>
      </c>
      <c r="M9" s="3">
        <f>SUM(J9:J33)</f>
        <v>10.100000000000003</v>
      </c>
      <c r="N9" s="3">
        <f>AVERAGE(J9:J618)</f>
        <v>0.19648424543946941</v>
      </c>
      <c r="O9" s="3">
        <f>COUNT(J9:J618)</f>
        <v>603</v>
      </c>
      <c r="P9" s="3" t="str">
        <f>TEXT(J9,"0.00")</f>
        <v>0.20</v>
      </c>
      <c r="Q9" s="3" t="str">
        <f>LEFT(L9,3)</f>
        <v>Spr</v>
      </c>
      <c r="R9" s="7" t="str">
        <f>RIGHT(L9,3)</f>
        <v>ing</v>
      </c>
      <c r="S9" s="8">
        <f>LEN(L9)</f>
        <v>6</v>
      </c>
      <c r="T9" s="36" t="str">
        <f>A9&amp;"|"&amp;B9&amp;"|"&amp;F9</f>
        <v>8|40544|7</v>
      </c>
      <c r="V9" s="32">
        <f>VLOOKUP(A9,Sheet2!A:H,3,FALSE)</f>
        <v>0</v>
      </c>
      <c r="W9" s="32">
        <f>VLOOKUP(A9,Sheet2!A:H,4,FALSE)</f>
        <v>0.75</v>
      </c>
      <c r="X9" s="32">
        <f>VLOOKUP(A9,Sheet2!A:H,7,FALSE)</f>
        <v>7</v>
      </c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</row>
    <row r="10" spans="1:37" x14ac:dyDescent="0.2">
      <c r="A10" s="4">
        <v>9</v>
      </c>
      <c r="B10" s="5">
        <v>40544</v>
      </c>
      <c r="C10" s="4">
        <v>1</v>
      </c>
      <c r="D10" s="4">
        <v>0</v>
      </c>
      <c r="E10" s="4">
        <v>1</v>
      </c>
      <c r="F10" s="4">
        <v>8</v>
      </c>
      <c r="G10" s="4" t="b">
        <v>0</v>
      </c>
      <c r="H10" s="4">
        <v>6</v>
      </c>
      <c r="I10" s="4">
        <v>1</v>
      </c>
      <c r="J10" s="4">
        <v>0.24</v>
      </c>
      <c r="K10" s="6" t="str">
        <f>IF(H10=0,"weekend",IF(H10=6,"weekend","weekend"))</f>
        <v>weekend</v>
      </c>
      <c r="L10" s="3" t="str">
        <f>IF(C10=1,"Spring",IF(C10=2,"Summer",IF(C10=3,"Fall","Winter")))</f>
        <v>Spring</v>
      </c>
      <c r="M10" s="3">
        <f>SUM(J10:J34)</f>
        <v>10.280000000000005</v>
      </c>
      <c r="N10" s="3">
        <f>AVERAGE(J10:J619)</f>
        <v>0.19647840531561472</v>
      </c>
      <c r="O10" s="3">
        <f>COUNT(J10:J619)</f>
        <v>602</v>
      </c>
      <c r="P10" s="3" t="str">
        <f>TEXT(J10,"0.00")</f>
        <v>0.24</v>
      </c>
      <c r="Q10" s="3" t="str">
        <f>LEFT(L10,3)</f>
        <v>Spr</v>
      </c>
      <c r="R10" s="7" t="str">
        <f>RIGHT(L10,3)</f>
        <v>ing</v>
      </c>
      <c r="S10" s="8">
        <f>LEN(L10)</f>
        <v>6</v>
      </c>
      <c r="T10" s="36" t="str">
        <f>A10&amp;"|"&amp;B10&amp;"|"&amp;F10</f>
        <v>9|40544|8</v>
      </c>
      <c r="V10" s="32">
        <f>VLOOKUP(A10,Sheet2!A:H,3,FALSE)</f>
        <v>0.34849999999999998</v>
      </c>
      <c r="W10" s="32">
        <f>VLOOKUP(A10,Sheet2!A:H,4,FALSE)</f>
        <v>0.76</v>
      </c>
      <c r="X10" s="32">
        <f>VLOOKUP(A10,Sheet2!A:H,7,FALSE)</f>
        <v>6</v>
      </c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</row>
    <row r="11" spans="1:37" x14ac:dyDescent="0.2">
      <c r="A11" s="4">
        <v>10</v>
      </c>
      <c r="B11" s="5">
        <v>40544</v>
      </c>
      <c r="C11" s="4">
        <v>1</v>
      </c>
      <c r="D11" s="4">
        <v>0</v>
      </c>
      <c r="E11" s="4">
        <v>1</v>
      </c>
      <c r="F11" s="4">
        <v>9</v>
      </c>
      <c r="G11" s="4" t="b">
        <v>0</v>
      </c>
      <c r="H11" s="4">
        <v>6</v>
      </c>
      <c r="I11" s="4">
        <v>1</v>
      </c>
      <c r="J11" s="4">
        <v>0.32</v>
      </c>
      <c r="K11" s="6" t="str">
        <f>IF(H11=0,"weekend",IF(H11=6,"weekend","weekend"))</f>
        <v>weekend</v>
      </c>
      <c r="L11" s="3" t="str">
        <f>IF(C11=1,"Spring",IF(C11=2,"Summer",IF(C11=3,"Fall","Winter")))</f>
        <v>Spring</v>
      </c>
      <c r="M11" s="3">
        <f>SUM(J11:J35)</f>
        <v>10.400000000000002</v>
      </c>
      <c r="N11" s="3">
        <f>AVERAGE(J11:J620)</f>
        <v>0.19640599001663903</v>
      </c>
      <c r="O11" s="3">
        <f>COUNT(J11:J620)</f>
        <v>601</v>
      </c>
      <c r="P11" s="3" t="str">
        <f>TEXT(J11,"0.00")</f>
        <v>0.32</v>
      </c>
      <c r="Q11" s="3" t="str">
        <f>LEFT(L11,3)</f>
        <v>Spr</v>
      </c>
      <c r="R11" s="7" t="str">
        <f>RIGHT(L11,3)</f>
        <v>ing</v>
      </c>
      <c r="S11" s="8">
        <f>LEN(L11)</f>
        <v>6</v>
      </c>
      <c r="T11" s="36" t="str">
        <f>A11&amp;"|"&amp;B11&amp;"|"&amp;F11</f>
        <v>10|40544|9</v>
      </c>
      <c r="V11" s="32">
        <f>VLOOKUP(A11,Sheet2!A:H,3,FALSE)</f>
        <v>0.39389999999999997</v>
      </c>
      <c r="W11" s="32">
        <f>VLOOKUP(A11,Sheet2!A:H,4,FALSE)</f>
        <v>0.76</v>
      </c>
      <c r="X11" s="32">
        <f>VLOOKUP(A11,Sheet2!A:H,7,FALSE)</f>
        <v>24</v>
      </c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</row>
    <row r="12" spans="1:37" x14ac:dyDescent="0.2">
      <c r="A12" s="4">
        <v>11</v>
      </c>
      <c r="B12" s="5">
        <v>40544</v>
      </c>
      <c r="C12" s="4">
        <v>1</v>
      </c>
      <c r="D12" s="4">
        <v>0</v>
      </c>
      <c r="E12" s="4">
        <v>1</v>
      </c>
      <c r="F12" s="4">
        <v>10</v>
      </c>
      <c r="G12" s="4" t="b">
        <v>0</v>
      </c>
      <c r="H12" s="4">
        <v>6</v>
      </c>
      <c r="I12" s="4">
        <v>1</v>
      </c>
      <c r="J12" s="4">
        <v>0.38</v>
      </c>
      <c r="K12" s="6" t="str">
        <f>IF(H12=0,"weekend",IF(H12=6,"weekend","weekend"))</f>
        <v>weekend</v>
      </c>
      <c r="L12" s="3" t="str">
        <f>IF(C12=1,"Spring",IF(C12=2,"Summer",IF(C12=3,"Fall","Winter")))</f>
        <v>Spring</v>
      </c>
      <c r="M12" s="3">
        <f>SUM(J12:J36)</f>
        <v>10.440000000000001</v>
      </c>
      <c r="N12" s="3">
        <f>AVERAGE(J12:J621)</f>
        <v>0.19620000000000007</v>
      </c>
      <c r="O12" s="3">
        <f>COUNT(J12:J621)</f>
        <v>600</v>
      </c>
      <c r="P12" s="3" t="str">
        <f>TEXT(J12,"0.00")</f>
        <v>0.38</v>
      </c>
      <c r="Q12" s="3" t="str">
        <f>LEFT(L12,3)</f>
        <v>Spr</v>
      </c>
      <c r="R12" s="7" t="str">
        <f>RIGHT(L12,3)</f>
        <v>ing</v>
      </c>
      <c r="S12" s="8">
        <f>LEN(L12)</f>
        <v>6</v>
      </c>
      <c r="T12" s="36" t="str">
        <f>A12&amp;"|"&amp;B12&amp;"|"&amp;F12</f>
        <v>11|40544|10</v>
      </c>
      <c r="V12" s="32">
        <f>VLOOKUP(A12,Sheet2!A:H,3,FALSE)</f>
        <v>0.33329999999999999</v>
      </c>
      <c r="W12" s="32">
        <f>VLOOKUP(A12,Sheet2!A:H,4,FALSE)</f>
        <v>0.81</v>
      </c>
      <c r="X12" s="32">
        <f>VLOOKUP(A12,Sheet2!A:H,7,FALSE)</f>
        <v>30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</row>
    <row r="13" spans="1:37" x14ac:dyDescent="0.2">
      <c r="A13" s="4">
        <v>12</v>
      </c>
      <c r="B13" s="5">
        <v>40544</v>
      </c>
      <c r="C13" s="4">
        <v>1</v>
      </c>
      <c r="D13" s="4">
        <v>0</v>
      </c>
      <c r="E13" s="4">
        <v>1</v>
      </c>
      <c r="F13" s="4">
        <v>11</v>
      </c>
      <c r="G13" s="4" t="b">
        <v>0</v>
      </c>
      <c r="H13" s="4">
        <v>6</v>
      </c>
      <c r="I13" s="4">
        <v>1</v>
      </c>
      <c r="J13" s="4">
        <v>0.36</v>
      </c>
      <c r="K13" s="6" t="str">
        <f>IF(H13=0,"weekend",IF(H13=6,"weekend","weekend"))</f>
        <v>weekend</v>
      </c>
      <c r="L13" s="3" t="str">
        <f>IF(C13=1,"Spring",IF(C13=2,"Summer",IF(C13=3,"Fall","Winter")))</f>
        <v>Spring</v>
      </c>
      <c r="M13" s="3">
        <f>SUM(J13:J37)</f>
        <v>10.420000000000002</v>
      </c>
      <c r="N13" s="3">
        <f>AVERAGE(J13:J622)</f>
        <v>0.19589315525876469</v>
      </c>
      <c r="O13" s="3">
        <f>COUNT(J13:J622)</f>
        <v>599</v>
      </c>
      <c r="P13" s="3" t="str">
        <f>TEXT(J13,"0.00")</f>
        <v>0.36</v>
      </c>
      <c r="Q13" s="3" t="str">
        <f>LEFT(L13,3)</f>
        <v>Spr</v>
      </c>
      <c r="R13" s="7" t="str">
        <f>RIGHT(L13,3)</f>
        <v>ing</v>
      </c>
      <c r="S13" s="8">
        <f>LEN(L13)</f>
        <v>6</v>
      </c>
      <c r="T13" s="36" t="str">
        <f>A13&amp;"|"&amp;B13&amp;"|"&amp;F13</f>
        <v>12|40544|11</v>
      </c>
      <c r="V13" s="32">
        <f>VLOOKUP(A13,Sheet2!A:H,3,FALSE)</f>
        <v>0.42420000000000002</v>
      </c>
      <c r="W13" s="32">
        <f>VLOOKUP(A13,Sheet2!A:H,4,FALSE)</f>
        <v>0.77</v>
      </c>
      <c r="X13" s="32">
        <f>VLOOKUP(A13,Sheet2!A:H,7,FALSE)</f>
        <v>55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</row>
    <row r="14" spans="1:37" x14ac:dyDescent="0.2">
      <c r="A14" s="4">
        <v>13</v>
      </c>
      <c r="B14" s="5">
        <v>40544</v>
      </c>
      <c r="C14" s="4">
        <v>1</v>
      </c>
      <c r="D14" s="4">
        <v>0</v>
      </c>
      <c r="E14" s="4">
        <v>1</v>
      </c>
      <c r="F14" s="4">
        <v>12</v>
      </c>
      <c r="G14" s="4" t="b">
        <v>0</v>
      </c>
      <c r="H14" s="4">
        <v>6</v>
      </c>
      <c r="I14" s="4">
        <v>1</v>
      </c>
      <c r="J14" s="4">
        <v>0.42</v>
      </c>
      <c r="K14" s="6" t="str">
        <f>IF(H14=0,"weekend",IF(H14=6,"weekend","weekend"))</f>
        <v>weekend</v>
      </c>
      <c r="L14" s="3" t="str">
        <f>IF(C14=1,"Spring",IF(C14=2,"Summer",IF(C14=3,"Fall","Winter")))</f>
        <v>Spring</v>
      </c>
      <c r="M14" s="3">
        <f>SUM(J14:J38)</f>
        <v>10.42</v>
      </c>
      <c r="N14" s="3">
        <f>AVERAGE(J14:J623)</f>
        <v>0.19561872909699002</v>
      </c>
      <c r="O14" s="3">
        <f>COUNT(J14:J623)</f>
        <v>598</v>
      </c>
      <c r="P14" s="3" t="str">
        <f>TEXT(J14,"0.00")</f>
        <v>0.42</v>
      </c>
      <c r="Q14" s="3" t="str">
        <f>LEFT(L14,3)</f>
        <v>Spr</v>
      </c>
      <c r="R14" s="7" t="str">
        <f>RIGHT(L14,3)</f>
        <v>ing</v>
      </c>
      <c r="S14" s="8">
        <f>LEN(L14)</f>
        <v>6</v>
      </c>
      <c r="T14" s="36" t="str">
        <f>A14&amp;"|"&amp;B14&amp;"|"&amp;F14</f>
        <v>13|40544|12</v>
      </c>
      <c r="V14" s="32">
        <f>VLOOKUP(A14,Sheet2!A:H,3,FALSE)</f>
        <v>0.45450000000000002</v>
      </c>
      <c r="W14" s="32">
        <f>VLOOKUP(A14,Sheet2!A:H,4,FALSE)</f>
        <v>0.72</v>
      </c>
      <c r="X14" s="32">
        <f>VLOOKUP(A14,Sheet2!A:H,7,FALSE)</f>
        <v>47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spans="1:37" x14ac:dyDescent="0.2">
      <c r="A15" s="4">
        <v>14</v>
      </c>
      <c r="B15" s="5">
        <v>40544</v>
      </c>
      <c r="C15" s="4">
        <v>1</v>
      </c>
      <c r="D15" s="4">
        <v>0</v>
      </c>
      <c r="E15" s="4">
        <v>1</v>
      </c>
      <c r="F15" s="4">
        <v>13</v>
      </c>
      <c r="G15" s="4" t="b">
        <v>0</v>
      </c>
      <c r="H15" s="4">
        <v>6</v>
      </c>
      <c r="I15" s="4">
        <v>2</v>
      </c>
      <c r="J15" s="4">
        <v>0.46</v>
      </c>
      <c r="K15" s="6" t="str">
        <f>IF(H15=0,"weekend",IF(H15=6,"weekend","weekend"))</f>
        <v>weekend</v>
      </c>
      <c r="L15" s="3" t="str">
        <f>IF(C15=1,"Spring",IF(C15=2,"Summer",IF(C15=3,"Fall","Winter")))</f>
        <v>Spring</v>
      </c>
      <c r="M15" s="3">
        <f>SUM(J15:J39)</f>
        <v>10.359999999999998</v>
      </c>
      <c r="N15" s="3">
        <f>AVERAGE(J15:J624)</f>
        <v>0.19524288107202686</v>
      </c>
      <c r="O15" s="3">
        <f>COUNT(J15:J624)</f>
        <v>597</v>
      </c>
      <c r="P15" s="3" t="str">
        <f>TEXT(J15,"0.00")</f>
        <v>0.46</v>
      </c>
      <c r="Q15" s="3" t="str">
        <f>LEFT(L15,3)</f>
        <v>Spr</v>
      </c>
      <c r="R15" s="7" t="str">
        <f>RIGHT(L15,3)</f>
        <v>ing</v>
      </c>
      <c r="S15" s="8">
        <f>LEN(L15)</f>
        <v>6</v>
      </c>
      <c r="T15" s="36" t="str">
        <f>A15&amp;"|"&amp;B15&amp;"|"&amp;F15</f>
        <v>14|40544|13</v>
      </c>
      <c r="V15" s="32">
        <f>VLOOKUP(A15,Sheet2!A:H,3,FALSE)</f>
        <v>0.45450000000000002</v>
      </c>
      <c r="W15" s="32">
        <f>VLOOKUP(A15,Sheet2!A:H,4,FALSE)</f>
        <v>0.72</v>
      </c>
      <c r="X15" s="32">
        <f>VLOOKUP(A15,Sheet2!A:H,7,FALSE)</f>
        <v>71</v>
      </c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 spans="1:37" x14ac:dyDescent="0.2">
      <c r="A16" s="4">
        <v>15</v>
      </c>
      <c r="B16" s="5">
        <v>40544</v>
      </c>
      <c r="C16" s="4">
        <v>1</v>
      </c>
      <c r="D16" s="4">
        <v>0</v>
      </c>
      <c r="E16" s="4">
        <v>1</v>
      </c>
      <c r="F16" s="4">
        <v>14</v>
      </c>
      <c r="G16" s="4" t="b">
        <v>0</v>
      </c>
      <c r="H16" s="4">
        <v>6</v>
      </c>
      <c r="I16" s="4">
        <v>2</v>
      </c>
      <c r="J16" s="4">
        <v>0.46</v>
      </c>
      <c r="K16" s="6" t="str">
        <f>IF(H16=0,"weekend",IF(H16=6,"weekend","weekend"))</f>
        <v>weekend</v>
      </c>
      <c r="L16" s="3" t="str">
        <f>IF(C16=1,"Spring",IF(C16=2,"Summer",IF(C16=3,"Fall","Winter")))</f>
        <v>Spring</v>
      </c>
      <c r="M16" s="3">
        <f>SUM(J16:J40)</f>
        <v>10.239999999999998</v>
      </c>
      <c r="N16" s="3">
        <f>AVERAGE(J16:J625)</f>
        <v>0.19479865771812085</v>
      </c>
      <c r="O16" s="3">
        <f>COUNT(J16:J625)</f>
        <v>596</v>
      </c>
      <c r="P16" s="3" t="str">
        <f>TEXT(J16,"0.00")</f>
        <v>0.46</v>
      </c>
      <c r="Q16" s="3" t="str">
        <f>LEFT(L16,3)</f>
        <v>Spr</v>
      </c>
      <c r="R16" s="7" t="str">
        <f>RIGHT(L16,3)</f>
        <v>ing</v>
      </c>
      <c r="S16" s="8">
        <f>LEN(L16)</f>
        <v>6</v>
      </c>
      <c r="T16" s="36" t="str">
        <f>A16&amp;"|"&amp;B16&amp;"|"&amp;F16</f>
        <v>15|40544|14</v>
      </c>
      <c r="V16" s="32">
        <f>VLOOKUP(A16,Sheet2!A:H,3,FALSE)</f>
        <v>0.43940000000000001</v>
      </c>
      <c r="W16" s="32">
        <f>VLOOKUP(A16,Sheet2!A:H,4,FALSE)</f>
        <v>0.77</v>
      </c>
      <c r="X16" s="32">
        <f>VLOOKUP(A16,Sheet2!A:H,7,FALSE)</f>
        <v>70</v>
      </c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 spans="1:37" x14ac:dyDescent="0.2">
      <c r="A17" s="4">
        <v>16</v>
      </c>
      <c r="B17" s="5">
        <v>40544</v>
      </c>
      <c r="C17" s="4">
        <v>1</v>
      </c>
      <c r="D17" s="4">
        <v>0</v>
      </c>
      <c r="E17" s="4">
        <v>1</v>
      </c>
      <c r="F17" s="4">
        <v>15</v>
      </c>
      <c r="G17" s="4" t="b">
        <v>0</v>
      </c>
      <c r="H17" s="4">
        <v>6</v>
      </c>
      <c r="I17" s="4">
        <v>2</v>
      </c>
      <c r="J17" s="4">
        <v>0.44</v>
      </c>
      <c r="K17" s="6" t="str">
        <f>IF(H17=0,"weekend",IF(H17=6,"weekend","weekend"))</f>
        <v>weekend</v>
      </c>
      <c r="L17" s="3" t="str">
        <f>IF(C17=1,"Spring",IF(C17=2,"Summer",IF(C17=3,"Fall","Winter")))</f>
        <v>Spring</v>
      </c>
      <c r="M17" s="3">
        <f>SUM(J17:J41)</f>
        <v>10.119999999999997</v>
      </c>
      <c r="N17" s="3">
        <f>AVERAGE(J17:J626)</f>
        <v>0.19435294117647062</v>
      </c>
      <c r="O17" s="3">
        <f>COUNT(J17:J626)</f>
        <v>595</v>
      </c>
      <c r="P17" s="3" t="str">
        <f>TEXT(J17,"0.00")</f>
        <v>0.44</v>
      </c>
      <c r="Q17" s="3" t="str">
        <f>LEFT(L17,3)</f>
        <v>Spr</v>
      </c>
      <c r="R17" s="7" t="str">
        <f>RIGHT(L17,3)</f>
        <v>ing</v>
      </c>
      <c r="S17" s="8">
        <f>LEN(L17)</f>
        <v>6</v>
      </c>
      <c r="T17" s="36" t="str">
        <f>A17&amp;"|"&amp;B17&amp;"|"&amp;F17</f>
        <v>16|40544|15</v>
      </c>
      <c r="V17" s="32">
        <f>VLOOKUP(A17,Sheet2!A:H,3,FALSE)</f>
        <v>0.42420000000000002</v>
      </c>
      <c r="W17" s="32">
        <f>VLOOKUP(A17,Sheet2!A:H,4,FALSE)</f>
        <v>0.82</v>
      </c>
      <c r="X17" s="32">
        <f>VLOOKUP(A17,Sheet2!A:H,7,FALSE)</f>
        <v>52</v>
      </c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 spans="1:37" x14ac:dyDescent="0.2">
      <c r="A18" s="4">
        <v>17</v>
      </c>
      <c r="B18" s="5">
        <v>40544</v>
      </c>
      <c r="C18" s="4">
        <v>1</v>
      </c>
      <c r="D18" s="4">
        <v>0</v>
      </c>
      <c r="E18" s="4">
        <v>1</v>
      </c>
      <c r="F18" s="4">
        <v>16</v>
      </c>
      <c r="G18" s="4" t="b">
        <v>0</v>
      </c>
      <c r="H18" s="4">
        <v>6</v>
      </c>
      <c r="I18" s="4">
        <v>2</v>
      </c>
      <c r="J18" s="4">
        <v>0.42</v>
      </c>
      <c r="K18" s="6" t="str">
        <f>IF(H18=0,"weekend",IF(H18=6,"weekend","weekend"))</f>
        <v>weekend</v>
      </c>
      <c r="L18" s="3" t="str">
        <f>IF(C18=1,"Spring",IF(C18=2,"Summer",IF(C18=3,"Fall","Winter")))</f>
        <v>Spring</v>
      </c>
      <c r="M18" s="3">
        <f>SUM(J18:J42)</f>
        <v>10.02</v>
      </c>
      <c r="N18" s="3">
        <f>AVERAGE(J18:J627)</f>
        <v>0.19393939393939397</v>
      </c>
      <c r="O18" s="3">
        <f>COUNT(J18:J627)</f>
        <v>594</v>
      </c>
      <c r="P18" s="3" t="str">
        <f>TEXT(J18,"0.00")</f>
        <v>0.42</v>
      </c>
      <c r="Q18" s="3" t="str">
        <f>LEFT(L18,3)</f>
        <v>Spr</v>
      </c>
      <c r="R18" s="7" t="str">
        <f>RIGHT(L18,3)</f>
        <v>ing</v>
      </c>
      <c r="S18" s="8">
        <f>LEN(L18)</f>
        <v>6</v>
      </c>
      <c r="T18" s="36" t="str">
        <f>A18&amp;"|"&amp;B18&amp;"|"&amp;F18</f>
        <v>17|40544|16</v>
      </c>
      <c r="V18" s="32">
        <f>VLOOKUP(A18,Sheet2!A:H,3,FALSE)</f>
        <v>0</v>
      </c>
      <c r="W18" s="32">
        <f>VLOOKUP(A18,Sheet2!A:H,4,FALSE)</f>
        <v>0.82</v>
      </c>
      <c r="X18" s="32">
        <f>VLOOKUP(A18,Sheet2!A:H,7,FALSE)</f>
        <v>52</v>
      </c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 spans="1:37" x14ac:dyDescent="0.2">
      <c r="A19" s="4">
        <v>18</v>
      </c>
      <c r="B19" s="5">
        <v>40544</v>
      </c>
      <c r="C19" s="4">
        <v>1</v>
      </c>
      <c r="D19" s="4">
        <v>0</v>
      </c>
      <c r="E19" s="4">
        <v>1</v>
      </c>
      <c r="F19" s="4">
        <v>17</v>
      </c>
      <c r="G19" s="4" t="b">
        <v>0</v>
      </c>
      <c r="H19" s="4">
        <v>6</v>
      </c>
      <c r="I19" s="4">
        <v>2</v>
      </c>
      <c r="J19" s="4">
        <v>0.44</v>
      </c>
      <c r="K19" s="6" t="str">
        <f>IF(H19=0,"weekend",IF(H19=6,"weekend","weekend"))</f>
        <v>weekend</v>
      </c>
      <c r="L19" s="3" t="str">
        <f>IF(C19=1,"Spring",IF(C19=2,"Summer",IF(C19=3,"Fall","Winter")))</f>
        <v>Spring</v>
      </c>
      <c r="M19" s="3">
        <f>SUM(J19:J43)</f>
        <v>9.9599999999999991</v>
      </c>
      <c r="N19" s="3">
        <f>AVERAGE(J19:J628)</f>
        <v>0.19355817875210796</v>
      </c>
      <c r="O19" s="3">
        <f>COUNT(J19:J628)</f>
        <v>593</v>
      </c>
      <c r="P19" s="3" t="str">
        <f>TEXT(J19,"0.00")</f>
        <v>0.44</v>
      </c>
      <c r="Q19" s="3" t="str">
        <f>LEFT(L19,3)</f>
        <v>Spr</v>
      </c>
      <c r="R19" s="7" t="str">
        <f>RIGHT(L19,3)</f>
        <v>ing</v>
      </c>
      <c r="S19" s="8">
        <f>LEN(L19)</f>
        <v>6</v>
      </c>
      <c r="T19" s="36" t="str">
        <f>A19&amp;"|"&amp;B19&amp;"|"&amp;F19</f>
        <v>18|40544|17</v>
      </c>
      <c r="V19" s="32">
        <f>VLOOKUP(A19,Sheet2!A:H,3,FALSE)</f>
        <v>0.42420000000000002</v>
      </c>
      <c r="W19" s="32">
        <f>VLOOKUP(A19,Sheet2!A:H,4,FALSE)</f>
        <v>0.88</v>
      </c>
      <c r="X19" s="32">
        <f>VLOOKUP(A19,Sheet2!A:H,7,FALSE)</f>
        <v>26</v>
      </c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</row>
    <row r="20" spans="1:37" x14ac:dyDescent="0.2">
      <c r="A20" s="4">
        <v>19</v>
      </c>
      <c r="B20" s="5">
        <v>40544</v>
      </c>
      <c r="C20" s="4">
        <v>1</v>
      </c>
      <c r="D20" s="4">
        <v>0</v>
      </c>
      <c r="E20" s="4">
        <v>1</v>
      </c>
      <c r="F20" s="4">
        <v>18</v>
      </c>
      <c r="G20" s="4" t="b">
        <v>0</v>
      </c>
      <c r="H20" s="4">
        <v>6</v>
      </c>
      <c r="I20" s="4">
        <v>3</v>
      </c>
      <c r="J20" s="4">
        <v>0.42</v>
      </c>
      <c r="K20" s="6" t="str">
        <f>IF(H20=0,"weekend",IF(H20=6,"weekend","weekend"))</f>
        <v>weekend</v>
      </c>
      <c r="L20" s="3" t="str">
        <f>IF(C20=1,"Spring",IF(C20=2,"Summer",IF(C20=3,"Fall","Winter")))</f>
        <v>Spring</v>
      </c>
      <c r="M20" s="3">
        <f>SUM(J20:J44)</f>
        <v>9.8400000000000016</v>
      </c>
      <c r="N20" s="3">
        <f>AVERAGE(J20:J629)</f>
        <v>0.19314189189189193</v>
      </c>
      <c r="O20" s="3">
        <f>COUNT(J20:J629)</f>
        <v>592</v>
      </c>
      <c r="P20" s="3" t="str">
        <f>TEXT(J20,"0.00")</f>
        <v>0.42</v>
      </c>
      <c r="Q20" s="3" t="str">
        <f>LEFT(L20,3)</f>
        <v>Spr</v>
      </c>
      <c r="R20" s="7" t="str">
        <f>RIGHT(L20,3)</f>
        <v>ing</v>
      </c>
      <c r="S20" s="8">
        <f>LEN(L20)</f>
        <v>6</v>
      </c>
      <c r="T20" s="36" t="str">
        <f>A20&amp;"|"&amp;B20&amp;"|"&amp;F20</f>
        <v>19|40544|18</v>
      </c>
      <c r="V20" s="32">
        <f>VLOOKUP(A20,Sheet2!A:H,3,FALSE)</f>
        <v>0.42420000000000002</v>
      </c>
      <c r="W20" s="32">
        <f>VLOOKUP(A20,Sheet2!A:H,4,FALSE)</f>
        <v>0.88</v>
      </c>
      <c r="X20" s="32">
        <f>VLOOKUP(A20,Sheet2!A:H,7,FALSE)</f>
        <v>31</v>
      </c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spans="1:37" x14ac:dyDescent="0.2">
      <c r="A21" s="4">
        <v>20</v>
      </c>
      <c r="B21" s="5">
        <v>40544</v>
      </c>
      <c r="C21" s="4">
        <v>1</v>
      </c>
      <c r="D21" s="4">
        <v>0</v>
      </c>
      <c r="E21" s="4">
        <v>1</v>
      </c>
      <c r="F21" s="4">
        <v>19</v>
      </c>
      <c r="G21" s="4" t="b">
        <v>0</v>
      </c>
      <c r="H21" s="4">
        <v>6</v>
      </c>
      <c r="I21" s="4">
        <v>3</v>
      </c>
      <c r="J21" s="4">
        <v>0.42</v>
      </c>
      <c r="K21" s="6" t="str">
        <f>IF(H21=0,"weekend",IF(H21=6,"weekend","weekend"))</f>
        <v>weekend</v>
      </c>
      <c r="L21" s="3" t="str">
        <f>IF(C21=1,"Spring",IF(C21=2,"Summer",IF(C21=3,"Fall","Winter")))</f>
        <v>Spring</v>
      </c>
      <c r="M21" s="3">
        <f>SUM(J21:J45)</f>
        <v>9.7200000000000024</v>
      </c>
      <c r="N21" s="3">
        <f>AVERAGE(J21:J630)</f>
        <v>0.19275803722504234</v>
      </c>
      <c r="O21" s="3">
        <f>COUNT(J21:J630)</f>
        <v>591</v>
      </c>
      <c r="P21" s="3" t="str">
        <f>TEXT(J21,"0.00")</f>
        <v>0.42</v>
      </c>
      <c r="Q21" s="3" t="str">
        <f>LEFT(L21,3)</f>
        <v>Spr</v>
      </c>
      <c r="R21" s="7" t="str">
        <f>RIGHT(L21,3)</f>
        <v>ing</v>
      </c>
      <c r="S21" s="8">
        <f>LEN(L21)</f>
        <v>6</v>
      </c>
      <c r="T21" s="36" t="str">
        <f>A21&amp;"|"&amp;B21&amp;"|"&amp;F21</f>
        <v>20|40544|19</v>
      </c>
      <c r="V21" s="32">
        <f>VLOOKUP(A21,Sheet2!A:H,3,FALSE)</f>
        <v>0.40910000000000002</v>
      </c>
      <c r="W21" s="32">
        <f>VLOOKUP(A21,Sheet2!A:H,4,FALSE)</f>
        <v>0.87</v>
      </c>
      <c r="X21" s="32">
        <f>VLOOKUP(A21,Sheet2!A:H,7,FALSE)</f>
        <v>25</v>
      </c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spans="1:37" x14ac:dyDescent="0.2">
      <c r="A22" s="4">
        <v>21</v>
      </c>
      <c r="B22" s="5">
        <v>40544</v>
      </c>
      <c r="C22" s="4">
        <v>1</v>
      </c>
      <c r="D22" s="4">
        <v>0</v>
      </c>
      <c r="E22" s="4">
        <v>1</v>
      </c>
      <c r="F22" s="4">
        <v>20</v>
      </c>
      <c r="G22" s="4" t="b">
        <v>0</v>
      </c>
      <c r="H22" s="4">
        <v>6</v>
      </c>
      <c r="I22" s="4">
        <v>2</v>
      </c>
      <c r="J22" s="4">
        <v>0.4</v>
      </c>
      <c r="K22" s="6" t="str">
        <f>IF(H22=0,"weekend",IF(H22=6,"weekend","weekend"))</f>
        <v>weekend</v>
      </c>
      <c r="L22" s="3" t="str">
        <f>IF(C22=1,"Spring",IF(C22=2,"Summer",IF(C22=3,"Fall","Winter")))</f>
        <v>Spring</v>
      </c>
      <c r="M22" s="3">
        <f>SUM(J22:J46)</f>
        <v>9.5600000000000023</v>
      </c>
      <c r="N22" s="3">
        <f>AVERAGE(J22:J631)</f>
        <v>0.19237288135593222</v>
      </c>
      <c r="O22" s="3">
        <f>COUNT(J22:J631)</f>
        <v>590</v>
      </c>
      <c r="P22" s="3" t="str">
        <f>TEXT(J22,"0.00")</f>
        <v>0.40</v>
      </c>
      <c r="Q22" s="3" t="str">
        <f>LEFT(L22,3)</f>
        <v>Spr</v>
      </c>
      <c r="R22" s="7" t="str">
        <f>RIGHT(L22,3)</f>
        <v>ing</v>
      </c>
      <c r="S22" s="8">
        <f>LEN(L22)</f>
        <v>6</v>
      </c>
      <c r="T22" s="36" t="str">
        <f>A22&amp;"|"&amp;B22&amp;"|"&amp;F22</f>
        <v>21|40544|20</v>
      </c>
      <c r="V22" s="32">
        <f>VLOOKUP(A22,Sheet2!A:H,3,FALSE)</f>
        <v>0.40910000000000002</v>
      </c>
      <c r="W22" s="32">
        <f>VLOOKUP(A22,Sheet2!A:H,4,FALSE)</f>
        <v>0.87</v>
      </c>
      <c r="X22" s="32">
        <f>VLOOKUP(A22,Sheet2!A:H,7,FALSE)</f>
        <v>31</v>
      </c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spans="1:37" x14ac:dyDescent="0.2">
      <c r="A23" s="4">
        <v>22</v>
      </c>
      <c r="B23" s="5">
        <v>40544</v>
      </c>
      <c r="C23" s="4">
        <v>1</v>
      </c>
      <c r="D23" s="4">
        <v>0</v>
      </c>
      <c r="E23" s="4">
        <v>1</v>
      </c>
      <c r="F23" s="4">
        <v>21</v>
      </c>
      <c r="G23" s="4" t="b">
        <v>0</v>
      </c>
      <c r="H23" s="4">
        <v>6</v>
      </c>
      <c r="I23" s="4">
        <v>2</v>
      </c>
      <c r="J23" s="4">
        <v>0.4</v>
      </c>
      <c r="K23" s="6" t="str">
        <f>IF(H23=0,"weekend",IF(H23=6,"weekend","weekend"))</f>
        <v>weekend</v>
      </c>
      <c r="L23" s="3" t="str">
        <f>IF(C23=1,"Spring",IF(C23=2,"Summer",IF(C23=3,"Fall","Winter")))</f>
        <v>Spring</v>
      </c>
      <c r="M23" s="3">
        <f>SUM(J23:J47)</f>
        <v>9.4000000000000021</v>
      </c>
      <c r="N23" s="3">
        <f>AVERAGE(J23:J632)</f>
        <v>0.19202037351443124</v>
      </c>
      <c r="O23" s="3">
        <f>COUNT(J23:J632)</f>
        <v>589</v>
      </c>
      <c r="P23" s="3" t="str">
        <f>TEXT(J23,"0.00")</f>
        <v>0.40</v>
      </c>
      <c r="Q23" s="3" t="str">
        <f>LEFT(L23,3)</f>
        <v>Spr</v>
      </c>
      <c r="R23" s="7" t="str">
        <f>RIGHT(L23,3)</f>
        <v>ing</v>
      </c>
      <c r="S23" s="8">
        <f>LEN(L23)</f>
        <v>6</v>
      </c>
      <c r="T23" s="36" t="str">
        <f>A23&amp;"|"&amp;B23&amp;"|"&amp;F23</f>
        <v>22|40544|21</v>
      </c>
      <c r="V23" s="32">
        <f>VLOOKUP(A23,Sheet2!A:H,3,FALSE)</f>
        <v>0.40910000000000002</v>
      </c>
      <c r="W23" s="32">
        <f>VLOOKUP(A23,Sheet2!A:H,4,FALSE)</f>
        <v>0.94</v>
      </c>
      <c r="X23" s="32">
        <f>VLOOKUP(A23,Sheet2!A:H,7,FALSE)</f>
        <v>17</v>
      </c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spans="1:37" x14ac:dyDescent="0.2">
      <c r="A24" s="4">
        <v>23</v>
      </c>
      <c r="B24" s="5">
        <v>40544</v>
      </c>
      <c r="C24" s="4">
        <v>1</v>
      </c>
      <c r="D24" s="4">
        <v>0</v>
      </c>
      <c r="E24" s="4">
        <v>1</v>
      </c>
      <c r="F24" s="4">
        <v>22</v>
      </c>
      <c r="G24" s="4" t="b">
        <v>0</v>
      </c>
      <c r="H24" s="4">
        <v>6</v>
      </c>
      <c r="I24" s="4">
        <v>2</v>
      </c>
      <c r="J24" s="4">
        <v>0.4</v>
      </c>
      <c r="K24" s="6" t="str">
        <f>IF(H24=0,"weekend",IF(H24=6,"weekend","weekend"))</f>
        <v>weekend</v>
      </c>
      <c r="L24" s="3" t="str">
        <f>IF(C24=1,"Spring",IF(C24=2,"Summer",IF(C24=3,"Fall","Winter")))</f>
        <v>Spring</v>
      </c>
      <c r="M24" s="3">
        <f>SUM(J24:J48)</f>
        <v>9.2200000000000024</v>
      </c>
      <c r="N24" s="3">
        <f>AVERAGE(J24:J633)</f>
        <v>0.19166666666666671</v>
      </c>
      <c r="O24" s="3">
        <f>COUNT(J24:J633)</f>
        <v>588</v>
      </c>
      <c r="P24" s="3" t="str">
        <f>TEXT(J24,"0.00")</f>
        <v>0.40</v>
      </c>
      <c r="Q24" s="3" t="str">
        <f>LEFT(L24,3)</f>
        <v>Spr</v>
      </c>
      <c r="R24" s="7" t="str">
        <f>RIGHT(L24,3)</f>
        <v>ing</v>
      </c>
      <c r="S24" s="8">
        <f>LEN(L24)</f>
        <v>6</v>
      </c>
      <c r="T24" s="36" t="str">
        <f>A24&amp;"|"&amp;B24&amp;"|"&amp;F24</f>
        <v>23|40544|22</v>
      </c>
      <c r="V24" s="32">
        <f>VLOOKUP(A24,Sheet2!A:H,3,FALSE)</f>
        <v>0</v>
      </c>
      <c r="W24" s="32">
        <f>VLOOKUP(A24,Sheet2!A:H,4,FALSE)</f>
        <v>0.88</v>
      </c>
      <c r="X24" s="32">
        <f>VLOOKUP(A24,Sheet2!A:H,7,FALSE)</f>
        <v>24</v>
      </c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spans="1:37" x14ac:dyDescent="0.2">
      <c r="A25" s="4">
        <v>24</v>
      </c>
      <c r="B25" s="5">
        <v>40544</v>
      </c>
      <c r="C25" s="4">
        <v>1</v>
      </c>
      <c r="D25" s="4">
        <v>0</v>
      </c>
      <c r="E25" s="4">
        <v>1</v>
      </c>
      <c r="F25" s="4">
        <v>23</v>
      </c>
      <c r="G25" s="4" t="b">
        <v>0</v>
      </c>
      <c r="H25" s="4">
        <v>6</v>
      </c>
      <c r="I25" s="4">
        <v>2</v>
      </c>
      <c r="J25" s="4">
        <v>0.46</v>
      </c>
      <c r="K25" s="6" t="str">
        <f>IF(H25=0,"weekend",IF(H25=6,"weekend","weekend"))</f>
        <v>weekend</v>
      </c>
      <c r="L25" s="3" t="str">
        <f>IF(C25=1,"Spring",IF(C25=2,"Summer",IF(C25=3,"Fall","Winter")))</f>
        <v>Spring</v>
      </c>
      <c r="M25" s="3">
        <f>SUM(J25:J49)</f>
        <v>9.0400000000000027</v>
      </c>
      <c r="N25" s="3">
        <f>AVERAGE(J25:J634)</f>
        <v>0.19131175468483819</v>
      </c>
      <c r="O25" s="3">
        <f>COUNT(J25:J634)</f>
        <v>587</v>
      </c>
      <c r="P25" s="3" t="str">
        <f>TEXT(J25,"0.00")</f>
        <v>0.46</v>
      </c>
      <c r="Q25" s="3" t="str">
        <f>LEFT(L25,3)</f>
        <v>Spr</v>
      </c>
      <c r="R25" s="7" t="str">
        <f>RIGHT(L25,3)</f>
        <v>ing</v>
      </c>
      <c r="S25" s="8">
        <f>LEN(L25)</f>
        <v>6</v>
      </c>
      <c r="T25" s="36" t="str">
        <f>A25&amp;"|"&amp;B25&amp;"|"&amp;F25</f>
        <v>24|40544|23</v>
      </c>
      <c r="V25" s="32">
        <f>VLOOKUP(A25,Sheet2!A:H,3,FALSE)</f>
        <v>0.45450000000000002</v>
      </c>
      <c r="W25" s="32">
        <f>VLOOKUP(A25,Sheet2!A:H,4,FALSE)</f>
        <v>0.88</v>
      </c>
      <c r="X25" s="32">
        <f>VLOOKUP(A25,Sheet2!A:H,7,FALSE)</f>
        <v>13</v>
      </c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spans="1:37" x14ac:dyDescent="0.2">
      <c r="A26" s="4">
        <v>25</v>
      </c>
      <c r="B26" s="5">
        <v>40575</v>
      </c>
      <c r="C26" s="4">
        <v>1</v>
      </c>
      <c r="D26" s="4">
        <v>0</v>
      </c>
      <c r="E26" s="4">
        <v>1</v>
      </c>
      <c r="F26" s="4">
        <v>0</v>
      </c>
      <c r="G26" s="4" t="b">
        <v>0</v>
      </c>
      <c r="H26" s="4">
        <v>0</v>
      </c>
      <c r="I26" s="4">
        <v>2</v>
      </c>
      <c r="J26" s="4">
        <v>0.46</v>
      </c>
      <c r="K26" s="6" t="str">
        <f>IF(H26=0,"weekend",IF(H26=6,"weekend","weekend"))</f>
        <v>weekend</v>
      </c>
      <c r="L26" s="3" t="str">
        <f>IF(C26=1,"Spring",IF(C26=2,"Summer",IF(C26=3,"Fall","Winter")))</f>
        <v>Spring</v>
      </c>
      <c r="M26" s="3">
        <f>SUM(J26:J50)</f>
        <v>8.7800000000000011</v>
      </c>
      <c r="N26" s="3">
        <f>AVERAGE(J26:J635)</f>
        <v>0.19085324232081913</v>
      </c>
      <c r="O26" s="3">
        <f>COUNT(J26:J635)</f>
        <v>586</v>
      </c>
      <c r="P26" s="3" t="str">
        <f>TEXT(J26,"0.00")</f>
        <v>0.46</v>
      </c>
      <c r="Q26" s="3" t="str">
        <f>LEFT(L26,3)</f>
        <v>Spr</v>
      </c>
      <c r="R26" s="7" t="str">
        <f>RIGHT(L26,3)</f>
        <v>ing</v>
      </c>
      <c r="S26" s="8">
        <f>LEN(L26)</f>
        <v>6</v>
      </c>
      <c r="T26" s="36" t="str">
        <f>A26&amp;"|"&amp;B26&amp;"|"&amp;F26</f>
        <v>25|40575|0</v>
      </c>
      <c r="V26" s="32">
        <f>VLOOKUP(A26,Sheet2!A:H,3,FALSE)</f>
        <v>0.43940000000000001</v>
      </c>
      <c r="W26" s="32">
        <f>VLOOKUP(A26,Sheet2!A:H,4,FALSE)</f>
        <v>0.94</v>
      </c>
      <c r="X26" s="32">
        <f>VLOOKUP(A26,Sheet2!A:H,7,FALSE)</f>
        <v>16</v>
      </c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spans="1:37" x14ac:dyDescent="0.2">
      <c r="A27" s="4">
        <v>26</v>
      </c>
      <c r="B27" s="5">
        <v>40575</v>
      </c>
      <c r="C27" s="4">
        <v>1</v>
      </c>
      <c r="D27" s="4">
        <v>0</v>
      </c>
      <c r="E27" s="4">
        <v>1</v>
      </c>
      <c r="F27" s="4">
        <v>1</v>
      </c>
      <c r="G27" s="4" t="b">
        <v>0</v>
      </c>
      <c r="H27" s="4">
        <v>0</v>
      </c>
      <c r="I27" s="4">
        <v>2</v>
      </c>
      <c r="J27" s="4">
        <v>0.44</v>
      </c>
      <c r="K27" s="6" t="str">
        <f>IF(H27=0,"weekend",IF(H27=6,"weekend","weekend"))</f>
        <v>weekend</v>
      </c>
      <c r="L27" s="3" t="str">
        <f>IF(C27=1,"Spring",IF(C27=2,"Summer",IF(C27=3,"Fall","Winter")))</f>
        <v>Spring</v>
      </c>
      <c r="M27" s="3">
        <f>SUM(J27:J51)</f>
        <v>8.48</v>
      </c>
      <c r="N27" s="3">
        <f>AVERAGE(J27:J636)</f>
        <v>0.1903931623931624</v>
      </c>
      <c r="O27" s="3">
        <f>COUNT(J27:J636)</f>
        <v>585</v>
      </c>
      <c r="P27" s="3" t="str">
        <f>TEXT(J27,"0.00")</f>
        <v>0.44</v>
      </c>
      <c r="Q27" s="3" t="str">
        <f>LEFT(L27,3)</f>
        <v>Spr</v>
      </c>
      <c r="R27" s="7" t="str">
        <f>RIGHT(L27,3)</f>
        <v>ing</v>
      </c>
      <c r="S27" s="8">
        <f>LEN(L27)</f>
        <v>6</v>
      </c>
      <c r="T27" s="36" t="str">
        <f>A27&amp;"|"&amp;B27&amp;"|"&amp;F27</f>
        <v>26|40575|1</v>
      </c>
      <c r="V27" s="32">
        <f>VLOOKUP(A27,Sheet2!A:H,3,FALSE)</f>
        <v>0.42420000000000002</v>
      </c>
      <c r="W27" s="32">
        <f>VLOOKUP(A27,Sheet2!A:H,4,FALSE)</f>
        <v>1</v>
      </c>
      <c r="X27" s="32">
        <f>VLOOKUP(A27,Sheet2!A:H,7,FALSE)</f>
        <v>8</v>
      </c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spans="1:37" x14ac:dyDescent="0.2">
      <c r="A28" s="4">
        <v>27</v>
      </c>
      <c r="B28" s="5">
        <v>40575</v>
      </c>
      <c r="C28" s="4">
        <v>1</v>
      </c>
      <c r="D28" s="4">
        <v>0</v>
      </c>
      <c r="E28" s="4">
        <v>1</v>
      </c>
      <c r="F28" s="4">
        <v>2</v>
      </c>
      <c r="G28" s="4" t="b">
        <v>0</v>
      </c>
      <c r="H28" s="4">
        <v>0</v>
      </c>
      <c r="I28" s="4">
        <v>2</v>
      </c>
      <c r="J28" s="4">
        <v>0.42</v>
      </c>
      <c r="K28" s="6" t="str">
        <f>IF(H28=0,"weekend",IF(H28=6,"weekend","weekend"))</f>
        <v>weekend</v>
      </c>
      <c r="L28" s="3" t="str">
        <f>IF(C28=1,"Spring",IF(C28=2,"Summer",IF(C28=3,"Fall","Winter")))</f>
        <v>Spring</v>
      </c>
      <c r="M28" s="3">
        <f>SUM(J28:J52)</f>
        <v>8.1999999999999993</v>
      </c>
      <c r="N28" s="3">
        <f>AVERAGE(J28:J637)</f>
        <v>0.18996575342465752</v>
      </c>
      <c r="O28" s="3">
        <f>COUNT(J28:J637)</f>
        <v>584</v>
      </c>
      <c r="P28" s="3" t="str">
        <f>TEXT(J28,"0.00")</f>
        <v>0.42</v>
      </c>
      <c r="Q28" s="3" t="str">
        <f>LEFT(L28,3)</f>
        <v>Spr</v>
      </c>
      <c r="R28" s="7" t="str">
        <f>RIGHT(L28,3)</f>
        <v>ing</v>
      </c>
      <c r="S28" s="8">
        <f>LEN(L28)</f>
        <v>6</v>
      </c>
      <c r="T28" s="36" t="str">
        <f>A28&amp;"|"&amp;B28&amp;"|"&amp;F28</f>
        <v>27|40575|2</v>
      </c>
      <c r="V28" s="32">
        <f>VLOOKUP(A28,Sheet2!A:H,3,FALSE)</f>
        <v>0.45450000000000002</v>
      </c>
      <c r="W28" s="32">
        <f>VLOOKUP(A28,Sheet2!A:H,4,FALSE)</f>
        <v>0.94</v>
      </c>
      <c r="X28" s="32">
        <f>VLOOKUP(A28,Sheet2!A:H,7,FALSE)</f>
        <v>4</v>
      </c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spans="1:37" x14ac:dyDescent="0.2">
      <c r="A29" s="4">
        <v>28</v>
      </c>
      <c r="B29" s="5">
        <v>40575</v>
      </c>
      <c r="C29" s="4">
        <v>1</v>
      </c>
      <c r="D29" s="4">
        <v>0</v>
      </c>
      <c r="E29" s="4">
        <v>1</v>
      </c>
      <c r="F29" s="4">
        <v>3</v>
      </c>
      <c r="G29" s="4" t="b">
        <v>0</v>
      </c>
      <c r="H29" s="4">
        <v>0</v>
      </c>
      <c r="I29" s="4">
        <v>2</v>
      </c>
      <c r="J29" s="4">
        <v>0.46</v>
      </c>
      <c r="K29" s="6" t="str">
        <f>IF(H29=0,"weekend",IF(H29=6,"weekend","weekend"))</f>
        <v>weekend</v>
      </c>
      <c r="L29" s="3" t="str">
        <f>IF(C29=1,"Spring",IF(C29=2,"Summer",IF(C29=3,"Fall","Winter")))</f>
        <v>Spring</v>
      </c>
      <c r="M29" s="3">
        <f>SUM(J29:J53)</f>
        <v>7.919999999999999</v>
      </c>
      <c r="N29" s="3">
        <f>AVERAGE(J29:J638)</f>
        <v>0.18957118353344768</v>
      </c>
      <c r="O29" s="3">
        <f>COUNT(J29:J638)</f>
        <v>583</v>
      </c>
      <c r="P29" s="3" t="str">
        <f>TEXT(J29,"0.00")</f>
        <v>0.46</v>
      </c>
      <c r="Q29" s="3" t="str">
        <f>LEFT(L29,3)</f>
        <v>Spr</v>
      </c>
      <c r="R29" s="7" t="str">
        <f>RIGHT(L29,3)</f>
        <v>ing</v>
      </c>
      <c r="S29" s="8">
        <f>LEN(L29)</f>
        <v>6</v>
      </c>
      <c r="T29" s="36" t="str">
        <f>A29&amp;"|"&amp;B29&amp;"|"&amp;F29</f>
        <v>28|40575|3</v>
      </c>
      <c r="V29" s="32">
        <f>VLOOKUP(A29,Sheet2!A:H,3,FALSE)</f>
        <v>0</v>
      </c>
      <c r="W29" s="32">
        <f>VLOOKUP(A29,Sheet2!A:H,4,FALSE)</f>
        <v>0.94</v>
      </c>
      <c r="X29" s="32">
        <f>VLOOKUP(A29,Sheet2!A:H,7,FALSE)</f>
        <v>1</v>
      </c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spans="1:37" x14ac:dyDescent="0.2">
      <c r="A30" s="4">
        <v>29</v>
      </c>
      <c r="B30" s="5">
        <v>40575</v>
      </c>
      <c r="C30" s="4">
        <v>1</v>
      </c>
      <c r="D30" s="4">
        <v>0</v>
      </c>
      <c r="E30" s="4">
        <v>1</v>
      </c>
      <c r="F30" s="4">
        <v>4</v>
      </c>
      <c r="G30" s="4" t="b">
        <v>0</v>
      </c>
      <c r="H30" s="4">
        <v>0</v>
      </c>
      <c r="I30" s="4">
        <v>2</v>
      </c>
      <c r="J30" s="4">
        <v>0.46</v>
      </c>
      <c r="K30" s="6" t="str">
        <f>IF(H30=0,"weekend",IF(H30=6,"weekend","weekend"))</f>
        <v>weekend</v>
      </c>
      <c r="L30" s="3" t="str">
        <f>IF(C30=1,"Spring",IF(C30=2,"Summer",IF(C30=3,"Fall","Winter")))</f>
        <v>Spring</v>
      </c>
      <c r="M30" s="3">
        <f>SUM(J30:J54)</f>
        <v>7.5999999999999988</v>
      </c>
      <c r="N30" s="3">
        <f>AVERAGE(J30:J639)</f>
        <v>0.18910652920962201</v>
      </c>
      <c r="O30" s="3">
        <f>COUNT(J30:J639)</f>
        <v>582</v>
      </c>
      <c r="P30" s="3" t="str">
        <f>TEXT(J30,"0.00")</f>
        <v>0.46</v>
      </c>
      <c r="Q30" s="3" t="str">
        <f>LEFT(L30,3)</f>
        <v>Spr</v>
      </c>
      <c r="R30" s="7" t="str">
        <f>RIGHT(L30,3)</f>
        <v>ing</v>
      </c>
      <c r="S30" s="8">
        <f>LEN(L30)</f>
        <v>6</v>
      </c>
      <c r="T30" s="36" t="str">
        <f>A30&amp;"|"&amp;B30&amp;"|"&amp;F30</f>
        <v>29|40575|4</v>
      </c>
      <c r="V30" s="32">
        <f>VLOOKUP(A30,Sheet2!A:H,3,FALSE)</f>
        <v>0.42420000000000002</v>
      </c>
      <c r="W30" s="32">
        <f>VLOOKUP(A30,Sheet2!A:H,4,FALSE)</f>
        <v>0.77</v>
      </c>
      <c r="X30" s="32">
        <f>VLOOKUP(A30,Sheet2!A:H,7,FALSE)</f>
        <v>2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spans="1:37" x14ac:dyDescent="0.2">
      <c r="A31" s="4">
        <v>30</v>
      </c>
      <c r="B31" s="5">
        <v>40575</v>
      </c>
      <c r="C31" s="4">
        <v>1</v>
      </c>
      <c r="D31" s="4">
        <v>0</v>
      </c>
      <c r="E31" s="4">
        <v>1</v>
      </c>
      <c r="F31" s="4">
        <v>6</v>
      </c>
      <c r="G31" s="4" t="b">
        <v>0</v>
      </c>
      <c r="H31" s="4">
        <v>0</v>
      </c>
      <c r="I31" s="4">
        <v>3</v>
      </c>
      <c r="J31" s="4">
        <v>0.42</v>
      </c>
      <c r="K31" s="6" t="str">
        <f>IF(H31=0,"weekend",IF(H31=6,"weekend","weekend"))</f>
        <v>weekend</v>
      </c>
      <c r="L31" s="3" t="str">
        <f>IF(C31=1,"Spring",IF(C31=2,"Summer",IF(C31=3,"Fall","Winter")))</f>
        <v>Spring</v>
      </c>
      <c r="M31" s="3">
        <f>SUM(J31:J55)</f>
        <v>7.2799999999999985</v>
      </c>
      <c r="N31" s="3">
        <f>AVERAGE(J31:J640)</f>
        <v>0.18864027538726333</v>
      </c>
      <c r="O31" s="3">
        <f>COUNT(J31:J640)</f>
        <v>581</v>
      </c>
      <c r="P31" s="3" t="str">
        <f>TEXT(J31,"0.00")</f>
        <v>0.42</v>
      </c>
      <c r="Q31" s="3" t="str">
        <f>LEFT(L31,3)</f>
        <v>Spr</v>
      </c>
      <c r="R31" s="7" t="str">
        <f>RIGHT(L31,3)</f>
        <v>ing</v>
      </c>
      <c r="S31" s="8">
        <f>LEN(L31)</f>
        <v>6</v>
      </c>
      <c r="T31" s="36" t="str">
        <f>A31&amp;"|"&amp;B31&amp;"|"&amp;F31</f>
        <v>30|40575|6</v>
      </c>
      <c r="V31" s="32">
        <f>VLOOKUP(A31,Sheet2!A:H,3,FALSE)</f>
        <v>0.40910000000000002</v>
      </c>
      <c r="W31" s="32">
        <f>VLOOKUP(A31,Sheet2!A:H,4,FALSE)</f>
        <v>0.76</v>
      </c>
      <c r="X31" s="32">
        <f>VLOOKUP(A31,Sheet2!A:H,7,FALSE)</f>
        <v>1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spans="1:37" x14ac:dyDescent="0.2">
      <c r="A32" s="4">
        <v>31</v>
      </c>
      <c r="B32" s="5">
        <v>40575</v>
      </c>
      <c r="C32" s="4">
        <v>1</v>
      </c>
      <c r="D32" s="4">
        <v>0</v>
      </c>
      <c r="E32" s="4">
        <v>1</v>
      </c>
      <c r="F32" s="4">
        <v>7</v>
      </c>
      <c r="G32" s="4" t="b">
        <v>0</v>
      </c>
      <c r="H32" s="4">
        <v>0</v>
      </c>
      <c r="I32" s="4">
        <v>2</v>
      </c>
      <c r="J32" s="4">
        <v>0.4</v>
      </c>
      <c r="K32" s="6" t="str">
        <f>IF(H32=0,"weekend",IF(H32=6,"weekend","weekend"))</f>
        <v>weekend</v>
      </c>
      <c r="L32" s="3" t="str">
        <f>IF(C32=1,"Spring",IF(C32=2,"Summer",IF(C32=3,"Fall","Winter")))</f>
        <v>Spring</v>
      </c>
      <c r="M32" s="3">
        <f>SUM(J32:J56)</f>
        <v>7.0199999999999987</v>
      </c>
      <c r="N32" s="3">
        <f>AVERAGE(J32:J641)</f>
        <v>0.18824137931034482</v>
      </c>
      <c r="O32" s="3">
        <f>COUNT(J32:J641)</f>
        <v>580</v>
      </c>
      <c r="P32" s="3" t="str">
        <f>TEXT(J32,"0.00")</f>
        <v>0.40</v>
      </c>
      <c r="Q32" s="3" t="str">
        <f>LEFT(L32,3)</f>
        <v>Spr</v>
      </c>
      <c r="R32" s="7" t="str">
        <f>RIGHT(L32,3)</f>
        <v>ing</v>
      </c>
      <c r="S32" s="8">
        <f>LEN(L32)</f>
        <v>6</v>
      </c>
      <c r="T32" s="36" t="str">
        <f>A32&amp;"|"&amp;B32&amp;"|"&amp;F32</f>
        <v>31|40575|7</v>
      </c>
      <c r="V32" s="32">
        <f>VLOOKUP(A32,Sheet2!A:H,3,FALSE)</f>
        <v>0.40910000000000002</v>
      </c>
      <c r="W32" s="32">
        <f>VLOOKUP(A32,Sheet2!A:H,4,FALSE)</f>
        <v>0.71</v>
      </c>
      <c r="X32" s="32">
        <f>VLOOKUP(A32,Sheet2!A:H,7,FALSE)</f>
        <v>8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spans="1:37" x14ac:dyDescent="0.2">
      <c r="A33" s="4">
        <v>32</v>
      </c>
      <c r="B33" s="5">
        <v>40575</v>
      </c>
      <c r="C33" s="4">
        <v>1</v>
      </c>
      <c r="D33" s="4">
        <v>0</v>
      </c>
      <c r="E33" s="4">
        <v>1</v>
      </c>
      <c r="F33" s="4">
        <v>8</v>
      </c>
      <c r="G33" s="4" t="b">
        <v>0</v>
      </c>
      <c r="H33" s="4">
        <v>0</v>
      </c>
      <c r="I33" s="4">
        <v>3</v>
      </c>
      <c r="J33" s="4">
        <v>0.4</v>
      </c>
      <c r="K33" s="6" t="str">
        <f>IF(H33=0,"weekend",IF(H33=6,"weekend","weekend"))</f>
        <v>weekend</v>
      </c>
      <c r="L33" s="3" t="str">
        <f>IF(C33=1,"Spring",IF(C33=2,"Summer",IF(C33=3,"Fall","Winter")))</f>
        <v>Spring</v>
      </c>
      <c r="M33" s="3">
        <f>SUM(J33:J57)</f>
        <v>6.799999999999998</v>
      </c>
      <c r="N33" s="3">
        <f>AVERAGE(J33:J642)</f>
        <v>0.18787564766839376</v>
      </c>
      <c r="O33" s="3">
        <f>COUNT(J33:J642)</f>
        <v>579</v>
      </c>
      <c r="P33" s="3" t="str">
        <f>TEXT(J33,"0.00")</f>
        <v>0.40</v>
      </c>
      <c r="Q33" s="3" t="str">
        <f>LEFT(L33,3)</f>
        <v>Spr</v>
      </c>
      <c r="R33" s="7" t="str">
        <f>RIGHT(L33,3)</f>
        <v>ing</v>
      </c>
      <c r="S33" s="8">
        <f>LEN(L33)</f>
        <v>6</v>
      </c>
      <c r="T33" s="36" t="str">
        <f>A33&amp;"|"&amp;B33&amp;"|"&amp;F33</f>
        <v>32|40575|8</v>
      </c>
      <c r="V33" s="32">
        <f>VLOOKUP(A33,Sheet2!A:H,3,FALSE)</f>
        <v>0</v>
      </c>
      <c r="W33" s="32">
        <f>VLOOKUP(A33,Sheet2!A:H,4,FALSE)</f>
        <v>0.76</v>
      </c>
      <c r="X33" s="32">
        <f>VLOOKUP(A33,Sheet2!A:H,7,FALSE)</f>
        <v>19</v>
      </c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spans="1:37" x14ac:dyDescent="0.2">
      <c r="A34" s="4">
        <v>33</v>
      </c>
      <c r="B34" s="5">
        <v>40575</v>
      </c>
      <c r="C34" s="4">
        <v>1</v>
      </c>
      <c r="D34" s="4">
        <v>0</v>
      </c>
      <c r="E34" s="4">
        <v>1</v>
      </c>
      <c r="F34" s="4">
        <v>9</v>
      </c>
      <c r="G34" s="4" t="b">
        <v>0</v>
      </c>
      <c r="H34" s="4">
        <v>0</v>
      </c>
      <c r="I34" s="4">
        <v>2</v>
      </c>
      <c r="J34" s="4">
        <v>0.38</v>
      </c>
      <c r="K34" s="6" t="str">
        <f>IF(H34=0,"weekend",IF(H34=6,"weekend","weekend"))</f>
        <v>weekend</v>
      </c>
      <c r="L34" s="3" t="str">
        <f>IF(C34=1,"Spring",IF(C34=2,"Summer",IF(C34=3,"Fall","Winter")))</f>
        <v>Spring</v>
      </c>
      <c r="M34" s="3">
        <f>SUM(J34:J58)</f>
        <v>6.5999999999999979</v>
      </c>
      <c r="N34" s="3">
        <f>AVERAGE(J34:J643)</f>
        <v>0.18750865051903112</v>
      </c>
      <c r="O34" s="3">
        <f>COUNT(J34:J643)</f>
        <v>578</v>
      </c>
      <c r="P34" s="3" t="str">
        <f>TEXT(J34,"0.00")</f>
        <v>0.38</v>
      </c>
      <c r="Q34" s="3" t="str">
        <f>LEFT(L34,3)</f>
        <v>Spr</v>
      </c>
      <c r="R34" s="7" t="str">
        <f>RIGHT(L34,3)</f>
        <v>ing</v>
      </c>
      <c r="S34" s="8">
        <f>LEN(L34)</f>
        <v>6</v>
      </c>
      <c r="T34" s="36" t="str">
        <f>A34&amp;"|"&amp;B34&amp;"|"&amp;F34</f>
        <v>33|40575|9</v>
      </c>
      <c r="V34" s="32">
        <f>VLOOKUP(A34,Sheet2!A:H,3,FALSE)</f>
        <v>0.34849999999999998</v>
      </c>
      <c r="W34" s="32">
        <f>VLOOKUP(A34,Sheet2!A:H,4,FALSE)</f>
        <v>0.81</v>
      </c>
      <c r="X34" s="32">
        <f>VLOOKUP(A34,Sheet2!A:H,7,FALSE)</f>
        <v>46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spans="1:37" x14ac:dyDescent="0.2">
      <c r="A35" s="4">
        <v>34</v>
      </c>
      <c r="B35" s="5">
        <v>40575</v>
      </c>
      <c r="C35" s="4">
        <v>1</v>
      </c>
      <c r="D35" s="4">
        <v>0</v>
      </c>
      <c r="E35" s="4">
        <v>1</v>
      </c>
      <c r="F35" s="4">
        <v>10</v>
      </c>
      <c r="G35" s="4" t="b">
        <v>0</v>
      </c>
      <c r="H35" s="4">
        <v>0</v>
      </c>
      <c r="I35" s="4">
        <v>2</v>
      </c>
      <c r="J35" s="4">
        <v>0.36</v>
      </c>
      <c r="K35" s="6" t="str">
        <f>IF(H35=0,"weekend",IF(H35=6,"weekend","weekend"))</f>
        <v>weekend</v>
      </c>
      <c r="L35" s="3" t="str">
        <f>IF(C35=1,"Spring",IF(C35=2,"Summer",IF(C35=3,"Fall","Winter")))</f>
        <v>Spring</v>
      </c>
      <c r="M35" s="3">
        <f>SUM(J35:J59)</f>
        <v>6.4399999999999977</v>
      </c>
      <c r="N35" s="3">
        <f>AVERAGE(J35:J644)</f>
        <v>0.18717504332755633</v>
      </c>
      <c r="O35" s="3">
        <f>COUNT(J35:J644)</f>
        <v>577</v>
      </c>
      <c r="P35" s="3" t="str">
        <f>TEXT(J35,"0.00")</f>
        <v>0.36</v>
      </c>
      <c r="Q35" s="3" t="str">
        <f>LEFT(L35,3)</f>
        <v>Spr</v>
      </c>
      <c r="R35" s="7" t="str">
        <f>RIGHT(L35,3)</f>
        <v>ing</v>
      </c>
      <c r="S35" s="8">
        <f>LEN(L35)</f>
        <v>6</v>
      </c>
      <c r="T35" s="36" t="str">
        <f>A35&amp;"|"&amp;B35&amp;"|"&amp;F35</f>
        <v>34|40575|10</v>
      </c>
      <c r="V35" s="32">
        <f>VLOOKUP(A35,Sheet2!A:H,3,FALSE)</f>
        <v>0.33329999999999999</v>
      </c>
      <c r="W35" s="32">
        <f>VLOOKUP(A35,Sheet2!A:H,4,FALSE)</f>
        <v>0.71</v>
      </c>
      <c r="X35" s="32">
        <f>VLOOKUP(A35,Sheet2!A:H,7,FALSE)</f>
        <v>54</v>
      </c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</row>
    <row r="36" spans="1:37" x14ac:dyDescent="0.2">
      <c r="A36" s="4">
        <v>35</v>
      </c>
      <c r="B36" s="5">
        <v>40575</v>
      </c>
      <c r="C36" s="4">
        <v>1</v>
      </c>
      <c r="D36" s="4">
        <v>0</v>
      </c>
      <c r="E36" s="4">
        <v>1</v>
      </c>
      <c r="F36" s="4">
        <v>11</v>
      </c>
      <c r="G36" s="4" t="b">
        <v>0</v>
      </c>
      <c r="H36" s="4">
        <v>0</v>
      </c>
      <c r="I36" s="4">
        <v>2</v>
      </c>
      <c r="J36" s="4">
        <v>0.36</v>
      </c>
      <c r="K36" s="6" t="str">
        <f>IF(H36=0,"weekend",IF(H36=6,"weekend","weekend"))</f>
        <v>weekend</v>
      </c>
      <c r="L36" s="3" t="str">
        <f>IF(C36=1,"Spring",IF(C36=2,"Summer",IF(C36=3,"Fall","Winter")))</f>
        <v>Spring</v>
      </c>
      <c r="M36" s="3">
        <f>SUM(J36:J60)</f>
        <v>6.3199999999999985</v>
      </c>
      <c r="N36" s="3">
        <f>AVERAGE(J36:J645)</f>
        <v>0.18687500000000001</v>
      </c>
      <c r="O36" s="3">
        <f>COUNT(J36:J645)</f>
        <v>576</v>
      </c>
      <c r="P36" s="3" t="str">
        <f>TEXT(J36,"0.00")</f>
        <v>0.36</v>
      </c>
      <c r="Q36" s="3" t="str">
        <f>LEFT(L36,3)</f>
        <v>Spr</v>
      </c>
      <c r="R36" s="7" t="str">
        <f>RIGHT(L36,3)</f>
        <v>ing</v>
      </c>
      <c r="S36" s="8">
        <f>LEN(L36)</f>
        <v>6</v>
      </c>
      <c r="T36" s="36" t="str">
        <f>A36&amp;"|"&amp;B36&amp;"|"&amp;F36</f>
        <v>35|40575|11</v>
      </c>
      <c r="V36" s="32">
        <f>VLOOKUP(A36,Sheet2!A:H,3,FALSE)</f>
        <v>0.33329999999999999</v>
      </c>
      <c r="W36" s="32">
        <f>VLOOKUP(A36,Sheet2!A:H,4,FALSE)</f>
        <v>0.66</v>
      </c>
      <c r="X36" s="32">
        <f>VLOOKUP(A36,Sheet2!A:H,7,FALSE)</f>
        <v>73</v>
      </c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spans="1:37" x14ac:dyDescent="0.2">
      <c r="A37" s="4">
        <v>36</v>
      </c>
      <c r="B37" s="5">
        <v>40575</v>
      </c>
      <c r="C37" s="4">
        <v>1</v>
      </c>
      <c r="D37" s="4">
        <v>0</v>
      </c>
      <c r="E37" s="4">
        <v>1</v>
      </c>
      <c r="F37" s="4">
        <v>12</v>
      </c>
      <c r="G37" s="4" t="b">
        <v>0</v>
      </c>
      <c r="H37" s="4">
        <v>0</v>
      </c>
      <c r="I37" s="4">
        <v>2</v>
      </c>
      <c r="J37" s="4">
        <v>0.36</v>
      </c>
      <c r="K37" s="6" t="str">
        <f>IF(H37=0,"weekend",IF(H37=6,"weekend","weekend"))</f>
        <v>weekend</v>
      </c>
      <c r="L37" s="3" t="str">
        <f>IF(C37=1,"Spring",IF(C37=2,"Summer",IF(C37=3,"Fall","Winter")))</f>
        <v>Spring</v>
      </c>
      <c r="M37" s="3">
        <f>SUM(J37:J61)</f>
        <v>6.22</v>
      </c>
      <c r="N37" s="3">
        <f>AVERAGE(J37:J646)</f>
        <v>0.18657391304347823</v>
      </c>
      <c r="O37" s="3">
        <f>COUNT(J37:J646)</f>
        <v>575</v>
      </c>
      <c r="P37" s="3" t="str">
        <f>TEXT(J37,"0.00")</f>
        <v>0.36</v>
      </c>
      <c r="Q37" s="3" t="str">
        <f>LEFT(L37,3)</f>
        <v>Spr</v>
      </c>
      <c r="R37" s="7" t="str">
        <f>RIGHT(L37,3)</f>
        <v>ing</v>
      </c>
      <c r="S37" s="8">
        <f>LEN(L37)</f>
        <v>6</v>
      </c>
      <c r="T37" s="36" t="str">
        <f>A37&amp;"|"&amp;B37&amp;"|"&amp;F37</f>
        <v>36|40575|12</v>
      </c>
      <c r="V37" s="32">
        <f>VLOOKUP(A37,Sheet2!A:H,3,FALSE)</f>
        <v>0.34849999999999998</v>
      </c>
      <c r="W37" s="32">
        <f>VLOOKUP(A37,Sheet2!A:H,4,FALSE)</f>
        <v>0.66</v>
      </c>
      <c r="X37" s="32">
        <f>VLOOKUP(A37,Sheet2!A:H,7,FALSE)</f>
        <v>64</v>
      </c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spans="1:37" x14ac:dyDescent="0.2">
      <c r="A38" s="4">
        <v>37</v>
      </c>
      <c r="B38" s="5">
        <v>40575</v>
      </c>
      <c r="C38" s="4">
        <v>1</v>
      </c>
      <c r="D38" s="4">
        <v>0</v>
      </c>
      <c r="E38" s="4">
        <v>1</v>
      </c>
      <c r="F38" s="4">
        <v>13</v>
      </c>
      <c r="G38" s="4" t="b">
        <v>0</v>
      </c>
      <c r="H38" s="4">
        <v>0</v>
      </c>
      <c r="I38" s="4">
        <v>2</v>
      </c>
      <c r="J38" s="4">
        <v>0.36</v>
      </c>
      <c r="K38" s="6" t="str">
        <f>IF(H38=0,"weekend",IF(H38=6,"weekend","weekend"))</f>
        <v>weekend</v>
      </c>
      <c r="L38" s="3" t="str">
        <f>IF(C38=1,"Spring",IF(C38=2,"Summer",IF(C38=3,"Fall","Winter")))</f>
        <v>Spring</v>
      </c>
      <c r="M38" s="3">
        <f>SUM(J38:J62)</f>
        <v>6.1199999999999992</v>
      </c>
      <c r="N38" s="3">
        <f>AVERAGE(J38:J647)</f>
        <v>0.1862717770034843</v>
      </c>
      <c r="O38" s="3">
        <f>COUNT(J38:J647)</f>
        <v>574</v>
      </c>
      <c r="P38" s="3" t="str">
        <f>TEXT(J38,"0.00")</f>
        <v>0.36</v>
      </c>
      <c r="Q38" s="3" t="str">
        <f>LEFT(L38,3)</f>
        <v>Spr</v>
      </c>
      <c r="R38" s="7" t="str">
        <f>RIGHT(L38,3)</f>
        <v>ing</v>
      </c>
      <c r="S38" s="8">
        <f>LEN(L38)</f>
        <v>6</v>
      </c>
      <c r="T38" s="36" t="str">
        <f>A38&amp;"|"&amp;B38&amp;"|"&amp;F38</f>
        <v>37|40575|13</v>
      </c>
      <c r="V38" s="32">
        <f>VLOOKUP(A38,Sheet2!A:H,3,FALSE)</f>
        <v>0</v>
      </c>
      <c r="W38" s="32">
        <f>VLOOKUP(A38,Sheet2!A:H,4,FALSE)</f>
        <v>0.76</v>
      </c>
      <c r="X38" s="32">
        <f>VLOOKUP(A38,Sheet2!A:H,7,FALSE)</f>
        <v>55</v>
      </c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spans="1:37" x14ac:dyDescent="0.2">
      <c r="A39" s="4">
        <v>38</v>
      </c>
      <c r="B39" s="5">
        <v>40575</v>
      </c>
      <c r="C39" s="4">
        <v>1</v>
      </c>
      <c r="D39" s="4">
        <v>0</v>
      </c>
      <c r="E39" s="4">
        <v>1</v>
      </c>
      <c r="F39" s="4">
        <v>14</v>
      </c>
      <c r="G39" s="4" t="b">
        <v>0</v>
      </c>
      <c r="H39" s="4">
        <v>0</v>
      </c>
      <c r="I39" s="4">
        <v>3</v>
      </c>
      <c r="J39" s="4">
        <v>0.36</v>
      </c>
      <c r="K39" s="6" t="str">
        <f>IF(H39=0,"weekend",IF(H39=6,"weekend","weekend"))</f>
        <v>weekend</v>
      </c>
      <c r="L39" s="3" t="str">
        <f>IF(C39=1,"Spring",IF(C39=2,"Summer",IF(C39=3,"Fall","Winter")))</f>
        <v>Spring</v>
      </c>
      <c r="M39" s="3">
        <f>SUM(J39:J63)</f>
        <v>6.0200000000000005</v>
      </c>
      <c r="N39" s="3">
        <f>AVERAGE(J39:J648)</f>
        <v>0.18596858638743455</v>
      </c>
      <c r="O39" s="3">
        <f>COUNT(J39:J648)</f>
        <v>573</v>
      </c>
      <c r="P39" s="3" t="str">
        <f>TEXT(J39,"0.00")</f>
        <v>0.36</v>
      </c>
      <c r="Q39" s="3" t="str">
        <f>LEFT(L39,3)</f>
        <v>Spr</v>
      </c>
      <c r="R39" s="7" t="str">
        <f>RIGHT(L39,3)</f>
        <v>ing</v>
      </c>
      <c r="S39" s="8">
        <f>LEN(L39)</f>
        <v>6</v>
      </c>
      <c r="T39" s="36" t="str">
        <f>A39&amp;"|"&amp;B39&amp;"|"&amp;F39</f>
        <v>38|40575|14</v>
      </c>
      <c r="V39" s="32">
        <f>VLOOKUP(A39,Sheet2!A:H,3,FALSE)</f>
        <v>0.33329999999999999</v>
      </c>
      <c r="W39" s="32">
        <f>VLOOKUP(A39,Sheet2!A:H,4,FALSE)</f>
        <v>0.81</v>
      </c>
      <c r="X39" s="32">
        <f>VLOOKUP(A39,Sheet2!A:H,7,FALSE)</f>
        <v>55</v>
      </c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spans="1:37" x14ac:dyDescent="0.2">
      <c r="A40" s="4">
        <v>39</v>
      </c>
      <c r="B40" s="5">
        <v>40575</v>
      </c>
      <c r="C40" s="4">
        <v>1</v>
      </c>
      <c r="D40" s="4">
        <v>0</v>
      </c>
      <c r="E40" s="4">
        <v>1</v>
      </c>
      <c r="F40" s="4">
        <v>15</v>
      </c>
      <c r="G40" s="4" t="b">
        <v>0</v>
      </c>
      <c r="H40" s="4">
        <v>0</v>
      </c>
      <c r="I40" s="4">
        <v>3</v>
      </c>
      <c r="J40" s="4">
        <v>0.34</v>
      </c>
      <c r="K40" s="6" t="str">
        <f>IF(H40=0,"weekend",IF(H40=6,"weekend","weekend"))</f>
        <v>weekend</v>
      </c>
      <c r="L40" s="3" t="str">
        <f>IF(C40=1,"Spring",IF(C40=2,"Summer",IF(C40=3,"Fall","Winter")))</f>
        <v>Spring</v>
      </c>
      <c r="M40" s="3">
        <f>SUM(J40:J64)</f>
        <v>5.9</v>
      </c>
      <c r="N40" s="3">
        <f>AVERAGE(J40:J649)</f>
        <v>0.18566433566433566</v>
      </c>
      <c r="O40" s="3">
        <f>COUNT(J40:J649)</f>
        <v>572</v>
      </c>
      <c r="P40" s="3" t="str">
        <f>TEXT(J40,"0.00")</f>
        <v>0.34</v>
      </c>
      <c r="Q40" s="3" t="str">
        <f>LEFT(L40,3)</f>
        <v>Spr</v>
      </c>
      <c r="R40" s="7" t="str">
        <f>RIGHT(L40,3)</f>
        <v>ing</v>
      </c>
      <c r="S40" s="8">
        <f>LEN(L40)</f>
        <v>6</v>
      </c>
      <c r="T40" s="36" t="str">
        <f>A40&amp;"|"&amp;B40&amp;"|"&amp;F40</f>
        <v>39|40575|15</v>
      </c>
      <c r="V40" s="32">
        <f>VLOOKUP(A40,Sheet2!A:H,3,FALSE)</f>
        <v>0.33329999999999999</v>
      </c>
      <c r="W40" s="32">
        <f>VLOOKUP(A40,Sheet2!A:H,4,FALSE)</f>
        <v>0.71</v>
      </c>
      <c r="X40" s="32">
        <f>VLOOKUP(A40,Sheet2!A:H,7,FALSE)</f>
        <v>67</v>
      </c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spans="1:37" x14ac:dyDescent="0.2">
      <c r="A41" s="4">
        <v>40</v>
      </c>
      <c r="B41" s="5">
        <v>40575</v>
      </c>
      <c r="C41" s="4">
        <v>1</v>
      </c>
      <c r="D41" s="4">
        <v>0</v>
      </c>
      <c r="E41" s="4">
        <v>1</v>
      </c>
      <c r="F41" s="4">
        <v>16</v>
      </c>
      <c r="G41" s="4" t="b">
        <v>0</v>
      </c>
      <c r="H41" s="4">
        <v>0</v>
      </c>
      <c r="I41" s="4">
        <v>3</v>
      </c>
      <c r="J41" s="4">
        <v>0.34</v>
      </c>
      <c r="K41" s="6" t="str">
        <f>IF(H41=0,"weekend",IF(H41=6,"weekend","weekend"))</f>
        <v>weekend</v>
      </c>
      <c r="L41" s="3" t="str">
        <f>IF(C41=1,"Spring",IF(C41=2,"Summer",IF(C41=3,"Fall","Winter")))</f>
        <v>Spring</v>
      </c>
      <c r="M41" s="3">
        <f>SUM(J41:J65)</f>
        <v>5.8000000000000016</v>
      </c>
      <c r="N41" s="3">
        <f>AVERAGE(J41:J650)</f>
        <v>0.18539404553415056</v>
      </c>
      <c r="O41" s="3">
        <f>COUNT(J41:J650)</f>
        <v>571</v>
      </c>
      <c r="P41" s="3" t="str">
        <f>TEXT(J41,"0.00")</f>
        <v>0.34</v>
      </c>
      <c r="Q41" s="3" t="str">
        <f>LEFT(L41,3)</f>
        <v>Spr</v>
      </c>
      <c r="R41" s="7" t="str">
        <f>RIGHT(L41,3)</f>
        <v>ing</v>
      </c>
      <c r="S41" s="8">
        <f>LEN(L41)</f>
        <v>6</v>
      </c>
      <c r="T41" s="36" t="str">
        <f>A41&amp;"|"&amp;B41&amp;"|"&amp;F41</f>
        <v>40|40575|16</v>
      </c>
      <c r="V41" s="32">
        <f>VLOOKUP(A41,Sheet2!A:H,3,FALSE)</f>
        <v>0.33329999999999999</v>
      </c>
      <c r="W41" s="32">
        <f>VLOOKUP(A41,Sheet2!A:H,4,FALSE)</f>
        <v>0.56999999999999995</v>
      </c>
      <c r="X41" s="32">
        <f>VLOOKUP(A41,Sheet2!A:H,7,FALSE)</f>
        <v>58</v>
      </c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spans="1:37" x14ac:dyDescent="0.2">
      <c r="A42" s="4">
        <v>41</v>
      </c>
      <c r="B42" s="5">
        <v>40575</v>
      </c>
      <c r="C42" s="4">
        <v>1</v>
      </c>
      <c r="D42" s="4">
        <v>0</v>
      </c>
      <c r="E42" s="4">
        <v>1</v>
      </c>
      <c r="F42" s="4">
        <v>17</v>
      </c>
      <c r="G42" s="4" t="b">
        <v>0</v>
      </c>
      <c r="H42" s="4">
        <v>0</v>
      </c>
      <c r="I42" s="4">
        <v>1</v>
      </c>
      <c r="J42" s="4">
        <v>0.34</v>
      </c>
      <c r="K42" s="6" t="str">
        <f>IF(H42=0,"weekend",IF(H42=6,"weekend","weekend"))</f>
        <v>weekend</v>
      </c>
      <c r="L42" s="3" t="str">
        <f>IF(C42=1,"Spring",IF(C42=2,"Summer",IF(C42=3,"Fall","Winter")))</f>
        <v>Spring</v>
      </c>
      <c r="M42" s="3">
        <f>SUM(J42:J66)</f>
        <v>5.6600000000000019</v>
      </c>
      <c r="N42" s="3">
        <f>AVERAGE(J42:J651)</f>
        <v>0.1851228070175438</v>
      </c>
      <c r="O42" s="3">
        <f>COUNT(J42:J651)</f>
        <v>570</v>
      </c>
      <c r="P42" s="3" t="str">
        <f>TEXT(J42,"0.00")</f>
        <v>0.34</v>
      </c>
      <c r="Q42" s="3" t="str">
        <f>LEFT(L42,3)</f>
        <v>Spr</v>
      </c>
      <c r="R42" s="7" t="str">
        <f>RIGHT(L42,3)</f>
        <v>ing</v>
      </c>
      <c r="S42" s="8">
        <f>LEN(L42)</f>
        <v>6</v>
      </c>
      <c r="T42" s="36" t="str">
        <f>A42&amp;"|"&amp;B42&amp;"|"&amp;F42</f>
        <v>41|40575|17</v>
      </c>
      <c r="V42" s="32">
        <f>VLOOKUP(A42,Sheet2!A:H,3,FALSE)</f>
        <v>0.33329999999999999</v>
      </c>
      <c r="W42" s="32">
        <f>VLOOKUP(A42,Sheet2!A:H,4,FALSE)</f>
        <v>0.46</v>
      </c>
      <c r="X42" s="32">
        <f>VLOOKUP(A42,Sheet2!A:H,7,FALSE)</f>
        <v>43</v>
      </c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spans="1:37" x14ac:dyDescent="0.2">
      <c r="A43" s="4">
        <v>42</v>
      </c>
      <c r="B43" s="5">
        <v>40575</v>
      </c>
      <c r="C43" s="4">
        <v>1</v>
      </c>
      <c r="D43" s="4">
        <v>0</v>
      </c>
      <c r="E43" s="4">
        <v>1</v>
      </c>
      <c r="F43" s="4">
        <v>18</v>
      </c>
      <c r="G43" s="4" t="b">
        <v>0</v>
      </c>
      <c r="H43" s="4">
        <v>0</v>
      </c>
      <c r="I43" s="4">
        <v>2</v>
      </c>
      <c r="J43" s="4">
        <v>0.36</v>
      </c>
      <c r="K43" s="6" t="str">
        <f>IF(H43=0,"weekend",IF(H43=6,"weekend","weekend"))</f>
        <v>weekend</v>
      </c>
      <c r="L43" s="3" t="str">
        <f>IF(C43=1,"Spring",IF(C43=2,"Summer",IF(C43=3,"Fall","Winter")))</f>
        <v>Spring</v>
      </c>
      <c r="M43" s="3">
        <f>SUM(J43:J67)</f>
        <v>5.5200000000000014</v>
      </c>
      <c r="N43" s="3">
        <f>AVERAGE(J43:J652)</f>
        <v>0.18485061511423545</v>
      </c>
      <c r="O43" s="3">
        <f>COUNT(J43:J652)</f>
        <v>569</v>
      </c>
      <c r="P43" s="3" t="str">
        <f>TEXT(J43,"0.00")</f>
        <v>0.36</v>
      </c>
      <c r="Q43" s="3" t="str">
        <f>LEFT(L43,3)</f>
        <v>Spr</v>
      </c>
      <c r="R43" s="7" t="str">
        <f>RIGHT(L43,3)</f>
        <v>ing</v>
      </c>
      <c r="S43" s="8">
        <f>LEN(L43)</f>
        <v>6</v>
      </c>
      <c r="T43" s="36" t="str">
        <f>A43&amp;"|"&amp;B43&amp;"|"&amp;F43</f>
        <v>42|40575|18</v>
      </c>
      <c r="V43" s="32">
        <f>VLOOKUP(A43,Sheet2!A:H,3,FALSE)</f>
        <v>0.28789999999999999</v>
      </c>
      <c r="W43" s="32">
        <f>VLOOKUP(A43,Sheet2!A:H,4,FALSE)</f>
        <v>0.42</v>
      </c>
      <c r="X43" s="32">
        <f>VLOOKUP(A43,Sheet2!A:H,7,FALSE)</f>
        <v>29</v>
      </c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spans="1:37" x14ac:dyDescent="0.2">
      <c r="A44" s="4">
        <v>43</v>
      </c>
      <c r="B44" s="5">
        <v>40575</v>
      </c>
      <c r="C44" s="4">
        <v>1</v>
      </c>
      <c r="D44" s="4">
        <v>0</v>
      </c>
      <c r="E44" s="4">
        <v>1</v>
      </c>
      <c r="F44" s="4">
        <v>19</v>
      </c>
      <c r="G44" s="4" t="b">
        <v>0</v>
      </c>
      <c r="H44" s="4">
        <v>0</v>
      </c>
      <c r="I44" s="4">
        <v>1</v>
      </c>
      <c r="J44" s="4">
        <v>0.32</v>
      </c>
      <c r="K44" s="6" t="str">
        <f>IF(H44=0,"weekend",IF(H44=6,"weekend","weekend"))</f>
        <v>weekend</v>
      </c>
      <c r="L44" s="3" t="str">
        <f>IF(C44=1,"Spring",IF(C44=2,"Summer",IF(C44=3,"Fall","Winter")))</f>
        <v>Spring</v>
      </c>
      <c r="M44" s="3">
        <f>SUM(J44:J68)</f>
        <v>5.3400000000000007</v>
      </c>
      <c r="N44" s="3">
        <f>AVERAGE(J44:J653)</f>
        <v>0.18454225352112669</v>
      </c>
      <c r="O44" s="3">
        <f>COUNT(J44:J653)</f>
        <v>568</v>
      </c>
      <c r="P44" s="3" t="str">
        <f>TEXT(J44,"0.00")</f>
        <v>0.32</v>
      </c>
      <c r="Q44" s="3" t="str">
        <f>LEFT(L44,3)</f>
        <v>Spr</v>
      </c>
      <c r="R44" s="7" t="str">
        <f>RIGHT(L44,3)</f>
        <v>ing</v>
      </c>
      <c r="S44" s="8">
        <f>LEN(L44)</f>
        <v>6</v>
      </c>
      <c r="T44" s="36" t="str">
        <f>A44&amp;"|"&amp;B44&amp;"|"&amp;F44</f>
        <v>43|40575|19</v>
      </c>
      <c r="V44" s="32">
        <f>VLOOKUP(A44,Sheet2!A:H,3,FALSE)</f>
        <v>0</v>
      </c>
      <c r="W44" s="32">
        <f>VLOOKUP(A44,Sheet2!A:H,4,FALSE)</f>
        <v>0.39</v>
      </c>
      <c r="X44" s="32">
        <f>VLOOKUP(A44,Sheet2!A:H,7,FALSE)</f>
        <v>17</v>
      </c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spans="1:37" x14ac:dyDescent="0.2">
      <c r="A45" s="4">
        <v>44</v>
      </c>
      <c r="B45" s="5">
        <v>40575</v>
      </c>
      <c r="C45" s="4">
        <v>1</v>
      </c>
      <c r="D45" s="4">
        <v>0</v>
      </c>
      <c r="E45" s="4">
        <v>1</v>
      </c>
      <c r="F45" s="4">
        <v>20</v>
      </c>
      <c r="G45" s="4" t="b">
        <v>0</v>
      </c>
      <c r="H45" s="4">
        <v>0</v>
      </c>
      <c r="I45" s="4">
        <v>1</v>
      </c>
      <c r="J45" s="4">
        <v>0.3</v>
      </c>
      <c r="K45" s="6" t="str">
        <f>IF(H45=0,"weekend",IF(H45=6,"weekend","weekend"))</f>
        <v>weekend</v>
      </c>
      <c r="L45" s="3" t="str">
        <f>IF(C45=1,"Spring",IF(C45=2,"Summer",IF(C45=3,"Fall","Winter")))</f>
        <v>Spring</v>
      </c>
      <c r="M45" s="3">
        <f>SUM(J45:J69)</f>
        <v>5.16</v>
      </c>
      <c r="N45" s="3">
        <f>AVERAGE(J45:J654)</f>
        <v>0.18430335097001757</v>
      </c>
      <c r="O45" s="3">
        <f>COUNT(J45:J654)</f>
        <v>567</v>
      </c>
      <c r="P45" s="3" t="str">
        <f>TEXT(J45,"0.00")</f>
        <v>0.30</v>
      </c>
      <c r="Q45" s="3" t="str">
        <f>LEFT(L45,3)</f>
        <v>Spr</v>
      </c>
      <c r="R45" s="7" t="str">
        <f>RIGHT(L45,3)</f>
        <v>ing</v>
      </c>
      <c r="S45" s="8">
        <f>LEN(L45)</f>
        <v>6</v>
      </c>
      <c r="T45" s="36" t="str">
        <f>A45&amp;"|"&amp;B45&amp;"|"&amp;F45</f>
        <v>44|40575|20</v>
      </c>
      <c r="V45" s="32">
        <f>VLOOKUP(A45,Sheet2!A:H,3,FALSE)</f>
        <v>0.2273</v>
      </c>
      <c r="W45" s="32">
        <f>VLOOKUP(A45,Sheet2!A:H,4,FALSE)</f>
        <v>0.44</v>
      </c>
      <c r="X45" s="32">
        <f>VLOOKUP(A45,Sheet2!A:H,7,FALSE)</f>
        <v>20</v>
      </c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spans="1:37" x14ac:dyDescent="0.2">
      <c r="A46" s="4">
        <v>45</v>
      </c>
      <c r="B46" s="5">
        <v>40575</v>
      </c>
      <c r="C46" s="4">
        <v>1</v>
      </c>
      <c r="D46" s="4">
        <v>0</v>
      </c>
      <c r="E46" s="4">
        <v>1</v>
      </c>
      <c r="F46" s="4">
        <v>21</v>
      </c>
      <c r="G46" s="4" t="b">
        <v>0</v>
      </c>
      <c r="H46" s="4">
        <v>0</v>
      </c>
      <c r="I46" s="4">
        <v>1</v>
      </c>
      <c r="J46" s="4">
        <v>0.26</v>
      </c>
      <c r="K46" s="6" t="str">
        <f>IF(H46=0,"weekend",IF(H46=6,"weekend","weekend"))</f>
        <v>weekend</v>
      </c>
      <c r="L46" s="3" t="str">
        <f>IF(C46=1,"Spring",IF(C46=2,"Summer",IF(C46=3,"Fall","Winter")))</f>
        <v>Spring</v>
      </c>
      <c r="M46" s="3">
        <f>SUM(J46:J70)</f>
        <v>5.04</v>
      </c>
      <c r="N46" s="3">
        <f>AVERAGE(J46:J655)</f>
        <v>0.18409893992932852</v>
      </c>
      <c r="O46" s="3">
        <f>COUNT(J46:J655)</f>
        <v>566</v>
      </c>
      <c r="P46" s="3" t="str">
        <f>TEXT(J46,"0.00")</f>
        <v>0.26</v>
      </c>
      <c r="Q46" s="3" t="str">
        <f>LEFT(L46,3)</f>
        <v>Spr</v>
      </c>
      <c r="R46" s="7" t="str">
        <f>RIGHT(L46,3)</f>
        <v>ing</v>
      </c>
      <c r="S46" s="8">
        <f>LEN(L46)</f>
        <v>6</v>
      </c>
      <c r="T46" s="36" t="str">
        <f>A46&amp;"|"&amp;B46&amp;"|"&amp;F46</f>
        <v>45|40575|21</v>
      </c>
      <c r="V46" s="32">
        <f>VLOOKUP(A46,Sheet2!A:H,3,FALSE)</f>
        <v>0.21210000000000001</v>
      </c>
      <c r="W46" s="32">
        <f>VLOOKUP(A46,Sheet2!A:H,4,FALSE)</f>
        <v>0.44</v>
      </c>
      <c r="X46" s="32">
        <f>VLOOKUP(A46,Sheet2!A:H,7,FALSE)</f>
        <v>9</v>
      </c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spans="1:37" x14ac:dyDescent="0.2">
      <c r="A47" s="4">
        <v>46</v>
      </c>
      <c r="B47" s="5">
        <v>40575</v>
      </c>
      <c r="C47" s="4">
        <v>1</v>
      </c>
      <c r="D47" s="4">
        <v>0</v>
      </c>
      <c r="E47" s="4">
        <v>1</v>
      </c>
      <c r="F47" s="4">
        <v>22</v>
      </c>
      <c r="G47" s="4" t="b">
        <v>0</v>
      </c>
      <c r="H47" s="4">
        <v>0</v>
      </c>
      <c r="I47" s="4">
        <v>1</v>
      </c>
      <c r="J47" s="4">
        <v>0.24</v>
      </c>
      <c r="K47" s="6" t="str">
        <f>IF(H47=0,"weekend",IF(H47=6,"weekend","weekend"))</f>
        <v>weekend</v>
      </c>
      <c r="L47" s="3" t="str">
        <f>IF(C47=1,"Spring",IF(C47=2,"Summer",IF(C47=3,"Fall","Winter")))</f>
        <v>Spring</v>
      </c>
      <c r="M47" s="3">
        <f>SUM(J47:J71)</f>
        <v>4.9399999999999995</v>
      </c>
      <c r="N47" s="3">
        <f>AVERAGE(J47:J656)</f>
        <v>0.18396460176991142</v>
      </c>
      <c r="O47" s="3">
        <f>COUNT(J47:J656)</f>
        <v>565</v>
      </c>
      <c r="P47" s="3" t="str">
        <f>TEXT(J47,"0.00")</f>
        <v>0.24</v>
      </c>
      <c r="Q47" s="3" t="str">
        <f>LEFT(L47,3)</f>
        <v>Spr</v>
      </c>
      <c r="R47" s="7" t="str">
        <f>RIGHT(L47,3)</f>
        <v>ing</v>
      </c>
      <c r="S47" s="8">
        <f>LEN(L47)</f>
        <v>6</v>
      </c>
      <c r="T47" s="36" t="str">
        <f>A47&amp;"|"&amp;B47&amp;"|"&amp;F47</f>
        <v>46|40575|22</v>
      </c>
      <c r="V47" s="32">
        <f>VLOOKUP(A47,Sheet2!A:H,3,FALSE)</f>
        <v>0.2273</v>
      </c>
      <c r="W47" s="32">
        <f>VLOOKUP(A47,Sheet2!A:H,4,FALSE)</f>
        <v>0.47</v>
      </c>
      <c r="X47" s="32">
        <f>VLOOKUP(A47,Sheet2!A:H,7,FALSE)</f>
        <v>8</v>
      </c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spans="1:37" x14ac:dyDescent="0.2">
      <c r="A48" s="4">
        <v>47</v>
      </c>
      <c r="B48" s="5">
        <v>40575</v>
      </c>
      <c r="C48" s="4">
        <v>1</v>
      </c>
      <c r="D48" s="4">
        <v>0</v>
      </c>
      <c r="E48" s="4">
        <v>1</v>
      </c>
      <c r="F48" s="4">
        <v>23</v>
      </c>
      <c r="G48" s="4" t="b">
        <v>0</v>
      </c>
      <c r="H48" s="4">
        <v>0</v>
      </c>
      <c r="I48" s="4">
        <v>1</v>
      </c>
      <c r="J48" s="4">
        <v>0.22</v>
      </c>
      <c r="K48" s="6" t="str">
        <f>IF(H48=0,"weekend",IF(H48=6,"weekend","weekend"))</f>
        <v>weekend</v>
      </c>
      <c r="L48" s="3" t="str">
        <f>IF(C48=1,"Spring",IF(C48=2,"Summer",IF(C48=3,"Fall","Winter")))</f>
        <v>Spring</v>
      </c>
      <c r="M48" s="3">
        <f>SUM(J48:J72)</f>
        <v>4.8599999999999994</v>
      </c>
      <c r="N48" s="3">
        <f>AVERAGE(J48:J657)</f>
        <v>0.18386524822695027</v>
      </c>
      <c r="O48" s="3">
        <f>COUNT(J48:J657)</f>
        <v>564</v>
      </c>
      <c r="P48" s="3" t="str">
        <f>TEXT(J48,"0.00")</f>
        <v>0.22</v>
      </c>
      <c r="Q48" s="3" t="str">
        <f>LEFT(L48,3)</f>
        <v>Spr</v>
      </c>
      <c r="R48" s="7" t="str">
        <f>RIGHT(L48,3)</f>
        <v>ing</v>
      </c>
      <c r="S48" s="8">
        <f>LEN(L48)</f>
        <v>6</v>
      </c>
      <c r="T48" s="36" t="str">
        <f>A48&amp;"|"&amp;B48&amp;"|"&amp;F48</f>
        <v>47|40575|23</v>
      </c>
      <c r="V48" s="32">
        <f>VLOOKUP(A48,Sheet2!A:H,3,FALSE)</f>
        <v>0.19700000000000001</v>
      </c>
      <c r="W48" s="32">
        <f>VLOOKUP(A48,Sheet2!A:H,4,FALSE)</f>
        <v>0.44</v>
      </c>
      <c r="X48" s="32">
        <f>VLOOKUP(A48,Sheet2!A:H,7,FALSE)</f>
        <v>5</v>
      </c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spans="1:37" x14ac:dyDescent="0.2">
      <c r="A49" s="4">
        <v>48</v>
      </c>
      <c r="B49" s="5">
        <v>40603</v>
      </c>
      <c r="C49" s="4">
        <v>1</v>
      </c>
      <c r="D49" s="4">
        <v>0</v>
      </c>
      <c r="E49" s="4">
        <v>1</v>
      </c>
      <c r="F49" s="4">
        <v>0</v>
      </c>
      <c r="G49" s="4" t="b">
        <v>0</v>
      </c>
      <c r="H49" s="4">
        <v>1</v>
      </c>
      <c r="I49" s="4">
        <v>1</v>
      </c>
      <c r="J49" s="4">
        <v>0.22</v>
      </c>
      <c r="K49" s="6" t="str">
        <f>IF(H49=0,"weekend",IF(H49=6,"weekend","weekend"))</f>
        <v>weekend</v>
      </c>
      <c r="L49" s="3" t="str">
        <f>IF(C49=1,"Spring",IF(C49=2,"Summer",IF(C49=3,"Fall","Winter")))</f>
        <v>Spring</v>
      </c>
      <c r="M49" s="3">
        <f>SUM(J49:J73)</f>
        <v>4.7799999999999994</v>
      </c>
      <c r="N49" s="3">
        <f>AVERAGE(J49:J658)</f>
        <v>0.1838010657193605</v>
      </c>
      <c r="O49" s="3">
        <f>COUNT(J49:J658)</f>
        <v>563</v>
      </c>
      <c r="P49" s="3" t="str">
        <f>TEXT(J49,"0.00")</f>
        <v>0.22</v>
      </c>
      <c r="Q49" s="3" t="str">
        <f>LEFT(L49,3)</f>
        <v>Spr</v>
      </c>
      <c r="R49" s="7" t="str">
        <f>RIGHT(L49,3)</f>
        <v>ing</v>
      </c>
      <c r="S49" s="8">
        <f>LEN(L49)</f>
        <v>6</v>
      </c>
      <c r="T49" s="36" t="str">
        <f>A49&amp;"|"&amp;B49&amp;"|"&amp;F49</f>
        <v>48|40603|0</v>
      </c>
      <c r="V49" s="32">
        <f>VLOOKUP(A49,Sheet2!A:H,3,FALSE)</f>
        <v>0</v>
      </c>
      <c r="W49" s="32">
        <f>VLOOKUP(A49,Sheet2!A:H,4,FALSE)</f>
        <v>0.44</v>
      </c>
      <c r="X49" s="32">
        <f>VLOOKUP(A49,Sheet2!A:H,7,FALSE)</f>
        <v>2</v>
      </c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spans="1:37" x14ac:dyDescent="0.2">
      <c r="A50" s="4">
        <v>49</v>
      </c>
      <c r="B50" s="5">
        <v>40603</v>
      </c>
      <c r="C50" s="4">
        <v>1</v>
      </c>
      <c r="D50" s="4">
        <v>0</v>
      </c>
      <c r="E50" s="4">
        <v>1</v>
      </c>
      <c r="F50" s="4">
        <v>1</v>
      </c>
      <c r="G50" s="4" t="b">
        <v>0</v>
      </c>
      <c r="H50" s="4">
        <v>1</v>
      </c>
      <c r="I50" s="4">
        <v>1</v>
      </c>
      <c r="J50" s="4">
        <v>0.2</v>
      </c>
      <c r="K50" s="6" t="str">
        <f>IF(H50=0,"weekend",IF(H50=6,"weekend","weekend"))</f>
        <v>weekend</v>
      </c>
      <c r="L50" s="3" t="str">
        <f>IF(C50=1,"Spring",IF(C50=2,"Summer",IF(C50=3,"Fall","Winter")))</f>
        <v>Spring</v>
      </c>
      <c r="M50" s="3">
        <f>SUM(J50:J74)</f>
        <v>4.7</v>
      </c>
      <c r="N50" s="3">
        <f>AVERAGE(J50:J659)</f>
        <v>0.1837366548042704</v>
      </c>
      <c r="O50" s="3">
        <f>COUNT(J50:J659)</f>
        <v>562</v>
      </c>
      <c r="P50" s="3" t="str">
        <f>TEXT(J50,"0.00")</f>
        <v>0.20</v>
      </c>
      <c r="Q50" s="3" t="str">
        <f>LEFT(L50,3)</f>
        <v>Spr</v>
      </c>
      <c r="R50" s="7" t="str">
        <f>RIGHT(L50,3)</f>
        <v>ing</v>
      </c>
      <c r="S50" s="8">
        <f>LEN(L50)</f>
        <v>6</v>
      </c>
      <c r="T50" s="36" t="str">
        <f>A50&amp;"|"&amp;B50&amp;"|"&amp;F50</f>
        <v>49|40603|1</v>
      </c>
      <c r="V50" s="32">
        <f>VLOOKUP(A50,Sheet2!A:H,3,FALSE)</f>
        <v>0.13639999999999999</v>
      </c>
      <c r="W50" s="32">
        <f>VLOOKUP(A50,Sheet2!A:H,4,FALSE)</f>
        <v>0.47</v>
      </c>
      <c r="X50" s="32">
        <f>VLOOKUP(A50,Sheet2!A:H,7,FALSE)</f>
        <v>1</v>
      </c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spans="1:37" x14ac:dyDescent="0.2">
      <c r="A51" s="4">
        <v>50</v>
      </c>
      <c r="B51" s="5">
        <v>40603</v>
      </c>
      <c r="C51" s="4">
        <v>1</v>
      </c>
      <c r="D51" s="4">
        <v>0</v>
      </c>
      <c r="E51" s="4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0.16</v>
      </c>
      <c r="K51" s="6" t="str">
        <f>IF(H51=0,"weekend",IF(H51=6,"weekend","weekend"))</f>
        <v>weekend</v>
      </c>
      <c r="L51" s="3" t="str">
        <f>IF(C51=1,"Spring",IF(C51=2,"Summer",IF(C51=3,"Fall","Winter")))</f>
        <v>Spring</v>
      </c>
      <c r="M51" s="3">
        <f>SUM(J51:J75)</f>
        <v>4.62</v>
      </c>
      <c r="N51" s="3">
        <f>AVERAGE(J51:J660)</f>
        <v>0.1837076648841354</v>
      </c>
      <c r="O51" s="3">
        <f>COUNT(J51:J660)</f>
        <v>561</v>
      </c>
      <c r="P51" s="3" t="str">
        <f>TEXT(J51,"0.00")</f>
        <v>0.16</v>
      </c>
      <c r="Q51" s="3" t="str">
        <f>LEFT(L51,3)</f>
        <v>Spr</v>
      </c>
      <c r="R51" s="7" t="str">
        <f>RIGHT(L51,3)</f>
        <v>ing</v>
      </c>
      <c r="S51" s="8">
        <f>LEN(L51)</f>
        <v>6</v>
      </c>
      <c r="T51" s="36" t="str">
        <f>A51&amp;"|"&amp;B51&amp;"|"&amp;F51</f>
        <v>50|40603|4</v>
      </c>
      <c r="V51" s="32">
        <f>VLOOKUP(A51,Sheet2!A:H,3,FALSE)</f>
        <v>0.13639999999999999</v>
      </c>
      <c r="W51" s="32">
        <f>VLOOKUP(A51,Sheet2!A:H,4,FALSE)</f>
        <v>0.47</v>
      </c>
      <c r="X51" s="32">
        <f>VLOOKUP(A51,Sheet2!A:H,7,FALSE)</f>
        <v>3</v>
      </c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spans="1:37" x14ac:dyDescent="0.2">
      <c r="A52" s="4">
        <v>51</v>
      </c>
      <c r="B52" s="5">
        <v>40603</v>
      </c>
      <c r="C52" s="4">
        <v>1</v>
      </c>
      <c r="D52" s="4">
        <v>0</v>
      </c>
      <c r="E52" s="4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0.16</v>
      </c>
      <c r="K52" s="6" t="str">
        <f>IF(H52=0,"weekend",IF(H52=6,"weekend","weekend"))</f>
        <v>weekend</v>
      </c>
      <c r="L52" s="3" t="str">
        <f>IF(C52=1,"Spring",IF(C52=2,"Summer",IF(C52=3,"Fall","Winter")))</f>
        <v>Spring</v>
      </c>
      <c r="M52" s="3">
        <f>SUM(J52:J76)</f>
        <v>4.580000000000001</v>
      </c>
      <c r="N52" s="3">
        <f>AVERAGE(J52:J661)</f>
        <v>0.18374999999999991</v>
      </c>
      <c r="O52" s="3">
        <f>COUNT(J52:J661)</f>
        <v>560</v>
      </c>
      <c r="P52" s="3" t="str">
        <f>TEXT(J52,"0.00")</f>
        <v>0.16</v>
      </c>
      <c r="Q52" s="3" t="str">
        <f>LEFT(L52,3)</f>
        <v>Spr</v>
      </c>
      <c r="R52" s="7" t="str">
        <f>RIGHT(L52,3)</f>
        <v>ing</v>
      </c>
      <c r="S52" s="8">
        <f>LEN(L52)</f>
        <v>6</v>
      </c>
      <c r="T52" s="36" t="str">
        <f>A52&amp;"|"&amp;B52&amp;"|"&amp;F52</f>
        <v>51|40603|5</v>
      </c>
      <c r="V52" s="32">
        <f>VLOOKUP(A52,Sheet2!A:H,3,FALSE)</f>
        <v>0.1061</v>
      </c>
      <c r="W52" s="32">
        <f>VLOOKUP(A52,Sheet2!A:H,4,FALSE)</f>
        <v>0.5</v>
      </c>
      <c r="X52" s="32">
        <f>VLOOKUP(A52,Sheet2!A:H,7,FALSE)</f>
        <v>30</v>
      </c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spans="1:37" x14ac:dyDescent="0.2">
      <c r="A53" s="4">
        <v>52</v>
      </c>
      <c r="B53" s="5">
        <v>40603</v>
      </c>
      <c r="C53" s="4">
        <v>1</v>
      </c>
      <c r="D53" s="4">
        <v>0</v>
      </c>
      <c r="E53" s="4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0.14000000000000001</v>
      </c>
      <c r="K53" s="6" t="str">
        <f>IF(H53=0,"weekend",IF(H53=6,"weekend","weekend"))</f>
        <v>weekend</v>
      </c>
      <c r="L53" s="3" t="str">
        <f>IF(C53=1,"Spring",IF(C53=2,"Summer",IF(C53=3,"Fall","Winter")))</f>
        <v>Spring</v>
      </c>
      <c r="M53" s="3">
        <f>SUM(J53:J77)</f>
        <v>4.5400000000000018</v>
      </c>
      <c r="N53" s="3">
        <f>AVERAGE(J53:J662)</f>
        <v>0.18379248658318417</v>
      </c>
      <c r="O53" s="3">
        <f>COUNT(J53:J662)</f>
        <v>559</v>
      </c>
      <c r="P53" s="3" t="str">
        <f>TEXT(J53,"0.00")</f>
        <v>0.14</v>
      </c>
      <c r="Q53" s="3" t="str">
        <f>LEFT(L53,3)</f>
        <v>Spr</v>
      </c>
      <c r="R53" s="7" t="str">
        <f>RIGHT(L53,3)</f>
        <v>ing</v>
      </c>
      <c r="S53" s="8">
        <f>LEN(L53)</f>
        <v>6</v>
      </c>
      <c r="T53" s="36" t="str">
        <f>A53&amp;"|"&amp;B53&amp;"|"&amp;F53</f>
        <v>52|40603|6</v>
      </c>
      <c r="V53" s="32">
        <f>VLOOKUP(A53,Sheet2!A:H,3,FALSE)</f>
        <v>0.13639999999999999</v>
      </c>
      <c r="W53" s="32">
        <f>VLOOKUP(A53,Sheet2!A:H,4,FALSE)</f>
        <v>0.5</v>
      </c>
      <c r="X53" s="32">
        <f>VLOOKUP(A53,Sheet2!A:H,7,FALSE)</f>
        <v>63</v>
      </c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spans="1:37" x14ac:dyDescent="0.2">
      <c r="A54" s="4">
        <v>53</v>
      </c>
      <c r="B54" s="5">
        <v>40603</v>
      </c>
      <c r="C54" s="4">
        <v>1</v>
      </c>
      <c r="D54" s="4">
        <v>0</v>
      </c>
      <c r="E54" s="4">
        <v>1</v>
      </c>
      <c r="F54" s="4">
        <v>7</v>
      </c>
      <c r="G54" s="4" t="b">
        <v>0</v>
      </c>
      <c r="H54" s="4">
        <v>1</v>
      </c>
      <c r="I54" s="4">
        <v>1</v>
      </c>
      <c r="J54" s="4">
        <v>0.14000000000000001</v>
      </c>
      <c r="K54" s="6" t="str">
        <f>IF(H54=0,"weekend",IF(H54=6,"weekend","weekend"))</f>
        <v>weekend</v>
      </c>
      <c r="L54" s="3" t="str">
        <f>IF(C54=1,"Spring",IF(C54=2,"Summer",IF(C54=3,"Fall","Winter")))</f>
        <v>Spring</v>
      </c>
      <c r="M54" s="3">
        <f>SUM(J54:J78)</f>
        <v>4.5400000000000009</v>
      </c>
      <c r="N54" s="3">
        <f>AVERAGE(J54:J663)</f>
        <v>0.18387096774193537</v>
      </c>
      <c r="O54" s="3">
        <f>COUNT(J54:J663)</f>
        <v>558</v>
      </c>
      <c r="P54" s="3" t="str">
        <f>TEXT(J54,"0.00")</f>
        <v>0.14</v>
      </c>
      <c r="Q54" s="3" t="str">
        <f>LEFT(L54,3)</f>
        <v>Spr</v>
      </c>
      <c r="R54" s="7" t="str">
        <f>RIGHT(L54,3)</f>
        <v>ing</v>
      </c>
      <c r="S54" s="8">
        <f>LEN(L54)</f>
        <v>6</v>
      </c>
      <c r="T54" s="36" t="str">
        <f>A54&amp;"|"&amp;B54&amp;"|"&amp;F54</f>
        <v>53|40603|7</v>
      </c>
      <c r="V54" s="32">
        <f>VLOOKUP(A54,Sheet2!A:H,3,FALSE)</f>
        <v>0.1212</v>
      </c>
      <c r="W54" s="32">
        <f>VLOOKUP(A54,Sheet2!A:H,4,FALSE)</f>
        <v>0.5</v>
      </c>
      <c r="X54" s="32">
        <f>VLOOKUP(A54,Sheet2!A:H,7,FALSE)</f>
        <v>153</v>
      </c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spans="1:37" x14ac:dyDescent="0.2">
      <c r="A55" s="4">
        <v>54</v>
      </c>
      <c r="B55" s="5">
        <v>40603</v>
      </c>
      <c r="C55" s="4">
        <v>1</v>
      </c>
      <c r="D55" s="4">
        <v>0</v>
      </c>
      <c r="E55" s="4">
        <v>1</v>
      </c>
      <c r="F55" s="4">
        <v>8</v>
      </c>
      <c r="G55" s="4" t="b">
        <v>0</v>
      </c>
      <c r="H55" s="4">
        <v>1</v>
      </c>
      <c r="I55" s="4">
        <v>1</v>
      </c>
      <c r="J55" s="4">
        <v>0.14000000000000001</v>
      </c>
      <c r="K55" s="6" t="str">
        <f>IF(H55=0,"weekend",IF(H55=6,"weekend","weekend"))</f>
        <v>weekend</v>
      </c>
      <c r="L55" s="3" t="str">
        <f>IF(C55=1,"Spring",IF(C55=2,"Summer",IF(C55=3,"Fall","Winter")))</f>
        <v>Spring</v>
      </c>
      <c r="M55" s="3">
        <f>SUM(J55:J79)</f>
        <v>4.5600000000000014</v>
      </c>
      <c r="N55" s="3">
        <f>AVERAGE(J55:J664)</f>
        <v>0.18394973070017942</v>
      </c>
      <c r="O55" s="3">
        <f>COUNT(J55:J664)</f>
        <v>557</v>
      </c>
      <c r="P55" s="3" t="str">
        <f>TEXT(J55,"0.00")</f>
        <v>0.14</v>
      </c>
      <c r="Q55" s="3" t="str">
        <f>LEFT(L55,3)</f>
        <v>Spr</v>
      </c>
      <c r="R55" s="7" t="str">
        <f>RIGHT(L55,3)</f>
        <v>ing</v>
      </c>
      <c r="S55" s="8">
        <f>LEN(L55)</f>
        <v>6</v>
      </c>
      <c r="T55" s="36" t="str">
        <f>A55&amp;"|"&amp;B55&amp;"|"&amp;F55</f>
        <v>54|40603|8</v>
      </c>
      <c r="V55" s="32">
        <f>VLOOKUP(A55,Sheet2!A:H,3,FALSE)</f>
        <v>0.13639999999999999</v>
      </c>
      <c r="W55" s="32">
        <f>VLOOKUP(A55,Sheet2!A:H,4,FALSE)</f>
        <v>0.43</v>
      </c>
      <c r="X55" s="32">
        <f>VLOOKUP(A55,Sheet2!A:H,7,FALSE)</f>
        <v>81</v>
      </c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spans="1:37" x14ac:dyDescent="0.2">
      <c r="A56" s="4">
        <v>55</v>
      </c>
      <c r="B56" s="5">
        <v>40603</v>
      </c>
      <c r="C56" s="4">
        <v>1</v>
      </c>
      <c r="D56" s="4">
        <v>0</v>
      </c>
      <c r="E56" s="4">
        <v>1</v>
      </c>
      <c r="F56" s="4">
        <v>9</v>
      </c>
      <c r="G56" s="4" t="b">
        <v>0</v>
      </c>
      <c r="H56" s="4">
        <v>1</v>
      </c>
      <c r="I56" s="4">
        <v>1</v>
      </c>
      <c r="J56" s="4">
        <v>0.16</v>
      </c>
      <c r="K56" s="6" t="str">
        <f>IF(H56=0,"weekend",IF(H56=6,"weekend","weekend"))</f>
        <v>weekend</v>
      </c>
      <c r="L56" s="3" t="str">
        <f>IF(C56=1,"Spring",IF(C56=2,"Summer",IF(C56=3,"Fall","Winter")))</f>
        <v>Spring</v>
      </c>
      <c r="M56" s="3">
        <f>SUM(J56:J80)</f>
        <v>4.580000000000001</v>
      </c>
      <c r="N56" s="3">
        <f>AVERAGE(J56:J665)</f>
        <v>0.18402877697841716</v>
      </c>
      <c r="O56" s="3">
        <f>COUNT(J56:J665)</f>
        <v>556</v>
      </c>
      <c r="P56" s="3" t="str">
        <f>TEXT(J56,"0.00")</f>
        <v>0.16</v>
      </c>
      <c r="Q56" s="3" t="str">
        <f>LEFT(L56,3)</f>
        <v>Spr</v>
      </c>
      <c r="R56" s="7" t="str">
        <f>RIGHT(L56,3)</f>
        <v>ing</v>
      </c>
      <c r="S56" s="8">
        <f>LEN(L56)</f>
        <v>6</v>
      </c>
      <c r="T56" s="36" t="str">
        <f>A56&amp;"|"&amp;B56&amp;"|"&amp;F56</f>
        <v>55|40603|9</v>
      </c>
      <c r="V56" s="32">
        <f>VLOOKUP(A56,Sheet2!A:H,3,FALSE)</f>
        <v>0.16669999999999999</v>
      </c>
      <c r="W56" s="32">
        <f>VLOOKUP(A56,Sheet2!A:H,4,FALSE)</f>
        <v>0.43</v>
      </c>
      <c r="X56" s="32">
        <f>VLOOKUP(A56,Sheet2!A:H,7,FALSE)</f>
        <v>33</v>
      </c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spans="1:37" x14ac:dyDescent="0.2">
      <c r="A57" s="4">
        <v>56</v>
      </c>
      <c r="B57" s="5">
        <v>40603</v>
      </c>
      <c r="C57" s="4">
        <v>1</v>
      </c>
      <c r="D57" s="4">
        <v>0</v>
      </c>
      <c r="E57" s="4">
        <v>1</v>
      </c>
      <c r="F57" s="4">
        <v>10</v>
      </c>
      <c r="G57" s="4" t="b">
        <v>0</v>
      </c>
      <c r="H57" s="4">
        <v>1</v>
      </c>
      <c r="I57" s="4">
        <v>1</v>
      </c>
      <c r="J57" s="4">
        <v>0.18</v>
      </c>
      <c r="K57" s="6" t="str">
        <f>IF(H57=0,"weekend",IF(H57=6,"weekend","weekend"))</f>
        <v>weekend</v>
      </c>
      <c r="L57" s="3" t="str">
        <f>IF(C57=1,"Spring",IF(C57=2,"Summer",IF(C57=3,"Fall","Winter")))</f>
        <v>Spring</v>
      </c>
      <c r="M57" s="3">
        <f>SUM(J57:J81)</f>
        <v>4.6400000000000015</v>
      </c>
      <c r="N57" s="3">
        <f>AVERAGE(J57:J666)</f>
        <v>0.18407207207207196</v>
      </c>
      <c r="O57" s="3">
        <f>COUNT(J57:J666)</f>
        <v>555</v>
      </c>
      <c r="P57" s="3" t="str">
        <f>TEXT(J57,"0.00")</f>
        <v>0.18</v>
      </c>
      <c r="Q57" s="3" t="str">
        <f>LEFT(L57,3)</f>
        <v>Spr</v>
      </c>
      <c r="R57" s="7" t="str">
        <f>RIGHT(L57,3)</f>
        <v>ing</v>
      </c>
      <c r="S57" s="8">
        <f>LEN(L57)</f>
        <v>6</v>
      </c>
      <c r="T57" s="36" t="str">
        <f>A57&amp;"|"&amp;B57&amp;"|"&amp;F57</f>
        <v>56|40603|10</v>
      </c>
      <c r="V57" s="32">
        <f>VLOOKUP(A57,Sheet2!A:H,3,FALSE)</f>
        <v>0.18179999999999999</v>
      </c>
      <c r="W57" s="32">
        <f>VLOOKUP(A57,Sheet2!A:H,4,FALSE)</f>
        <v>0.4</v>
      </c>
      <c r="X57" s="32">
        <f>VLOOKUP(A57,Sheet2!A:H,7,FALSE)</f>
        <v>41</v>
      </c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spans="1:37" x14ac:dyDescent="0.2">
      <c r="A58" s="4">
        <v>57</v>
      </c>
      <c r="B58" s="5">
        <v>40603</v>
      </c>
      <c r="C58" s="4">
        <v>1</v>
      </c>
      <c r="D58" s="4">
        <v>0</v>
      </c>
      <c r="E58" s="4">
        <v>1</v>
      </c>
      <c r="F58" s="4">
        <v>11</v>
      </c>
      <c r="G58" s="4" t="b">
        <v>0</v>
      </c>
      <c r="H58" s="4">
        <v>1</v>
      </c>
      <c r="I58" s="4">
        <v>1</v>
      </c>
      <c r="J58" s="4">
        <v>0.2</v>
      </c>
      <c r="K58" s="6" t="str">
        <f>IF(H58=0,"weekend",IF(H58=6,"weekend","weekend"))</f>
        <v>weekend</v>
      </c>
      <c r="L58" s="3" t="str">
        <f>IF(C58=1,"Spring",IF(C58=2,"Summer",IF(C58=3,"Fall","Winter")))</f>
        <v>Spring</v>
      </c>
      <c r="M58" s="3">
        <f>SUM(J58:J82)</f>
        <v>4.6800000000000015</v>
      </c>
      <c r="N58" s="3">
        <f>AVERAGE(J58:J667)</f>
        <v>0.18407942238267136</v>
      </c>
      <c r="O58" s="3">
        <f>COUNT(J58:J667)</f>
        <v>554</v>
      </c>
      <c r="P58" s="3" t="str">
        <f>TEXT(J58,"0.00")</f>
        <v>0.20</v>
      </c>
      <c r="Q58" s="3" t="str">
        <f>LEFT(L58,3)</f>
        <v>Spr</v>
      </c>
      <c r="R58" s="7" t="str">
        <f>RIGHT(L58,3)</f>
        <v>ing</v>
      </c>
      <c r="S58" s="8">
        <f>LEN(L58)</f>
        <v>6</v>
      </c>
      <c r="T58" s="36" t="str">
        <f>A58&amp;"|"&amp;B58&amp;"|"&amp;F58</f>
        <v>57|40603|11</v>
      </c>
      <c r="V58" s="32">
        <f>VLOOKUP(A58,Sheet2!A:H,3,FALSE)</f>
        <v>0.21210000000000001</v>
      </c>
      <c r="W58" s="32">
        <f>VLOOKUP(A58,Sheet2!A:H,4,FALSE)</f>
        <v>0.35</v>
      </c>
      <c r="X58" s="32">
        <f>VLOOKUP(A58,Sheet2!A:H,7,FALSE)</f>
        <v>48</v>
      </c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spans="1:37" x14ac:dyDescent="0.2">
      <c r="A59" s="4">
        <v>58</v>
      </c>
      <c r="B59" s="5">
        <v>40603</v>
      </c>
      <c r="C59" s="4">
        <v>1</v>
      </c>
      <c r="D59" s="4">
        <v>0</v>
      </c>
      <c r="E59" s="4">
        <v>1</v>
      </c>
      <c r="F59" s="4">
        <v>12</v>
      </c>
      <c r="G59" s="4" t="b">
        <v>0</v>
      </c>
      <c r="H59" s="4">
        <v>1</v>
      </c>
      <c r="I59" s="4">
        <v>1</v>
      </c>
      <c r="J59" s="4">
        <v>0.22</v>
      </c>
      <c r="K59" s="6" t="str">
        <f>IF(H59=0,"weekend",IF(H59=6,"weekend","weekend"))</f>
        <v>weekend</v>
      </c>
      <c r="L59" s="3" t="str">
        <f>IF(C59=1,"Spring",IF(C59=2,"Summer",IF(C59=3,"Fall","Winter")))</f>
        <v>Spring</v>
      </c>
      <c r="M59" s="3">
        <f>SUM(J59:J83)</f>
        <v>4.7200000000000015</v>
      </c>
      <c r="N59" s="3">
        <f>AVERAGE(J59:J668)</f>
        <v>0.18405063291139231</v>
      </c>
      <c r="O59" s="3">
        <f>COUNT(J59:J668)</f>
        <v>553</v>
      </c>
      <c r="P59" s="3" t="str">
        <f>TEXT(J59,"0.00")</f>
        <v>0.22</v>
      </c>
      <c r="Q59" s="3" t="str">
        <f>LEFT(L59,3)</f>
        <v>Spr</v>
      </c>
      <c r="R59" s="7" t="str">
        <f>RIGHT(L59,3)</f>
        <v>ing</v>
      </c>
      <c r="S59" s="8">
        <f>LEN(L59)</f>
        <v>6</v>
      </c>
      <c r="T59" s="36" t="str">
        <f>A59&amp;"|"&amp;B59&amp;"|"&amp;F59</f>
        <v>58|40603|12</v>
      </c>
      <c r="V59" s="32">
        <f>VLOOKUP(A59,Sheet2!A:H,3,FALSE)</f>
        <v>0</v>
      </c>
      <c r="W59" s="32">
        <f>VLOOKUP(A59,Sheet2!A:H,4,FALSE)</f>
        <v>0.35</v>
      </c>
      <c r="X59" s="32">
        <f>VLOOKUP(A59,Sheet2!A:H,7,FALSE)</f>
        <v>53</v>
      </c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spans="1:37" x14ac:dyDescent="0.2">
      <c r="A60" s="4">
        <v>59</v>
      </c>
      <c r="B60" s="5">
        <v>40603</v>
      </c>
      <c r="C60" s="4">
        <v>1</v>
      </c>
      <c r="D60" s="4">
        <v>0</v>
      </c>
      <c r="E60" s="4">
        <v>1</v>
      </c>
      <c r="F60" s="4">
        <v>13</v>
      </c>
      <c r="G60" s="4" t="b">
        <v>0</v>
      </c>
      <c r="H60" s="4">
        <v>1</v>
      </c>
      <c r="I60" s="4">
        <v>1</v>
      </c>
      <c r="J60" s="4">
        <v>0.24</v>
      </c>
      <c r="K60" s="6" t="str">
        <f>IF(H60=0,"weekend",IF(H60=6,"weekend","weekend"))</f>
        <v>weekend</v>
      </c>
      <c r="L60" s="3" t="str">
        <f>IF(C60=1,"Spring",IF(C60=2,"Summer",IF(C60=3,"Fall","Winter")))</f>
        <v>Spring</v>
      </c>
      <c r="M60" s="3">
        <f>SUM(J60:J84)</f>
        <v>4.7600000000000016</v>
      </c>
      <c r="N60" s="3">
        <f>AVERAGE(J60:J669)</f>
        <v>0.18398550724637672</v>
      </c>
      <c r="O60" s="3">
        <f>COUNT(J60:J669)</f>
        <v>552</v>
      </c>
      <c r="P60" s="3" t="str">
        <f>TEXT(J60,"0.00")</f>
        <v>0.24</v>
      </c>
      <c r="Q60" s="3" t="str">
        <f>LEFT(L60,3)</f>
        <v>Spr</v>
      </c>
      <c r="R60" s="7" t="str">
        <f>RIGHT(L60,3)</f>
        <v>ing</v>
      </c>
      <c r="S60" s="8">
        <f>LEN(L60)</f>
        <v>6</v>
      </c>
      <c r="T60" s="36" t="str">
        <f>A60&amp;"|"&amp;B60&amp;"|"&amp;F60</f>
        <v>59|40603|13</v>
      </c>
      <c r="V60" s="32">
        <f>VLOOKUP(A60,Sheet2!A:H,3,FALSE)</f>
        <v>0.2424</v>
      </c>
      <c r="W60" s="32">
        <f>VLOOKUP(A60,Sheet2!A:H,4,FALSE)</f>
        <v>0.3</v>
      </c>
      <c r="X60" s="32">
        <f>VLOOKUP(A60,Sheet2!A:H,7,FALSE)</f>
        <v>66</v>
      </c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spans="1:37" x14ac:dyDescent="0.2">
      <c r="A61" s="4">
        <v>60</v>
      </c>
      <c r="B61" s="5">
        <v>40603</v>
      </c>
      <c r="C61" s="4">
        <v>1</v>
      </c>
      <c r="D61" s="4">
        <v>0</v>
      </c>
      <c r="E61" s="4">
        <v>1</v>
      </c>
      <c r="F61" s="4">
        <v>14</v>
      </c>
      <c r="G61" s="4" t="b">
        <v>0</v>
      </c>
      <c r="H61" s="4">
        <v>1</v>
      </c>
      <c r="I61" s="4">
        <v>1</v>
      </c>
      <c r="J61" s="4">
        <v>0.26</v>
      </c>
      <c r="K61" s="6" t="str">
        <f>IF(H61=0,"weekend",IF(H61=6,"weekend","weekend"))</f>
        <v>weekend</v>
      </c>
      <c r="L61" s="3" t="str">
        <f>IF(C61=1,"Spring",IF(C61=2,"Summer",IF(C61=3,"Fall","Winter")))</f>
        <v>Spring</v>
      </c>
      <c r="M61" s="3">
        <f>SUM(J61:J85)</f>
        <v>4.8000000000000016</v>
      </c>
      <c r="N61" s="3">
        <f>AVERAGE(J61:J670)</f>
        <v>0.18388384754990916</v>
      </c>
      <c r="O61" s="3">
        <f>COUNT(J61:J670)</f>
        <v>551</v>
      </c>
      <c r="P61" s="3" t="str">
        <f>TEXT(J61,"0.00")</f>
        <v>0.26</v>
      </c>
      <c r="Q61" s="3" t="str">
        <f>LEFT(L61,3)</f>
        <v>Spr</v>
      </c>
      <c r="R61" s="7" t="str">
        <f>RIGHT(L61,3)</f>
        <v>ing</v>
      </c>
      <c r="S61" s="8">
        <f>LEN(L61)</f>
        <v>6</v>
      </c>
      <c r="T61" s="36" t="str">
        <f>A61&amp;"|"&amp;B61&amp;"|"&amp;F61</f>
        <v>60|40603|14</v>
      </c>
      <c r="V61" s="32">
        <f>VLOOKUP(A61,Sheet2!A:H,3,FALSE)</f>
        <v>0.2424</v>
      </c>
      <c r="W61" s="32">
        <f>VLOOKUP(A61,Sheet2!A:H,4,FALSE)</f>
        <v>0.3</v>
      </c>
      <c r="X61" s="32">
        <f>VLOOKUP(A61,Sheet2!A:H,7,FALSE)</f>
        <v>58</v>
      </c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spans="1:37" x14ac:dyDescent="0.2">
      <c r="A62" s="4">
        <v>61</v>
      </c>
      <c r="B62" s="5">
        <v>40603</v>
      </c>
      <c r="C62" s="4">
        <v>1</v>
      </c>
      <c r="D62" s="4">
        <v>0</v>
      </c>
      <c r="E62" s="4">
        <v>1</v>
      </c>
      <c r="F62" s="4">
        <v>15</v>
      </c>
      <c r="G62" s="4" t="b">
        <v>0</v>
      </c>
      <c r="H62" s="4">
        <v>1</v>
      </c>
      <c r="I62" s="4">
        <v>1</v>
      </c>
      <c r="J62" s="4">
        <v>0.26</v>
      </c>
      <c r="K62" s="6" t="str">
        <f>IF(H62=0,"weekend",IF(H62=6,"weekend","weekend"))</f>
        <v>weekend</v>
      </c>
      <c r="L62" s="3" t="str">
        <f>IF(C62=1,"Spring",IF(C62=2,"Summer",IF(C62=3,"Fall","Winter")))</f>
        <v>Spring</v>
      </c>
      <c r="M62" s="3">
        <f>SUM(J62:J86)</f>
        <v>4.8400000000000007</v>
      </c>
      <c r="N62" s="3">
        <f>AVERAGE(J62:J671)</f>
        <v>0.18374545454545443</v>
      </c>
      <c r="O62" s="3">
        <f>COUNT(J62:J671)</f>
        <v>550</v>
      </c>
      <c r="P62" s="3" t="str">
        <f>TEXT(J62,"0.00")</f>
        <v>0.26</v>
      </c>
      <c r="Q62" s="3" t="str">
        <f>LEFT(L62,3)</f>
        <v>Spr</v>
      </c>
      <c r="R62" s="7" t="str">
        <f>RIGHT(L62,3)</f>
        <v>ing</v>
      </c>
      <c r="S62" s="8">
        <f>LEN(L62)</f>
        <v>6</v>
      </c>
      <c r="T62" s="36" t="str">
        <f>A62&amp;"|"&amp;B62&amp;"|"&amp;F62</f>
        <v>61|40603|15</v>
      </c>
      <c r="V62" s="32">
        <f>VLOOKUP(A62,Sheet2!A:H,3,FALSE)</f>
        <v>0.2424</v>
      </c>
      <c r="W62" s="32">
        <f>VLOOKUP(A62,Sheet2!A:H,4,FALSE)</f>
        <v>0.3</v>
      </c>
      <c r="X62" s="32">
        <f>VLOOKUP(A62,Sheet2!A:H,7,FALSE)</f>
        <v>67</v>
      </c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spans="1:37" x14ac:dyDescent="0.2">
      <c r="A63" s="4">
        <v>62</v>
      </c>
      <c r="B63" s="5">
        <v>40603</v>
      </c>
      <c r="C63" s="4">
        <v>1</v>
      </c>
      <c r="D63" s="4">
        <v>0</v>
      </c>
      <c r="E63" s="4">
        <v>1</v>
      </c>
      <c r="F63" s="4">
        <v>16</v>
      </c>
      <c r="G63" s="4" t="b">
        <v>0</v>
      </c>
      <c r="H63" s="4">
        <v>1</v>
      </c>
      <c r="I63" s="4">
        <v>1</v>
      </c>
      <c r="J63" s="4">
        <v>0.26</v>
      </c>
      <c r="K63" s="6" t="str">
        <f>IF(H63=0,"weekend",IF(H63=6,"weekend","weekend"))</f>
        <v>weekend</v>
      </c>
      <c r="L63" s="3" t="str">
        <f>IF(C63=1,"Spring",IF(C63=2,"Summer",IF(C63=3,"Fall","Winter")))</f>
        <v>Spring</v>
      </c>
      <c r="M63" s="3">
        <f>SUM(J63:J87)</f>
        <v>4.8600000000000012</v>
      </c>
      <c r="N63" s="3">
        <f>AVERAGE(J63:J672)</f>
        <v>0.18360655737704909</v>
      </c>
      <c r="O63" s="3">
        <f>COUNT(J63:J672)</f>
        <v>549</v>
      </c>
      <c r="P63" s="3" t="str">
        <f>TEXT(J63,"0.00")</f>
        <v>0.26</v>
      </c>
      <c r="Q63" s="3" t="str">
        <f>LEFT(L63,3)</f>
        <v>Spr</v>
      </c>
      <c r="R63" s="7" t="str">
        <f>RIGHT(L63,3)</f>
        <v>ing</v>
      </c>
      <c r="S63" s="8">
        <f>LEN(L63)</f>
        <v>6</v>
      </c>
      <c r="T63" s="36" t="str">
        <f>A63&amp;"|"&amp;B63&amp;"|"&amp;F63</f>
        <v>62|40603|16</v>
      </c>
      <c r="V63" s="32">
        <f>VLOOKUP(A63,Sheet2!A:H,3,FALSE)</f>
        <v>0.2273</v>
      </c>
      <c r="W63" s="32">
        <f>VLOOKUP(A63,Sheet2!A:H,4,FALSE)</f>
        <v>0.3</v>
      </c>
      <c r="X63" s="32">
        <f>VLOOKUP(A63,Sheet2!A:H,7,FALSE)</f>
        <v>146</v>
      </c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spans="1:37" x14ac:dyDescent="0.2">
      <c r="A64" s="4">
        <v>63</v>
      </c>
      <c r="B64" s="5">
        <v>40603</v>
      </c>
      <c r="C64" s="4">
        <v>1</v>
      </c>
      <c r="D64" s="4">
        <v>0</v>
      </c>
      <c r="E64" s="4">
        <v>1</v>
      </c>
      <c r="F64" s="4">
        <v>17</v>
      </c>
      <c r="G64" s="4" t="b">
        <v>0</v>
      </c>
      <c r="H64" s="4">
        <v>1</v>
      </c>
      <c r="I64" s="4">
        <v>1</v>
      </c>
      <c r="J64" s="4">
        <v>0.24</v>
      </c>
      <c r="K64" s="6" t="str">
        <f>IF(H64=0,"weekend",IF(H64=6,"weekend","weekend"))</f>
        <v>weekend</v>
      </c>
      <c r="L64" s="3" t="str">
        <f>IF(C64=1,"Spring",IF(C64=2,"Summer",IF(C64=3,"Fall","Winter")))</f>
        <v>Spring</v>
      </c>
      <c r="M64" s="3">
        <f>SUM(J64:J88)</f>
        <v>4.8600000000000003</v>
      </c>
      <c r="N64" s="3">
        <f>AVERAGE(J64:J673)</f>
        <v>0.18346715328467145</v>
      </c>
      <c r="O64" s="3">
        <f>COUNT(J64:J673)</f>
        <v>548</v>
      </c>
      <c r="P64" s="3" t="str">
        <f>TEXT(J64,"0.00")</f>
        <v>0.24</v>
      </c>
      <c r="Q64" s="3" t="str">
        <f>LEFT(L64,3)</f>
        <v>Spr</v>
      </c>
      <c r="R64" s="7" t="str">
        <f>RIGHT(L64,3)</f>
        <v>ing</v>
      </c>
      <c r="S64" s="8">
        <f>LEN(L64)</f>
        <v>6</v>
      </c>
      <c r="T64" s="36" t="str">
        <f>A64&amp;"|"&amp;B64&amp;"|"&amp;F64</f>
        <v>63|40603|17</v>
      </c>
      <c r="V64" s="32">
        <f>VLOOKUP(A64,Sheet2!A:H,3,FALSE)</f>
        <v>0.2576</v>
      </c>
      <c r="W64" s="32">
        <f>VLOOKUP(A64,Sheet2!A:H,4,FALSE)</f>
        <v>0.32</v>
      </c>
      <c r="X64" s="32">
        <f>VLOOKUP(A64,Sheet2!A:H,7,FALSE)</f>
        <v>148</v>
      </c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spans="1:37" x14ac:dyDescent="0.2">
      <c r="A65" s="4">
        <v>64</v>
      </c>
      <c r="B65" s="5">
        <v>40603</v>
      </c>
      <c r="C65" s="4">
        <v>1</v>
      </c>
      <c r="D65" s="4">
        <v>0</v>
      </c>
      <c r="E65" s="4">
        <v>1</v>
      </c>
      <c r="F65" s="4">
        <v>18</v>
      </c>
      <c r="G65" s="4" t="b">
        <v>0</v>
      </c>
      <c r="H65" s="4">
        <v>1</v>
      </c>
      <c r="I65" s="4">
        <v>1</v>
      </c>
      <c r="J65" s="4">
        <v>0.24</v>
      </c>
      <c r="K65" s="6" t="str">
        <f>IF(H65=0,"weekend",IF(H65=6,"weekend","weekend"))</f>
        <v>weekend</v>
      </c>
      <c r="L65" s="3" t="str">
        <f>IF(C65=1,"Spring",IF(C65=2,"Summer",IF(C65=3,"Fall","Winter")))</f>
        <v>Spring</v>
      </c>
      <c r="M65" s="3">
        <f>SUM(J65:J89)</f>
        <v>4.8600000000000012</v>
      </c>
      <c r="N65" s="3">
        <f>AVERAGE(J65:J674)</f>
        <v>0.1833638025594149</v>
      </c>
      <c r="O65" s="3">
        <f>COUNT(J65:J674)</f>
        <v>547</v>
      </c>
      <c r="P65" s="3" t="str">
        <f>TEXT(J65,"0.00")</f>
        <v>0.24</v>
      </c>
      <c r="Q65" s="3" t="str">
        <f>LEFT(L65,3)</f>
        <v>Spr</v>
      </c>
      <c r="R65" s="7" t="str">
        <f>RIGHT(L65,3)</f>
        <v>ing</v>
      </c>
      <c r="S65" s="8">
        <f>LEN(L65)</f>
        <v>6</v>
      </c>
      <c r="T65" s="36" t="str">
        <f>A65&amp;"|"&amp;B65&amp;"|"&amp;F65</f>
        <v>64|40603|18</v>
      </c>
      <c r="V65" s="32">
        <f>VLOOKUP(A65,Sheet2!A:H,3,FALSE)</f>
        <v>0.2576</v>
      </c>
      <c r="W65" s="32">
        <f>VLOOKUP(A65,Sheet2!A:H,4,FALSE)</f>
        <v>0.47</v>
      </c>
      <c r="X65" s="32">
        <f>VLOOKUP(A65,Sheet2!A:H,7,FALSE)</f>
        <v>102</v>
      </c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spans="1:37" x14ac:dyDescent="0.2">
      <c r="A66" s="4">
        <v>65</v>
      </c>
      <c r="B66" s="5">
        <v>40603</v>
      </c>
      <c r="C66" s="4">
        <v>1</v>
      </c>
      <c r="D66" s="4">
        <v>0</v>
      </c>
      <c r="E66" s="4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0.2</v>
      </c>
      <c r="K66" s="6" t="str">
        <f>IF(H66=0,"weekend",IF(H66=6,"weekend","weekend"))</f>
        <v>weekend</v>
      </c>
      <c r="L66" s="3" t="str">
        <f>IF(C66=1,"Spring",IF(C66=2,"Summer",IF(C66=3,"Fall","Winter")))</f>
        <v>Spring</v>
      </c>
      <c r="M66" s="3">
        <f>SUM(J66:J90)</f>
        <v>4.8600000000000012</v>
      </c>
      <c r="N66" s="3">
        <f>AVERAGE(J66:J675)</f>
        <v>0.18326007326007318</v>
      </c>
      <c r="O66" s="3">
        <f>COUNT(J66:J675)</f>
        <v>546</v>
      </c>
      <c r="P66" s="3" t="str">
        <f>TEXT(J66,"0.00")</f>
        <v>0.20</v>
      </c>
      <c r="Q66" s="3" t="str">
        <f>LEFT(L66,3)</f>
        <v>Spr</v>
      </c>
      <c r="R66" s="7" t="str">
        <f>RIGHT(L66,3)</f>
        <v>ing</v>
      </c>
      <c r="S66" s="8">
        <f>LEN(L66)</f>
        <v>6</v>
      </c>
      <c r="T66" s="36" t="str">
        <f>A66&amp;"|"&amp;B66&amp;"|"&amp;F66</f>
        <v>65|40603|19</v>
      </c>
      <c r="V66" s="32">
        <f>VLOOKUP(A66,Sheet2!A:H,3,FALSE)</f>
        <v>0</v>
      </c>
      <c r="W66" s="32">
        <f>VLOOKUP(A66,Sheet2!A:H,4,FALSE)</f>
        <v>0.47</v>
      </c>
      <c r="X66" s="32">
        <f>VLOOKUP(A66,Sheet2!A:H,7,FALSE)</f>
        <v>49</v>
      </c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spans="1:37" x14ac:dyDescent="0.2">
      <c r="A67" s="4">
        <v>66</v>
      </c>
      <c r="B67" s="5">
        <v>40603</v>
      </c>
      <c r="C67" s="4">
        <v>1</v>
      </c>
      <c r="D67" s="4">
        <v>0</v>
      </c>
      <c r="E67" s="4">
        <v>1</v>
      </c>
      <c r="F67" s="4">
        <v>20</v>
      </c>
      <c r="G67" s="4" t="b">
        <v>0</v>
      </c>
      <c r="H67" s="4">
        <v>1</v>
      </c>
      <c r="I67" s="4">
        <v>1</v>
      </c>
      <c r="J67" s="4">
        <v>0.2</v>
      </c>
      <c r="K67" s="6" t="str">
        <f>IF(H67=0,"weekend",IF(H67=6,"weekend","weekend"))</f>
        <v>weekend</v>
      </c>
      <c r="L67" s="3" t="str">
        <f>IF(C67=1,"Spring",IF(C67=2,"Summer",IF(C67=3,"Fall","Winter")))</f>
        <v>Spring</v>
      </c>
      <c r="M67" s="3">
        <f>SUM(J67:J91)</f>
        <v>4.8800000000000008</v>
      </c>
      <c r="N67" s="3">
        <f>AVERAGE(J67:J676)</f>
        <v>0.18322935779816507</v>
      </c>
      <c r="O67" s="3">
        <f>COUNT(J67:J676)</f>
        <v>545</v>
      </c>
      <c r="P67" s="3" t="str">
        <f>TEXT(J67,"0.00")</f>
        <v>0.20</v>
      </c>
      <c r="Q67" s="3" t="str">
        <f>LEFT(L67,3)</f>
        <v>Spr</v>
      </c>
      <c r="R67" s="7" t="str">
        <f>RIGHT(L67,3)</f>
        <v>ing</v>
      </c>
      <c r="S67" s="8">
        <f>LEN(L67)</f>
        <v>6</v>
      </c>
      <c r="T67" s="36" t="str">
        <f>A67&amp;"|"&amp;B67&amp;"|"&amp;F67</f>
        <v>66|40603|20</v>
      </c>
      <c r="V67" s="32">
        <f>VLOOKUP(A67,Sheet2!A:H,3,FALSE)</f>
        <v>0.19700000000000001</v>
      </c>
      <c r="W67" s="32">
        <f>VLOOKUP(A67,Sheet2!A:H,4,FALSE)</f>
        <v>0.64</v>
      </c>
      <c r="X67" s="32">
        <f>VLOOKUP(A67,Sheet2!A:H,7,FALSE)</f>
        <v>49</v>
      </c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spans="1:37" x14ac:dyDescent="0.2">
      <c r="A68" s="4">
        <v>67</v>
      </c>
      <c r="B68" s="5">
        <v>40603</v>
      </c>
      <c r="C68" s="4">
        <v>1</v>
      </c>
      <c r="D68" s="4">
        <v>0</v>
      </c>
      <c r="E68" s="4">
        <v>1</v>
      </c>
      <c r="F68" s="4">
        <v>21</v>
      </c>
      <c r="G68" s="4" t="b">
        <v>0</v>
      </c>
      <c r="H68" s="4">
        <v>1</v>
      </c>
      <c r="I68" s="4">
        <v>1</v>
      </c>
      <c r="J68" s="4">
        <v>0.18</v>
      </c>
      <c r="K68" s="6" t="str">
        <f>IF(H68=0,"weekend",IF(H68=6,"weekend","weekend"))</f>
        <v>weekend</v>
      </c>
      <c r="L68" s="3" t="str">
        <f>IF(C68=1,"Spring",IF(C68=2,"Summer",IF(C68=3,"Fall","Winter")))</f>
        <v>Spring</v>
      </c>
      <c r="M68" s="3">
        <f>SUM(J68:J92)</f>
        <v>4.9000000000000004</v>
      </c>
      <c r="N68" s="3">
        <f>AVERAGE(J68:J677)</f>
        <v>0.18319852941176462</v>
      </c>
      <c r="O68" s="3">
        <f>COUNT(J68:J677)</f>
        <v>544</v>
      </c>
      <c r="P68" s="3" t="str">
        <f>TEXT(J68,"0.00")</f>
        <v>0.18</v>
      </c>
      <c r="Q68" s="3" t="str">
        <f>LEFT(L68,3)</f>
        <v>Spr</v>
      </c>
      <c r="R68" s="7" t="str">
        <f>RIGHT(L68,3)</f>
        <v>ing</v>
      </c>
      <c r="S68" s="8">
        <f>LEN(L68)</f>
        <v>6</v>
      </c>
      <c r="T68" s="36" t="str">
        <f>A68&amp;"|"&amp;B68&amp;"|"&amp;F68</f>
        <v>67|40603|21</v>
      </c>
      <c r="V68" s="32">
        <f>VLOOKUP(A68,Sheet2!A:H,3,FALSE)</f>
        <v>0.1515</v>
      </c>
      <c r="W68" s="32">
        <f>VLOOKUP(A68,Sheet2!A:H,4,FALSE)</f>
        <v>0.69</v>
      </c>
      <c r="X68" s="32">
        <f>VLOOKUP(A68,Sheet2!A:H,7,FALSE)</f>
        <v>20</v>
      </c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spans="1:37" x14ac:dyDescent="0.2">
      <c r="A69" s="4">
        <v>68</v>
      </c>
      <c r="B69" s="5">
        <v>40603</v>
      </c>
      <c r="C69" s="4">
        <v>1</v>
      </c>
      <c r="D69" s="4">
        <v>0</v>
      </c>
      <c r="E69" s="4">
        <v>1</v>
      </c>
      <c r="F69" s="4">
        <v>22</v>
      </c>
      <c r="G69" s="4" t="b">
        <v>0</v>
      </c>
      <c r="H69" s="4">
        <v>1</v>
      </c>
      <c r="I69" s="4">
        <v>1</v>
      </c>
      <c r="J69" s="4">
        <v>0.14000000000000001</v>
      </c>
      <c r="K69" s="6" t="str">
        <f>IF(H69=0,"weekend",IF(H69=6,"weekend","weekend"))</f>
        <v>weekend</v>
      </c>
      <c r="L69" s="3" t="str">
        <f>IF(C69=1,"Spring",IF(C69=2,"Summer",IF(C69=3,"Fall","Winter")))</f>
        <v>Spring</v>
      </c>
      <c r="M69" s="3">
        <f>SUM(J69:J93)</f>
        <v>4.92</v>
      </c>
      <c r="N69" s="3">
        <f>AVERAGE(J69:J678)</f>
        <v>0.18320441988950267</v>
      </c>
      <c r="O69" s="3">
        <f>COUNT(J69:J678)</f>
        <v>543</v>
      </c>
      <c r="P69" s="3" t="str">
        <f>TEXT(J69,"0.00")</f>
        <v>0.14</v>
      </c>
      <c r="Q69" s="3" t="str">
        <f>LEFT(L69,3)</f>
        <v>Spr</v>
      </c>
      <c r="R69" s="7" t="str">
        <f>RIGHT(L69,3)</f>
        <v>ing</v>
      </c>
      <c r="S69" s="8">
        <f>LEN(L69)</f>
        <v>6</v>
      </c>
      <c r="T69" s="36" t="str">
        <f>A69&amp;"|"&amp;B69&amp;"|"&amp;F69</f>
        <v>68|40603|22</v>
      </c>
      <c r="V69" s="32">
        <f>VLOOKUP(A69,Sheet2!A:H,3,FALSE)</f>
        <v>0.21210000000000001</v>
      </c>
      <c r="W69" s="32">
        <f>VLOOKUP(A69,Sheet2!A:H,4,FALSE)</f>
        <v>0.55000000000000004</v>
      </c>
      <c r="X69" s="32">
        <f>VLOOKUP(A69,Sheet2!A:H,7,FALSE)</f>
        <v>11</v>
      </c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spans="1:37" x14ac:dyDescent="0.2">
      <c r="A70" s="4">
        <v>69</v>
      </c>
      <c r="B70" s="5">
        <v>40603</v>
      </c>
      <c r="C70" s="4">
        <v>1</v>
      </c>
      <c r="D70" s="4">
        <v>0</v>
      </c>
      <c r="E70" s="4">
        <v>1</v>
      </c>
      <c r="F70" s="4">
        <v>23</v>
      </c>
      <c r="G70" s="4" t="b">
        <v>0</v>
      </c>
      <c r="H70" s="4">
        <v>1</v>
      </c>
      <c r="I70" s="4">
        <v>1</v>
      </c>
      <c r="J70" s="4">
        <v>0.18</v>
      </c>
      <c r="K70" s="6" t="str">
        <f>IF(H70=0,"weekend",IF(H70=6,"weekend","weekend"))</f>
        <v>weekend</v>
      </c>
      <c r="L70" s="3" t="str">
        <f>IF(C70=1,"Spring",IF(C70=2,"Summer",IF(C70=3,"Fall","Winter")))</f>
        <v>Spring</v>
      </c>
      <c r="M70" s="3">
        <f>SUM(J70:J94)</f>
        <v>4.9800000000000004</v>
      </c>
      <c r="N70" s="3">
        <f>AVERAGE(J70:J679)</f>
        <v>0.1832841328413283</v>
      </c>
      <c r="O70" s="3">
        <f>COUNT(J70:J679)</f>
        <v>542</v>
      </c>
      <c r="P70" s="3" t="str">
        <f>TEXT(J70,"0.00")</f>
        <v>0.18</v>
      </c>
      <c r="Q70" s="3" t="str">
        <f>LEFT(L70,3)</f>
        <v>Spr</v>
      </c>
      <c r="R70" s="7" t="str">
        <f>RIGHT(L70,3)</f>
        <v>ing</v>
      </c>
      <c r="S70" s="8">
        <f>LEN(L70)</f>
        <v>6</v>
      </c>
      <c r="T70" s="36" t="str">
        <f>A70&amp;"|"&amp;B70&amp;"|"&amp;F70</f>
        <v>69|40603|23</v>
      </c>
      <c r="V70" s="32">
        <f>VLOOKUP(A70,Sheet2!A:H,3,FALSE)</f>
        <v>0</v>
      </c>
      <c r="W70" s="32">
        <f>VLOOKUP(A70,Sheet2!A:H,4,FALSE)</f>
        <v>0.55000000000000004</v>
      </c>
      <c r="X70" s="32">
        <f>VLOOKUP(A70,Sheet2!A:H,7,FALSE)</f>
        <v>5</v>
      </c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spans="1:37" x14ac:dyDescent="0.2">
      <c r="A71" s="4">
        <v>70</v>
      </c>
      <c r="B71" s="5">
        <v>40634</v>
      </c>
      <c r="C71" s="4">
        <v>1</v>
      </c>
      <c r="D71" s="4">
        <v>0</v>
      </c>
      <c r="E71" s="4">
        <v>1</v>
      </c>
      <c r="F71" s="4">
        <v>0</v>
      </c>
      <c r="G71" s="4" t="b">
        <v>0</v>
      </c>
      <c r="H71" s="4">
        <v>2</v>
      </c>
      <c r="I71" s="4">
        <v>1</v>
      </c>
      <c r="J71" s="4">
        <v>0.16</v>
      </c>
      <c r="K71" s="6" t="str">
        <f>IF(H71=0,"weekend",IF(H71=6,"weekend","weekend"))</f>
        <v>weekend</v>
      </c>
      <c r="L71" s="3" t="str">
        <f>IF(C71=1,"Spring",IF(C71=2,"Summer",IF(C71=3,"Fall","Winter")))</f>
        <v>Spring</v>
      </c>
      <c r="M71" s="3">
        <f>SUM(J71:J95)</f>
        <v>4.96</v>
      </c>
      <c r="N71" s="3">
        <f>AVERAGE(J71:J680)</f>
        <v>0.18329020332717183</v>
      </c>
      <c r="O71" s="3">
        <f>COUNT(J71:J680)</f>
        <v>541</v>
      </c>
      <c r="P71" s="3" t="str">
        <f>TEXT(J71,"0.00")</f>
        <v>0.16</v>
      </c>
      <c r="Q71" s="3" t="str">
        <f>LEFT(L71,3)</f>
        <v>Spr</v>
      </c>
      <c r="R71" s="7" t="str">
        <f>RIGHT(L71,3)</f>
        <v>ing</v>
      </c>
      <c r="S71" s="8">
        <f>LEN(L71)</f>
        <v>6</v>
      </c>
      <c r="T71" s="36" t="str">
        <f>A71&amp;"|"&amp;B71&amp;"|"&amp;F71</f>
        <v>70|40634|0</v>
      </c>
      <c r="V71" s="32">
        <f>VLOOKUP(A71,Sheet2!A:H,3,FALSE)</f>
        <v>0.18179999999999999</v>
      </c>
      <c r="W71" s="32">
        <f>VLOOKUP(A71,Sheet2!A:H,4,FALSE)</f>
        <v>0.59</v>
      </c>
      <c r="X71" s="32">
        <f>VLOOKUP(A71,Sheet2!A:H,7,FALSE)</f>
        <v>2</v>
      </c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spans="1:37" x14ac:dyDescent="0.2">
      <c r="A72" s="4">
        <v>71</v>
      </c>
      <c r="B72" s="5">
        <v>40634</v>
      </c>
      <c r="C72" s="4">
        <v>1</v>
      </c>
      <c r="D72" s="4">
        <v>0</v>
      </c>
      <c r="E72" s="4">
        <v>1</v>
      </c>
      <c r="F72" s="4">
        <v>1</v>
      </c>
      <c r="G72" s="4" t="b">
        <v>0</v>
      </c>
      <c r="H72" s="4">
        <v>2</v>
      </c>
      <c r="I72" s="4">
        <v>1</v>
      </c>
      <c r="J72" s="4">
        <v>0.16</v>
      </c>
      <c r="K72" s="6" t="str">
        <f>IF(H72=0,"weekend",IF(H72=6,"weekend","weekend"))</f>
        <v>weekend</v>
      </c>
      <c r="L72" s="3" t="str">
        <f>IF(C72=1,"Spring",IF(C72=2,"Summer",IF(C72=3,"Fall","Winter")))</f>
        <v>Spring</v>
      </c>
      <c r="M72" s="3">
        <f>SUM(J72:J96)</f>
        <v>4.9600000000000009</v>
      </c>
      <c r="N72" s="3">
        <f>AVERAGE(J72:J681)</f>
        <v>0.18333333333333324</v>
      </c>
      <c r="O72" s="3">
        <f>COUNT(J72:J681)</f>
        <v>540</v>
      </c>
      <c r="P72" s="3" t="str">
        <f>TEXT(J72,"0.00")</f>
        <v>0.16</v>
      </c>
      <c r="Q72" s="3" t="str">
        <f>LEFT(L72,3)</f>
        <v>Spr</v>
      </c>
      <c r="R72" s="7" t="str">
        <f>RIGHT(L72,3)</f>
        <v>ing</v>
      </c>
      <c r="S72" s="8">
        <f>LEN(L72)</f>
        <v>6</v>
      </c>
      <c r="T72" s="36" t="str">
        <f>A72&amp;"|"&amp;B72&amp;"|"&amp;F72</f>
        <v>71|40634|1</v>
      </c>
      <c r="V72" s="32">
        <f>VLOOKUP(A72,Sheet2!A:H,3,FALSE)</f>
        <v>0.1515</v>
      </c>
      <c r="W72" s="32">
        <f>VLOOKUP(A72,Sheet2!A:H,4,FALSE)</f>
        <v>0.63</v>
      </c>
      <c r="X72" s="32">
        <f>VLOOKUP(A72,Sheet2!A:H,7,FALSE)</f>
        <v>1</v>
      </c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spans="1:37" x14ac:dyDescent="0.2">
      <c r="A73" s="4">
        <v>72</v>
      </c>
      <c r="B73" s="5">
        <v>40634</v>
      </c>
      <c r="C73" s="4">
        <v>1</v>
      </c>
      <c r="D73" s="4">
        <v>0</v>
      </c>
      <c r="E73" s="4">
        <v>1</v>
      </c>
      <c r="F73" s="4">
        <v>2</v>
      </c>
      <c r="G73" s="4" t="b">
        <v>0</v>
      </c>
      <c r="H73" s="4">
        <v>2</v>
      </c>
      <c r="I73" s="4">
        <v>1</v>
      </c>
      <c r="J73" s="4">
        <v>0.14000000000000001</v>
      </c>
      <c r="K73" s="6" t="str">
        <f>IF(H73=0,"weekend",IF(H73=6,"weekend","weekend"))</f>
        <v>weekend</v>
      </c>
      <c r="L73" s="3" t="str">
        <f>IF(C73=1,"Spring",IF(C73=2,"Summer",IF(C73=3,"Fall","Winter")))</f>
        <v>Spring</v>
      </c>
      <c r="M73" s="3">
        <f>SUM(J73:J97)</f>
        <v>5.0400000000000018</v>
      </c>
      <c r="N73" s="3">
        <f>AVERAGE(J73:J682)</f>
        <v>0.18337662337662328</v>
      </c>
      <c r="O73" s="3">
        <f>COUNT(J73:J682)</f>
        <v>539</v>
      </c>
      <c r="P73" s="3" t="str">
        <f>TEXT(J73,"0.00")</f>
        <v>0.14</v>
      </c>
      <c r="Q73" s="3" t="str">
        <f>LEFT(L73,3)</f>
        <v>Spr</v>
      </c>
      <c r="R73" s="7" t="str">
        <f>RIGHT(L73,3)</f>
        <v>ing</v>
      </c>
      <c r="S73" s="8">
        <f>LEN(L73)</f>
        <v>6</v>
      </c>
      <c r="T73" s="36" t="str">
        <f>A73&amp;"|"&amp;B73&amp;"|"&amp;F73</f>
        <v>72|40634|2</v>
      </c>
      <c r="V73" s="32">
        <f>VLOOKUP(A73,Sheet2!A:H,3,FALSE)</f>
        <v>0.18179999999999999</v>
      </c>
      <c r="W73" s="32">
        <f>VLOOKUP(A73,Sheet2!A:H,4,FALSE)</f>
        <v>0.63</v>
      </c>
      <c r="X73" s="32">
        <f>VLOOKUP(A73,Sheet2!A:H,7,FALSE)</f>
        <v>2</v>
      </c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spans="1:37" x14ac:dyDescent="0.2">
      <c r="A74" s="4">
        <v>73</v>
      </c>
      <c r="B74" s="5">
        <v>40634</v>
      </c>
      <c r="C74" s="4">
        <v>1</v>
      </c>
      <c r="D74" s="4">
        <v>0</v>
      </c>
      <c r="E74" s="4">
        <v>1</v>
      </c>
      <c r="F74" s="4">
        <v>4</v>
      </c>
      <c r="G74" s="4" t="b">
        <v>0</v>
      </c>
      <c r="H74" s="4">
        <v>2</v>
      </c>
      <c r="I74" s="4">
        <v>1</v>
      </c>
      <c r="J74" s="4">
        <v>0.14000000000000001</v>
      </c>
      <c r="K74" s="6" t="str">
        <f>IF(H74=0,"weekend",IF(H74=6,"weekend","weekend"))</f>
        <v>weekend</v>
      </c>
      <c r="L74" s="3" t="str">
        <f>IF(C74=1,"Spring",IF(C74=2,"Summer",IF(C74=3,"Fall","Winter")))</f>
        <v>Spring</v>
      </c>
      <c r="M74" s="3">
        <f>SUM(J74:J98)</f>
        <v>5.120000000000001</v>
      </c>
      <c r="N74" s="3">
        <f>AVERAGE(J74:J683)</f>
        <v>0.18345724907063188</v>
      </c>
      <c r="O74" s="3">
        <f>COUNT(J74:J683)</f>
        <v>538</v>
      </c>
      <c r="P74" s="3" t="str">
        <f>TEXT(J74,"0.00")</f>
        <v>0.14</v>
      </c>
      <c r="Q74" s="3" t="str">
        <f>LEFT(L74,3)</f>
        <v>Spr</v>
      </c>
      <c r="R74" s="7" t="str">
        <f>RIGHT(L74,3)</f>
        <v>ing</v>
      </c>
      <c r="S74" s="8">
        <f>LEN(L74)</f>
        <v>6</v>
      </c>
      <c r="T74" s="36" t="str">
        <f>A74&amp;"|"&amp;B74&amp;"|"&amp;F74</f>
        <v>73|40634|4</v>
      </c>
      <c r="V74" s="32">
        <f>VLOOKUP(A74,Sheet2!A:H,3,FALSE)</f>
        <v>0.1515</v>
      </c>
      <c r="W74" s="32">
        <f>VLOOKUP(A74,Sheet2!A:H,4,FALSE)</f>
        <v>0.68</v>
      </c>
      <c r="X74" s="32">
        <f>VLOOKUP(A74,Sheet2!A:H,7,FALSE)</f>
        <v>4</v>
      </c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spans="1:37" x14ac:dyDescent="0.2">
      <c r="A75" s="4">
        <v>74</v>
      </c>
      <c r="B75" s="5">
        <v>40634</v>
      </c>
      <c r="C75" s="4">
        <v>1</v>
      </c>
      <c r="D75" s="4">
        <v>0</v>
      </c>
      <c r="E75" s="4">
        <v>1</v>
      </c>
      <c r="F75" s="4">
        <v>5</v>
      </c>
      <c r="G75" s="4" t="b">
        <v>0</v>
      </c>
      <c r="H75" s="4">
        <v>2</v>
      </c>
      <c r="I75" s="4">
        <v>1</v>
      </c>
      <c r="J75" s="4">
        <v>0.12</v>
      </c>
      <c r="K75" s="6" t="str">
        <f>IF(H75=0,"weekend",IF(H75=6,"weekend","weekend"))</f>
        <v>weekend</v>
      </c>
      <c r="L75" s="3" t="str">
        <f>IF(C75=1,"Spring",IF(C75=2,"Summer",IF(C75=3,"Fall","Winter")))</f>
        <v>Spring</v>
      </c>
      <c r="M75" s="3">
        <f>SUM(J75:J99)</f>
        <v>5.1800000000000015</v>
      </c>
      <c r="N75" s="3">
        <f>AVERAGE(J75:J684)</f>
        <v>0.18353817504655487</v>
      </c>
      <c r="O75" s="3">
        <f>COUNT(J75:J684)</f>
        <v>537</v>
      </c>
      <c r="P75" s="3" t="str">
        <f>TEXT(J75,"0.00")</f>
        <v>0.12</v>
      </c>
      <c r="Q75" s="3" t="str">
        <f>LEFT(L75,3)</f>
        <v>Spr</v>
      </c>
      <c r="R75" s="7" t="str">
        <f>RIGHT(L75,3)</f>
        <v>ing</v>
      </c>
      <c r="S75" s="8">
        <f>LEN(L75)</f>
        <v>6</v>
      </c>
      <c r="T75" s="36" t="str">
        <f>A75&amp;"|"&amp;B75&amp;"|"&amp;F75</f>
        <v>74|40634|5</v>
      </c>
      <c r="V75" s="32">
        <f>VLOOKUP(A75,Sheet2!A:H,3,FALSE)</f>
        <v>0.1515</v>
      </c>
      <c r="W75" s="32">
        <f>VLOOKUP(A75,Sheet2!A:H,4,FALSE)</f>
        <v>0.74</v>
      </c>
      <c r="X75" s="32">
        <f>VLOOKUP(A75,Sheet2!A:H,7,FALSE)</f>
        <v>36</v>
      </c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spans="1:37" x14ac:dyDescent="0.2">
      <c r="A76" s="4">
        <v>75</v>
      </c>
      <c r="B76" s="5">
        <v>40634</v>
      </c>
      <c r="C76" s="4">
        <v>1</v>
      </c>
      <c r="D76" s="4">
        <v>0</v>
      </c>
      <c r="E76" s="4">
        <v>1</v>
      </c>
      <c r="F76" s="4">
        <v>6</v>
      </c>
      <c r="G76" s="4" t="b">
        <v>0</v>
      </c>
      <c r="H76" s="4">
        <v>2</v>
      </c>
      <c r="I76" s="4">
        <v>1</v>
      </c>
      <c r="J76" s="4">
        <v>0.12</v>
      </c>
      <c r="K76" s="6" t="str">
        <f>IF(H76=0,"weekend",IF(H76=6,"weekend","weekend"))</f>
        <v>weekend</v>
      </c>
      <c r="L76" s="3" t="str">
        <f>IF(C76=1,"Spring",IF(C76=2,"Summer",IF(C76=3,"Fall","Winter")))</f>
        <v>Spring</v>
      </c>
      <c r="M76" s="3">
        <f>SUM(J76:J100)</f>
        <v>5.2400000000000011</v>
      </c>
      <c r="N76" s="3">
        <f>AVERAGE(J76:J685)</f>
        <v>0.1836567164179104</v>
      </c>
      <c r="O76" s="3">
        <f>COUNT(J76:J685)</f>
        <v>536</v>
      </c>
      <c r="P76" s="3" t="str">
        <f>TEXT(J76,"0.00")</f>
        <v>0.12</v>
      </c>
      <c r="Q76" s="3" t="str">
        <f>LEFT(L76,3)</f>
        <v>Spr</v>
      </c>
      <c r="R76" s="7" t="str">
        <f>RIGHT(L76,3)</f>
        <v>ing</v>
      </c>
      <c r="S76" s="8">
        <f>LEN(L76)</f>
        <v>6</v>
      </c>
      <c r="T76" s="36" t="str">
        <f>A76&amp;"|"&amp;B76&amp;"|"&amp;F76</f>
        <v>75|40634|6</v>
      </c>
      <c r="V76" s="32">
        <f>VLOOKUP(A76,Sheet2!A:H,3,FALSE)</f>
        <v>0.1515</v>
      </c>
      <c r="W76" s="32">
        <f>VLOOKUP(A76,Sheet2!A:H,4,FALSE)</f>
        <v>0.74</v>
      </c>
      <c r="X76" s="32">
        <f>VLOOKUP(A76,Sheet2!A:H,7,FALSE)</f>
        <v>92</v>
      </c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spans="1:37" x14ac:dyDescent="0.2">
      <c r="A77" s="4">
        <v>76</v>
      </c>
      <c r="B77" s="5">
        <v>40634</v>
      </c>
      <c r="C77" s="4">
        <v>1</v>
      </c>
      <c r="D77" s="4">
        <v>0</v>
      </c>
      <c r="E77" s="4">
        <v>1</v>
      </c>
      <c r="F77" s="4">
        <v>7</v>
      </c>
      <c r="G77" s="4" t="b">
        <v>0</v>
      </c>
      <c r="H77" s="4">
        <v>2</v>
      </c>
      <c r="I77" s="4">
        <v>1</v>
      </c>
      <c r="J77" s="4">
        <v>0.12</v>
      </c>
      <c r="K77" s="6" t="str">
        <f>IF(H77=0,"weekend",IF(H77=6,"weekend","weekend"))</f>
        <v>weekend</v>
      </c>
      <c r="L77" s="3" t="str">
        <f>IF(C77=1,"Spring",IF(C77=2,"Summer",IF(C77=3,"Fall","Winter")))</f>
        <v>Spring</v>
      </c>
      <c r="M77" s="3">
        <f>SUM(J77:J101)</f>
        <v>5.3200000000000012</v>
      </c>
      <c r="N77" s="3">
        <f>AVERAGE(J77:J686)</f>
        <v>0.18377570093457937</v>
      </c>
      <c r="O77" s="3">
        <f>COUNT(J77:J686)</f>
        <v>535</v>
      </c>
      <c r="P77" s="3" t="str">
        <f>TEXT(J77,"0.00")</f>
        <v>0.12</v>
      </c>
      <c r="Q77" s="3" t="str">
        <f>LEFT(L77,3)</f>
        <v>Spr</v>
      </c>
      <c r="R77" s="7" t="str">
        <f>RIGHT(L77,3)</f>
        <v>ing</v>
      </c>
      <c r="S77" s="8">
        <f>LEN(L77)</f>
        <v>6</v>
      </c>
      <c r="T77" s="36" t="str">
        <f>A77&amp;"|"&amp;B77&amp;"|"&amp;F77</f>
        <v>76|40634|7</v>
      </c>
      <c r="V77" s="32">
        <f>VLOOKUP(A77,Sheet2!A:H,3,FALSE)</f>
        <v>0.1515</v>
      </c>
      <c r="W77" s="32">
        <f>VLOOKUP(A77,Sheet2!A:H,4,FALSE)</f>
        <v>0.69</v>
      </c>
      <c r="X77" s="32">
        <f>VLOOKUP(A77,Sheet2!A:H,7,FALSE)</f>
        <v>177</v>
      </c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spans="1:37" x14ac:dyDescent="0.2">
      <c r="A78" s="4">
        <v>77</v>
      </c>
      <c r="B78" s="5">
        <v>40634</v>
      </c>
      <c r="C78" s="4">
        <v>1</v>
      </c>
      <c r="D78" s="4">
        <v>0</v>
      </c>
      <c r="E78" s="4">
        <v>1</v>
      </c>
      <c r="F78" s="4">
        <v>8</v>
      </c>
      <c r="G78" s="4" t="b">
        <v>0</v>
      </c>
      <c r="H78" s="4">
        <v>2</v>
      </c>
      <c r="I78" s="4">
        <v>1</v>
      </c>
      <c r="J78" s="4">
        <v>0.14000000000000001</v>
      </c>
      <c r="K78" s="6" t="str">
        <f>IF(H78=0,"weekend",IF(H78=6,"weekend","weekend"))</f>
        <v>weekend</v>
      </c>
      <c r="L78" s="3" t="str">
        <f>IF(C78=1,"Spring",IF(C78=2,"Summer",IF(C78=3,"Fall","Winter")))</f>
        <v>Spring</v>
      </c>
      <c r="M78" s="3">
        <f>SUM(J78:J102)</f>
        <v>5.4200000000000017</v>
      </c>
      <c r="N78" s="3">
        <f>AVERAGE(J78:J687)</f>
        <v>0.18389513108614228</v>
      </c>
      <c r="O78" s="3">
        <f>COUNT(J78:J687)</f>
        <v>534</v>
      </c>
      <c r="P78" s="3" t="str">
        <f>TEXT(J78,"0.00")</f>
        <v>0.14</v>
      </c>
      <c r="Q78" s="3" t="str">
        <f>LEFT(L78,3)</f>
        <v>Spr</v>
      </c>
      <c r="R78" s="7" t="str">
        <f>RIGHT(L78,3)</f>
        <v>ing</v>
      </c>
      <c r="S78" s="8">
        <f>LEN(L78)</f>
        <v>6</v>
      </c>
      <c r="T78" s="36" t="str">
        <f>A78&amp;"|"&amp;B78&amp;"|"&amp;F78</f>
        <v>77|40634|8</v>
      </c>
      <c r="V78" s="32">
        <f>VLOOKUP(A78,Sheet2!A:H,3,FALSE)</f>
        <v>0.1515</v>
      </c>
      <c r="W78" s="32">
        <f>VLOOKUP(A78,Sheet2!A:H,4,FALSE)</f>
        <v>0.64</v>
      </c>
      <c r="X78" s="32">
        <f>VLOOKUP(A78,Sheet2!A:H,7,FALSE)</f>
        <v>98</v>
      </c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spans="1:37" x14ac:dyDescent="0.2">
      <c r="A79" s="4">
        <v>78</v>
      </c>
      <c r="B79" s="5">
        <v>40634</v>
      </c>
      <c r="C79" s="4">
        <v>1</v>
      </c>
      <c r="D79" s="4">
        <v>0</v>
      </c>
      <c r="E79" s="4">
        <v>1</v>
      </c>
      <c r="F79" s="4">
        <v>9</v>
      </c>
      <c r="G79" s="4" t="b">
        <v>0</v>
      </c>
      <c r="H79" s="4">
        <v>2</v>
      </c>
      <c r="I79" s="4">
        <v>1</v>
      </c>
      <c r="J79" s="4">
        <v>0.16</v>
      </c>
      <c r="K79" s="6" t="str">
        <f>IF(H79=0,"weekend",IF(H79=6,"weekend","weekend"))</f>
        <v>weekend</v>
      </c>
      <c r="L79" s="3" t="str">
        <f>IF(C79=1,"Spring",IF(C79=2,"Summer",IF(C79=3,"Fall","Winter")))</f>
        <v>Spring</v>
      </c>
      <c r="M79" s="3">
        <f>SUM(J79:J103)</f>
        <v>5.5000000000000009</v>
      </c>
      <c r="N79" s="3">
        <f>AVERAGE(J79:J688)</f>
        <v>0.18397748592870539</v>
      </c>
      <c r="O79" s="3">
        <f>COUNT(J79:J688)</f>
        <v>533</v>
      </c>
      <c r="P79" s="3" t="str">
        <f>TEXT(J79,"0.00")</f>
        <v>0.16</v>
      </c>
      <c r="Q79" s="3" t="str">
        <f>LEFT(L79,3)</f>
        <v>Spr</v>
      </c>
      <c r="R79" s="7" t="str">
        <f>RIGHT(L79,3)</f>
        <v>ing</v>
      </c>
      <c r="S79" s="8">
        <f>LEN(L79)</f>
        <v>6</v>
      </c>
      <c r="T79" s="36" t="str">
        <f>A79&amp;"|"&amp;B79&amp;"|"&amp;F79</f>
        <v>78|40634|9</v>
      </c>
      <c r="V79" s="32">
        <f>VLOOKUP(A79,Sheet2!A:H,3,FALSE)</f>
        <v>0.13639999999999999</v>
      </c>
      <c r="W79" s="32">
        <f>VLOOKUP(A79,Sheet2!A:H,4,FALSE)</f>
        <v>0.69</v>
      </c>
      <c r="X79" s="32">
        <f>VLOOKUP(A79,Sheet2!A:H,7,FALSE)</f>
        <v>37</v>
      </c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spans="1:37" x14ac:dyDescent="0.2">
      <c r="A80" s="4">
        <v>79</v>
      </c>
      <c r="B80" s="5">
        <v>40634</v>
      </c>
      <c r="C80" s="4">
        <v>1</v>
      </c>
      <c r="D80" s="4">
        <v>0</v>
      </c>
      <c r="E80" s="4">
        <v>1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  <c r="K80" s="6" t="str">
        <f>IF(H80=0,"weekend",IF(H80=6,"weekend","weekend"))</f>
        <v>weekend</v>
      </c>
      <c r="L80" s="3" t="str">
        <f>IF(C80=1,"Spring",IF(C80=2,"Summer",IF(C80=3,"Fall","Winter")))</f>
        <v>Spring</v>
      </c>
      <c r="M80" s="3">
        <f>SUM(J80:J104)</f>
        <v>5.6000000000000005</v>
      </c>
      <c r="N80" s="3">
        <f>AVERAGE(J80:J689)</f>
        <v>0.18402255639097739</v>
      </c>
      <c r="O80" s="3">
        <f>COUNT(J80:J689)</f>
        <v>532</v>
      </c>
      <c r="P80" s="3" t="str">
        <f>TEXT(J80,"0.00")</f>
        <v>0.16</v>
      </c>
      <c r="Q80" s="3" t="str">
        <f>LEFT(L80,3)</f>
        <v>Spr</v>
      </c>
      <c r="R80" s="7" t="str">
        <f>RIGHT(L80,3)</f>
        <v>ing</v>
      </c>
      <c r="S80" s="8">
        <f>LEN(L80)</f>
        <v>6</v>
      </c>
      <c r="T80" s="36" t="str">
        <f>A80&amp;"|"&amp;B80&amp;"|"&amp;F80</f>
        <v>79|40634|10</v>
      </c>
      <c r="V80" s="32">
        <f>VLOOKUP(A80,Sheet2!A:H,3,FALSE)</f>
        <v>0.21210000000000001</v>
      </c>
      <c r="W80" s="32">
        <f>VLOOKUP(A80,Sheet2!A:H,4,FALSE)</f>
        <v>0.51</v>
      </c>
      <c r="X80" s="32">
        <f>VLOOKUP(A80,Sheet2!A:H,7,FALSE)</f>
        <v>50</v>
      </c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spans="1:37" x14ac:dyDescent="0.2">
      <c r="A81" s="4">
        <v>80</v>
      </c>
      <c r="B81" s="5">
        <v>40634</v>
      </c>
      <c r="C81" s="4">
        <v>1</v>
      </c>
      <c r="D81" s="4">
        <v>0</v>
      </c>
      <c r="E81" s="4">
        <v>1</v>
      </c>
      <c r="F81" s="4">
        <v>11</v>
      </c>
      <c r="G81" s="4" t="b">
        <v>0</v>
      </c>
      <c r="H81" s="4">
        <v>2</v>
      </c>
      <c r="I81" s="4">
        <v>1</v>
      </c>
      <c r="J81" s="4">
        <v>0.22</v>
      </c>
      <c r="K81" s="6" t="str">
        <f>IF(H81=0,"weekend",IF(H81=6,"weekend","weekend"))</f>
        <v>weekend</v>
      </c>
      <c r="L81" s="3" t="str">
        <f>IF(C81=1,"Spring",IF(C81=2,"Summer",IF(C81=3,"Fall","Winter")))</f>
        <v>Spring</v>
      </c>
      <c r="M81" s="3">
        <f>SUM(J81:J105)</f>
        <v>5.7</v>
      </c>
      <c r="N81" s="3">
        <f>AVERAGE(J81:J690)</f>
        <v>0.18406779661016945</v>
      </c>
      <c r="O81" s="3">
        <f>COUNT(J81:J690)</f>
        <v>531</v>
      </c>
      <c r="P81" s="3" t="str">
        <f>TEXT(J81,"0.00")</f>
        <v>0.22</v>
      </c>
      <c r="Q81" s="3" t="str">
        <f>LEFT(L81,3)</f>
        <v>Spr</v>
      </c>
      <c r="R81" s="7" t="str">
        <f>RIGHT(L81,3)</f>
        <v>ing</v>
      </c>
      <c r="S81" s="8">
        <f>LEN(L81)</f>
        <v>6</v>
      </c>
      <c r="T81" s="36" t="str">
        <f>A81&amp;"|"&amp;B81&amp;"|"&amp;F81</f>
        <v>80|40634|11</v>
      </c>
      <c r="V81" s="32">
        <f>VLOOKUP(A81,Sheet2!A:H,3,FALSE)</f>
        <v>0.2273</v>
      </c>
      <c r="W81" s="32">
        <f>VLOOKUP(A81,Sheet2!A:H,4,FALSE)</f>
        <v>0.51</v>
      </c>
      <c r="X81" s="32">
        <f>VLOOKUP(A81,Sheet2!A:H,7,FALSE)</f>
        <v>66</v>
      </c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spans="1:37" x14ac:dyDescent="0.2">
      <c r="A82" s="4">
        <v>81</v>
      </c>
      <c r="B82" s="5">
        <v>40634</v>
      </c>
      <c r="C82" s="4">
        <v>1</v>
      </c>
      <c r="D82" s="4">
        <v>0</v>
      </c>
      <c r="E82" s="4">
        <v>1</v>
      </c>
      <c r="F82" s="4">
        <v>12</v>
      </c>
      <c r="G82" s="4" t="b">
        <v>0</v>
      </c>
      <c r="H82" s="4">
        <v>2</v>
      </c>
      <c r="I82" s="4">
        <v>1</v>
      </c>
      <c r="J82" s="4">
        <v>0.22</v>
      </c>
      <c r="K82" s="6" t="str">
        <f>IF(H82=0,"weekend",IF(H82=6,"weekend","weekend"))</f>
        <v>weekend</v>
      </c>
      <c r="L82" s="3" t="str">
        <f>IF(C82=1,"Spring",IF(C82=2,"Summer",IF(C82=3,"Fall","Winter")))</f>
        <v>Spring</v>
      </c>
      <c r="M82" s="3">
        <f>SUM(J82:J106)</f>
        <v>5.7600000000000007</v>
      </c>
      <c r="N82" s="3">
        <f>AVERAGE(J82:J691)</f>
        <v>0.18399999999999997</v>
      </c>
      <c r="O82" s="3">
        <f>COUNT(J82:J691)</f>
        <v>530</v>
      </c>
      <c r="P82" s="3" t="str">
        <f>TEXT(J82,"0.00")</f>
        <v>0.22</v>
      </c>
      <c r="Q82" s="3" t="str">
        <f>LEFT(L82,3)</f>
        <v>Spr</v>
      </c>
      <c r="R82" s="7" t="str">
        <f>RIGHT(L82,3)</f>
        <v>ing</v>
      </c>
      <c r="S82" s="8">
        <f>LEN(L82)</f>
        <v>6</v>
      </c>
      <c r="T82" s="36" t="str">
        <f>A82&amp;"|"&amp;B82&amp;"|"&amp;F82</f>
        <v>81|40634|12</v>
      </c>
      <c r="V82" s="32">
        <f>VLOOKUP(A82,Sheet2!A:H,3,FALSE)</f>
        <v>0.2273</v>
      </c>
      <c r="W82" s="32">
        <f>VLOOKUP(A82,Sheet2!A:H,4,FALSE)</f>
        <v>0.56000000000000005</v>
      </c>
      <c r="X82" s="32">
        <f>VLOOKUP(A82,Sheet2!A:H,7,FALSE)</f>
        <v>79</v>
      </c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spans="1:37" x14ac:dyDescent="0.2">
      <c r="A83" s="4">
        <v>82</v>
      </c>
      <c r="B83" s="5">
        <v>40634</v>
      </c>
      <c r="C83" s="4">
        <v>1</v>
      </c>
      <c r="D83" s="4">
        <v>0</v>
      </c>
      <c r="E83" s="4">
        <v>1</v>
      </c>
      <c r="F83" s="4">
        <v>13</v>
      </c>
      <c r="G83" s="4" t="b">
        <v>0</v>
      </c>
      <c r="H83" s="4">
        <v>2</v>
      </c>
      <c r="I83" s="4">
        <v>1</v>
      </c>
      <c r="J83" s="4">
        <v>0.24</v>
      </c>
      <c r="K83" s="6" t="str">
        <f>IF(H83=0,"weekend",IF(H83=6,"weekend","weekend"))</f>
        <v>weekend</v>
      </c>
      <c r="L83" s="3" t="str">
        <f>IF(C83=1,"Spring",IF(C83=2,"Summer",IF(C83=3,"Fall","Winter")))</f>
        <v>Spring</v>
      </c>
      <c r="M83" s="3">
        <f>SUM(J83:J107)</f>
        <v>5.8400000000000007</v>
      </c>
      <c r="N83" s="3">
        <f>AVERAGE(J83:J692)</f>
        <v>0.18393194706994329</v>
      </c>
      <c r="O83" s="3">
        <f>COUNT(J83:J692)</f>
        <v>529</v>
      </c>
      <c r="P83" s="3" t="str">
        <f>TEXT(J83,"0.00")</f>
        <v>0.24</v>
      </c>
      <c r="Q83" s="3" t="str">
        <f>LEFT(L83,3)</f>
        <v>Spr</v>
      </c>
      <c r="R83" s="7" t="str">
        <f>RIGHT(L83,3)</f>
        <v>ing</v>
      </c>
      <c r="S83" s="8">
        <f>LEN(L83)</f>
        <v>6</v>
      </c>
      <c r="T83" s="36" t="str">
        <f>A83&amp;"|"&amp;B83&amp;"|"&amp;F83</f>
        <v>82|40634|13</v>
      </c>
      <c r="V83" s="32">
        <f>VLOOKUP(A83,Sheet2!A:H,3,FALSE)</f>
        <v>0.2576</v>
      </c>
      <c r="W83" s="32">
        <f>VLOOKUP(A83,Sheet2!A:H,4,FALSE)</f>
        <v>0.52</v>
      </c>
      <c r="X83" s="32">
        <f>VLOOKUP(A83,Sheet2!A:H,7,FALSE)</f>
        <v>54</v>
      </c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spans="1:37" x14ac:dyDescent="0.2">
      <c r="A84" s="4">
        <v>83</v>
      </c>
      <c r="B84" s="5">
        <v>40634</v>
      </c>
      <c r="C84" s="4">
        <v>1</v>
      </c>
      <c r="D84" s="4">
        <v>0</v>
      </c>
      <c r="E84" s="4">
        <v>1</v>
      </c>
      <c r="F84" s="4">
        <v>14</v>
      </c>
      <c r="G84" s="4" t="b">
        <v>0</v>
      </c>
      <c r="H84" s="4">
        <v>2</v>
      </c>
      <c r="I84" s="4">
        <v>1</v>
      </c>
      <c r="J84" s="4">
        <v>0.26</v>
      </c>
      <c r="K84" s="6" t="str">
        <f>IF(H84=0,"weekend",IF(H84=6,"weekend","weekend"))</f>
        <v>weekend</v>
      </c>
      <c r="L84" s="3" t="str">
        <f>IF(C84=1,"Spring",IF(C84=2,"Summer",IF(C84=3,"Fall","Winter")))</f>
        <v>Spring</v>
      </c>
      <c r="M84" s="3">
        <f>SUM(J84:J108)</f>
        <v>5.9</v>
      </c>
      <c r="N84" s="3">
        <f>AVERAGE(J84:J693)</f>
        <v>0.18382575757575756</v>
      </c>
      <c r="O84" s="3">
        <f>COUNT(J84:J693)</f>
        <v>528</v>
      </c>
      <c r="P84" s="3" t="str">
        <f>TEXT(J84,"0.00")</f>
        <v>0.26</v>
      </c>
      <c r="Q84" s="3" t="str">
        <f>LEFT(L84,3)</f>
        <v>Spr</v>
      </c>
      <c r="R84" s="7" t="str">
        <f>RIGHT(L84,3)</f>
        <v>ing</v>
      </c>
      <c r="S84" s="8">
        <f>LEN(L84)</f>
        <v>6</v>
      </c>
      <c r="T84" s="36" t="str">
        <f>A84&amp;"|"&amp;B84&amp;"|"&amp;F84</f>
        <v>83|40634|14</v>
      </c>
      <c r="V84" s="32">
        <f>VLOOKUP(A84,Sheet2!A:H,3,FALSE)</f>
        <v>0.2727</v>
      </c>
      <c r="W84" s="32">
        <f>VLOOKUP(A84,Sheet2!A:H,4,FALSE)</f>
        <v>0.52</v>
      </c>
      <c r="X84" s="32">
        <f>VLOOKUP(A84,Sheet2!A:H,7,FALSE)</f>
        <v>48</v>
      </c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spans="1:37" x14ac:dyDescent="0.2">
      <c r="A85" s="4">
        <v>84</v>
      </c>
      <c r="B85" s="5">
        <v>40634</v>
      </c>
      <c r="C85" s="4">
        <v>1</v>
      </c>
      <c r="D85" s="4">
        <v>0</v>
      </c>
      <c r="E85" s="4">
        <v>1</v>
      </c>
      <c r="F85" s="4">
        <v>15</v>
      </c>
      <c r="G85" s="4" t="b">
        <v>0</v>
      </c>
      <c r="H85" s="4">
        <v>2</v>
      </c>
      <c r="I85" s="4">
        <v>1</v>
      </c>
      <c r="J85" s="4">
        <v>0.28000000000000003</v>
      </c>
      <c r="K85" s="6" t="str">
        <f>IF(H85=0,"weekend",IF(H85=6,"weekend","weekend"))</f>
        <v>weekend</v>
      </c>
      <c r="L85" s="3" t="str">
        <f>IF(C85=1,"Spring",IF(C85=2,"Summer",IF(C85=3,"Fall","Winter")))</f>
        <v>Spring</v>
      </c>
      <c r="M85" s="3">
        <f>SUM(J85:J109)</f>
        <v>5.94</v>
      </c>
      <c r="N85" s="3">
        <f>AVERAGE(J85:J694)</f>
        <v>0.18368121442125238</v>
      </c>
      <c r="O85" s="3">
        <f>COUNT(J85:J694)</f>
        <v>527</v>
      </c>
      <c r="P85" s="3" t="str">
        <f>TEXT(J85,"0.00")</f>
        <v>0.28</v>
      </c>
      <c r="Q85" s="3" t="str">
        <f>LEFT(L85,3)</f>
        <v>Spr</v>
      </c>
      <c r="R85" s="7" t="str">
        <f>RIGHT(L85,3)</f>
        <v>ing</v>
      </c>
      <c r="S85" s="8">
        <f>LEN(L85)</f>
        <v>6</v>
      </c>
      <c r="T85" s="36" t="str">
        <f>A85&amp;"|"&amp;B85&amp;"|"&amp;F85</f>
        <v>84|40634|15</v>
      </c>
      <c r="V85" s="32">
        <f>VLOOKUP(A85,Sheet2!A:H,3,FALSE)</f>
        <v>0.28789999999999999</v>
      </c>
      <c r="W85" s="32">
        <f>VLOOKUP(A85,Sheet2!A:H,4,FALSE)</f>
        <v>0.49</v>
      </c>
      <c r="X85" s="32">
        <f>VLOOKUP(A85,Sheet2!A:H,7,FALSE)</f>
        <v>68</v>
      </c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spans="1:37" x14ac:dyDescent="0.2">
      <c r="A86" s="4">
        <v>85</v>
      </c>
      <c r="B86" s="5">
        <v>40634</v>
      </c>
      <c r="C86" s="4">
        <v>1</v>
      </c>
      <c r="D86" s="4">
        <v>0</v>
      </c>
      <c r="E86" s="4">
        <v>1</v>
      </c>
      <c r="F86" s="4">
        <v>16</v>
      </c>
      <c r="G86" s="4" t="b">
        <v>0</v>
      </c>
      <c r="H86" s="4">
        <v>2</v>
      </c>
      <c r="I86" s="4">
        <v>1</v>
      </c>
      <c r="J86" s="4">
        <v>0.3</v>
      </c>
      <c r="K86" s="6" t="str">
        <f>IF(H86=0,"weekend",IF(H86=6,"weekend","weekend"))</f>
        <v>weekend</v>
      </c>
      <c r="L86" s="3" t="str">
        <f>IF(C86=1,"Spring",IF(C86=2,"Summer",IF(C86=3,"Fall","Winter")))</f>
        <v>Spring</v>
      </c>
      <c r="M86" s="3">
        <f>SUM(J86:J110)</f>
        <v>5.9000000000000012</v>
      </c>
      <c r="N86" s="3">
        <f>AVERAGE(J86:J695)</f>
        <v>0.18349809885931559</v>
      </c>
      <c r="O86" s="3">
        <f>COUNT(J86:J695)</f>
        <v>526</v>
      </c>
      <c r="P86" s="3" t="str">
        <f>TEXT(J86,"0.00")</f>
        <v>0.30</v>
      </c>
      <c r="Q86" s="3" t="str">
        <f>LEFT(L86,3)</f>
        <v>Spr</v>
      </c>
      <c r="R86" s="7" t="str">
        <f>RIGHT(L86,3)</f>
        <v>ing</v>
      </c>
      <c r="S86" s="8">
        <f>LEN(L86)</f>
        <v>6</v>
      </c>
      <c r="T86" s="36" t="str">
        <f>A86&amp;"|"&amp;B86&amp;"|"&amp;F86</f>
        <v>85|40634|16</v>
      </c>
      <c r="V86" s="32">
        <f>VLOOKUP(A86,Sheet2!A:H,3,FALSE)</f>
        <v>0.2727</v>
      </c>
      <c r="W86" s="32">
        <f>VLOOKUP(A86,Sheet2!A:H,4,FALSE)</f>
        <v>0.48</v>
      </c>
      <c r="X86" s="32">
        <f>VLOOKUP(A86,Sheet2!A:H,7,FALSE)</f>
        <v>202</v>
      </c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spans="1:37" x14ac:dyDescent="0.2">
      <c r="A87" s="4">
        <v>86</v>
      </c>
      <c r="B87" s="5">
        <v>40634</v>
      </c>
      <c r="C87" s="4">
        <v>1</v>
      </c>
      <c r="D87" s="4">
        <v>0</v>
      </c>
      <c r="E87" s="4">
        <v>1</v>
      </c>
      <c r="F87" s="4">
        <v>17</v>
      </c>
      <c r="G87" s="4" t="b">
        <v>0</v>
      </c>
      <c r="H87" s="4">
        <v>2</v>
      </c>
      <c r="I87" s="4">
        <v>1</v>
      </c>
      <c r="J87" s="4">
        <v>0.28000000000000003</v>
      </c>
      <c r="K87" s="6" t="str">
        <f>IF(H87=0,"weekend",IF(H87=6,"weekend","weekend"))</f>
        <v>weekend</v>
      </c>
      <c r="L87" s="3" t="str">
        <f>IF(C87=1,"Spring",IF(C87=2,"Summer",IF(C87=3,"Fall","Winter")))</f>
        <v>Spring</v>
      </c>
      <c r="M87" s="3">
        <f>SUM(J87:J111)</f>
        <v>5.8400000000000007</v>
      </c>
      <c r="N87" s="3">
        <f>AVERAGE(J87:J696)</f>
        <v>0.18327619047619045</v>
      </c>
      <c r="O87" s="3">
        <f>COUNT(J87:J696)</f>
        <v>525</v>
      </c>
      <c r="P87" s="3" t="str">
        <f>TEXT(J87,"0.00")</f>
        <v>0.28</v>
      </c>
      <c r="Q87" s="3" t="str">
        <f>LEFT(L87,3)</f>
        <v>Spr</v>
      </c>
      <c r="R87" s="7" t="str">
        <f>RIGHT(L87,3)</f>
        <v>ing</v>
      </c>
      <c r="S87" s="8">
        <f>LEN(L87)</f>
        <v>6</v>
      </c>
      <c r="T87" s="36" t="str">
        <f>A87&amp;"|"&amp;B87&amp;"|"&amp;F87</f>
        <v>86|40634|17</v>
      </c>
      <c r="V87" s="32">
        <f>VLOOKUP(A87,Sheet2!A:H,3,FALSE)</f>
        <v>0.2576</v>
      </c>
      <c r="W87" s="32">
        <f>VLOOKUP(A87,Sheet2!A:H,4,FALSE)</f>
        <v>0.48</v>
      </c>
      <c r="X87" s="32">
        <f>VLOOKUP(A87,Sheet2!A:H,7,FALSE)</f>
        <v>179</v>
      </c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spans="1:37" x14ac:dyDescent="0.2">
      <c r="A88" s="4">
        <v>87</v>
      </c>
      <c r="B88" s="5">
        <v>40634</v>
      </c>
      <c r="C88" s="4">
        <v>1</v>
      </c>
      <c r="D88" s="4">
        <v>0</v>
      </c>
      <c r="E88" s="4">
        <v>1</v>
      </c>
      <c r="F88" s="4">
        <v>18</v>
      </c>
      <c r="G88" s="4" t="b">
        <v>0</v>
      </c>
      <c r="H88" s="4">
        <v>2</v>
      </c>
      <c r="I88" s="4">
        <v>1</v>
      </c>
      <c r="J88" s="4">
        <v>0.26</v>
      </c>
      <c r="K88" s="6" t="str">
        <f>IF(H88=0,"weekend",IF(H88=6,"weekend","weekend"))</f>
        <v>weekend</v>
      </c>
      <c r="L88" s="3" t="str">
        <f>IF(C88=1,"Spring",IF(C88=2,"Summer",IF(C88=3,"Fall","Winter")))</f>
        <v>Spring</v>
      </c>
      <c r="M88" s="3">
        <f>SUM(J88:J112)</f>
        <v>5.8000000000000007</v>
      </c>
      <c r="N88" s="3">
        <f>AVERAGE(J88:J697)</f>
        <v>0.18309160305343508</v>
      </c>
      <c r="O88" s="3">
        <f>COUNT(J88:J697)</f>
        <v>524</v>
      </c>
      <c r="P88" s="3" t="str">
        <f>TEXT(J88,"0.00")</f>
        <v>0.26</v>
      </c>
      <c r="Q88" s="3" t="str">
        <f>LEFT(L88,3)</f>
        <v>Spr</v>
      </c>
      <c r="R88" s="7" t="str">
        <f>RIGHT(L88,3)</f>
        <v>ing</v>
      </c>
      <c r="S88" s="8">
        <f>LEN(L88)</f>
        <v>6</v>
      </c>
      <c r="T88" s="36" t="str">
        <f>A88&amp;"|"&amp;B88&amp;"|"&amp;F88</f>
        <v>87|40634|18</v>
      </c>
      <c r="V88" s="32">
        <f>VLOOKUP(A88,Sheet2!A:H,3,FALSE)</f>
        <v>0.2576</v>
      </c>
      <c r="W88" s="32">
        <f>VLOOKUP(A88,Sheet2!A:H,4,FALSE)</f>
        <v>0.48</v>
      </c>
      <c r="X88" s="32">
        <f>VLOOKUP(A88,Sheet2!A:H,7,FALSE)</f>
        <v>110</v>
      </c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spans="1:37" x14ac:dyDescent="0.2">
      <c r="A89" s="4">
        <v>88</v>
      </c>
      <c r="B89" s="5">
        <v>40634</v>
      </c>
      <c r="C89" s="4">
        <v>1</v>
      </c>
      <c r="D89" s="4">
        <v>0</v>
      </c>
      <c r="E89" s="4">
        <v>1</v>
      </c>
      <c r="F89" s="4">
        <v>19</v>
      </c>
      <c r="G89" s="4" t="b">
        <v>0</v>
      </c>
      <c r="H89" s="4">
        <v>2</v>
      </c>
      <c r="I89" s="4">
        <v>1</v>
      </c>
      <c r="J89" s="4">
        <v>0.24</v>
      </c>
      <c r="K89" s="6" t="str">
        <f>IF(H89=0,"weekend",IF(H89=6,"weekend","weekend"))</f>
        <v>weekend</v>
      </c>
      <c r="L89" s="3" t="str">
        <f>IF(C89=1,"Spring",IF(C89=2,"Summer",IF(C89=3,"Fall","Winter")))</f>
        <v>Spring</v>
      </c>
      <c r="M89" s="3">
        <f>SUM(J89:J113)</f>
        <v>5.7600000000000007</v>
      </c>
      <c r="N89" s="3">
        <f>AVERAGE(J89:J698)</f>
        <v>0.18294455066921603</v>
      </c>
      <c r="O89" s="3">
        <f>COUNT(J89:J698)</f>
        <v>523</v>
      </c>
      <c r="P89" s="3" t="str">
        <f>TEXT(J89,"0.00")</f>
        <v>0.24</v>
      </c>
      <c r="Q89" s="3" t="str">
        <f>LEFT(L89,3)</f>
        <v>Spr</v>
      </c>
      <c r="R89" s="7" t="str">
        <f>RIGHT(L89,3)</f>
        <v>ing</v>
      </c>
      <c r="S89" s="8">
        <f>LEN(L89)</f>
        <v>6</v>
      </c>
      <c r="T89" s="36" t="str">
        <f>A89&amp;"|"&amp;B89&amp;"|"&amp;F89</f>
        <v>88|40634|19</v>
      </c>
      <c r="V89" s="32">
        <f>VLOOKUP(A89,Sheet2!A:H,3,FALSE)</f>
        <v>0.2576</v>
      </c>
      <c r="W89" s="32">
        <f>VLOOKUP(A89,Sheet2!A:H,4,FALSE)</f>
        <v>0.48</v>
      </c>
      <c r="X89" s="32">
        <f>VLOOKUP(A89,Sheet2!A:H,7,FALSE)</f>
        <v>53</v>
      </c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spans="1:37" x14ac:dyDescent="0.2">
      <c r="A90" s="4">
        <v>89</v>
      </c>
      <c r="B90" s="5">
        <v>40634</v>
      </c>
      <c r="C90" s="4">
        <v>1</v>
      </c>
      <c r="D90" s="4">
        <v>0</v>
      </c>
      <c r="E90" s="4">
        <v>1</v>
      </c>
      <c r="F90" s="4">
        <v>20</v>
      </c>
      <c r="G90" s="4" t="b">
        <v>0</v>
      </c>
      <c r="H90" s="4">
        <v>2</v>
      </c>
      <c r="I90" s="4">
        <v>1</v>
      </c>
      <c r="J90" s="4">
        <v>0.24</v>
      </c>
      <c r="K90" s="6" t="str">
        <f>IF(H90=0,"weekend",IF(H90=6,"weekend","weekend"))</f>
        <v>weekend</v>
      </c>
      <c r="L90" s="3" t="str">
        <f>IF(C90=1,"Spring",IF(C90=2,"Summer",IF(C90=3,"Fall","Winter")))</f>
        <v>Spring</v>
      </c>
      <c r="M90" s="3">
        <f>SUM(J90:J114)</f>
        <v>5.7200000000000006</v>
      </c>
      <c r="N90" s="3">
        <f>AVERAGE(J90:J699)</f>
        <v>0.18283524904214557</v>
      </c>
      <c r="O90" s="3">
        <f>COUNT(J90:J699)</f>
        <v>522</v>
      </c>
      <c r="P90" s="3" t="str">
        <f>TEXT(J90,"0.00")</f>
        <v>0.24</v>
      </c>
      <c r="Q90" s="3" t="str">
        <f>LEFT(L90,3)</f>
        <v>Spr</v>
      </c>
      <c r="R90" s="7" t="str">
        <f>RIGHT(L90,3)</f>
        <v>ing</v>
      </c>
      <c r="S90" s="8">
        <f>LEN(L90)</f>
        <v>6</v>
      </c>
      <c r="T90" s="36" t="str">
        <f>A90&amp;"|"&amp;B90&amp;"|"&amp;F90</f>
        <v>89|40634|20</v>
      </c>
      <c r="V90" s="32">
        <f>VLOOKUP(A90,Sheet2!A:H,3,FALSE)</f>
        <v>0.2727</v>
      </c>
      <c r="W90" s="32">
        <f>VLOOKUP(A90,Sheet2!A:H,4,FALSE)</f>
        <v>0.64</v>
      </c>
      <c r="X90" s="32">
        <f>VLOOKUP(A90,Sheet2!A:H,7,FALSE)</f>
        <v>48</v>
      </c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spans="1:37" x14ac:dyDescent="0.2">
      <c r="A91" s="4">
        <v>90</v>
      </c>
      <c r="B91" s="5">
        <v>40634</v>
      </c>
      <c r="C91" s="4">
        <v>1</v>
      </c>
      <c r="D91" s="4">
        <v>0</v>
      </c>
      <c r="E91" s="4">
        <v>1</v>
      </c>
      <c r="F91" s="4">
        <v>21</v>
      </c>
      <c r="G91" s="4" t="b">
        <v>0</v>
      </c>
      <c r="H91" s="4">
        <v>2</v>
      </c>
      <c r="I91" s="4">
        <v>1</v>
      </c>
      <c r="J91" s="4">
        <v>0.22</v>
      </c>
      <c r="K91" s="6" t="str">
        <f>IF(H91=0,"weekend",IF(H91=6,"weekend","weekend"))</f>
        <v>weekend</v>
      </c>
      <c r="L91" s="3" t="str">
        <f>IF(C91=1,"Spring",IF(C91=2,"Summer",IF(C91=3,"Fall","Winter")))</f>
        <v>Spring</v>
      </c>
      <c r="M91" s="3">
        <f>SUM(J91:J115)</f>
        <v>5.66</v>
      </c>
      <c r="N91" s="3">
        <f>AVERAGE(J91:J700)</f>
        <v>0.182725527831094</v>
      </c>
      <c r="O91" s="3">
        <f>COUNT(J91:J700)</f>
        <v>521</v>
      </c>
      <c r="P91" s="3" t="str">
        <f>TEXT(J91,"0.00")</f>
        <v>0.22</v>
      </c>
      <c r="Q91" s="3" t="str">
        <f>LEFT(L91,3)</f>
        <v>Spr</v>
      </c>
      <c r="R91" s="7" t="str">
        <f>RIGHT(L91,3)</f>
        <v>ing</v>
      </c>
      <c r="S91" s="8">
        <f>LEN(L91)</f>
        <v>6</v>
      </c>
      <c r="T91" s="36" t="str">
        <f>A91&amp;"|"&amp;B91&amp;"|"&amp;F91</f>
        <v>90|40634|21</v>
      </c>
      <c r="V91" s="32">
        <f>VLOOKUP(A91,Sheet2!A:H,3,FALSE)</f>
        <v>0.2576</v>
      </c>
      <c r="W91" s="32">
        <f>VLOOKUP(A91,Sheet2!A:H,4,FALSE)</f>
        <v>0.64</v>
      </c>
      <c r="X91" s="32">
        <f>VLOOKUP(A91,Sheet2!A:H,7,FALSE)</f>
        <v>34</v>
      </c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spans="1:37" x14ac:dyDescent="0.2">
      <c r="A92" s="4">
        <v>91</v>
      </c>
      <c r="B92" s="5">
        <v>40634</v>
      </c>
      <c r="C92" s="4">
        <v>1</v>
      </c>
      <c r="D92" s="4">
        <v>0</v>
      </c>
      <c r="E92" s="4">
        <v>1</v>
      </c>
      <c r="F92" s="4">
        <v>22</v>
      </c>
      <c r="G92" s="4" t="b">
        <v>0</v>
      </c>
      <c r="H92" s="4">
        <v>2</v>
      </c>
      <c r="I92" s="4">
        <v>1</v>
      </c>
      <c r="J92" s="4">
        <v>0.22</v>
      </c>
      <c r="K92" s="6" t="str">
        <f>IF(H92=0,"weekend",IF(H92=6,"weekend","weekend"))</f>
        <v>weekend</v>
      </c>
      <c r="L92" s="3" t="str">
        <f>IF(C92=1,"Spring",IF(C92=2,"Summer",IF(C92=3,"Fall","Winter")))</f>
        <v>Spring</v>
      </c>
      <c r="M92" s="3">
        <f>SUM(J92:J116)</f>
        <v>5.6400000000000006</v>
      </c>
      <c r="N92" s="3">
        <f>AVERAGE(J92:J701)</f>
        <v>0.18265384615384611</v>
      </c>
      <c r="O92" s="3">
        <f>COUNT(J92:J701)</f>
        <v>520</v>
      </c>
      <c r="P92" s="3" t="str">
        <f>TEXT(J92,"0.00")</f>
        <v>0.22</v>
      </c>
      <c r="Q92" s="3" t="str">
        <f>LEFT(L92,3)</f>
        <v>Spr</v>
      </c>
      <c r="R92" s="7" t="str">
        <f>RIGHT(L92,3)</f>
        <v>ing</v>
      </c>
      <c r="S92" s="8">
        <f>LEN(L92)</f>
        <v>6</v>
      </c>
      <c r="T92" s="36" t="str">
        <f>A92&amp;"|"&amp;B92&amp;"|"&amp;F92</f>
        <v>91|40634|22</v>
      </c>
      <c r="V92" s="32">
        <f>VLOOKUP(A92,Sheet2!A:H,3,FALSE)</f>
        <v>0.2273</v>
      </c>
      <c r="W92" s="32">
        <f>VLOOKUP(A92,Sheet2!A:H,4,FALSE)</f>
        <v>0.69</v>
      </c>
      <c r="X92" s="32">
        <f>VLOOKUP(A92,Sheet2!A:H,7,FALSE)</f>
        <v>9</v>
      </c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spans="1:37" x14ac:dyDescent="0.2">
      <c r="A93" s="4">
        <v>92</v>
      </c>
      <c r="B93" s="5">
        <v>40634</v>
      </c>
      <c r="C93" s="4">
        <v>1</v>
      </c>
      <c r="D93" s="4">
        <v>0</v>
      </c>
      <c r="E93" s="4">
        <v>1</v>
      </c>
      <c r="F93" s="4">
        <v>23</v>
      </c>
      <c r="G93" s="4" t="b">
        <v>0</v>
      </c>
      <c r="H93" s="4">
        <v>2</v>
      </c>
      <c r="I93" s="4">
        <v>1</v>
      </c>
      <c r="J93" s="4">
        <v>0.2</v>
      </c>
      <c r="K93" s="6" t="str">
        <f>IF(H93=0,"weekend",IF(H93=6,"weekend","weekend"))</f>
        <v>weekend</v>
      </c>
      <c r="L93" s="3" t="str">
        <f>IF(C93=1,"Spring",IF(C93=2,"Summer",IF(C93=3,"Fall","Winter")))</f>
        <v>Spring</v>
      </c>
      <c r="M93" s="3">
        <f>SUM(J93:J117)</f>
        <v>5.6</v>
      </c>
      <c r="N93" s="3">
        <f>AVERAGE(J93:J702)</f>
        <v>0.18258188824662808</v>
      </c>
      <c r="O93" s="3">
        <f>COUNT(J93:J702)</f>
        <v>519</v>
      </c>
      <c r="P93" s="3" t="str">
        <f>TEXT(J93,"0.00")</f>
        <v>0.20</v>
      </c>
      <c r="Q93" s="3" t="str">
        <f>LEFT(L93,3)</f>
        <v>Spr</v>
      </c>
      <c r="R93" s="7" t="str">
        <f>RIGHT(L93,3)</f>
        <v>ing</v>
      </c>
      <c r="S93" s="8">
        <f>LEN(L93)</f>
        <v>6</v>
      </c>
      <c r="T93" s="36" t="str">
        <f>A93&amp;"|"&amp;B93&amp;"|"&amp;F93</f>
        <v>92|40634|23</v>
      </c>
      <c r="V93" s="32">
        <f>VLOOKUP(A93,Sheet2!A:H,3,FALSE)</f>
        <v>0.2576</v>
      </c>
      <c r="W93" s="32">
        <f>VLOOKUP(A93,Sheet2!A:H,4,FALSE)</f>
        <v>0.64</v>
      </c>
      <c r="X93" s="32">
        <f>VLOOKUP(A93,Sheet2!A:H,7,FALSE)</f>
        <v>6</v>
      </c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spans="1:37" x14ac:dyDescent="0.2">
      <c r="A94" s="4">
        <v>93</v>
      </c>
      <c r="B94" s="5">
        <v>40664</v>
      </c>
      <c r="C94" s="4">
        <v>1</v>
      </c>
      <c r="D94" s="4">
        <v>0</v>
      </c>
      <c r="E94" s="4">
        <v>1</v>
      </c>
      <c r="F94" s="4">
        <v>0</v>
      </c>
      <c r="G94" s="4" t="b">
        <v>0</v>
      </c>
      <c r="H94" s="4">
        <v>3</v>
      </c>
      <c r="I94" s="4">
        <v>1</v>
      </c>
      <c r="J94" s="4">
        <v>0.2</v>
      </c>
      <c r="K94" s="6" t="str">
        <f>IF(H94=0,"weekend",IF(H94=6,"weekend","weekend"))</f>
        <v>weekend</v>
      </c>
      <c r="L94" s="3" t="str">
        <f>IF(C94=1,"Spring",IF(C94=2,"Summer",IF(C94=3,"Fall","Winter")))</f>
        <v>Spring</v>
      </c>
      <c r="M94" s="3">
        <f>SUM(J94:J118)</f>
        <v>5.56</v>
      </c>
      <c r="N94" s="3">
        <f>AVERAGE(J94:J703)</f>
        <v>0.18254826254826251</v>
      </c>
      <c r="O94" s="3">
        <f>COUNT(J94:J703)</f>
        <v>518</v>
      </c>
      <c r="P94" s="3" t="str">
        <f>TEXT(J94,"0.00")</f>
        <v>0.20</v>
      </c>
      <c r="Q94" s="3" t="str">
        <f>LEFT(L94,3)</f>
        <v>Spr</v>
      </c>
      <c r="R94" s="7" t="str">
        <f>RIGHT(L94,3)</f>
        <v>ing</v>
      </c>
      <c r="S94" s="8">
        <f>LEN(L94)</f>
        <v>6</v>
      </c>
      <c r="T94" s="36" t="str">
        <f>A94&amp;"|"&amp;B94&amp;"|"&amp;F94</f>
        <v>93|40664|0</v>
      </c>
      <c r="V94" s="32">
        <f>VLOOKUP(A94,Sheet2!A:H,3,FALSE)</f>
        <v>0.19700000000000001</v>
      </c>
      <c r="W94" s="32">
        <f>VLOOKUP(A94,Sheet2!A:H,4,FALSE)</f>
        <v>0.74</v>
      </c>
      <c r="X94" s="32">
        <f>VLOOKUP(A94,Sheet2!A:H,7,FALSE)</f>
        <v>6</v>
      </c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spans="1:37" x14ac:dyDescent="0.2">
      <c r="A95" s="4">
        <v>94</v>
      </c>
      <c r="B95" s="5">
        <v>40664</v>
      </c>
      <c r="C95" s="4">
        <v>1</v>
      </c>
      <c r="D95" s="4">
        <v>0</v>
      </c>
      <c r="E95" s="4">
        <v>1</v>
      </c>
      <c r="F95" s="4">
        <v>1</v>
      </c>
      <c r="G95" s="4" t="b">
        <v>0</v>
      </c>
      <c r="H95" s="4">
        <v>3</v>
      </c>
      <c r="I95" s="4">
        <v>1</v>
      </c>
      <c r="J95" s="4">
        <v>0.16</v>
      </c>
      <c r="K95" s="6" t="str">
        <f>IF(H95=0,"weekend",IF(H95=6,"weekend","weekend"))</f>
        <v>weekend</v>
      </c>
      <c r="L95" s="3" t="str">
        <f>IF(C95=1,"Spring",IF(C95=2,"Summer",IF(C95=3,"Fall","Winter")))</f>
        <v>Spring</v>
      </c>
      <c r="M95" s="3">
        <f>SUM(J95:J119)</f>
        <v>5.52</v>
      </c>
      <c r="N95" s="3">
        <f>AVERAGE(J95:J704)</f>
        <v>0.18251450676982589</v>
      </c>
      <c r="O95" s="3">
        <f>COUNT(J95:J704)</f>
        <v>517</v>
      </c>
      <c r="P95" s="3" t="str">
        <f>TEXT(J95,"0.00")</f>
        <v>0.16</v>
      </c>
      <c r="Q95" s="3" t="str">
        <f>LEFT(L95,3)</f>
        <v>Spr</v>
      </c>
      <c r="R95" s="7" t="str">
        <f>RIGHT(L95,3)</f>
        <v>ing</v>
      </c>
      <c r="S95" s="8">
        <f>LEN(L95)</f>
        <v>6</v>
      </c>
      <c r="T95" s="36" t="str">
        <f>A95&amp;"|"&amp;B95&amp;"|"&amp;F95</f>
        <v>94|40664|1</v>
      </c>
      <c r="V95" s="32">
        <f>VLOOKUP(A95,Sheet2!A:H,3,FALSE)</f>
        <v>0.19700000000000001</v>
      </c>
      <c r="W95" s="32">
        <f>VLOOKUP(A95,Sheet2!A:H,4,FALSE)</f>
        <v>0.74</v>
      </c>
      <c r="X95" s="32">
        <f>VLOOKUP(A95,Sheet2!A:H,7,FALSE)</f>
        <v>2</v>
      </c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spans="1:37" x14ac:dyDescent="0.2">
      <c r="A96" s="4">
        <v>95</v>
      </c>
      <c r="B96" s="5">
        <v>40664</v>
      </c>
      <c r="C96" s="4">
        <v>1</v>
      </c>
      <c r="D96" s="4">
        <v>0</v>
      </c>
      <c r="E96" s="4">
        <v>1</v>
      </c>
      <c r="F96" s="4">
        <v>2</v>
      </c>
      <c r="G96" s="4" t="b">
        <v>0</v>
      </c>
      <c r="H96" s="4">
        <v>3</v>
      </c>
      <c r="I96" s="4">
        <v>1</v>
      </c>
      <c r="J96" s="4">
        <v>0.16</v>
      </c>
      <c r="K96" s="6" t="str">
        <f>IF(H96=0,"weekend",IF(H96=6,"weekend","weekend"))</f>
        <v>weekend</v>
      </c>
      <c r="L96" s="3" t="str">
        <f>IF(C96=1,"Spring",IF(C96=2,"Summer",IF(C96=3,"Fall","Winter")))</f>
        <v>Spring</v>
      </c>
      <c r="M96" s="3">
        <f>SUM(J96:J120)</f>
        <v>5.5200000000000005</v>
      </c>
      <c r="N96" s="3">
        <f>AVERAGE(J96:J705)</f>
        <v>0.1825581395348837</v>
      </c>
      <c r="O96" s="3">
        <f>COUNT(J96:J705)</f>
        <v>516</v>
      </c>
      <c r="P96" s="3" t="str">
        <f>TEXT(J96,"0.00")</f>
        <v>0.16</v>
      </c>
      <c r="Q96" s="3" t="str">
        <f>LEFT(L96,3)</f>
        <v>Spr</v>
      </c>
      <c r="R96" s="7" t="str">
        <f>RIGHT(L96,3)</f>
        <v>ing</v>
      </c>
      <c r="S96" s="8">
        <f>LEN(L96)</f>
        <v>6</v>
      </c>
      <c r="T96" s="36" t="str">
        <f>A96&amp;"|"&amp;B96&amp;"|"&amp;F96</f>
        <v>95|40664|2</v>
      </c>
      <c r="V96" s="32">
        <f>VLOOKUP(A96,Sheet2!A:H,3,FALSE)</f>
        <v>0.2273</v>
      </c>
      <c r="W96" s="32">
        <f>VLOOKUP(A96,Sheet2!A:H,4,FALSE)</f>
        <v>0.48</v>
      </c>
      <c r="X96" s="32">
        <f>VLOOKUP(A96,Sheet2!A:H,7,FALSE)</f>
        <v>2</v>
      </c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spans="1:37" x14ac:dyDescent="0.2">
      <c r="A97" s="4">
        <v>96</v>
      </c>
      <c r="B97" s="5">
        <v>40664</v>
      </c>
      <c r="C97" s="4">
        <v>1</v>
      </c>
      <c r="D97" s="4">
        <v>0</v>
      </c>
      <c r="E97" s="4">
        <v>1</v>
      </c>
      <c r="F97" s="4">
        <v>4</v>
      </c>
      <c r="G97" s="4" t="b">
        <v>0</v>
      </c>
      <c r="H97" s="4">
        <v>3</v>
      </c>
      <c r="I97" s="4">
        <v>1</v>
      </c>
      <c r="J97" s="4">
        <v>0.24</v>
      </c>
      <c r="K97" s="6" t="str">
        <f>IF(H97=0,"weekend",IF(H97=6,"weekend","weekend"))</f>
        <v>weekend</v>
      </c>
      <c r="L97" s="3" t="str">
        <f>IF(C97=1,"Spring",IF(C97=2,"Summer",IF(C97=3,"Fall","Winter")))</f>
        <v>Spring</v>
      </c>
      <c r="M97" s="3">
        <f>SUM(J97:J121)</f>
        <v>5.4999999999999991</v>
      </c>
      <c r="N97" s="3">
        <f>AVERAGE(J97:J706)</f>
        <v>0.1826019417475728</v>
      </c>
      <c r="O97" s="3">
        <f>COUNT(J97:J706)</f>
        <v>515</v>
      </c>
      <c r="P97" s="3" t="str">
        <f>TEXT(J97,"0.00")</f>
        <v>0.24</v>
      </c>
      <c r="Q97" s="3" t="str">
        <f>LEFT(L97,3)</f>
        <v>Spr</v>
      </c>
      <c r="R97" s="7" t="str">
        <f>RIGHT(L97,3)</f>
        <v>ing</v>
      </c>
      <c r="S97" s="8">
        <f>LEN(L97)</f>
        <v>6</v>
      </c>
      <c r="T97" s="36" t="str">
        <f>A97&amp;"|"&amp;B97&amp;"|"&amp;F97</f>
        <v>96|40664|4</v>
      </c>
      <c r="V97" s="32">
        <f>VLOOKUP(A97,Sheet2!A:H,3,FALSE)</f>
        <v>0.2273</v>
      </c>
      <c r="W97" s="32">
        <f>VLOOKUP(A97,Sheet2!A:H,4,FALSE)</f>
        <v>0.47</v>
      </c>
      <c r="X97" s="32">
        <f>VLOOKUP(A97,Sheet2!A:H,7,FALSE)</f>
        <v>3</v>
      </c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spans="1:37" x14ac:dyDescent="0.2">
      <c r="A98" s="4">
        <v>97</v>
      </c>
      <c r="B98" s="5">
        <v>40664</v>
      </c>
      <c r="C98" s="4">
        <v>1</v>
      </c>
      <c r="D98" s="4">
        <v>0</v>
      </c>
      <c r="E98" s="4">
        <v>1</v>
      </c>
      <c r="F98" s="4">
        <v>5</v>
      </c>
      <c r="G98" s="4" t="b">
        <v>0</v>
      </c>
      <c r="H98" s="4">
        <v>3</v>
      </c>
      <c r="I98" s="4">
        <v>1</v>
      </c>
      <c r="J98" s="4">
        <v>0.22</v>
      </c>
      <c r="K98" s="6" t="str">
        <f>IF(H98=0,"weekend",IF(H98=6,"weekend","weekend"))</f>
        <v>weekend</v>
      </c>
      <c r="L98" s="3" t="str">
        <f>IF(C98=1,"Spring",IF(C98=2,"Summer",IF(C98=3,"Fall","Winter")))</f>
        <v>Spring</v>
      </c>
      <c r="M98" s="3">
        <f>SUM(J98:J122)</f>
        <v>5.3999999999999995</v>
      </c>
      <c r="N98" s="3">
        <f>AVERAGE(J98:J707)</f>
        <v>0.18249027237354085</v>
      </c>
      <c r="O98" s="3">
        <f>COUNT(J98:J707)</f>
        <v>514</v>
      </c>
      <c r="P98" s="3" t="str">
        <f>TEXT(J98,"0.00")</f>
        <v>0.22</v>
      </c>
      <c r="Q98" s="3" t="str">
        <f>LEFT(L98,3)</f>
        <v>Spr</v>
      </c>
      <c r="R98" s="7" t="str">
        <f>RIGHT(L98,3)</f>
        <v>ing</v>
      </c>
      <c r="S98" s="8">
        <f>LEN(L98)</f>
        <v>6</v>
      </c>
      <c r="T98" s="36" t="str">
        <f>A98&amp;"|"&amp;B98&amp;"|"&amp;F98</f>
        <v>97|40664|5</v>
      </c>
      <c r="V98" s="32">
        <f>VLOOKUP(A98,Sheet2!A:H,3,FALSE)</f>
        <v>0.19700000000000001</v>
      </c>
      <c r="W98" s="32">
        <f>VLOOKUP(A98,Sheet2!A:H,4,FALSE)</f>
        <v>0.47</v>
      </c>
      <c r="X98" s="32">
        <f>VLOOKUP(A98,Sheet2!A:H,7,FALSE)</f>
        <v>33</v>
      </c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spans="1:37" x14ac:dyDescent="0.2">
      <c r="A99" s="4">
        <v>98</v>
      </c>
      <c r="B99" s="5">
        <v>40664</v>
      </c>
      <c r="C99" s="4">
        <v>1</v>
      </c>
      <c r="D99" s="4">
        <v>0</v>
      </c>
      <c r="E99" s="4">
        <v>1</v>
      </c>
      <c r="F99" s="4">
        <v>6</v>
      </c>
      <c r="G99" s="4" t="b">
        <v>0</v>
      </c>
      <c r="H99" s="4">
        <v>3</v>
      </c>
      <c r="I99" s="4">
        <v>1</v>
      </c>
      <c r="J99" s="4">
        <v>0.2</v>
      </c>
      <c r="K99" s="6" t="str">
        <f>IF(H99=0,"weekend",IF(H99=6,"weekend","weekend"))</f>
        <v>weekend</v>
      </c>
      <c r="L99" s="3" t="str">
        <f>IF(C99=1,"Spring",IF(C99=2,"Summer",IF(C99=3,"Fall","Winter")))</f>
        <v>Spring</v>
      </c>
      <c r="M99" s="3">
        <f>SUM(J99:J123)</f>
        <v>5.3400000000000007</v>
      </c>
      <c r="N99" s="3">
        <f>AVERAGE(J99:J708)</f>
        <v>0.18241715399610137</v>
      </c>
      <c r="O99" s="3">
        <f>COUNT(J99:J708)</f>
        <v>513</v>
      </c>
      <c r="P99" s="3" t="str">
        <f>TEXT(J99,"0.00")</f>
        <v>0.20</v>
      </c>
      <c r="Q99" s="3" t="str">
        <f>LEFT(L99,3)</f>
        <v>Spr</v>
      </c>
      <c r="R99" s="7" t="str">
        <f>RIGHT(L99,3)</f>
        <v>ing</v>
      </c>
      <c r="S99" s="8">
        <f>LEN(L99)</f>
        <v>6</v>
      </c>
      <c r="T99" s="36" t="str">
        <f>A99&amp;"|"&amp;B99&amp;"|"&amp;F99</f>
        <v>98|40664|6</v>
      </c>
      <c r="V99" s="32">
        <f>VLOOKUP(A99,Sheet2!A:H,3,FALSE)</f>
        <v>0.18179999999999999</v>
      </c>
      <c r="W99" s="32">
        <f>VLOOKUP(A99,Sheet2!A:H,4,FALSE)</f>
        <v>0.43</v>
      </c>
      <c r="X99" s="32">
        <f>VLOOKUP(A99,Sheet2!A:H,7,FALSE)</f>
        <v>87</v>
      </c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spans="1:37" x14ac:dyDescent="0.2">
      <c r="A100" s="4">
        <v>99</v>
      </c>
      <c r="B100" s="5">
        <v>40664</v>
      </c>
      <c r="C100" s="4">
        <v>1</v>
      </c>
      <c r="D100" s="4">
        <v>0</v>
      </c>
      <c r="E100" s="4">
        <v>1</v>
      </c>
      <c r="F100" s="4">
        <v>7</v>
      </c>
      <c r="G100" s="4" t="b">
        <v>0</v>
      </c>
      <c r="H100" s="4">
        <v>3</v>
      </c>
      <c r="I100" s="4">
        <v>1</v>
      </c>
      <c r="J100" s="4">
        <v>0.18</v>
      </c>
      <c r="K100" s="6" t="str">
        <f>IF(H100=0,"weekend",IF(H100=6,"weekend","weekend"))</f>
        <v>weekend</v>
      </c>
      <c r="L100" s="3" t="str">
        <f>IF(C100=1,"Spring",IF(C100=2,"Summer",IF(C100=3,"Fall","Winter")))</f>
        <v>Spring</v>
      </c>
      <c r="M100" s="3">
        <f>SUM(J100:J124)</f>
        <v>5.3000000000000007</v>
      </c>
      <c r="N100" s="3">
        <f>AVERAGE(J100:J709)</f>
        <v>0.18238281250000002</v>
      </c>
      <c r="O100" s="3">
        <f>COUNT(J100:J709)</f>
        <v>512</v>
      </c>
      <c r="P100" s="3" t="str">
        <f>TEXT(J100,"0.00")</f>
        <v>0.18</v>
      </c>
      <c r="Q100" s="3" t="str">
        <f>LEFT(L100,3)</f>
        <v>Spr</v>
      </c>
      <c r="R100" s="7" t="str">
        <f>RIGHT(L100,3)</f>
        <v>ing</v>
      </c>
      <c r="S100" s="8">
        <f>LEN(L100)</f>
        <v>6</v>
      </c>
      <c r="T100" s="36" t="str">
        <f>A100&amp;"|"&amp;B100&amp;"|"&amp;F100</f>
        <v>99|40664|7</v>
      </c>
      <c r="V100" s="32">
        <f>VLOOKUP(A100,Sheet2!A:H,3,FALSE)</f>
        <v>0.18179999999999999</v>
      </c>
      <c r="W100" s="32">
        <f>VLOOKUP(A100,Sheet2!A:H,4,FALSE)</f>
        <v>0.4</v>
      </c>
      <c r="X100" s="32">
        <f>VLOOKUP(A100,Sheet2!A:H,7,FALSE)</f>
        <v>192</v>
      </c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spans="1:37" x14ac:dyDescent="0.2">
      <c r="A101" s="4">
        <v>100</v>
      </c>
      <c r="B101" s="5">
        <v>40664</v>
      </c>
      <c r="C101" s="4">
        <v>1</v>
      </c>
      <c r="D101" s="4">
        <v>0</v>
      </c>
      <c r="E101" s="4">
        <v>1</v>
      </c>
      <c r="F101" s="4">
        <v>8</v>
      </c>
      <c r="G101" s="4" t="b">
        <v>0</v>
      </c>
      <c r="H101" s="4">
        <v>3</v>
      </c>
      <c r="I101" s="4">
        <v>1</v>
      </c>
      <c r="J101" s="4">
        <v>0.2</v>
      </c>
      <c r="K101" s="6" t="str">
        <f>IF(H101=0,"weekend",IF(H101=6,"weekend","weekend"))</f>
        <v>weekend</v>
      </c>
      <c r="L101" s="3" t="str">
        <f>IF(C101=1,"Spring",IF(C101=2,"Summer",IF(C101=3,"Fall","Winter")))</f>
        <v>Spring</v>
      </c>
      <c r="M101" s="3">
        <f>SUM(J101:J125)</f>
        <v>5.3000000000000007</v>
      </c>
      <c r="N101" s="3">
        <f>AVERAGE(J101:J710)</f>
        <v>0.18238747553816048</v>
      </c>
      <c r="O101" s="3">
        <f>COUNT(J101:J710)</f>
        <v>511</v>
      </c>
      <c r="P101" s="3" t="str">
        <f>TEXT(J101,"0.00")</f>
        <v>0.20</v>
      </c>
      <c r="Q101" s="3" t="str">
        <f>LEFT(L101,3)</f>
        <v>Spr</v>
      </c>
      <c r="R101" s="7" t="str">
        <f>RIGHT(L101,3)</f>
        <v>ing</v>
      </c>
      <c r="S101" s="8">
        <f>LEN(L101)</f>
        <v>6</v>
      </c>
      <c r="T101" s="36" t="str">
        <f>A101&amp;"|"&amp;B101&amp;"|"&amp;F101</f>
        <v>100|40664|8</v>
      </c>
      <c r="V101" s="32">
        <f>VLOOKUP(A101,Sheet2!A:H,3,FALSE)</f>
        <v>0.19700000000000001</v>
      </c>
      <c r="W101" s="32">
        <f>VLOOKUP(A101,Sheet2!A:H,4,FALSE)</f>
        <v>0.37</v>
      </c>
      <c r="X101" s="32">
        <f>VLOOKUP(A101,Sheet2!A:H,7,FALSE)</f>
        <v>109</v>
      </c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spans="1:37" x14ac:dyDescent="0.2">
      <c r="A102" s="4">
        <v>101</v>
      </c>
      <c r="B102" s="5">
        <v>40664</v>
      </c>
      <c r="C102" s="4">
        <v>1</v>
      </c>
      <c r="D102" s="4">
        <v>0</v>
      </c>
      <c r="E102" s="4">
        <v>1</v>
      </c>
      <c r="F102" s="4">
        <v>9</v>
      </c>
      <c r="G102" s="4" t="b">
        <v>0</v>
      </c>
      <c r="H102" s="4">
        <v>3</v>
      </c>
      <c r="I102" s="4">
        <v>1</v>
      </c>
      <c r="J102" s="4">
        <v>0.22</v>
      </c>
      <c r="K102" s="6" t="str">
        <f>IF(H102=0,"weekend",IF(H102=6,"weekend","weekend"))</f>
        <v>weekend</v>
      </c>
      <c r="L102" s="3" t="str">
        <f>IF(C102=1,"Spring",IF(C102=2,"Summer",IF(C102=3,"Fall","Winter")))</f>
        <v>Spring</v>
      </c>
      <c r="M102" s="3">
        <f>SUM(J102:J126)</f>
        <v>5.3000000000000007</v>
      </c>
      <c r="N102" s="3">
        <f>AVERAGE(J102:J711)</f>
        <v>0.18235294117647055</v>
      </c>
      <c r="O102" s="3">
        <f>COUNT(J102:J711)</f>
        <v>510</v>
      </c>
      <c r="P102" s="3" t="str">
        <f>TEXT(J102,"0.00")</f>
        <v>0.22</v>
      </c>
      <c r="Q102" s="3" t="str">
        <f>LEFT(L102,3)</f>
        <v>Spr</v>
      </c>
      <c r="R102" s="7" t="str">
        <f>RIGHT(L102,3)</f>
        <v>ing</v>
      </c>
      <c r="S102" s="8">
        <f>LEN(L102)</f>
        <v>6</v>
      </c>
      <c r="T102" s="36" t="str">
        <f>A102&amp;"|"&amp;B102&amp;"|"&amp;F102</f>
        <v>101|40664|9</v>
      </c>
      <c r="V102" s="32">
        <f>VLOOKUP(A102,Sheet2!A:H,3,FALSE)</f>
        <v>0.19700000000000001</v>
      </c>
      <c r="W102" s="32">
        <f>VLOOKUP(A102,Sheet2!A:H,4,FALSE)</f>
        <v>0.37</v>
      </c>
      <c r="X102" s="32">
        <f>VLOOKUP(A102,Sheet2!A:H,7,FALSE)</f>
        <v>53</v>
      </c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spans="1:37" x14ac:dyDescent="0.2">
      <c r="A103" s="4">
        <v>102</v>
      </c>
      <c r="B103" s="5">
        <v>40664</v>
      </c>
      <c r="C103" s="4">
        <v>1</v>
      </c>
      <c r="D103" s="4">
        <v>0</v>
      </c>
      <c r="E103" s="4">
        <v>1</v>
      </c>
      <c r="F103" s="4">
        <v>10</v>
      </c>
      <c r="G103" s="4" t="b">
        <v>0</v>
      </c>
      <c r="H103" s="4">
        <v>3</v>
      </c>
      <c r="I103" s="4">
        <v>1</v>
      </c>
      <c r="J103" s="4">
        <v>0.22</v>
      </c>
      <c r="K103" s="6" t="str">
        <f>IF(H103=0,"weekend",IF(H103=6,"weekend","weekend"))</f>
        <v>weekend</v>
      </c>
      <c r="L103" s="3" t="str">
        <f>IF(C103=1,"Spring",IF(C103=2,"Summer",IF(C103=3,"Fall","Winter")))</f>
        <v>Spring</v>
      </c>
      <c r="M103" s="3">
        <f>SUM(J103:J127)</f>
        <v>5.3000000000000007</v>
      </c>
      <c r="N103" s="3">
        <f>AVERAGE(J103:J712)</f>
        <v>0.18227897838899801</v>
      </c>
      <c r="O103" s="3">
        <f>COUNT(J103:J712)</f>
        <v>509</v>
      </c>
      <c r="P103" s="3" t="str">
        <f>TEXT(J103,"0.00")</f>
        <v>0.22</v>
      </c>
      <c r="Q103" s="3" t="str">
        <f>LEFT(L103,3)</f>
        <v>Spr</v>
      </c>
      <c r="R103" s="7" t="str">
        <f>RIGHT(L103,3)</f>
        <v>ing</v>
      </c>
      <c r="S103" s="8">
        <f>LEN(L103)</f>
        <v>6</v>
      </c>
      <c r="T103" s="36" t="str">
        <f>A103&amp;"|"&amp;B103&amp;"|"&amp;F103</f>
        <v>102|40664|10</v>
      </c>
      <c r="V103" s="32">
        <f>VLOOKUP(A103,Sheet2!A:H,3,FALSE)</f>
        <v>0.2273</v>
      </c>
      <c r="W103" s="32">
        <f>VLOOKUP(A103,Sheet2!A:H,4,FALSE)</f>
        <v>0.33</v>
      </c>
      <c r="X103" s="32">
        <f>VLOOKUP(A103,Sheet2!A:H,7,FALSE)</f>
        <v>34</v>
      </c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spans="1:37" x14ac:dyDescent="0.2">
      <c r="A104" s="4">
        <v>103</v>
      </c>
      <c r="B104" s="5">
        <v>40664</v>
      </c>
      <c r="C104" s="4">
        <v>1</v>
      </c>
      <c r="D104" s="4">
        <v>0</v>
      </c>
      <c r="E104" s="4">
        <v>1</v>
      </c>
      <c r="F104" s="4">
        <v>11</v>
      </c>
      <c r="G104" s="4" t="b">
        <v>0</v>
      </c>
      <c r="H104" s="4">
        <v>3</v>
      </c>
      <c r="I104" s="4">
        <v>1</v>
      </c>
      <c r="J104" s="4">
        <v>0.26</v>
      </c>
      <c r="K104" s="6" t="str">
        <f>IF(H104=0,"weekend",IF(H104=6,"weekend","weekend"))</f>
        <v>weekend</v>
      </c>
      <c r="L104" s="3" t="str">
        <f>IF(C104=1,"Spring",IF(C104=2,"Summer",IF(C104=3,"Fall","Winter")))</f>
        <v>Spring</v>
      </c>
      <c r="M104" s="3">
        <f>SUM(J104:J128)</f>
        <v>5.3400000000000007</v>
      </c>
      <c r="N104" s="3">
        <f>AVERAGE(J104:J713)</f>
        <v>0.18220472440944877</v>
      </c>
      <c r="O104" s="3">
        <f>COUNT(J104:J713)</f>
        <v>508</v>
      </c>
      <c r="P104" s="3" t="str">
        <f>TEXT(J104,"0.00")</f>
        <v>0.26</v>
      </c>
      <c r="Q104" s="3" t="str">
        <f>LEFT(L104,3)</f>
        <v>Spr</v>
      </c>
      <c r="R104" s="7" t="str">
        <f>RIGHT(L104,3)</f>
        <v>ing</v>
      </c>
      <c r="S104" s="8">
        <f>LEN(L104)</f>
        <v>6</v>
      </c>
      <c r="T104" s="36" t="str">
        <f>A104&amp;"|"&amp;B104&amp;"|"&amp;F104</f>
        <v>103|40664|11</v>
      </c>
      <c r="V104" s="32">
        <f>VLOOKUP(A104,Sheet2!A:H,3,FALSE)</f>
        <v>0.2273</v>
      </c>
      <c r="W104" s="32">
        <f>VLOOKUP(A104,Sheet2!A:H,4,FALSE)</f>
        <v>0.33</v>
      </c>
      <c r="X104" s="32">
        <f>VLOOKUP(A104,Sheet2!A:H,7,FALSE)</f>
        <v>74</v>
      </c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spans="1:37" x14ac:dyDescent="0.2">
      <c r="A105" s="4">
        <v>104</v>
      </c>
      <c r="B105" s="5">
        <v>40664</v>
      </c>
      <c r="C105" s="4">
        <v>1</v>
      </c>
      <c r="D105" s="4">
        <v>0</v>
      </c>
      <c r="E105" s="4">
        <v>1</v>
      </c>
      <c r="F105" s="4">
        <v>12</v>
      </c>
      <c r="G105" s="4" t="b">
        <v>0</v>
      </c>
      <c r="H105" s="4">
        <v>3</v>
      </c>
      <c r="I105" s="4">
        <v>1</v>
      </c>
      <c r="J105" s="4">
        <v>0.26</v>
      </c>
      <c r="K105" s="6" t="str">
        <f>IF(H105=0,"weekend",IF(H105=6,"weekend","weekend"))</f>
        <v>weekend</v>
      </c>
      <c r="L105" s="3" t="str">
        <f>IF(C105=1,"Spring",IF(C105=2,"Summer",IF(C105=3,"Fall","Winter")))</f>
        <v>Spring</v>
      </c>
      <c r="M105" s="3">
        <f>SUM(J105:J129)</f>
        <v>5.3400000000000007</v>
      </c>
      <c r="N105" s="3">
        <f>AVERAGE(J105:J714)</f>
        <v>0.18205128205128199</v>
      </c>
      <c r="O105" s="3">
        <f>COUNT(J105:J714)</f>
        <v>507</v>
      </c>
      <c r="P105" s="3" t="str">
        <f>TEXT(J105,"0.00")</f>
        <v>0.26</v>
      </c>
      <c r="Q105" s="3" t="str">
        <f>LEFT(L105,3)</f>
        <v>Spr</v>
      </c>
      <c r="R105" s="7" t="str">
        <f>RIGHT(L105,3)</f>
        <v>ing</v>
      </c>
      <c r="S105" s="8">
        <f>LEN(L105)</f>
        <v>6</v>
      </c>
      <c r="T105" s="36" t="str">
        <f>A105&amp;"|"&amp;B105&amp;"|"&amp;F105</f>
        <v>104|40664|12</v>
      </c>
      <c r="V105" s="32">
        <f>VLOOKUP(A105,Sheet2!A:H,3,FALSE)</f>
        <v>0.2576</v>
      </c>
      <c r="W105" s="32">
        <f>VLOOKUP(A105,Sheet2!A:H,4,FALSE)</f>
        <v>0.3</v>
      </c>
      <c r="X105" s="32">
        <f>VLOOKUP(A105,Sheet2!A:H,7,FALSE)</f>
        <v>65</v>
      </c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spans="1:37" x14ac:dyDescent="0.2">
      <c r="A106" s="4">
        <v>105</v>
      </c>
      <c r="B106" s="5">
        <v>40664</v>
      </c>
      <c r="C106" s="4">
        <v>1</v>
      </c>
      <c r="D106" s="4">
        <v>0</v>
      </c>
      <c r="E106" s="4">
        <v>1</v>
      </c>
      <c r="F106" s="4">
        <v>13</v>
      </c>
      <c r="G106" s="4" t="b">
        <v>0</v>
      </c>
      <c r="H106" s="4">
        <v>3</v>
      </c>
      <c r="I106" s="4">
        <v>1</v>
      </c>
      <c r="J106" s="4">
        <v>0.28000000000000003</v>
      </c>
      <c r="K106" s="6" t="str">
        <f>IF(H106=0,"weekend",IF(H106=6,"weekend","weekend"))</f>
        <v>weekend</v>
      </c>
      <c r="L106" s="3" t="str">
        <f>IF(C106=1,"Spring",IF(C106=2,"Summer",IF(C106=3,"Fall","Winter")))</f>
        <v>Spring</v>
      </c>
      <c r="M106" s="3">
        <f>SUM(J106:J130)</f>
        <v>5.3600000000000012</v>
      </c>
      <c r="N106" s="3">
        <f>AVERAGE(J106:J715)</f>
        <v>0.18189723320158097</v>
      </c>
      <c r="O106" s="3">
        <f>COUNT(J106:J715)</f>
        <v>506</v>
      </c>
      <c r="P106" s="3" t="str">
        <f>TEXT(J106,"0.00")</f>
        <v>0.28</v>
      </c>
      <c r="Q106" s="3" t="str">
        <f>LEFT(L106,3)</f>
        <v>Spr</v>
      </c>
      <c r="R106" s="7" t="str">
        <f>RIGHT(L106,3)</f>
        <v>ing</v>
      </c>
      <c r="S106" s="8">
        <f>LEN(L106)</f>
        <v>6</v>
      </c>
      <c r="T106" s="36" t="str">
        <f>A106&amp;"|"&amp;B106&amp;"|"&amp;F106</f>
        <v>105|40664|13</v>
      </c>
      <c r="V106" s="32">
        <f>VLOOKUP(A106,Sheet2!A:H,3,FALSE)</f>
        <v>0.28789999999999999</v>
      </c>
      <c r="W106" s="32">
        <f>VLOOKUP(A106,Sheet2!A:H,4,FALSE)</f>
        <v>0.28000000000000003</v>
      </c>
      <c r="X106" s="32">
        <f>VLOOKUP(A106,Sheet2!A:H,7,FALSE)</f>
        <v>52</v>
      </c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spans="1:37" x14ac:dyDescent="0.2">
      <c r="A107" s="4">
        <v>106</v>
      </c>
      <c r="B107" s="5">
        <v>40664</v>
      </c>
      <c r="C107" s="4">
        <v>1</v>
      </c>
      <c r="D107" s="4">
        <v>0</v>
      </c>
      <c r="E107" s="4">
        <v>1</v>
      </c>
      <c r="F107" s="4">
        <v>14</v>
      </c>
      <c r="G107" s="4" t="b">
        <v>0</v>
      </c>
      <c r="H107" s="4">
        <v>3</v>
      </c>
      <c r="I107" s="4">
        <v>1</v>
      </c>
      <c r="J107" s="4">
        <v>0.3</v>
      </c>
      <c r="K107" s="6" t="str">
        <f>IF(H107=0,"weekend",IF(H107=6,"weekend","weekend"))</f>
        <v>weekend</v>
      </c>
      <c r="L107" s="3" t="str">
        <f>IF(C107=1,"Spring",IF(C107=2,"Summer",IF(C107=3,"Fall","Winter")))</f>
        <v>Spring</v>
      </c>
      <c r="M107" s="3">
        <f>SUM(J107:J131)</f>
        <v>5.3600000000000012</v>
      </c>
      <c r="N107" s="3">
        <f>AVERAGE(J107:J716)</f>
        <v>0.18170297029702967</v>
      </c>
      <c r="O107" s="3">
        <f>COUNT(J107:J716)</f>
        <v>505</v>
      </c>
      <c r="P107" s="3" t="str">
        <f>TEXT(J107,"0.00")</f>
        <v>0.30</v>
      </c>
      <c r="Q107" s="3" t="str">
        <f>LEFT(L107,3)</f>
        <v>Spr</v>
      </c>
      <c r="R107" s="7" t="str">
        <f>RIGHT(L107,3)</f>
        <v>ing</v>
      </c>
      <c r="S107" s="8">
        <f>LEN(L107)</f>
        <v>6</v>
      </c>
      <c r="T107" s="36" t="str">
        <f>A107&amp;"|"&amp;B107&amp;"|"&amp;F107</f>
        <v>106|40664|14</v>
      </c>
      <c r="V107" s="32">
        <f>VLOOKUP(A107,Sheet2!A:H,3,FALSE)</f>
        <v>0.28789999999999999</v>
      </c>
      <c r="W107" s="32">
        <f>VLOOKUP(A107,Sheet2!A:H,4,FALSE)</f>
        <v>0.28000000000000003</v>
      </c>
      <c r="X107" s="32">
        <f>VLOOKUP(A107,Sheet2!A:H,7,FALSE)</f>
        <v>55</v>
      </c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spans="1:37" x14ac:dyDescent="0.2">
      <c r="A108" s="4">
        <v>107</v>
      </c>
      <c r="B108" s="5">
        <v>40664</v>
      </c>
      <c r="C108" s="4">
        <v>1</v>
      </c>
      <c r="D108" s="4">
        <v>0</v>
      </c>
      <c r="E108" s="4">
        <v>1</v>
      </c>
      <c r="F108" s="4">
        <v>15</v>
      </c>
      <c r="G108" s="4" t="b">
        <v>0</v>
      </c>
      <c r="H108" s="4">
        <v>3</v>
      </c>
      <c r="I108" s="4">
        <v>1</v>
      </c>
      <c r="J108" s="4">
        <v>0.3</v>
      </c>
      <c r="K108" s="6" t="str">
        <f>IF(H108=0,"weekend",IF(H108=6,"weekend","weekend"))</f>
        <v>weekend</v>
      </c>
      <c r="L108" s="3" t="str">
        <f>IF(C108=1,"Spring",IF(C108=2,"Summer",IF(C108=3,"Fall","Winter")))</f>
        <v>Spring</v>
      </c>
      <c r="M108" s="3">
        <f>SUM(J108:J132)</f>
        <v>5.3200000000000021</v>
      </c>
      <c r="N108" s="3">
        <f>AVERAGE(J108:J717)</f>
        <v>0.18146825396825392</v>
      </c>
      <c r="O108" s="3">
        <f>COUNT(J108:J717)</f>
        <v>504</v>
      </c>
      <c r="P108" s="3" t="str">
        <f>TEXT(J108,"0.00")</f>
        <v>0.30</v>
      </c>
      <c r="Q108" s="3" t="str">
        <f>LEFT(L108,3)</f>
        <v>Spr</v>
      </c>
      <c r="R108" s="7" t="str">
        <f>RIGHT(L108,3)</f>
        <v>ing</v>
      </c>
      <c r="S108" s="8">
        <f>LEN(L108)</f>
        <v>6</v>
      </c>
      <c r="T108" s="36" t="str">
        <f>A108&amp;"|"&amp;B108&amp;"|"&amp;F108</f>
        <v>107|40664|15</v>
      </c>
      <c r="V108" s="32">
        <f>VLOOKUP(A108,Sheet2!A:H,3,FALSE)</f>
        <v>0.31819999999999998</v>
      </c>
      <c r="W108" s="32">
        <f>VLOOKUP(A108,Sheet2!A:H,4,FALSE)</f>
        <v>0.28000000000000003</v>
      </c>
      <c r="X108" s="32">
        <f>VLOOKUP(A108,Sheet2!A:H,7,FALSE)</f>
        <v>85</v>
      </c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spans="1:37" x14ac:dyDescent="0.2">
      <c r="A109" s="4">
        <v>108</v>
      </c>
      <c r="B109" s="5">
        <v>40664</v>
      </c>
      <c r="C109" s="4">
        <v>1</v>
      </c>
      <c r="D109" s="4">
        <v>0</v>
      </c>
      <c r="E109" s="4">
        <v>1</v>
      </c>
      <c r="F109" s="4">
        <v>16</v>
      </c>
      <c r="G109" s="4" t="b">
        <v>0</v>
      </c>
      <c r="H109" s="4">
        <v>3</v>
      </c>
      <c r="I109" s="4">
        <v>1</v>
      </c>
      <c r="J109" s="4">
        <v>0.3</v>
      </c>
      <c r="K109" s="6" t="str">
        <f>IF(H109=0,"weekend",IF(H109=6,"weekend","weekend"))</f>
        <v>weekend</v>
      </c>
      <c r="L109" s="3" t="str">
        <f>IF(C109=1,"Spring",IF(C109=2,"Summer",IF(C109=3,"Fall","Winter")))</f>
        <v>Spring</v>
      </c>
      <c r="M109" s="3">
        <f>SUM(J109:J133)</f>
        <v>5.2400000000000011</v>
      </c>
      <c r="N109" s="3">
        <f>AVERAGE(J109:J718)</f>
        <v>0.18123260437375741</v>
      </c>
      <c r="O109" s="3">
        <f>COUNT(J109:J718)</f>
        <v>503</v>
      </c>
      <c r="P109" s="3" t="str">
        <f>TEXT(J109,"0.00")</f>
        <v>0.30</v>
      </c>
      <c r="Q109" s="3" t="str">
        <f>LEFT(L109,3)</f>
        <v>Spr</v>
      </c>
      <c r="R109" s="7" t="str">
        <f>RIGHT(L109,3)</f>
        <v>ing</v>
      </c>
      <c r="S109" s="8">
        <f>LEN(L109)</f>
        <v>6</v>
      </c>
      <c r="T109" s="36" t="str">
        <f>A109&amp;"|"&amp;B109&amp;"|"&amp;F109</f>
        <v>108|40664|16</v>
      </c>
      <c r="V109" s="32">
        <f>VLOOKUP(A109,Sheet2!A:H,3,FALSE)</f>
        <v>0.2273</v>
      </c>
      <c r="W109" s="32">
        <f>VLOOKUP(A109,Sheet2!A:H,4,FALSE)</f>
        <v>0.38</v>
      </c>
      <c r="X109" s="32">
        <f>VLOOKUP(A109,Sheet2!A:H,7,FALSE)</f>
        <v>186</v>
      </c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spans="1:37" x14ac:dyDescent="0.2">
      <c r="A110" s="4">
        <v>109</v>
      </c>
      <c r="B110" s="5">
        <v>40664</v>
      </c>
      <c r="C110" s="4">
        <v>1</v>
      </c>
      <c r="D110" s="4">
        <v>0</v>
      </c>
      <c r="E110" s="4">
        <v>1</v>
      </c>
      <c r="F110" s="4">
        <v>17</v>
      </c>
      <c r="G110" s="4" t="b">
        <v>0</v>
      </c>
      <c r="H110" s="4">
        <v>3</v>
      </c>
      <c r="I110" s="4">
        <v>1</v>
      </c>
      <c r="J110" s="4">
        <v>0.24</v>
      </c>
      <c r="K110" s="6" t="str">
        <f>IF(H110=0,"weekend",IF(H110=6,"weekend","weekend"))</f>
        <v>weekend</v>
      </c>
      <c r="L110" s="3" t="str">
        <f>IF(C110=1,"Spring",IF(C110=2,"Summer",IF(C110=3,"Fall","Winter")))</f>
        <v>Spring</v>
      </c>
      <c r="M110" s="3">
        <f>SUM(J110:J134)</f>
        <v>5.16</v>
      </c>
      <c r="N110" s="3">
        <f>AVERAGE(J110:J719)</f>
        <v>0.18099601593625489</v>
      </c>
      <c r="O110" s="3">
        <f>COUNT(J110:J719)</f>
        <v>502</v>
      </c>
      <c r="P110" s="3" t="str">
        <f>TEXT(J110,"0.00")</f>
        <v>0.24</v>
      </c>
      <c r="Q110" s="3" t="str">
        <f>LEFT(L110,3)</f>
        <v>Spr</v>
      </c>
      <c r="R110" s="7" t="str">
        <f>RIGHT(L110,3)</f>
        <v>ing</v>
      </c>
      <c r="S110" s="8">
        <f>LEN(L110)</f>
        <v>6</v>
      </c>
      <c r="T110" s="36" t="str">
        <f>A110&amp;"|"&amp;B110&amp;"|"&amp;F110</f>
        <v>109|40664|17</v>
      </c>
      <c r="V110" s="32">
        <f>VLOOKUP(A110,Sheet2!A:H,3,FALSE)</f>
        <v>0.2424</v>
      </c>
      <c r="W110" s="32">
        <f>VLOOKUP(A110,Sheet2!A:H,4,FALSE)</f>
        <v>0.38</v>
      </c>
      <c r="X110" s="32">
        <f>VLOOKUP(A110,Sheet2!A:H,7,FALSE)</f>
        <v>166</v>
      </c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spans="1:37" x14ac:dyDescent="0.2">
      <c r="A111" s="4">
        <v>110</v>
      </c>
      <c r="B111" s="5">
        <v>40664</v>
      </c>
      <c r="C111" s="4">
        <v>1</v>
      </c>
      <c r="D111" s="4">
        <v>0</v>
      </c>
      <c r="E111" s="4">
        <v>1</v>
      </c>
      <c r="F111" s="4">
        <v>18</v>
      </c>
      <c r="G111" s="4" t="b">
        <v>0</v>
      </c>
      <c r="H111" s="4">
        <v>3</v>
      </c>
      <c r="I111" s="4">
        <v>1</v>
      </c>
      <c r="J111" s="4">
        <v>0.24</v>
      </c>
      <c r="K111" s="6" t="str">
        <f>IF(H111=0,"weekend",IF(H111=6,"weekend","weekend"))</f>
        <v>weekend</v>
      </c>
      <c r="L111" s="3" t="str">
        <f>IF(C111=1,"Spring",IF(C111=2,"Summer",IF(C111=3,"Fall","Winter")))</f>
        <v>Spring</v>
      </c>
      <c r="M111" s="3">
        <f>SUM(J111:J135)</f>
        <v>5.14</v>
      </c>
      <c r="N111" s="3">
        <f>AVERAGE(J111:J720)</f>
        <v>0.18087824351297394</v>
      </c>
      <c r="O111" s="3">
        <f>COUNT(J111:J720)</f>
        <v>501</v>
      </c>
      <c r="P111" s="3" t="str">
        <f>TEXT(J111,"0.00")</f>
        <v>0.24</v>
      </c>
      <c r="Q111" s="3" t="str">
        <f>LEFT(L111,3)</f>
        <v>Spr</v>
      </c>
      <c r="R111" s="7" t="str">
        <f>RIGHT(L111,3)</f>
        <v>ing</v>
      </c>
      <c r="S111" s="8">
        <f>LEN(L111)</f>
        <v>6</v>
      </c>
      <c r="T111" s="36" t="str">
        <f>A111&amp;"|"&amp;B111&amp;"|"&amp;F111</f>
        <v>110|40664|18</v>
      </c>
      <c r="V111" s="32">
        <f>VLOOKUP(A111,Sheet2!A:H,3,FALSE)</f>
        <v>0.2576</v>
      </c>
      <c r="W111" s="32">
        <f>VLOOKUP(A111,Sheet2!A:H,4,FALSE)</f>
        <v>0.38</v>
      </c>
      <c r="X111" s="32">
        <f>VLOOKUP(A111,Sheet2!A:H,7,FALSE)</f>
        <v>127</v>
      </c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spans="1:37" x14ac:dyDescent="0.2">
      <c r="A112" s="4">
        <v>111</v>
      </c>
      <c r="B112" s="5">
        <v>40664</v>
      </c>
      <c r="C112" s="4">
        <v>1</v>
      </c>
      <c r="D112" s="4">
        <v>0</v>
      </c>
      <c r="E112" s="4">
        <v>1</v>
      </c>
      <c r="F112" s="4">
        <v>19</v>
      </c>
      <c r="G112" s="4" t="b">
        <v>0</v>
      </c>
      <c r="H112" s="4">
        <v>3</v>
      </c>
      <c r="I112" s="4">
        <v>1</v>
      </c>
      <c r="J112" s="4">
        <v>0.24</v>
      </c>
      <c r="K112" s="6" t="str">
        <f>IF(H112=0,"weekend",IF(H112=6,"weekend","weekend"))</f>
        <v>weekend</v>
      </c>
      <c r="L112" s="3" t="str">
        <f>IF(C112=1,"Spring",IF(C112=2,"Summer",IF(C112=3,"Fall","Winter")))</f>
        <v>Spring</v>
      </c>
      <c r="M112" s="3">
        <f>SUM(J112:J136)</f>
        <v>5.0999999999999996</v>
      </c>
      <c r="N112" s="3">
        <f>AVERAGE(J112:J721)</f>
        <v>0.18075999999999989</v>
      </c>
      <c r="O112" s="3">
        <f>COUNT(J112:J721)</f>
        <v>500</v>
      </c>
      <c r="P112" s="3" t="str">
        <f>TEXT(J112,"0.00")</f>
        <v>0.24</v>
      </c>
      <c r="Q112" s="3" t="str">
        <f>LEFT(L112,3)</f>
        <v>Spr</v>
      </c>
      <c r="R112" s="7" t="str">
        <f>RIGHT(L112,3)</f>
        <v>ing</v>
      </c>
      <c r="S112" s="8">
        <f>LEN(L112)</f>
        <v>6</v>
      </c>
      <c r="T112" s="36" t="str">
        <f>A112&amp;"|"&amp;B112&amp;"|"&amp;F112</f>
        <v>111|40664|19</v>
      </c>
      <c r="V112" s="32">
        <f>VLOOKUP(A112,Sheet2!A:H,3,FALSE)</f>
        <v>0.2273</v>
      </c>
      <c r="W112" s="32">
        <f>VLOOKUP(A112,Sheet2!A:H,4,FALSE)</f>
        <v>0.47</v>
      </c>
      <c r="X112" s="32">
        <f>VLOOKUP(A112,Sheet2!A:H,7,FALSE)</f>
        <v>82</v>
      </c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spans="1:37" x14ac:dyDescent="0.2">
      <c r="A113" s="4">
        <v>112</v>
      </c>
      <c r="B113" s="5">
        <v>40664</v>
      </c>
      <c r="C113" s="4">
        <v>1</v>
      </c>
      <c r="D113" s="4">
        <v>0</v>
      </c>
      <c r="E113" s="4">
        <v>1</v>
      </c>
      <c r="F113" s="4">
        <v>20</v>
      </c>
      <c r="G113" s="4" t="b">
        <v>0</v>
      </c>
      <c r="H113" s="4">
        <v>3</v>
      </c>
      <c r="I113" s="4">
        <v>1</v>
      </c>
      <c r="J113" s="4">
        <v>0.22</v>
      </c>
      <c r="K113" s="6" t="str">
        <f>IF(H113=0,"weekend",IF(H113=6,"weekend","weekend"))</f>
        <v>weekend</v>
      </c>
      <c r="L113" s="3" t="str">
        <f>IF(C113=1,"Spring",IF(C113=2,"Summer",IF(C113=3,"Fall","Winter")))</f>
        <v>Spring</v>
      </c>
      <c r="M113" s="3">
        <f>SUM(J113:J137)</f>
        <v>5.0799999999999992</v>
      </c>
      <c r="N113" s="3">
        <f>AVERAGE(J113:J722)</f>
        <v>0.18064128256513021</v>
      </c>
      <c r="O113" s="3">
        <f>COUNT(J113:J722)</f>
        <v>499</v>
      </c>
      <c r="P113" s="3" t="str">
        <f>TEXT(J113,"0.00")</f>
        <v>0.22</v>
      </c>
      <c r="Q113" s="3" t="str">
        <f>LEFT(L113,3)</f>
        <v>Spr</v>
      </c>
      <c r="R113" s="7" t="str">
        <f>RIGHT(L113,3)</f>
        <v>ing</v>
      </c>
      <c r="S113" s="8">
        <f>LEN(L113)</f>
        <v>6</v>
      </c>
      <c r="T113" s="36" t="str">
        <f>A113&amp;"|"&amp;B113&amp;"|"&amp;F113</f>
        <v>112|40664|20</v>
      </c>
      <c r="V113" s="32">
        <f>VLOOKUP(A113,Sheet2!A:H,3,FALSE)</f>
        <v>0.19700000000000001</v>
      </c>
      <c r="W113" s="32">
        <f>VLOOKUP(A113,Sheet2!A:H,4,FALSE)</f>
        <v>0.51</v>
      </c>
      <c r="X113" s="32">
        <f>VLOOKUP(A113,Sheet2!A:H,7,FALSE)</f>
        <v>40</v>
      </c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spans="1:37" x14ac:dyDescent="0.2">
      <c r="A114" s="4">
        <v>113</v>
      </c>
      <c r="B114" s="5">
        <v>40664</v>
      </c>
      <c r="C114" s="4">
        <v>1</v>
      </c>
      <c r="D114" s="4">
        <v>0</v>
      </c>
      <c r="E114" s="4">
        <v>1</v>
      </c>
      <c r="F114" s="4">
        <v>21</v>
      </c>
      <c r="G114" s="4" t="b">
        <v>0</v>
      </c>
      <c r="H114" s="4">
        <v>3</v>
      </c>
      <c r="I114" s="4">
        <v>1</v>
      </c>
      <c r="J114" s="4">
        <v>0.2</v>
      </c>
      <c r="K114" s="6" t="str">
        <f>IF(H114=0,"weekend",IF(H114=6,"weekend","weekend"))</f>
        <v>weekend</v>
      </c>
      <c r="L114" s="3" t="str">
        <f>IF(C114=1,"Spring",IF(C114=2,"Summer",IF(C114=3,"Fall","Winter")))</f>
        <v>Spring</v>
      </c>
      <c r="M114" s="3">
        <f>SUM(J114:J138)</f>
        <v>5.0799999999999992</v>
      </c>
      <c r="N114" s="3">
        <f>AVERAGE(J114:J723)</f>
        <v>0.18056224899598386</v>
      </c>
      <c r="O114" s="3">
        <f>COUNT(J114:J723)</f>
        <v>498</v>
      </c>
      <c r="P114" s="3" t="str">
        <f>TEXT(J114,"0.00")</f>
        <v>0.20</v>
      </c>
      <c r="Q114" s="3" t="str">
        <f>LEFT(L114,3)</f>
        <v>Spr</v>
      </c>
      <c r="R114" s="7" t="str">
        <f>RIGHT(L114,3)</f>
        <v>ing</v>
      </c>
      <c r="S114" s="8">
        <f>LEN(L114)</f>
        <v>6</v>
      </c>
      <c r="T114" s="36" t="str">
        <f>A114&amp;"|"&amp;B114&amp;"|"&amp;F114</f>
        <v>113|40664|21</v>
      </c>
      <c r="V114" s="32">
        <f>VLOOKUP(A114,Sheet2!A:H,3,FALSE)</f>
        <v>0.19700000000000001</v>
      </c>
      <c r="W114" s="32">
        <f>VLOOKUP(A114,Sheet2!A:H,4,FALSE)</f>
        <v>0.55000000000000004</v>
      </c>
      <c r="X114" s="32">
        <f>VLOOKUP(A114,Sheet2!A:H,7,FALSE)</f>
        <v>41</v>
      </c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spans="1:37" x14ac:dyDescent="0.2">
      <c r="A115" s="4">
        <v>114</v>
      </c>
      <c r="B115" s="5">
        <v>40664</v>
      </c>
      <c r="C115" s="4">
        <v>1</v>
      </c>
      <c r="D115" s="4">
        <v>0</v>
      </c>
      <c r="E115" s="4">
        <v>1</v>
      </c>
      <c r="F115" s="4">
        <v>22</v>
      </c>
      <c r="G115" s="4" t="b">
        <v>0</v>
      </c>
      <c r="H115" s="4">
        <v>3</v>
      </c>
      <c r="I115" s="4">
        <v>1</v>
      </c>
      <c r="J115" s="4">
        <v>0.18</v>
      </c>
      <c r="K115" s="6" t="str">
        <f>IF(H115=0,"weekend",IF(H115=6,"weekend","weekend"))</f>
        <v>weekend</v>
      </c>
      <c r="L115" s="3" t="str">
        <f>IF(C115=1,"Spring",IF(C115=2,"Summer",IF(C115=3,"Fall","Winter")))</f>
        <v>Spring</v>
      </c>
      <c r="M115" s="3">
        <f>SUM(J115:J139)</f>
        <v>5.08</v>
      </c>
      <c r="N115" s="3">
        <f>AVERAGE(J115:J724)</f>
        <v>0.18052313883299792</v>
      </c>
      <c r="O115" s="3">
        <f>COUNT(J115:J724)</f>
        <v>497</v>
      </c>
      <c r="P115" s="3" t="str">
        <f>TEXT(J115,"0.00")</f>
        <v>0.18</v>
      </c>
      <c r="Q115" s="3" t="str">
        <f>LEFT(L115,3)</f>
        <v>Spr</v>
      </c>
      <c r="R115" s="7" t="str">
        <f>RIGHT(L115,3)</f>
        <v>ing</v>
      </c>
      <c r="S115" s="8">
        <f>LEN(L115)</f>
        <v>6</v>
      </c>
      <c r="T115" s="36" t="str">
        <f>A115&amp;"|"&amp;B115&amp;"|"&amp;F115</f>
        <v>114|40664|22</v>
      </c>
      <c r="V115" s="32">
        <f>VLOOKUP(A115,Sheet2!A:H,3,FALSE)</f>
        <v>0.2576</v>
      </c>
      <c r="W115" s="32">
        <f>VLOOKUP(A115,Sheet2!A:H,4,FALSE)</f>
        <v>0.47</v>
      </c>
      <c r="X115" s="32">
        <f>VLOOKUP(A115,Sheet2!A:H,7,FALSE)</f>
        <v>18</v>
      </c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spans="1:37" x14ac:dyDescent="0.2">
      <c r="A116" s="4">
        <v>115</v>
      </c>
      <c r="B116" s="5">
        <v>40664</v>
      </c>
      <c r="C116" s="4">
        <v>1</v>
      </c>
      <c r="D116" s="4">
        <v>0</v>
      </c>
      <c r="E116" s="4">
        <v>1</v>
      </c>
      <c r="F116" s="4">
        <v>23</v>
      </c>
      <c r="G116" s="4" t="b">
        <v>0</v>
      </c>
      <c r="H116" s="4">
        <v>3</v>
      </c>
      <c r="I116" s="4">
        <v>1</v>
      </c>
      <c r="J116" s="4">
        <v>0.2</v>
      </c>
      <c r="K116" s="6" t="str">
        <f>IF(H116=0,"weekend",IF(H116=6,"weekend","weekend"))</f>
        <v>weekend</v>
      </c>
      <c r="L116" s="3" t="str">
        <f>IF(C116=1,"Spring",IF(C116=2,"Summer",IF(C116=3,"Fall","Winter")))</f>
        <v>Spring</v>
      </c>
      <c r="M116" s="3">
        <f>SUM(J116:J140)</f>
        <v>5.1000000000000005</v>
      </c>
      <c r="N116" s="3">
        <f>AVERAGE(J116:J725)</f>
        <v>0.18052419354838706</v>
      </c>
      <c r="O116" s="3">
        <f>COUNT(J116:J725)</f>
        <v>496</v>
      </c>
      <c r="P116" s="3" t="str">
        <f>TEXT(J116,"0.00")</f>
        <v>0.20</v>
      </c>
      <c r="Q116" s="3" t="str">
        <f>LEFT(L116,3)</f>
        <v>Spr</v>
      </c>
      <c r="R116" s="7" t="str">
        <f>RIGHT(L116,3)</f>
        <v>ing</v>
      </c>
      <c r="S116" s="8">
        <f>LEN(L116)</f>
        <v>6</v>
      </c>
      <c r="T116" s="36" t="str">
        <f>A116&amp;"|"&amp;B116&amp;"|"&amp;F116</f>
        <v>115|40664|23</v>
      </c>
      <c r="V116" s="32">
        <f>VLOOKUP(A116,Sheet2!A:H,3,FALSE)</f>
        <v>0.2424</v>
      </c>
      <c r="W116" s="32">
        <f>VLOOKUP(A116,Sheet2!A:H,4,FALSE)</f>
        <v>0.55000000000000004</v>
      </c>
      <c r="X116" s="32">
        <f>VLOOKUP(A116,Sheet2!A:H,7,FALSE)</f>
        <v>11</v>
      </c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spans="1:37" x14ac:dyDescent="0.2">
      <c r="A117" s="4">
        <v>116</v>
      </c>
      <c r="B117" s="5">
        <v>40695</v>
      </c>
      <c r="C117" s="4">
        <v>1</v>
      </c>
      <c r="D117" s="4">
        <v>0</v>
      </c>
      <c r="E117" s="4">
        <v>1</v>
      </c>
      <c r="F117" s="4">
        <v>0</v>
      </c>
      <c r="G117" s="4" t="b">
        <v>0</v>
      </c>
      <c r="H117" s="4">
        <v>4</v>
      </c>
      <c r="I117" s="4">
        <v>1</v>
      </c>
      <c r="J117" s="4">
        <v>0.18</v>
      </c>
      <c r="K117" s="6" t="str">
        <f>IF(H117=0,"weekend",IF(H117=6,"weekend","weekend"))</f>
        <v>weekend</v>
      </c>
      <c r="L117" s="3" t="str">
        <f>IF(C117=1,"Spring",IF(C117=2,"Summer",IF(C117=3,"Fall","Winter")))</f>
        <v>Spring</v>
      </c>
      <c r="M117" s="3">
        <f>SUM(J117:J141)</f>
        <v>5.1000000000000005</v>
      </c>
      <c r="N117" s="3">
        <f>AVERAGE(J117:J726)</f>
        <v>0.18048484848484844</v>
      </c>
      <c r="O117" s="3">
        <f>COUNT(J117:J726)</f>
        <v>495</v>
      </c>
      <c r="P117" s="3" t="str">
        <f>TEXT(J117,"0.00")</f>
        <v>0.18</v>
      </c>
      <c r="Q117" s="3" t="str">
        <f>LEFT(L117,3)</f>
        <v>Spr</v>
      </c>
      <c r="R117" s="7" t="str">
        <f>RIGHT(L117,3)</f>
        <v>ing</v>
      </c>
      <c r="S117" s="8">
        <f>LEN(L117)</f>
        <v>6</v>
      </c>
      <c r="T117" s="36" t="str">
        <f>A117&amp;"|"&amp;B117&amp;"|"&amp;F117</f>
        <v>116|40695|0</v>
      </c>
      <c r="V117" s="32">
        <f>VLOOKUP(A117,Sheet2!A:H,3,FALSE)</f>
        <v>0.2273</v>
      </c>
      <c r="W117" s="32">
        <f>VLOOKUP(A117,Sheet2!A:H,4,FALSE)</f>
        <v>0.64</v>
      </c>
      <c r="X117" s="32">
        <f>VLOOKUP(A117,Sheet2!A:H,7,FALSE)</f>
        <v>4</v>
      </c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spans="1:37" x14ac:dyDescent="0.2">
      <c r="A118" s="4">
        <v>117</v>
      </c>
      <c r="B118" s="5">
        <v>40695</v>
      </c>
      <c r="C118" s="4">
        <v>1</v>
      </c>
      <c r="D118" s="4">
        <v>0</v>
      </c>
      <c r="E118" s="4">
        <v>1</v>
      </c>
      <c r="F118" s="4">
        <v>1</v>
      </c>
      <c r="G118" s="4" t="b">
        <v>0</v>
      </c>
      <c r="H118" s="4">
        <v>4</v>
      </c>
      <c r="I118" s="4">
        <v>1</v>
      </c>
      <c r="J118" s="4">
        <v>0.16</v>
      </c>
      <c r="K118" s="6" t="str">
        <f>IF(H118=0,"weekend",IF(H118=6,"weekend","weekend"))</f>
        <v>weekend</v>
      </c>
      <c r="L118" s="3" t="str">
        <f>IF(C118=1,"Spring",IF(C118=2,"Summer",IF(C118=3,"Fall","Winter")))</f>
        <v>Spring</v>
      </c>
      <c r="M118" s="3">
        <f>SUM(J118:J142)</f>
        <v>5.1200000000000019</v>
      </c>
      <c r="N118" s="3">
        <f>AVERAGE(J118:J727)</f>
        <v>0.18048582995951412</v>
      </c>
      <c r="O118" s="3">
        <f>COUNT(J118:J727)</f>
        <v>494</v>
      </c>
      <c r="P118" s="3" t="str">
        <f>TEXT(J118,"0.00")</f>
        <v>0.16</v>
      </c>
      <c r="Q118" s="3" t="str">
        <f>LEFT(L118,3)</f>
        <v>Spr</v>
      </c>
      <c r="R118" s="7" t="str">
        <f>RIGHT(L118,3)</f>
        <v>ing</v>
      </c>
      <c r="S118" s="8">
        <f>LEN(L118)</f>
        <v>6</v>
      </c>
      <c r="T118" s="36" t="str">
        <f>A118&amp;"|"&amp;B118&amp;"|"&amp;F118</f>
        <v>117|40695|1</v>
      </c>
      <c r="V118" s="32">
        <f>VLOOKUP(A118,Sheet2!A:H,3,FALSE)</f>
        <v>0.2273</v>
      </c>
      <c r="W118" s="32">
        <f>VLOOKUP(A118,Sheet2!A:H,4,FALSE)</f>
        <v>0.64</v>
      </c>
      <c r="X118" s="32">
        <f>VLOOKUP(A118,Sheet2!A:H,7,FALSE)</f>
        <v>2</v>
      </c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spans="1:37" x14ac:dyDescent="0.2">
      <c r="A119" s="4">
        <v>118</v>
      </c>
      <c r="B119" s="5">
        <v>40695</v>
      </c>
      <c r="C119" s="4">
        <v>1</v>
      </c>
      <c r="D119" s="4">
        <v>0</v>
      </c>
      <c r="E119" s="4">
        <v>1</v>
      </c>
      <c r="F119" s="4">
        <v>2</v>
      </c>
      <c r="G119" s="4" t="b">
        <v>0</v>
      </c>
      <c r="H119" s="4">
        <v>4</v>
      </c>
      <c r="I119" s="4">
        <v>1</v>
      </c>
      <c r="J119" s="4">
        <v>0.16</v>
      </c>
      <c r="K119" s="6" t="str">
        <f>IF(H119=0,"weekend",IF(H119=6,"weekend","weekend"))</f>
        <v>weekend</v>
      </c>
      <c r="L119" s="3" t="str">
        <f>IF(C119=1,"Spring",IF(C119=2,"Summer",IF(C119=3,"Fall","Winter")))</f>
        <v>Spring</v>
      </c>
      <c r="M119" s="3">
        <f>SUM(J119:J143)</f>
        <v>5.1600000000000019</v>
      </c>
      <c r="N119" s="3">
        <f>AVERAGE(J119:J728)</f>
        <v>0.18052738336713994</v>
      </c>
      <c r="O119" s="3">
        <f>COUNT(J119:J728)</f>
        <v>493</v>
      </c>
      <c r="P119" s="3" t="str">
        <f>TEXT(J119,"0.00")</f>
        <v>0.16</v>
      </c>
      <c r="Q119" s="3" t="str">
        <f>LEFT(L119,3)</f>
        <v>Spr</v>
      </c>
      <c r="R119" s="7" t="str">
        <f>RIGHT(L119,3)</f>
        <v>ing</v>
      </c>
      <c r="S119" s="8">
        <f>LEN(L119)</f>
        <v>6</v>
      </c>
      <c r="T119" s="36" t="str">
        <f>A119&amp;"|"&amp;B119&amp;"|"&amp;F119</f>
        <v>118|40695|2</v>
      </c>
      <c r="V119" s="32">
        <f>VLOOKUP(A119,Sheet2!A:H,3,FALSE)</f>
        <v>0.19700000000000001</v>
      </c>
      <c r="W119" s="32">
        <f>VLOOKUP(A119,Sheet2!A:H,4,FALSE)</f>
        <v>0.64</v>
      </c>
      <c r="X119" s="32">
        <f>VLOOKUP(A119,Sheet2!A:H,7,FALSE)</f>
        <v>1</v>
      </c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spans="1:37" x14ac:dyDescent="0.2">
      <c r="A120" s="4">
        <v>119</v>
      </c>
      <c r="B120" s="5">
        <v>40695</v>
      </c>
      <c r="C120" s="4">
        <v>1</v>
      </c>
      <c r="D120" s="4">
        <v>0</v>
      </c>
      <c r="E120" s="4">
        <v>1</v>
      </c>
      <c r="F120" s="4">
        <v>4</v>
      </c>
      <c r="G120" s="4" t="b">
        <v>0</v>
      </c>
      <c r="H120" s="4">
        <v>4</v>
      </c>
      <c r="I120" s="4">
        <v>2</v>
      </c>
      <c r="J120" s="4">
        <v>0.16</v>
      </c>
      <c r="K120" s="6" t="str">
        <f>IF(H120=0,"weekend",IF(H120=6,"weekend","weekend"))</f>
        <v>weekend</v>
      </c>
      <c r="L120" s="3" t="str">
        <f>IF(C120=1,"Spring",IF(C120=2,"Summer",IF(C120=3,"Fall","Winter")))</f>
        <v>Spring</v>
      </c>
      <c r="M120" s="3">
        <f>SUM(J120:J144)</f>
        <v>5.2200000000000015</v>
      </c>
      <c r="N120" s="3">
        <f>AVERAGE(J120:J729)</f>
        <v>0.18056910569105689</v>
      </c>
      <c r="O120" s="3">
        <f>COUNT(J120:J729)</f>
        <v>492</v>
      </c>
      <c r="P120" s="3" t="str">
        <f>TEXT(J120,"0.00")</f>
        <v>0.16</v>
      </c>
      <c r="Q120" s="3" t="str">
        <f>LEFT(L120,3)</f>
        <v>Spr</v>
      </c>
      <c r="R120" s="7" t="str">
        <f>RIGHT(L120,3)</f>
        <v>ing</v>
      </c>
      <c r="S120" s="8">
        <f>LEN(L120)</f>
        <v>6</v>
      </c>
      <c r="T120" s="36" t="str">
        <f>A120&amp;"|"&amp;B120&amp;"|"&amp;F120</f>
        <v>119|40695|4</v>
      </c>
      <c r="V120" s="32">
        <f>VLOOKUP(A120,Sheet2!A:H,3,FALSE)</f>
        <v>0.18179999999999999</v>
      </c>
      <c r="W120" s="32">
        <f>VLOOKUP(A120,Sheet2!A:H,4,FALSE)</f>
        <v>0.69</v>
      </c>
      <c r="X120" s="32">
        <f>VLOOKUP(A120,Sheet2!A:H,7,FALSE)</f>
        <v>4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spans="1:37" x14ac:dyDescent="0.2">
      <c r="A121" s="4">
        <v>120</v>
      </c>
      <c r="B121" s="5">
        <v>40695</v>
      </c>
      <c r="C121" s="4">
        <v>1</v>
      </c>
      <c r="D121" s="4">
        <v>0</v>
      </c>
      <c r="E121" s="4">
        <v>1</v>
      </c>
      <c r="F121" s="4">
        <v>5</v>
      </c>
      <c r="G121" s="4" t="b">
        <v>0</v>
      </c>
      <c r="H121" s="4">
        <v>4</v>
      </c>
      <c r="I121" s="4">
        <v>2</v>
      </c>
      <c r="J121" s="4">
        <v>0.14000000000000001</v>
      </c>
      <c r="K121" s="6" t="str">
        <f>IF(H121=0,"weekend",IF(H121=6,"weekend","weekend"))</f>
        <v>weekend</v>
      </c>
      <c r="L121" s="3" t="str">
        <f>IF(C121=1,"Spring",IF(C121=2,"Summer",IF(C121=3,"Fall","Winter")))</f>
        <v>Spring</v>
      </c>
      <c r="M121" s="3">
        <f>SUM(J121:J145)</f>
        <v>5.2600000000000016</v>
      </c>
      <c r="N121" s="3">
        <f>AVERAGE(J121:J730)</f>
        <v>0.1806109979633401</v>
      </c>
      <c r="O121" s="3">
        <f>COUNT(J121:J730)</f>
        <v>491</v>
      </c>
      <c r="P121" s="3" t="str">
        <f>TEXT(J121,"0.00")</f>
        <v>0.14</v>
      </c>
      <c r="Q121" s="3" t="str">
        <f>LEFT(L121,3)</f>
        <v>Spr</v>
      </c>
      <c r="R121" s="7" t="str">
        <f>RIGHT(L121,3)</f>
        <v>ing</v>
      </c>
      <c r="S121" s="8">
        <f>LEN(L121)</f>
        <v>6</v>
      </c>
      <c r="T121" s="36" t="str">
        <f>A121&amp;"|"&amp;B121&amp;"|"&amp;F121</f>
        <v>120|40695|5</v>
      </c>
      <c r="V121" s="32">
        <f>VLOOKUP(A121,Sheet2!A:H,3,FALSE)</f>
        <v>0.16669999999999999</v>
      </c>
      <c r="W121" s="32">
        <f>VLOOKUP(A121,Sheet2!A:H,4,FALSE)</f>
        <v>0.63</v>
      </c>
      <c r="X121" s="32">
        <f>VLOOKUP(A121,Sheet2!A:H,7,FALSE)</f>
        <v>36</v>
      </c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spans="1:37" x14ac:dyDescent="0.2">
      <c r="A122" s="4">
        <v>121</v>
      </c>
      <c r="B122" s="5">
        <v>40695</v>
      </c>
      <c r="C122" s="4">
        <v>1</v>
      </c>
      <c r="D122" s="4">
        <v>0</v>
      </c>
      <c r="E122" s="4">
        <v>1</v>
      </c>
      <c r="F122" s="4">
        <v>6</v>
      </c>
      <c r="G122" s="4" t="b">
        <v>0</v>
      </c>
      <c r="H122" s="4">
        <v>4</v>
      </c>
      <c r="I122" s="4">
        <v>2</v>
      </c>
      <c r="J122" s="4">
        <v>0.14000000000000001</v>
      </c>
      <c r="K122" s="6" t="str">
        <f>IF(H122=0,"weekend",IF(H122=6,"weekend","weekend"))</f>
        <v>weekend</v>
      </c>
      <c r="L122" s="3" t="str">
        <f>IF(C122=1,"Spring",IF(C122=2,"Summer",IF(C122=3,"Fall","Winter")))</f>
        <v>Spring</v>
      </c>
      <c r="M122" s="3">
        <f>SUM(J122:J146)</f>
        <v>5.3200000000000021</v>
      </c>
      <c r="N122" s="3">
        <f>AVERAGE(J122:J731)</f>
        <v>0.18069387755102037</v>
      </c>
      <c r="O122" s="3">
        <f>COUNT(J122:J731)</f>
        <v>490</v>
      </c>
      <c r="P122" s="3" t="str">
        <f>TEXT(J122,"0.00")</f>
        <v>0.14</v>
      </c>
      <c r="Q122" s="3" t="str">
        <f>LEFT(L122,3)</f>
        <v>Spr</v>
      </c>
      <c r="R122" s="7" t="str">
        <f>RIGHT(L122,3)</f>
        <v>ing</v>
      </c>
      <c r="S122" s="8">
        <f>LEN(L122)</f>
        <v>6</v>
      </c>
      <c r="T122" s="36" t="str">
        <f>A122&amp;"|"&amp;B122&amp;"|"&amp;F122</f>
        <v>121|40695|6</v>
      </c>
      <c r="V122" s="32">
        <f>VLOOKUP(A122,Sheet2!A:H,3,FALSE)</f>
        <v>0.2273</v>
      </c>
      <c r="W122" s="32">
        <f>VLOOKUP(A122,Sheet2!A:H,4,FALSE)</f>
        <v>0.59</v>
      </c>
      <c r="X122" s="32">
        <f>VLOOKUP(A122,Sheet2!A:H,7,FALSE)</f>
        <v>95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spans="1:37" x14ac:dyDescent="0.2">
      <c r="A123" s="4">
        <v>122</v>
      </c>
      <c r="B123" s="5">
        <v>40695</v>
      </c>
      <c r="C123" s="4">
        <v>1</v>
      </c>
      <c r="D123" s="4">
        <v>0</v>
      </c>
      <c r="E123" s="4">
        <v>1</v>
      </c>
      <c r="F123" s="4">
        <v>7</v>
      </c>
      <c r="G123" s="4" t="b">
        <v>0</v>
      </c>
      <c r="H123" s="4">
        <v>4</v>
      </c>
      <c r="I123" s="4">
        <v>2</v>
      </c>
      <c r="J123" s="4">
        <v>0.16</v>
      </c>
      <c r="K123" s="6" t="str">
        <f>IF(H123=0,"weekend",IF(H123=6,"weekend","weekend"))</f>
        <v>weekend</v>
      </c>
      <c r="L123" s="3" t="str">
        <f>IF(C123=1,"Spring",IF(C123=2,"Summer",IF(C123=3,"Fall","Winter")))</f>
        <v>Spring</v>
      </c>
      <c r="M123" s="3">
        <f>SUM(J123:J147)</f>
        <v>5.3800000000000017</v>
      </c>
      <c r="N123" s="3">
        <f>AVERAGE(J123:J732)</f>
        <v>0.18077709611451939</v>
      </c>
      <c r="O123" s="3">
        <f>COUNT(J123:J732)</f>
        <v>489</v>
      </c>
      <c r="P123" s="3" t="str">
        <f>TEXT(J123,"0.00")</f>
        <v>0.16</v>
      </c>
      <c r="Q123" s="3" t="str">
        <f>LEFT(L123,3)</f>
        <v>Spr</v>
      </c>
      <c r="R123" s="7" t="str">
        <f>RIGHT(L123,3)</f>
        <v>ing</v>
      </c>
      <c r="S123" s="8">
        <f>LEN(L123)</f>
        <v>6</v>
      </c>
      <c r="T123" s="36" t="str">
        <f>A123&amp;"|"&amp;B123&amp;"|"&amp;F123</f>
        <v>122|40695|7</v>
      </c>
      <c r="V123" s="32">
        <f>VLOOKUP(A123,Sheet2!A:H,3,FALSE)</f>
        <v>0.2273</v>
      </c>
      <c r="W123" s="32">
        <f>VLOOKUP(A123,Sheet2!A:H,4,FALSE)</f>
        <v>0.59</v>
      </c>
      <c r="X123" s="32">
        <f>VLOOKUP(A123,Sheet2!A:H,7,FALSE)</f>
        <v>216</v>
      </c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spans="1:37" x14ac:dyDescent="0.2">
      <c r="A124" s="4">
        <v>123</v>
      </c>
      <c r="B124" s="5">
        <v>40695</v>
      </c>
      <c r="C124" s="4">
        <v>1</v>
      </c>
      <c r="D124" s="4">
        <v>0</v>
      </c>
      <c r="E124" s="4">
        <v>1</v>
      </c>
      <c r="F124" s="4">
        <v>8</v>
      </c>
      <c r="G124" s="4" t="b">
        <v>0</v>
      </c>
      <c r="H124" s="4">
        <v>4</v>
      </c>
      <c r="I124" s="4">
        <v>1</v>
      </c>
      <c r="J124" s="4">
        <v>0.16</v>
      </c>
      <c r="K124" s="6" t="str">
        <f>IF(H124=0,"weekend",IF(H124=6,"weekend","weekend"))</f>
        <v>weekend</v>
      </c>
      <c r="L124" s="3" t="str">
        <f>IF(C124=1,"Spring",IF(C124=2,"Summer",IF(C124=3,"Fall","Winter")))</f>
        <v>Spring</v>
      </c>
      <c r="M124" s="3">
        <f>SUM(J124:J148)</f>
        <v>5.4200000000000026</v>
      </c>
      <c r="N124" s="3">
        <f>AVERAGE(J124:J733)</f>
        <v>0.18081967213114747</v>
      </c>
      <c r="O124" s="3">
        <f>COUNT(J124:J733)</f>
        <v>488</v>
      </c>
      <c r="P124" s="3" t="str">
        <f>TEXT(J124,"0.00")</f>
        <v>0.16</v>
      </c>
      <c r="Q124" s="3" t="str">
        <f>LEFT(L124,3)</f>
        <v>Spr</v>
      </c>
      <c r="R124" s="7" t="str">
        <f>RIGHT(L124,3)</f>
        <v>ing</v>
      </c>
      <c r="S124" s="8">
        <f>LEN(L124)</f>
        <v>6</v>
      </c>
      <c r="T124" s="36" t="str">
        <f>A124&amp;"|"&amp;B124&amp;"|"&amp;F124</f>
        <v>123|40695|8</v>
      </c>
      <c r="V124" s="32">
        <f>VLOOKUP(A124,Sheet2!A:H,3,FALSE)</f>
        <v>0.2424</v>
      </c>
      <c r="W124" s="32">
        <f>VLOOKUP(A124,Sheet2!A:H,4,FALSE)</f>
        <v>0.51</v>
      </c>
      <c r="X124" s="32">
        <f>VLOOKUP(A124,Sheet2!A:H,7,FALSE)</f>
        <v>116</v>
      </c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spans="1:37" x14ac:dyDescent="0.2">
      <c r="A125" s="4">
        <v>124</v>
      </c>
      <c r="B125" s="5">
        <v>40695</v>
      </c>
      <c r="C125" s="4">
        <v>1</v>
      </c>
      <c r="D125" s="4">
        <v>0</v>
      </c>
      <c r="E125" s="4">
        <v>1</v>
      </c>
      <c r="F125" s="4">
        <v>9</v>
      </c>
      <c r="G125" s="4" t="b">
        <v>0</v>
      </c>
      <c r="H125" s="4">
        <v>4</v>
      </c>
      <c r="I125" s="4">
        <v>2</v>
      </c>
      <c r="J125" s="4">
        <v>0.18</v>
      </c>
      <c r="K125" s="6" t="str">
        <f>IF(H125=0,"weekend",IF(H125=6,"weekend","weekend"))</f>
        <v>weekend</v>
      </c>
      <c r="L125" s="3" t="str">
        <f>IF(C125=1,"Spring",IF(C125=2,"Summer",IF(C125=3,"Fall","Winter")))</f>
        <v>Spring</v>
      </c>
      <c r="M125" s="3">
        <f>SUM(J125:J149)</f>
        <v>5.4800000000000022</v>
      </c>
      <c r="N125" s="3">
        <f>AVERAGE(J125:J734)</f>
        <v>0.18086242299794655</v>
      </c>
      <c r="O125" s="3">
        <f>COUNT(J125:J734)</f>
        <v>487</v>
      </c>
      <c r="P125" s="3" t="str">
        <f>TEXT(J125,"0.00")</f>
        <v>0.18</v>
      </c>
      <c r="Q125" s="3" t="str">
        <f>LEFT(L125,3)</f>
        <v>Spr</v>
      </c>
      <c r="R125" s="7" t="str">
        <f>RIGHT(L125,3)</f>
        <v>ing</v>
      </c>
      <c r="S125" s="8">
        <f>LEN(L125)</f>
        <v>6</v>
      </c>
      <c r="T125" s="36" t="str">
        <f>A125&amp;"|"&amp;B125&amp;"|"&amp;F125</f>
        <v>124|40695|9</v>
      </c>
      <c r="V125" s="32">
        <f>VLOOKUP(A125,Sheet2!A:H,3,FALSE)</f>
        <v>0.2576</v>
      </c>
      <c r="W125" s="32">
        <f>VLOOKUP(A125,Sheet2!A:H,4,FALSE)</f>
        <v>0.47</v>
      </c>
      <c r="X125" s="32">
        <f>VLOOKUP(A125,Sheet2!A:H,7,FALSE)</f>
        <v>42</v>
      </c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spans="1:37" x14ac:dyDescent="0.2">
      <c r="A126" s="4">
        <v>125</v>
      </c>
      <c r="B126" s="5">
        <v>40695</v>
      </c>
      <c r="C126" s="4">
        <v>1</v>
      </c>
      <c r="D126" s="4">
        <v>0</v>
      </c>
      <c r="E126" s="4">
        <v>1</v>
      </c>
      <c r="F126" s="4">
        <v>10</v>
      </c>
      <c r="G126" s="4" t="b">
        <v>0</v>
      </c>
      <c r="H126" s="4">
        <v>4</v>
      </c>
      <c r="I126" s="4">
        <v>1</v>
      </c>
      <c r="J126" s="4">
        <v>0.2</v>
      </c>
      <c r="K126" s="6" t="str">
        <f>IF(H126=0,"weekend",IF(H126=6,"weekend","weekend"))</f>
        <v>weekend</v>
      </c>
      <c r="L126" s="3" t="str">
        <f>IF(C126=1,"Spring",IF(C126=2,"Summer",IF(C126=3,"Fall","Winter")))</f>
        <v>Spring</v>
      </c>
      <c r="M126" s="3">
        <f>SUM(J126:J150)</f>
        <v>5.5000000000000018</v>
      </c>
      <c r="N126" s="3">
        <f>AVERAGE(J126:J735)</f>
        <v>0.18086419753086408</v>
      </c>
      <c r="O126" s="3">
        <f>COUNT(J126:J735)</f>
        <v>486</v>
      </c>
      <c r="P126" s="3" t="str">
        <f>TEXT(J126,"0.00")</f>
        <v>0.20</v>
      </c>
      <c r="Q126" s="3" t="str">
        <f>LEFT(L126,3)</f>
        <v>Spr</v>
      </c>
      <c r="R126" s="7" t="str">
        <f>RIGHT(L126,3)</f>
        <v>ing</v>
      </c>
      <c r="S126" s="8">
        <f>LEN(L126)</f>
        <v>6</v>
      </c>
      <c r="T126" s="36" t="str">
        <f>A126&amp;"|"&amp;B126&amp;"|"&amp;F126</f>
        <v>125|40695|10</v>
      </c>
      <c r="V126" s="32">
        <f>VLOOKUP(A126,Sheet2!A:H,3,FALSE)</f>
        <v>0.2576</v>
      </c>
      <c r="W126" s="32">
        <f>VLOOKUP(A126,Sheet2!A:H,4,FALSE)</f>
        <v>0.44</v>
      </c>
      <c r="X126" s="32">
        <f>VLOOKUP(A126,Sheet2!A:H,7,FALSE)</f>
        <v>57</v>
      </c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spans="1:37" x14ac:dyDescent="0.2">
      <c r="A127" s="4">
        <v>126</v>
      </c>
      <c r="B127" s="5">
        <v>40695</v>
      </c>
      <c r="C127" s="4">
        <v>1</v>
      </c>
      <c r="D127" s="4">
        <v>0</v>
      </c>
      <c r="E127" s="4">
        <v>1</v>
      </c>
      <c r="F127" s="4">
        <v>11</v>
      </c>
      <c r="G127" s="4" t="b">
        <v>0</v>
      </c>
      <c r="H127" s="4">
        <v>4</v>
      </c>
      <c r="I127" s="4">
        <v>1</v>
      </c>
      <c r="J127" s="4">
        <v>0.22</v>
      </c>
      <c r="K127" s="6" t="str">
        <f>IF(H127=0,"weekend",IF(H127=6,"weekend","weekend"))</f>
        <v>weekend</v>
      </c>
      <c r="L127" s="3" t="str">
        <f>IF(C127=1,"Spring",IF(C127=2,"Summer",IF(C127=3,"Fall","Winter")))</f>
        <v>Spring</v>
      </c>
      <c r="M127" s="3">
        <f>SUM(J127:J151)</f>
        <v>5.5000000000000027</v>
      </c>
      <c r="N127" s="3">
        <f>AVERAGE(J127:J736)</f>
        <v>0.18082474226804113</v>
      </c>
      <c r="O127" s="3">
        <f>COUNT(J127:J736)</f>
        <v>485</v>
      </c>
      <c r="P127" s="3" t="str">
        <f>TEXT(J127,"0.00")</f>
        <v>0.22</v>
      </c>
      <c r="Q127" s="3" t="str">
        <f>LEFT(L127,3)</f>
        <v>Spr</v>
      </c>
      <c r="R127" s="7" t="str">
        <f>RIGHT(L127,3)</f>
        <v>ing</v>
      </c>
      <c r="S127" s="8">
        <f>LEN(L127)</f>
        <v>6</v>
      </c>
      <c r="T127" s="36" t="str">
        <f>A127&amp;"|"&amp;B127&amp;"|"&amp;F127</f>
        <v>126|40695|11</v>
      </c>
      <c r="V127" s="32">
        <f>VLOOKUP(A127,Sheet2!A:H,3,FALSE)</f>
        <v>0.28789999999999999</v>
      </c>
      <c r="W127" s="32">
        <f>VLOOKUP(A127,Sheet2!A:H,4,FALSE)</f>
        <v>0.35</v>
      </c>
      <c r="X127" s="32">
        <f>VLOOKUP(A127,Sheet2!A:H,7,FALSE)</f>
        <v>78</v>
      </c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spans="1:37" x14ac:dyDescent="0.2">
      <c r="A128" s="4">
        <v>127</v>
      </c>
      <c r="B128" s="5">
        <v>40695</v>
      </c>
      <c r="C128" s="4">
        <v>1</v>
      </c>
      <c r="D128" s="4">
        <v>0</v>
      </c>
      <c r="E128" s="4">
        <v>1</v>
      </c>
      <c r="F128" s="4">
        <v>12</v>
      </c>
      <c r="G128" s="4" t="b">
        <v>0</v>
      </c>
      <c r="H128" s="4">
        <v>4</v>
      </c>
      <c r="I128" s="4">
        <v>1</v>
      </c>
      <c r="J128" s="4">
        <v>0.26</v>
      </c>
      <c r="K128" s="6" t="str">
        <f>IF(H128=0,"weekend",IF(H128=6,"weekend","weekend"))</f>
        <v>weekend</v>
      </c>
      <c r="L128" s="3" t="str">
        <f>IF(C128=1,"Spring",IF(C128=2,"Summer",IF(C128=3,"Fall","Winter")))</f>
        <v>Spring</v>
      </c>
      <c r="M128" s="3">
        <f>SUM(J128:J152)</f>
        <v>5.4800000000000022</v>
      </c>
      <c r="N128" s="3">
        <f>AVERAGE(J128:J737)</f>
        <v>0.18074380165289247</v>
      </c>
      <c r="O128" s="3">
        <f>COUNT(J128:J737)</f>
        <v>484</v>
      </c>
      <c r="P128" s="3" t="str">
        <f>TEXT(J128,"0.00")</f>
        <v>0.26</v>
      </c>
      <c r="Q128" s="3" t="str">
        <f>LEFT(L128,3)</f>
        <v>Spr</v>
      </c>
      <c r="R128" s="7" t="str">
        <f>RIGHT(L128,3)</f>
        <v>ing</v>
      </c>
      <c r="S128" s="8">
        <f>LEN(L128)</f>
        <v>6</v>
      </c>
      <c r="T128" s="36" t="str">
        <f>A128&amp;"|"&amp;B128&amp;"|"&amp;F128</f>
        <v>127|40695|12</v>
      </c>
      <c r="V128" s="32">
        <f>VLOOKUP(A128,Sheet2!A:H,3,FALSE)</f>
        <v>0.2727</v>
      </c>
      <c r="W128" s="32">
        <f>VLOOKUP(A128,Sheet2!A:H,4,FALSE)</f>
        <v>0.35</v>
      </c>
      <c r="X128" s="32">
        <f>VLOOKUP(A128,Sheet2!A:H,7,FALSE)</f>
        <v>55</v>
      </c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spans="1:37" x14ac:dyDescent="0.2">
      <c r="A129" s="4">
        <v>128</v>
      </c>
      <c r="B129" s="5">
        <v>40695</v>
      </c>
      <c r="C129" s="4">
        <v>1</v>
      </c>
      <c r="D129" s="4">
        <v>0</v>
      </c>
      <c r="E129" s="4">
        <v>1</v>
      </c>
      <c r="F129" s="4">
        <v>13</v>
      </c>
      <c r="G129" s="4" t="b">
        <v>0</v>
      </c>
      <c r="H129" s="4">
        <v>4</v>
      </c>
      <c r="I129" s="4">
        <v>1</v>
      </c>
      <c r="J129" s="4">
        <v>0.26</v>
      </c>
      <c r="K129" s="6" t="str">
        <f>IF(H129=0,"weekend",IF(H129=6,"weekend","weekend"))</f>
        <v>weekend</v>
      </c>
      <c r="L129" s="3" t="str">
        <f>IF(C129=1,"Spring",IF(C129=2,"Summer",IF(C129=3,"Fall","Winter")))</f>
        <v>Spring</v>
      </c>
      <c r="M129" s="3">
        <f>SUM(J129:J153)</f>
        <v>5.4200000000000026</v>
      </c>
      <c r="N129" s="3">
        <f>AVERAGE(J129:J738)</f>
        <v>0.18057971014492746</v>
      </c>
      <c r="O129" s="3">
        <f>COUNT(J129:J738)</f>
        <v>483</v>
      </c>
      <c r="P129" s="3" t="str">
        <f>TEXT(J129,"0.00")</f>
        <v>0.26</v>
      </c>
      <c r="Q129" s="3" t="str">
        <f>LEFT(L129,3)</f>
        <v>Spr</v>
      </c>
      <c r="R129" s="7" t="str">
        <f>RIGHT(L129,3)</f>
        <v>ing</v>
      </c>
      <c r="S129" s="8">
        <f>LEN(L129)</f>
        <v>6</v>
      </c>
      <c r="T129" s="36" t="str">
        <f>A129&amp;"|"&amp;B129&amp;"|"&amp;F129</f>
        <v>128|40695|13</v>
      </c>
      <c r="V129" s="32">
        <f>VLOOKUP(A129,Sheet2!A:H,3,FALSE)</f>
        <v>0.2727</v>
      </c>
      <c r="W129" s="32">
        <f>VLOOKUP(A129,Sheet2!A:H,4,FALSE)</f>
        <v>0.36</v>
      </c>
      <c r="X129" s="32">
        <f>VLOOKUP(A129,Sheet2!A:H,7,FALSE)</f>
        <v>59</v>
      </c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spans="1:37" x14ac:dyDescent="0.2">
      <c r="A130" s="4">
        <v>129</v>
      </c>
      <c r="B130" s="5">
        <v>40695</v>
      </c>
      <c r="C130" s="4">
        <v>1</v>
      </c>
      <c r="D130" s="4">
        <v>0</v>
      </c>
      <c r="E130" s="4">
        <v>1</v>
      </c>
      <c r="F130" s="4">
        <v>14</v>
      </c>
      <c r="G130" s="4" t="b">
        <v>0</v>
      </c>
      <c r="H130" s="4">
        <v>4</v>
      </c>
      <c r="I130" s="4">
        <v>1</v>
      </c>
      <c r="J130" s="4">
        <v>0.28000000000000003</v>
      </c>
      <c r="K130" s="6" t="str">
        <f>IF(H130=0,"weekend",IF(H130=6,"weekend","weekend"))</f>
        <v>weekend</v>
      </c>
      <c r="L130" s="3" t="str">
        <f>IF(C130=1,"Spring",IF(C130=2,"Summer",IF(C130=3,"Fall","Winter")))</f>
        <v>Spring</v>
      </c>
      <c r="M130" s="3">
        <f>SUM(J130:J154)</f>
        <v>5.3600000000000021</v>
      </c>
      <c r="N130" s="3">
        <f>AVERAGE(J130:J739)</f>
        <v>0.18041493775933604</v>
      </c>
      <c r="O130" s="3">
        <f>COUNT(J130:J739)</f>
        <v>482</v>
      </c>
      <c r="P130" s="3" t="str">
        <f>TEXT(J130,"0.00")</f>
        <v>0.28</v>
      </c>
      <c r="Q130" s="3" t="str">
        <f>LEFT(L130,3)</f>
        <v>Spr</v>
      </c>
      <c r="R130" s="7" t="str">
        <f>RIGHT(L130,3)</f>
        <v>ing</v>
      </c>
      <c r="S130" s="8">
        <f>LEN(L130)</f>
        <v>6</v>
      </c>
      <c r="T130" s="36" t="str">
        <f>A130&amp;"|"&amp;B130&amp;"|"&amp;F130</f>
        <v>129|40695|14</v>
      </c>
      <c r="V130" s="32">
        <f>VLOOKUP(A130,Sheet2!A:H,3,FALSE)</f>
        <v>0.2727</v>
      </c>
      <c r="W130" s="32">
        <f>VLOOKUP(A130,Sheet2!A:H,4,FALSE)</f>
        <v>0.36</v>
      </c>
      <c r="X130" s="32">
        <f>VLOOKUP(A130,Sheet2!A:H,7,FALSE)</f>
        <v>54</v>
      </c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spans="1:37" x14ac:dyDescent="0.2">
      <c r="A131" s="4">
        <v>130</v>
      </c>
      <c r="B131" s="5">
        <v>40695</v>
      </c>
      <c r="C131" s="4">
        <v>1</v>
      </c>
      <c r="D131" s="4">
        <v>0</v>
      </c>
      <c r="E131" s="4">
        <v>1</v>
      </c>
      <c r="F131" s="4">
        <v>15</v>
      </c>
      <c r="G131" s="4" t="b">
        <v>0</v>
      </c>
      <c r="H131" s="4">
        <v>4</v>
      </c>
      <c r="I131" s="4">
        <v>1</v>
      </c>
      <c r="J131" s="4">
        <v>0.28000000000000003</v>
      </c>
      <c r="K131" s="6" t="str">
        <f>IF(H131=0,"weekend",IF(H131=6,"weekend","weekend"))</f>
        <v>weekend</v>
      </c>
      <c r="L131" s="3" t="str">
        <f>IF(C131=1,"Spring",IF(C131=2,"Summer",IF(C131=3,"Fall","Winter")))</f>
        <v>Spring</v>
      </c>
      <c r="M131" s="3">
        <f>SUM(J131:J155)</f>
        <v>5.2800000000000029</v>
      </c>
      <c r="N131" s="3">
        <f>AVERAGE(J131:J740)</f>
        <v>0.18020790020790017</v>
      </c>
      <c r="O131" s="3">
        <f>COUNT(J131:J740)</f>
        <v>481</v>
      </c>
      <c r="P131" s="3" t="str">
        <f>TEXT(J131,"0.00")</f>
        <v>0.28</v>
      </c>
      <c r="Q131" s="3" t="str">
        <f>LEFT(L131,3)</f>
        <v>Spr</v>
      </c>
      <c r="R131" s="7" t="str">
        <f>RIGHT(L131,3)</f>
        <v>ing</v>
      </c>
      <c r="S131" s="8">
        <f>LEN(L131)</f>
        <v>6</v>
      </c>
      <c r="T131" s="36" t="str">
        <f>A131&amp;"|"&amp;B131&amp;"|"&amp;F131</f>
        <v>130|40695|15</v>
      </c>
      <c r="V131" s="32">
        <f>VLOOKUP(A131,Sheet2!A:H,3,FALSE)</f>
        <v>0.2576</v>
      </c>
      <c r="W131" s="32">
        <f>VLOOKUP(A131,Sheet2!A:H,4,FALSE)</f>
        <v>0.38</v>
      </c>
      <c r="X131" s="32">
        <f>VLOOKUP(A131,Sheet2!A:H,7,FALSE)</f>
        <v>74</v>
      </c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spans="1:37" x14ac:dyDescent="0.2">
      <c r="A132" s="4">
        <v>131</v>
      </c>
      <c r="B132" s="5">
        <v>40695</v>
      </c>
      <c r="C132" s="4">
        <v>1</v>
      </c>
      <c r="D132" s="4">
        <v>0</v>
      </c>
      <c r="E132" s="4">
        <v>1</v>
      </c>
      <c r="F132" s="4">
        <v>16</v>
      </c>
      <c r="G132" s="4" t="b">
        <v>0</v>
      </c>
      <c r="H132" s="4">
        <v>4</v>
      </c>
      <c r="I132" s="4">
        <v>1</v>
      </c>
      <c r="J132" s="4">
        <v>0.26</v>
      </c>
      <c r="K132" s="6" t="str">
        <f>IF(H132=0,"weekend",IF(H132=6,"weekend","weekend"))</f>
        <v>weekend</v>
      </c>
      <c r="L132" s="3" t="str">
        <f>IF(C132=1,"Spring",IF(C132=2,"Summer",IF(C132=3,"Fall","Winter")))</f>
        <v>Spring</v>
      </c>
      <c r="M132" s="3">
        <f>SUM(J132:J156)</f>
        <v>5.200000000000002</v>
      </c>
      <c r="N132" s="3">
        <f>AVERAGE(J132:J741)</f>
        <v>0.17999999999999997</v>
      </c>
      <c r="O132" s="3">
        <f>COUNT(J132:J741)</f>
        <v>480</v>
      </c>
      <c r="P132" s="3" t="str">
        <f>TEXT(J132,"0.00")</f>
        <v>0.26</v>
      </c>
      <c r="Q132" s="3" t="str">
        <f>LEFT(L132,3)</f>
        <v>Spr</v>
      </c>
      <c r="R132" s="7" t="str">
        <f>RIGHT(L132,3)</f>
        <v>ing</v>
      </c>
      <c r="S132" s="8">
        <f>LEN(L132)</f>
        <v>6</v>
      </c>
      <c r="T132" s="36" t="str">
        <f>A132&amp;"|"&amp;B132&amp;"|"&amp;F132</f>
        <v>131|40695|16</v>
      </c>
      <c r="V132" s="32">
        <f>VLOOKUP(A132,Sheet2!A:H,3,FALSE)</f>
        <v>0.2273</v>
      </c>
      <c r="W132" s="32">
        <f>VLOOKUP(A132,Sheet2!A:H,4,FALSE)</f>
        <v>0.51</v>
      </c>
      <c r="X132" s="32">
        <f>VLOOKUP(A132,Sheet2!A:H,7,FALSE)</f>
        <v>163</v>
      </c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spans="1:37" x14ac:dyDescent="0.2">
      <c r="A133" s="4">
        <v>132</v>
      </c>
      <c r="B133" s="5">
        <v>40695</v>
      </c>
      <c r="C133" s="4">
        <v>1</v>
      </c>
      <c r="D133" s="4">
        <v>0</v>
      </c>
      <c r="E133" s="4">
        <v>1</v>
      </c>
      <c r="F133" s="4">
        <v>17</v>
      </c>
      <c r="G133" s="4" t="b">
        <v>0</v>
      </c>
      <c r="H133" s="4">
        <v>4</v>
      </c>
      <c r="I133" s="4">
        <v>1</v>
      </c>
      <c r="J133" s="4">
        <v>0.22</v>
      </c>
      <c r="K133" s="6" t="str">
        <f>IF(H133=0,"weekend",IF(H133=6,"weekend","weekend"))</f>
        <v>weekend</v>
      </c>
      <c r="L133" s="3" t="str">
        <f>IF(C133=1,"Spring",IF(C133=2,"Summer",IF(C133=3,"Fall","Winter")))</f>
        <v>Spring</v>
      </c>
      <c r="M133" s="3">
        <f>SUM(J133:J157)</f>
        <v>5.1400000000000023</v>
      </c>
      <c r="N133" s="3">
        <f>AVERAGE(J133:J742)</f>
        <v>0.17983298538622131</v>
      </c>
      <c r="O133" s="3">
        <f>COUNT(J133:J742)</f>
        <v>479</v>
      </c>
      <c r="P133" s="3" t="str">
        <f>TEXT(J133,"0.00")</f>
        <v>0.22</v>
      </c>
      <c r="Q133" s="3" t="str">
        <f>LEFT(L133,3)</f>
        <v>Spr</v>
      </c>
      <c r="R133" s="7" t="str">
        <f>RIGHT(L133,3)</f>
        <v>ing</v>
      </c>
      <c r="S133" s="8">
        <f>LEN(L133)</f>
        <v>6</v>
      </c>
      <c r="T133" s="36" t="str">
        <f>A133&amp;"|"&amp;B133&amp;"|"&amp;F133</f>
        <v>132|40695|17</v>
      </c>
      <c r="V133" s="32">
        <f>VLOOKUP(A133,Sheet2!A:H,3,FALSE)</f>
        <v>0.2273</v>
      </c>
      <c r="W133" s="32">
        <f>VLOOKUP(A133,Sheet2!A:H,4,FALSE)</f>
        <v>0.51</v>
      </c>
      <c r="X133" s="32">
        <f>VLOOKUP(A133,Sheet2!A:H,7,FALSE)</f>
        <v>158</v>
      </c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spans="1:37" x14ac:dyDescent="0.2">
      <c r="A134" s="4">
        <v>133</v>
      </c>
      <c r="B134" s="5">
        <v>40695</v>
      </c>
      <c r="C134" s="4">
        <v>1</v>
      </c>
      <c r="D134" s="4">
        <v>0</v>
      </c>
      <c r="E134" s="4">
        <v>1</v>
      </c>
      <c r="F134" s="4">
        <v>18</v>
      </c>
      <c r="G134" s="4" t="b">
        <v>0</v>
      </c>
      <c r="H134" s="4">
        <v>4</v>
      </c>
      <c r="I134" s="4">
        <v>1</v>
      </c>
      <c r="J134" s="4">
        <v>0.22</v>
      </c>
      <c r="K134" s="6" t="str">
        <f>IF(H134=0,"weekend",IF(H134=6,"weekend","weekend"))</f>
        <v>weekend</v>
      </c>
      <c r="L134" s="3" t="str">
        <f>IF(C134=1,"Spring",IF(C134=2,"Summer",IF(C134=3,"Fall","Winter")))</f>
        <v>Spring</v>
      </c>
      <c r="M134" s="3">
        <f>SUM(J134:J158)</f>
        <v>5.0800000000000027</v>
      </c>
      <c r="N134" s="3">
        <f>AVERAGE(J134:J743)</f>
        <v>0.1797489539748954</v>
      </c>
      <c r="O134" s="3">
        <f>COUNT(J134:J743)</f>
        <v>478</v>
      </c>
      <c r="P134" s="3" t="str">
        <f>TEXT(J134,"0.00")</f>
        <v>0.22</v>
      </c>
      <c r="Q134" s="3" t="str">
        <f>LEFT(L134,3)</f>
        <v>Spr</v>
      </c>
      <c r="R134" s="7" t="str">
        <f>RIGHT(L134,3)</f>
        <v>ing</v>
      </c>
      <c r="S134" s="8">
        <f>LEN(L134)</f>
        <v>6</v>
      </c>
      <c r="T134" s="36" t="str">
        <f>A134&amp;"|"&amp;B134&amp;"|"&amp;F134</f>
        <v>133|40695|18</v>
      </c>
      <c r="V134" s="32">
        <f>VLOOKUP(A134,Sheet2!A:H,3,FALSE)</f>
        <v>0.2576</v>
      </c>
      <c r="W134" s="32">
        <f>VLOOKUP(A134,Sheet2!A:H,4,FALSE)</f>
        <v>0.55000000000000004</v>
      </c>
      <c r="X134" s="32">
        <f>VLOOKUP(A134,Sheet2!A:H,7,FALSE)</f>
        <v>109</v>
      </c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spans="1:37" x14ac:dyDescent="0.2">
      <c r="A135" s="4">
        <v>134</v>
      </c>
      <c r="B135" s="5">
        <v>40695</v>
      </c>
      <c r="C135" s="4">
        <v>1</v>
      </c>
      <c r="D135" s="4">
        <v>0</v>
      </c>
      <c r="E135" s="4">
        <v>1</v>
      </c>
      <c r="F135" s="4">
        <v>19</v>
      </c>
      <c r="G135" s="4" t="b">
        <v>0</v>
      </c>
      <c r="H135" s="4">
        <v>4</v>
      </c>
      <c r="I135" s="4">
        <v>1</v>
      </c>
      <c r="J135" s="4">
        <v>0.22</v>
      </c>
      <c r="K135" s="6" t="str">
        <f>IF(H135=0,"weekend",IF(H135=6,"weekend","weekend"))</f>
        <v>weekend</v>
      </c>
      <c r="L135" s="3" t="str">
        <f>IF(C135=1,"Spring",IF(C135=2,"Summer",IF(C135=3,"Fall","Winter")))</f>
        <v>Spring</v>
      </c>
      <c r="M135" s="3">
        <f>SUM(J135:J159)</f>
        <v>5.0400000000000018</v>
      </c>
      <c r="N135" s="3">
        <f>AVERAGE(J135:J744)</f>
        <v>0.17966457023060797</v>
      </c>
      <c r="O135" s="3">
        <f>COUNT(J135:J744)</f>
        <v>477</v>
      </c>
      <c r="P135" s="3" t="str">
        <f>TEXT(J135,"0.00")</f>
        <v>0.22</v>
      </c>
      <c r="Q135" s="3" t="str">
        <f>LEFT(L135,3)</f>
        <v>Spr</v>
      </c>
      <c r="R135" s="7" t="str">
        <f>RIGHT(L135,3)</f>
        <v>ing</v>
      </c>
      <c r="S135" s="8">
        <f>LEN(L135)</f>
        <v>6</v>
      </c>
      <c r="T135" s="36" t="str">
        <f>A135&amp;"|"&amp;B135&amp;"|"&amp;F135</f>
        <v>134|40695|19</v>
      </c>
      <c r="V135" s="32">
        <f>VLOOKUP(A135,Sheet2!A:H,3,FALSE)</f>
        <v>0.21210000000000001</v>
      </c>
      <c r="W135" s="32">
        <f>VLOOKUP(A135,Sheet2!A:H,4,FALSE)</f>
        <v>0.51</v>
      </c>
      <c r="X135" s="32">
        <f>VLOOKUP(A135,Sheet2!A:H,7,FALSE)</f>
        <v>66</v>
      </c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spans="1:37" x14ac:dyDescent="0.2">
      <c r="A136" s="4">
        <v>135</v>
      </c>
      <c r="B136" s="5">
        <v>40695</v>
      </c>
      <c r="C136" s="4">
        <v>1</v>
      </c>
      <c r="D136" s="4">
        <v>0</v>
      </c>
      <c r="E136" s="4">
        <v>1</v>
      </c>
      <c r="F136" s="4">
        <v>20</v>
      </c>
      <c r="G136" s="4" t="b">
        <v>0</v>
      </c>
      <c r="H136" s="4">
        <v>4</v>
      </c>
      <c r="I136" s="4">
        <v>1</v>
      </c>
      <c r="J136" s="4">
        <v>0.2</v>
      </c>
      <c r="K136" s="6" t="str">
        <f>IF(H136=0,"weekend",IF(H136=6,"weekend","weekend"))</f>
        <v>weekend</v>
      </c>
      <c r="L136" s="3" t="str">
        <f>IF(C136=1,"Spring",IF(C136=2,"Summer",IF(C136=3,"Fall","Winter")))</f>
        <v>Spring</v>
      </c>
      <c r="M136" s="3">
        <f>SUM(J136:J160)</f>
        <v>5.0000000000000018</v>
      </c>
      <c r="N136" s="3">
        <f>AVERAGE(J136:J745)</f>
        <v>0.17957983193277316</v>
      </c>
      <c r="O136" s="3">
        <f>COUNT(J136:J745)</f>
        <v>476</v>
      </c>
      <c r="P136" s="3" t="str">
        <f>TEXT(J136,"0.00")</f>
        <v>0.20</v>
      </c>
      <c r="Q136" s="3" t="str">
        <f>LEFT(L136,3)</f>
        <v>Spr</v>
      </c>
      <c r="R136" s="7" t="str">
        <f>RIGHT(L136,3)</f>
        <v>ing</v>
      </c>
      <c r="S136" s="8">
        <f>LEN(L136)</f>
        <v>6</v>
      </c>
      <c r="T136" s="36" t="str">
        <f>A136&amp;"|"&amp;B136&amp;"|"&amp;F136</f>
        <v>135|40695|20</v>
      </c>
      <c r="V136" s="32">
        <f>VLOOKUP(A136,Sheet2!A:H,3,FALSE)</f>
        <v>0.21210000000000001</v>
      </c>
      <c r="W136" s="32">
        <f>VLOOKUP(A136,Sheet2!A:H,4,FALSE)</f>
        <v>0.55000000000000004</v>
      </c>
      <c r="X136" s="32">
        <f>VLOOKUP(A136,Sheet2!A:H,7,FALSE)</f>
        <v>48</v>
      </c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spans="1:37" x14ac:dyDescent="0.2">
      <c r="A137" s="4">
        <v>136</v>
      </c>
      <c r="B137" s="5">
        <v>40695</v>
      </c>
      <c r="C137" s="4">
        <v>1</v>
      </c>
      <c r="D137" s="4">
        <v>0</v>
      </c>
      <c r="E137" s="4">
        <v>1</v>
      </c>
      <c r="F137" s="4">
        <v>21</v>
      </c>
      <c r="G137" s="4" t="b">
        <v>0</v>
      </c>
      <c r="H137" s="4">
        <v>4</v>
      </c>
      <c r="I137" s="4">
        <v>2</v>
      </c>
      <c r="J137" s="4">
        <v>0.22</v>
      </c>
      <c r="K137" s="6" t="str">
        <f>IF(H137=0,"weekend",IF(H137=6,"weekend","weekend"))</f>
        <v>weekend</v>
      </c>
      <c r="L137" s="3" t="str">
        <f>IF(C137=1,"Spring",IF(C137=2,"Summer",IF(C137=3,"Fall","Winter")))</f>
        <v>Spring</v>
      </c>
      <c r="M137" s="3">
        <f>SUM(J137:J161)</f>
        <v>4.9800000000000013</v>
      </c>
      <c r="N137" s="3">
        <f>AVERAGE(J137:J746)</f>
        <v>0.17953684210526319</v>
      </c>
      <c r="O137" s="3">
        <f>COUNT(J137:J746)</f>
        <v>475</v>
      </c>
      <c r="P137" s="3" t="str">
        <f>TEXT(J137,"0.00")</f>
        <v>0.22</v>
      </c>
      <c r="Q137" s="3" t="str">
        <f>LEFT(L137,3)</f>
        <v>Spr</v>
      </c>
      <c r="R137" s="7" t="str">
        <f>RIGHT(L137,3)</f>
        <v>ing</v>
      </c>
      <c r="S137" s="8">
        <f>LEN(L137)</f>
        <v>6</v>
      </c>
      <c r="T137" s="36" t="str">
        <f>A137&amp;"|"&amp;B137&amp;"|"&amp;F137</f>
        <v>136|40695|21</v>
      </c>
      <c r="V137" s="32">
        <f>VLOOKUP(A137,Sheet2!A:H,3,FALSE)</f>
        <v>0.21210000000000001</v>
      </c>
      <c r="W137" s="32">
        <f>VLOOKUP(A137,Sheet2!A:H,4,FALSE)</f>
        <v>0.51</v>
      </c>
      <c r="X137" s="32">
        <f>VLOOKUP(A137,Sheet2!A:H,7,FALSE)</f>
        <v>51</v>
      </c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spans="1:37" x14ac:dyDescent="0.2">
      <c r="A138" s="4">
        <v>137</v>
      </c>
      <c r="B138" s="5">
        <v>40695</v>
      </c>
      <c r="C138" s="4">
        <v>1</v>
      </c>
      <c r="D138" s="4">
        <v>0</v>
      </c>
      <c r="E138" s="4">
        <v>1</v>
      </c>
      <c r="F138" s="4">
        <v>22</v>
      </c>
      <c r="G138" s="4" t="b">
        <v>0</v>
      </c>
      <c r="H138" s="4">
        <v>4</v>
      </c>
      <c r="I138" s="4">
        <v>2</v>
      </c>
      <c r="J138" s="4">
        <v>0.22</v>
      </c>
      <c r="K138" s="6" t="str">
        <f>IF(H138=0,"weekend",IF(H138=6,"weekend","weekend"))</f>
        <v>weekend</v>
      </c>
      <c r="L138" s="3" t="str">
        <f>IF(C138=1,"Spring",IF(C138=2,"Summer",IF(C138=3,"Fall","Winter")))</f>
        <v>Spring</v>
      </c>
      <c r="M138" s="3">
        <f>SUM(J138:J162)</f>
        <v>4.9400000000000004</v>
      </c>
      <c r="N138" s="3">
        <f>AVERAGE(J138:J747)</f>
        <v>0.17945147679324899</v>
      </c>
      <c r="O138" s="3">
        <f>COUNT(J138:J747)</f>
        <v>474</v>
      </c>
      <c r="P138" s="3" t="str">
        <f>TEXT(J138,"0.00")</f>
        <v>0.22</v>
      </c>
      <c r="Q138" s="3" t="str">
        <f>LEFT(L138,3)</f>
        <v>Spr</v>
      </c>
      <c r="R138" s="7" t="str">
        <f>RIGHT(L138,3)</f>
        <v>ing</v>
      </c>
      <c r="S138" s="8">
        <f>LEN(L138)</f>
        <v>6</v>
      </c>
      <c r="T138" s="36" t="str">
        <f>A138&amp;"|"&amp;B138&amp;"|"&amp;F138</f>
        <v>137|40695|22</v>
      </c>
      <c r="V138" s="32">
        <f>VLOOKUP(A138,Sheet2!A:H,3,FALSE)</f>
        <v>0.19700000000000001</v>
      </c>
      <c r="W138" s="32">
        <f>VLOOKUP(A138,Sheet2!A:H,4,FALSE)</f>
        <v>0.59</v>
      </c>
      <c r="X138" s="32">
        <f>VLOOKUP(A138,Sheet2!A:H,7,FALSE)</f>
        <v>19</v>
      </c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spans="1:37" x14ac:dyDescent="0.2">
      <c r="A139" s="4">
        <v>138</v>
      </c>
      <c r="B139" s="5">
        <v>40695</v>
      </c>
      <c r="C139" s="4">
        <v>1</v>
      </c>
      <c r="D139" s="4">
        <v>0</v>
      </c>
      <c r="E139" s="4">
        <v>1</v>
      </c>
      <c r="F139" s="4">
        <v>23</v>
      </c>
      <c r="G139" s="4" t="b">
        <v>0</v>
      </c>
      <c r="H139" s="4">
        <v>4</v>
      </c>
      <c r="I139" s="4">
        <v>2</v>
      </c>
      <c r="J139" s="4">
        <v>0.2</v>
      </c>
      <c r="K139" s="6" t="str">
        <f>IF(H139=0,"weekend",IF(H139=6,"weekend","weekend"))</f>
        <v>weekend</v>
      </c>
      <c r="L139" s="3" t="str">
        <f>IF(C139=1,"Spring",IF(C139=2,"Summer",IF(C139=3,"Fall","Winter")))</f>
        <v>Spring</v>
      </c>
      <c r="M139" s="3">
        <f>SUM(J139:J163)</f>
        <v>4.9000000000000004</v>
      </c>
      <c r="N139" s="3">
        <f>AVERAGE(J139:J748)</f>
        <v>0.17936575052854126</v>
      </c>
      <c r="O139" s="3">
        <f>COUNT(J139:J748)</f>
        <v>473</v>
      </c>
      <c r="P139" s="3" t="str">
        <f>TEXT(J139,"0.00")</f>
        <v>0.20</v>
      </c>
      <c r="Q139" s="3" t="str">
        <f>LEFT(L139,3)</f>
        <v>Spr</v>
      </c>
      <c r="R139" s="7" t="str">
        <f>RIGHT(L139,3)</f>
        <v>ing</v>
      </c>
      <c r="S139" s="8">
        <f>LEN(L139)</f>
        <v>6</v>
      </c>
      <c r="T139" s="36" t="str">
        <f>A139&amp;"|"&amp;B139&amp;"|"&amp;F139</f>
        <v>138|40695|23</v>
      </c>
      <c r="V139" s="32">
        <f>VLOOKUP(A139,Sheet2!A:H,3,FALSE)</f>
        <v>0.19700000000000001</v>
      </c>
      <c r="W139" s="32">
        <f>VLOOKUP(A139,Sheet2!A:H,4,FALSE)</f>
        <v>0.64</v>
      </c>
      <c r="X139" s="32">
        <f>VLOOKUP(A139,Sheet2!A:H,7,FALSE)</f>
        <v>13</v>
      </c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spans="1:37" x14ac:dyDescent="0.2">
      <c r="A140" s="4">
        <v>139</v>
      </c>
      <c r="B140" s="5">
        <v>40725</v>
      </c>
      <c r="C140" s="4">
        <v>1</v>
      </c>
      <c r="D140" s="4">
        <v>0</v>
      </c>
      <c r="E140" s="4">
        <v>1</v>
      </c>
      <c r="F140" s="4">
        <v>0</v>
      </c>
      <c r="G140" s="4" t="b">
        <v>0</v>
      </c>
      <c r="H140" s="4">
        <v>5</v>
      </c>
      <c r="I140" s="4">
        <v>2</v>
      </c>
      <c r="J140" s="4">
        <v>0.2</v>
      </c>
      <c r="K140" s="6" t="str">
        <f>IF(H140=0,"weekend",IF(H140=6,"weekend","weekend"))</f>
        <v>weekend</v>
      </c>
      <c r="L140" s="3" t="str">
        <f>IF(C140=1,"Spring",IF(C140=2,"Summer",IF(C140=3,"Fall","Winter")))</f>
        <v>Spring</v>
      </c>
      <c r="M140" s="3">
        <f>SUM(J140:J164)</f>
        <v>4.8800000000000008</v>
      </c>
      <c r="N140" s="3">
        <f>AVERAGE(J140:J749)</f>
        <v>0.17932203389830514</v>
      </c>
      <c r="O140" s="3">
        <f>COUNT(J140:J749)</f>
        <v>472</v>
      </c>
      <c r="P140" s="3" t="str">
        <f>TEXT(J140,"0.00")</f>
        <v>0.20</v>
      </c>
      <c r="Q140" s="3" t="str">
        <f>LEFT(L140,3)</f>
        <v>Spr</v>
      </c>
      <c r="R140" s="7" t="str">
        <f>RIGHT(L140,3)</f>
        <v>ing</v>
      </c>
      <c r="S140" s="8">
        <f>LEN(L140)</f>
        <v>6</v>
      </c>
      <c r="T140" s="36" t="str">
        <f>A140&amp;"|"&amp;B140&amp;"|"&amp;F140</f>
        <v>139|40725|0</v>
      </c>
      <c r="V140" s="32">
        <f>VLOOKUP(A140,Sheet2!A:H,3,FALSE)</f>
        <v>0.19700000000000001</v>
      </c>
      <c r="W140" s="32">
        <f>VLOOKUP(A140,Sheet2!A:H,4,FALSE)</f>
        <v>0.69</v>
      </c>
      <c r="X140" s="32">
        <f>VLOOKUP(A140,Sheet2!A:H,7,FALSE)</f>
        <v>5</v>
      </c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spans="1:37" x14ac:dyDescent="0.2">
      <c r="A141" s="4">
        <v>140</v>
      </c>
      <c r="B141" s="5">
        <v>40725</v>
      </c>
      <c r="C141" s="4">
        <v>1</v>
      </c>
      <c r="D141" s="4">
        <v>0</v>
      </c>
      <c r="E141" s="4">
        <v>1</v>
      </c>
      <c r="F141" s="4">
        <v>1</v>
      </c>
      <c r="G141" s="4" t="b">
        <v>0</v>
      </c>
      <c r="H141" s="4">
        <v>5</v>
      </c>
      <c r="I141" s="4">
        <v>2</v>
      </c>
      <c r="J141" s="4">
        <v>0.2</v>
      </c>
      <c r="K141" s="6" t="str">
        <f>IF(H141=0,"weekend",IF(H141=6,"weekend","weekend"))</f>
        <v>weekend</v>
      </c>
      <c r="L141" s="3" t="str">
        <f>IF(C141=1,"Spring",IF(C141=2,"Summer",IF(C141=3,"Fall","Winter")))</f>
        <v>Spring</v>
      </c>
      <c r="M141" s="3">
        <f>SUM(J141:J165)</f>
        <v>4.8600000000000003</v>
      </c>
      <c r="N141" s="3">
        <f>AVERAGE(J141:J750)</f>
        <v>0.17927813163481959</v>
      </c>
      <c r="O141" s="3">
        <f>COUNT(J141:J750)</f>
        <v>471</v>
      </c>
      <c r="P141" s="3" t="str">
        <f>TEXT(J141,"0.00")</f>
        <v>0.20</v>
      </c>
      <c r="Q141" s="3" t="str">
        <f>LEFT(L141,3)</f>
        <v>Spr</v>
      </c>
      <c r="R141" s="7" t="str">
        <f>RIGHT(L141,3)</f>
        <v>ing</v>
      </c>
      <c r="S141" s="8">
        <f>LEN(L141)</f>
        <v>6</v>
      </c>
      <c r="T141" s="36" t="str">
        <f>A141&amp;"|"&amp;B141&amp;"|"&amp;F141</f>
        <v>140|40725|1</v>
      </c>
      <c r="V141" s="32">
        <f>VLOOKUP(A141,Sheet2!A:H,3,FALSE)</f>
        <v>0.19700000000000001</v>
      </c>
      <c r="W141" s="32">
        <f>VLOOKUP(A141,Sheet2!A:H,4,FALSE)</f>
        <v>0.69</v>
      </c>
      <c r="X141" s="32">
        <f>VLOOKUP(A141,Sheet2!A:H,7,FALSE)</f>
        <v>1</v>
      </c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spans="1:37" x14ac:dyDescent="0.2">
      <c r="A142" s="4">
        <v>141</v>
      </c>
      <c r="B142" s="5">
        <v>40725</v>
      </c>
      <c r="C142" s="4">
        <v>1</v>
      </c>
      <c r="D142" s="4">
        <v>0</v>
      </c>
      <c r="E142" s="4">
        <v>1</v>
      </c>
      <c r="F142" s="4">
        <v>2</v>
      </c>
      <c r="G142" s="4" t="b">
        <v>0</v>
      </c>
      <c r="H142" s="4">
        <v>5</v>
      </c>
      <c r="I142" s="4">
        <v>2</v>
      </c>
      <c r="J142" s="4">
        <v>0.2</v>
      </c>
      <c r="K142" s="6" t="str">
        <f>IF(H142=0,"weekend",IF(H142=6,"weekend","weekend"))</f>
        <v>weekend</v>
      </c>
      <c r="L142" s="3" t="str">
        <f>IF(C142=1,"Spring",IF(C142=2,"Summer",IF(C142=3,"Fall","Winter")))</f>
        <v>Spring</v>
      </c>
      <c r="M142" s="3">
        <f>SUM(J142:J166)</f>
        <v>4.8400000000000007</v>
      </c>
      <c r="N142" s="3">
        <f>AVERAGE(J142:J751)</f>
        <v>0.17923404255319153</v>
      </c>
      <c r="O142" s="3">
        <f>COUNT(J142:J751)</f>
        <v>470</v>
      </c>
      <c r="P142" s="3" t="str">
        <f>TEXT(J142,"0.00")</f>
        <v>0.20</v>
      </c>
      <c r="Q142" s="3" t="str">
        <f>LEFT(L142,3)</f>
        <v>Spr</v>
      </c>
      <c r="R142" s="7" t="str">
        <f>RIGHT(L142,3)</f>
        <v>ing</v>
      </c>
      <c r="S142" s="8">
        <f>LEN(L142)</f>
        <v>6</v>
      </c>
      <c r="T142" s="36" t="str">
        <f>A142&amp;"|"&amp;B142&amp;"|"&amp;F142</f>
        <v>141|40725|2</v>
      </c>
      <c r="V142" s="32">
        <f>VLOOKUP(A142,Sheet2!A:H,3,FALSE)</f>
        <v>0.21210000000000001</v>
      </c>
      <c r="W142" s="32">
        <f>VLOOKUP(A142,Sheet2!A:H,4,FALSE)</f>
        <v>0.69</v>
      </c>
      <c r="X142" s="32">
        <f>VLOOKUP(A142,Sheet2!A:H,7,FALSE)</f>
        <v>1</v>
      </c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spans="1:37" x14ac:dyDescent="0.2">
      <c r="A143" s="4">
        <v>142</v>
      </c>
      <c r="B143" s="5">
        <v>40725</v>
      </c>
      <c r="C143" s="4">
        <v>1</v>
      </c>
      <c r="D143" s="4">
        <v>0</v>
      </c>
      <c r="E143" s="4">
        <v>1</v>
      </c>
      <c r="F143" s="4">
        <v>4</v>
      </c>
      <c r="G143" s="4" t="b">
        <v>0</v>
      </c>
      <c r="H143" s="4">
        <v>5</v>
      </c>
      <c r="I143" s="4">
        <v>2</v>
      </c>
      <c r="J143" s="4">
        <v>0.2</v>
      </c>
      <c r="K143" s="6" t="str">
        <f>IF(H143=0,"weekend",IF(H143=6,"weekend","weekend"))</f>
        <v>weekend</v>
      </c>
      <c r="L143" s="3" t="str">
        <f>IF(C143=1,"Spring",IF(C143=2,"Summer",IF(C143=3,"Fall","Winter")))</f>
        <v>Spring</v>
      </c>
      <c r="M143" s="3">
        <f>SUM(J143:J167)</f>
        <v>4.82</v>
      </c>
      <c r="N143" s="3">
        <f>AVERAGE(J143:J752)</f>
        <v>0.17918976545842222</v>
      </c>
      <c r="O143" s="3">
        <f>COUNT(J143:J752)</f>
        <v>469</v>
      </c>
      <c r="P143" s="3" t="str">
        <f>TEXT(J143,"0.00")</f>
        <v>0.20</v>
      </c>
      <c r="Q143" s="3" t="str">
        <f>LEFT(L143,3)</f>
        <v>Spr</v>
      </c>
      <c r="R143" s="7" t="str">
        <f>RIGHT(L143,3)</f>
        <v>ing</v>
      </c>
      <c r="S143" s="8">
        <f>LEN(L143)</f>
        <v>6</v>
      </c>
      <c r="T143" s="36" t="str">
        <f>A143&amp;"|"&amp;B143&amp;"|"&amp;F143</f>
        <v>142|40725|4</v>
      </c>
      <c r="V143" s="32">
        <f>VLOOKUP(A143,Sheet2!A:H,3,FALSE)</f>
        <v>0.2727</v>
      </c>
      <c r="W143" s="32">
        <f>VLOOKUP(A143,Sheet2!A:H,4,FALSE)</f>
        <v>0.55000000000000004</v>
      </c>
      <c r="X143" s="32">
        <f>VLOOKUP(A143,Sheet2!A:H,7,FALSE)</f>
        <v>5</v>
      </c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spans="1:37" x14ac:dyDescent="0.2">
      <c r="A144" s="4">
        <v>143</v>
      </c>
      <c r="B144" s="5">
        <v>40725</v>
      </c>
      <c r="C144" s="4">
        <v>1</v>
      </c>
      <c r="D144" s="4">
        <v>0</v>
      </c>
      <c r="E144" s="4">
        <v>1</v>
      </c>
      <c r="F144" s="4">
        <v>5</v>
      </c>
      <c r="G144" s="4" t="b">
        <v>0</v>
      </c>
      <c r="H144" s="4">
        <v>5</v>
      </c>
      <c r="I144" s="4">
        <v>3</v>
      </c>
      <c r="J144" s="4">
        <v>0.22</v>
      </c>
      <c r="K144" s="6" t="str">
        <f>IF(H144=0,"weekend",IF(H144=6,"weekend","weekend"))</f>
        <v>weekend</v>
      </c>
      <c r="L144" s="3" t="str">
        <f>IF(C144=1,"Spring",IF(C144=2,"Summer",IF(C144=3,"Fall","Winter")))</f>
        <v>Spring</v>
      </c>
      <c r="M144" s="3">
        <f>SUM(J144:J168)</f>
        <v>4.7800000000000011</v>
      </c>
      <c r="N144" s="3">
        <f>AVERAGE(J144:J753)</f>
        <v>0.17914529914529917</v>
      </c>
      <c r="O144" s="3">
        <f>COUNT(J144:J753)</f>
        <v>468</v>
      </c>
      <c r="P144" s="3" t="str">
        <f>TEXT(J144,"0.00")</f>
        <v>0.22</v>
      </c>
      <c r="Q144" s="3" t="str">
        <f>LEFT(L144,3)</f>
        <v>Spr</v>
      </c>
      <c r="R144" s="7" t="str">
        <f>RIGHT(L144,3)</f>
        <v>ing</v>
      </c>
      <c r="S144" s="8">
        <f>LEN(L144)</f>
        <v>6</v>
      </c>
      <c r="T144" s="36" t="str">
        <f>A144&amp;"|"&amp;B144&amp;"|"&amp;F144</f>
        <v>143|40725|5</v>
      </c>
      <c r="V144" s="32">
        <f>VLOOKUP(A144,Sheet2!A:H,3,FALSE)</f>
        <v>0.2576</v>
      </c>
      <c r="W144" s="32">
        <f>VLOOKUP(A144,Sheet2!A:H,4,FALSE)</f>
        <v>0.69</v>
      </c>
      <c r="X144" s="32">
        <f>VLOOKUP(A144,Sheet2!A:H,7,FALSE)</f>
        <v>26</v>
      </c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spans="1:37" x14ac:dyDescent="0.2">
      <c r="A145" s="4">
        <v>144</v>
      </c>
      <c r="B145" s="5">
        <v>40725</v>
      </c>
      <c r="C145" s="4">
        <v>1</v>
      </c>
      <c r="D145" s="4">
        <v>0</v>
      </c>
      <c r="E145" s="4">
        <v>1</v>
      </c>
      <c r="F145" s="4">
        <v>6</v>
      </c>
      <c r="G145" s="4" t="b">
        <v>0</v>
      </c>
      <c r="H145" s="4">
        <v>5</v>
      </c>
      <c r="I145" s="4">
        <v>2</v>
      </c>
      <c r="J145" s="4">
        <v>0.2</v>
      </c>
      <c r="K145" s="6" t="str">
        <f>IF(H145=0,"weekend",IF(H145=6,"weekend","weekend"))</f>
        <v>weekend</v>
      </c>
      <c r="L145" s="3" t="str">
        <f>IF(C145=1,"Spring",IF(C145=2,"Summer",IF(C145=3,"Fall","Winter")))</f>
        <v>Spring</v>
      </c>
      <c r="M145" s="3">
        <f>SUM(J145:J169)</f>
        <v>4.7200000000000015</v>
      </c>
      <c r="N145" s="3">
        <f>AVERAGE(J145:J754)</f>
        <v>0.17905781584582445</v>
      </c>
      <c r="O145" s="3">
        <f>COUNT(J145:J754)</f>
        <v>467</v>
      </c>
      <c r="P145" s="3" t="str">
        <f>TEXT(J145,"0.00")</f>
        <v>0.20</v>
      </c>
      <c r="Q145" s="3" t="str">
        <f>LEFT(L145,3)</f>
        <v>Spr</v>
      </c>
      <c r="R145" s="7" t="str">
        <f>RIGHT(L145,3)</f>
        <v>ing</v>
      </c>
      <c r="S145" s="8">
        <f>LEN(L145)</f>
        <v>6</v>
      </c>
      <c r="T145" s="36" t="str">
        <f>A145&amp;"|"&amp;B145&amp;"|"&amp;F145</f>
        <v>144|40725|6</v>
      </c>
      <c r="V145" s="32">
        <f>VLOOKUP(A145,Sheet2!A:H,3,FALSE)</f>
        <v>0.21210000000000001</v>
      </c>
      <c r="W145" s="32">
        <f>VLOOKUP(A145,Sheet2!A:H,4,FALSE)</f>
        <v>0.69</v>
      </c>
      <c r="X145" s="32">
        <f>VLOOKUP(A145,Sheet2!A:H,7,FALSE)</f>
        <v>76</v>
      </c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spans="1:37" x14ac:dyDescent="0.2">
      <c r="A146" s="4">
        <v>145</v>
      </c>
      <c r="B146" s="5">
        <v>40725</v>
      </c>
      <c r="C146" s="4">
        <v>1</v>
      </c>
      <c r="D146" s="4">
        <v>0</v>
      </c>
      <c r="E146" s="4">
        <v>1</v>
      </c>
      <c r="F146" s="4">
        <v>7</v>
      </c>
      <c r="G146" s="4" t="b">
        <v>0</v>
      </c>
      <c r="H146" s="4">
        <v>5</v>
      </c>
      <c r="I146" s="4">
        <v>1</v>
      </c>
      <c r="J146" s="4">
        <v>0.2</v>
      </c>
      <c r="K146" s="6" t="str">
        <f>IF(H146=0,"weekend",IF(H146=6,"weekend","weekend"))</f>
        <v>weekend</v>
      </c>
      <c r="L146" s="3" t="str">
        <f>IF(C146=1,"Spring",IF(C146=2,"Summer",IF(C146=3,"Fall","Winter")))</f>
        <v>Spring</v>
      </c>
      <c r="M146" s="3">
        <f>SUM(J146:J170)</f>
        <v>4.6800000000000015</v>
      </c>
      <c r="N146" s="3">
        <f>AVERAGE(J146:J755)</f>
        <v>0.17901287553648071</v>
      </c>
      <c r="O146" s="3">
        <f>COUNT(J146:J755)</f>
        <v>466</v>
      </c>
      <c r="P146" s="3" t="str">
        <f>TEXT(J146,"0.00")</f>
        <v>0.20</v>
      </c>
      <c r="Q146" s="3" t="str">
        <f>LEFT(L146,3)</f>
        <v>Spr</v>
      </c>
      <c r="R146" s="7" t="str">
        <f>RIGHT(L146,3)</f>
        <v>ing</v>
      </c>
      <c r="S146" s="8">
        <f>LEN(L146)</f>
        <v>6</v>
      </c>
      <c r="T146" s="36" t="str">
        <f>A146&amp;"|"&amp;B146&amp;"|"&amp;F146</f>
        <v>145|40725|7</v>
      </c>
      <c r="V146" s="32">
        <f>VLOOKUP(A146,Sheet2!A:H,3,FALSE)</f>
        <v>0.19700000000000001</v>
      </c>
      <c r="W146" s="32">
        <f>VLOOKUP(A146,Sheet2!A:H,4,FALSE)</f>
        <v>0.51</v>
      </c>
      <c r="X146" s="32">
        <f>VLOOKUP(A146,Sheet2!A:H,7,FALSE)</f>
        <v>190</v>
      </c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spans="1:37" x14ac:dyDescent="0.2">
      <c r="A147" s="4">
        <v>146</v>
      </c>
      <c r="B147" s="5">
        <v>40725</v>
      </c>
      <c r="C147" s="4">
        <v>1</v>
      </c>
      <c r="D147" s="4">
        <v>0</v>
      </c>
      <c r="E147" s="4">
        <v>1</v>
      </c>
      <c r="F147" s="4">
        <v>8</v>
      </c>
      <c r="G147" s="4" t="b">
        <v>0</v>
      </c>
      <c r="H147" s="4">
        <v>5</v>
      </c>
      <c r="I147" s="4">
        <v>1</v>
      </c>
      <c r="J147" s="4">
        <v>0.2</v>
      </c>
      <c r="K147" s="6" t="str">
        <f>IF(H147=0,"weekend",IF(H147=6,"weekend","weekend"))</f>
        <v>weekend</v>
      </c>
      <c r="L147" s="3" t="str">
        <f>IF(C147=1,"Spring",IF(C147=2,"Summer",IF(C147=3,"Fall","Winter")))</f>
        <v>Spring</v>
      </c>
      <c r="M147" s="3">
        <f>SUM(J147:J171)</f>
        <v>4.6400000000000023</v>
      </c>
      <c r="N147" s="3">
        <f>AVERAGE(J147:J756)</f>
        <v>0.1789677419354839</v>
      </c>
      <c r="O147" s="3">
        <f>COUNT(J147:J756)</f>
        <v>465</v>
      </c>
      <c r="P147" s="3" t="str">
        <f>TEXT(J147,"0.00")</f>
        <v>0.20</v>
      </c>
      <c r="Q147" s="3" t="str">
        <f>LEFT(L147,3)</f>
        <v>Spr</v>
      </c>
      <c r="R147" s="7" t="str">
        <f>RIGHT(L147,3)</f>
        <v>ing</v>
      </c>
      <c r="S147" s="8">
        <f>LEN(L147)</f>
        <v>6</v>
      </c>
      <c r="T147" s="36" t="str">
        <f>A147&amp;"|"&amp;B147&amp;"|"&amp;F147</f>
        <v>146|40725|8</v>
      </c>
      <c r="V147" s="32">
        <f>VLOOKUP(A147,Sheet2!A:H,3,FALSE)</f>
        <v>0.18179999999999999</v>
      </c>
      <c r="W147" s="32">
        <f>VLOOKUP(A147,Sheet2!A:H,4,FALSE)</f>
        <v>0.47</v>
      </c>
      <c r="X147" s="32">
        <f>VLOOKUP(A147,Sheet2!A:H,7,FALSE)</f>
        <v>125</v>
      </c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spans="1:37" x14ac:dyDescent="0.2">
      <c r="A148" s="4">
        <v>147</v>
      </c>
      <c r="B148" s="5">
        <v>40725</v>
      </c>
      <c r="C148" s="4">
        <v>1</v>
      </c>
      <c r="D148" s="4">
        <v>0</v>
      </c>
      <c r="E148" s="4">
        <v>1</v>
      </c>
      <c r="F148" s="4">
        <v>9</v>
      </c>
      <c r="G148" s="4" t="b">
        <v>0</v>
      </c>
      <c r="H148" s="4">
        <v>5</v>
      </c>
      <c r="I148" s="4">
        <v>1</v>
      </c>
      <c r="J148" s="4">
        <v>0.2</v>
      </c>
      <c r="K148" s="6" t="str">
        <f>IF(H148=0,"weekend",IF(H148=6,"weekend","weekend"))</f>
        <v>weekend</v>
      </c>
      <c r="L148" s="3" t="str">
        <f>IF(C148=1,"Spring",IF(C148=2,"Summer",IF(C148=3,"Fall","Winter")))</f>
        <v>Spring</v>
      </c>
      <c r="M148" s="3">
        <f>SUM(J148:J172)</f>
        <v>4.6000000000000023</v>
      </c>
      <c r="N148" s="3">
        <f>AVERAGE(J148:J757)</f>
        <v>0.17892241379310347</v>
      </c>
      <c r="O148" s="3">
        <f>COUNT(J148:J757)</f>
        <v>464</v>
      </c>
      <c r="P148" s="3" t="str">
        <f>TEXT(J148,"0.00")</f>
        <v>0.20</v>
      </c>
      <c r="Q148" s="3" t="str">
        <f>LEFT(L148,3)</f>
        <v>Spr</v>
      </c>
      <c r="R148" s="7" t="str">
        <f>RIGHT(L148,3)</f>
        <v>ing</v>
      </c>
      <c r="S148" s="8">
        <f>LEN(L148)</f>
        <v>6</v>
      </c>
      <c r="T148" s="36" t="str">
        <f>A148&amp;"|"&amp;B148&amp;"|"&amp;F148</f>
        <v>147|40725|9</v>
      </c>
      <c r="V148" s="32">
        <f>VLOOKUP(A148,Sheet2!A:H,3,FALSE)</f>
        <v>0.19700000000000001</v>
      </c>
      <c r="W148" s="32">
        <f>VLOOKUP(A148,Sheet2!A:H,4,FALSE)</f>
        <v>0.37</v>
      </c>
      <c r="X148" s="32">
        <f>VLOOKUP(A148,Sheet2!A:H,7,FALSE)</f>
        <v>47</v>
      </c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spans="1:37" x14ac:dyDescent="0.2">
      <c r="A149" s="4">
        <v>148</v>
      </c>
      <c r="B149" s="5">
        <v>40725</v>
      </c>
      <c r="C149" s="4">
        <v>1</v>
      </c>
      <c r="D149" s="4">
        <v>0</v>
      </c>
      <c r="E149" s="4">
        <v>1</v>
      </c>
      <c r="F149" s="4">
        <v>10</v>
      </c>
      <c r="G149" s="4" t="b">
        <v>0</v>
      </c>
      <c r="H149" s="4">
        <v>5</v>
      </c>
      <c r="I149" s="4">
        <v>1</v>
      </c>
      <c r="J149" s="4">
        <v>0.22</v>
      </c>
      <c r="K149" s="6" t="str">
        <f>IF(H149=0,"weekend",IF(H149=6,"weekend","weekend"))</f>
        <v>weekend</v>
      </c>
      <c r="L149" s="3" t="str">
        <f>IF(C149=1,"Spring",IF(C149=2,"Summer",IF(C149=3,"Fall","Winter")))</f>
        <v>Spring</v>
      </c>
      <c r="M149" s="3">
        <f>SUM(J149:J173)</f>
        <v>4.580000000000001</v>
      </c>
      <c r="N149" s="3">
        <f>AVERAGE(J149:J758)</f>
        <v>0.17887688984881212</v>
      </c>
      <c r="O149" s="3">
        <f>COUNT(J149:J758)</f>
        <v>463</v>
      </c>
      <c r="P149" s="3" t="str">
        <f>TEXT(J149,"0.00")</f>
        <v>0.22</v>
      </c>
      <c r="Q149" s="3" t="str">
        <f>LEFT(L149,3)</f>
        <v>Spr</v>
      </c>
      <c r="R149" s="7" t="str">
        <f>RIGHT(L149,3)</f>
        <v>ing</v>
      </c>
      <c r="S149" s="8">
        <f>LEN(L149)</f>
        <v>6</v>
      </c>
      <c r="T149" s="36" t="str">
        <f>A149&amp;"|"&amp;B149&amp;"|"&amp;F149</f>
        <v>148|40725|10</v>
      </c>
      <c r="V149" s="32">
        <f>VLOOKUP(A149,Sheet2!A:H,3,FALSE)</f>
        <v>0.19700000000000001</v>
      </c>
      <c r="W149" s="32">
        <f>VLOOKUP(A149,Sheet2!A:H,4,FALSE)</f>
        <v>0.4</v>
      </c>
      <c r="X149" s="32">
        <f>VLOOKUP(A149,Sheet2!A:H,7,FALSE)</f>
        <v>48</v>
      </c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spans="1:37" x14ac:dyDescent="0.2">
      <c r="A150" s="4">
        <v>149</v>
      </c>
      <c r="B150" s="5">
        <v>40725</v>
      </c>
      <c r="C150" s="4">
        <v>1</v>
      </c>
      <c r="D150" s="4">
        <v>0</v>
      </c>
      <c r="E150" s="4">
        <v>1</v>
      </c>
      <c r="F150" s="4">
        <v>11</v>
      </c>
      <c r="G150" s="4" t="b">
        <v>0</v>
      </c>
      <c r="H150" s="4">
        <v>5</v>
      </c>
      <c r="I150" s="4">
        <v>2</v>
      </c>
      <c r="J150" s="4">
        <v>0.2</v>
      </c>
      <c r="K150" s="6" t="str">
        <f>IF(H150=0,"weekend",IF(H150=6,"weekend","weekend"))</f>
        <v>weekend</v>
      </c>
      <c r="L150" s="3" t="str">
        <f>IF(C150=1,"Spring",IF(C150=2,"Summer",IF(C150=3,"Fall","Winter")))</f>
        <v>Spring</v>
      </c>
      <c r="M150" s="3">
        <f>SUM(J150:J174)</f>
        <v>4.5600000000000014</v>
      </c>
      <c r="N150" s="3">
        <f>AVERAGE(J150:J759)</f>
        <v>0.17878787878787877</v>
      </c>
      <c r="O150" s="3">
        <f>COUNT(J150:J759)</f>
        <v>462</v>
      </c>
      <c r="P150" s="3" t="str">
        <f>TEXT(J150,"0.00")</f>
        <v>0.20</v>
      </c>
      <c r="Q150" s="3" t="str">
        <f>LEFT(L150,3)</f>
        <v>Spr</v>
      </c>
      <c r="R150" s="7" t="str">
        <f>RIGHT(L150,3)</f>
        <v>ing</v>
      </c>
      <c r="S150" s="8">
        <f>LEN(L150)</f>
        <v>6</v>
      </c>
      <c r="T150" s="36" t="str">
        <f>A150&amp;"|"&amp;B150&amp;"|"&amp;F150</f>
        <v>149|40725|11</v>
      </c>
      <c r="V150" s="32">
        <f>VLOOKUP(A150,Sheet2!A:H,3,FALSE)</f>
        <v>0.19700000000000001</v>
      </c>
      <c r="W150" s="32">
        <f>VLOOKUP(A150,Sheet2!A:H,4,FALSE)</f>
        <v>0.37</v>
      </c>
      <c r="X150" s="32">
        <f>VLOOKUP(A150,Sheet2!A:H,7,FALSE)</f>
        <v>50</v>
      </c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spans="1:37" x14ac:dyDescent="0.2">
      <c r="A151" s="4">
        <v>150</v>
      </c>
      <c r="B151" s="5">
        <v>40725</v>
      </c>
      <c r="C151" s="4">
        <v>1</v>
      </c>
      <c r="D151" s="4">
        <v>0</v>
      </c>
      <c r="E151" s="4">
        <v>1</v>
      </c>
      <c r="F151" s="4">
        <v>12</v>
      </c>
      <c r="G151" s="4" t="b">
        <v>0</v>
      </c>
      <c r="H151" s="4">
        <v>5</v>
      </c>
      <c r="I151" s="4">
        <v>2</v>
      </c>
      <c r="J151" s="4">
        <v>0.2</v>
      </c>
      <c r="K151" s="6" t="str">
        <f>IF(H151=0,"weekend",IF(H151=6,"weekend","weekend"))</f>
        <v>weekend</v>
      </c>
      <c r="L151" s="3" t="str">
        <f>IF(C151=1,"Spring",IF(C151=2,"Summer",IF(C151=3,"Fall","Winter")))</f>
        <v>Spring</v>
      </c>
      <c r="M151" s="3">
        <f>SUM(J151:J175)</f>
        <v>4.5600000000000014</v>
      </c>
      <c r="N151" s="3">
        <f>AVERAGE(J151:J760)</f>
        <v>0.17874186550976137</v>
      </c>
      <c r="O151" s="3">
        <f>COUNT(J151:J760)</f>
        <v>461</v>
      </c>
      <c r="P151" s="3" t="str">
        <f>TEXT(J151,"0.00")</f>
        <v>0.20</v>
      </c>
      <c r="Q151" s="3" t="str">
        <f>LEFT(L151,3)</f>
        <v>Spr</v>
      </c>
      <c r="R151" s="7" t="str">
        <f>RIGHT(L151,3)</f>
        <v>ing</v>
      </c>
      <c r="S151" s="8">
        <f>LEN(L151)</f>
        <v>6</v>
      </c>
      <c r="T151" s="36" t="str">
        <f>A151&amp;"|"&amp;B151&amp;"|"&amp;F151</f>
        <v>150|40725|12</v>
      </c>
      <c r="V151" s="32">
        <f>VLOOKUP(A151,Sheet2!A:H,3,FALSE)</f>
        <v>0.18179999999999999</v>
      </c>
      <c r="W151" s="32">
        <f>VLOOKUP(A151,Sheet2!A:H,4,FALSE)</f>
        <v>0.37</v>
      </c>
      <c r="X151" s="32">
        <f>VLOOKUP(A151,Sheet2!A:H,7,FALSE)</f>
        <v>64</v>
      </c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spans="1:37" x14ac:dyDescent="0.2">
      <c r="A152" s="4">
        <v>151</v>
      </c>
      <c r="B152" s="5">
        <v>40725</v>
      </c>
      <c r="C152" s="4">
        <v>1</v>
      </c>
      <c r="D152" s="4">
        <v>0</v>
      </c>
      <c r="E152" s="4">
        <v>1</v>
      </c>
      <c r="F152" s="4">
        <v>13</v>
      </c>
      <c r="G152" s="4" t="b">
        <v>0</v>
      </c>
      <c r="H152" s="4">
        <v>5</v>
      </c>
      <c r="I152" s="4">
        <v>2</v>
      </c>
      <c r="J152" s="4">
        <v>0.2</v>
      </c>
      <c r="K152" s="6" t="str">
        <f>IF(H152=0,"weekend",IF(H152=6,"weekend","weekend"))</f>
        <v>weekend</v>
      </c>
      <c r="L152" s="3" t="str">
        <f>IF(C152=1,"Spring",IF(C152=2,"Summer",IF(C152=3,"Fall","Winter")))</f>
        <v>Spring</v>
      </c>
      <c r="M152" s="3">
        <f>SUM(J152:J176)</f>
        <v>4.5600000000000014</v>
      </c>
      <c r="N152" s="3">
        <f>AVERAGE(J152:J761)</f>
        <v>0.17869565217391306</v>
      </c>
      <c r="O152" s="3">
        <f>COUNT(J152:J761)</f>
        <v>460</v>
      </c>
      <c r="P152" s="3" t="str">
        <f>TEXT(J152,"0.00")</f>
        <v>0.20</v>
      </c>
      <c r="Q152" s="3" t="str">
        <f>LEFT(L152,3)</f>
        <v>Spr</v>
      </c>
      <c r="R152" s="7" t="str">
        <f>RIGHT(L152,3)</f>
        <v>ing</v>
      </c>
      <c r="S152" s="8">
        <f>LEN(L152)</f>
        <v>6</v>
      </c>
      <c r="T152" s="36" t="str">
        <f>A152&amp;"|"&amp;B152&amp;"|"&amp;F152</f>
        <v>151|40725|13</v>
      </c>
      <c r="V152" s="32">
        <f>VLOOKUP(A152,Sheet2!A:H,3,FALSE)</f>
        <v>0.19700000000000001</v>
      </c>
      <c r="W152" s="32">
        <f>VLOOKUP(A152,Sheet2!A:H,4,FALSE)</f>
        <v>0.4</v>
      </c>
      <c r="X152" s="32">
        <f>VLOOKUP(A152,Sheet2!A:H,7,FALSE)</f>
        <v>43</v>
      </c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spans="1:37" x14ac:dyDescent="0.2">
      <c r="A153" s="4">
        <v>152</v>
      </c>
      <c r="B153" s="5">
        <v>40725</v>
      </c>
      <c r="C153" s="4">
        <v>1</v>
      </c>
      <c r="D153" s="4">
        <v>0</v>
      </c>
      <c r="E153" s="4">
        <v>1</v>
      </c>
      <c r="F153" s="4">
        <v>14</v>
      </c>
      <c r="G153" s="4" t="b">
        <v>0</v>
      </c>
      <c r="H153" s="4">
        <v>5</v>
      </c>
      <c r="I153" s="4">
        <v>2</v>
      </c>
      <c r="J153" s="4">
        <v>0.2</v>
      </c>
      <c r="K153" s="6" t="str">
        <f>IF(H153=0,"weekend",IF(H153=6,"weekend","weekend"))</f>
        <v>weekend</v>
      </c>
      <c r="L153" s="3" t="str">
        <f>IF(C153=1,"Spring",IF(C153=2,"Summer",IF(C153=3,"Fall","Winter")))</f>
        <v>Spring</v>
      </c>
      <c r="M153" s="3">
        <f>SUM(J153:J177)</f>
        <v>4.5600000000000014</v>
      </c>
      <c r="N153" s="3">
        <f>AVERAGE(J153:J762)</f>
        <v>0.1786492374727669</v>
      </c>
      <c r="O153" s="3">
        <f>COUNT(J153:J762)</f>
        <v>459</v>
      </c>
      <c r="P153" s="3" t="str">
        <f>TEXT(J153,"0.00")</f>
        <v>0.20</v>
      </c>
      <c r="Q153" s="3" t="str">
        <f>LEFT(L153,3)</f>
        <v>Spr</v>
      </c>
      <c r="R153" s="7" t="str">
        <f>RIGHT(L153,3)</f>
        <v>ing</v>
      </c>
      <c r="S153" s="8">
        <f>LEN(L153)</f>
        <v>6</v>
      </c>
      <c r="T153" s="36" t="str">
        <f>A153&amp;"|"&amp;B153&amp;"|"&amp;F153</f>
        <v>152|40725|14</v>
      </c>
      <c r="V153" s="32">
        <f>VLOOKUP(A153,Sheet2!A:H,3,FALSE)</f>
        <v>0.21210000000000001</v>
      </c>
      <c r="W153" s="32">
        <f>VLOOKUP(A153,Sheet2!A:H,4,FALSE)</f>
        <v>0.37</v>
      </c>
      <c r="X153" s="32">
        <f>VLOOKUP(A153,Sheet2!A:H,7,FALSE)</f>
        <v>63</v>
      </c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spans="1:37" x14ac:dyDescent="0.2">
      <c r="A154" s="4">
        <v>153</v>
      </c>
      <c r="B154" s="5">
        <v>40725</v>
      </c>
      <c r="C154" s="4">
        <v>1</v>
      </c>
      <c r="D154" s="4">
        <v>0</v>
      </c>
      <c r="E154" s="4">
        <v>1</v>
      </c>
      <c r="F154" s="4">
        <v>15</v>
      </c>
      <c r="G154" s="4" t="b">
        <v>0</v>
      </c>
      <c r="H154" s="4">
        <v>5</v>
      </c>
      <c r="I154" s="4">
        <v>2</v>
      </c>
      <c r="J154" s="4">
        <v>0.2</v>
      </c>
      <c r="K154" s="6" t="str">
        <f>IF(H154=0,"weekend",IF(H154=6,"weekend","weekend"))</f>
        <v>weekend</v>
      </c>
      <c r="L154" s="3" t="str">
        <f>IF(C154=1,"Spring",IF(C154=2,"Summer",IF(C154=3,"Fall","Winter")))</f>
        <v>Spring</v>
      </c>
      <c r="M154" s="3">
        <f>SUM(J154:J178)</f>
        <v>4.5600000000000023</v>
      </c>
      <c r="N154" s="3">
        <f>AVERAGE(J154:J763)</f>
        <v>0.17860262008733621</v>
      </c>
      <c r="O154" s="3">
        <f>COUNT(J154:J763)</f>
        <v>458</v>
      </c>
      <c r="P154" s="3" t="str">
        <f>TEXT(J154,"0.00")</f>
        <v>0.20</v>
      </c>
      <c r="Q154" s="3" t="str">
        <f>LEFT(L154,3)</f>
        <v>Spr</v>
      </c>
      <c r="R154" s="7" t="str">
        <f>RIGHT(L154,3)</f>
        <v>ing</v>
      </c>
      <c r="S154" s="8">
        <f>LEN(L154)</f>
        <v>6</v>
      </c>
      <c r="T154" s="36" t="str">
        <f>A154&amp;"|"&amp;B154&amp;"|"&amp;F154</f>
        <v>153|40725|15</v>
      </c>
      <c r="V154" s="32">
        <f>VLOOKUP(A154,Sheet2!A:H,3,FALSE)</f>
        <v>0.21210000000000001</v>
      </c>
      <c r="W154" s="32">
        <f>VLOOKUP(A154,Sheet2!A:H,4,FALSE)</f>
        <v>0.37</v>
      </c>
      <c r="X154" s="32">
        <f>VLOOKUP(A154,Sheet2!A:H,7,FALSE)</f>
        <v>82</v>
      </c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spans="1:37" x14ac:dyDescent="0.2">
      <c r="A155" s="4">
        <v>154</v>
      </c>
      <c r="B155" s="5">
        <v>40725</v>
      </c>
      <c r="C155" s="4">
        <v>1</v>
      </c>
      <c r="D155" s="4">
        <v>0</v>
      </c>
      <c r="E155" s="4">
        <v>1</v>
      </c>
      <c r="F155" s="4">
        <v>16</v>
      </c>
      <c r="G155" s="4" t="b">
        <v>0</v>
      </c>
      <c r="H155" s="4">
        <v>5</v>
      </c>
      <c r="I155" s="4">
        <v>2</v>
      </c>
      <c r="J155" s="4">
        <v>0.2</v>
      </c>
      <c r="K155" s="6" t="str">
        <f>IF(H155=0,"weekend",IF(H155=6,"weekend","weekend"))</f>
        <v>weekend</v>
      </c>
      <c r="L155" s="3" t="str">
        <f>IF(C155=1,"Spring",IF(C155=2,"Summer",IF(C155=3,"Fall","Winter")))</f>
        <v>Spring</v>
      </c>
      <c r="M155" s="3">
        <f>SUM(J155:J179)</f>
        <v>4.5400000000000018</v>
      </c>
      <c r="N155" s="3">
        <f>AVERAGE(J155:J764)</f>
        <v>0.17855579868708968</v>
      </c>
      <c r="O155" s="3">
        <f>COUNT(J155:J764)</f>
        <v>457</v>
      </c>
      <c r="P155" s="3" t="str">
        <f>TEXT(J155,"0.00")</f>
        <v>0.20</v>
      </c>
      <c r="Q155" s="3" t="str">
        <f>LEFT(L155,3)</f>
        <v>Spr</v>
      </c>
      <c r="R155" s="7" t="str">
        <f>RIGHT(L155,3)</f>
        <v>ing</v>
      </c>
      <c r="S155" s="8">
        <f>LEN(L155)</f>
        <v>6</v>
      </c>
      <c r="T155" s="36" t="str">
        <f>A155&amp;"|"&amp;B155&amp;"|"&amp;F155</f>
        <v>154|40725|16</v>
      </c>
      <c r="V155" s="32">
        <f>VLOOKUP(A155,Sheet2!A:H,3,FALSE)</f>
        <v>0.2576</v>
      </c>
      <c r="W155" s="32">
        <f>VLOOKUP(A155,Sheet2!A:H,4,FALSE)</f>
        <v>0.37</v>
      </c>
      <c r="X155" s="32">
        <f>VLOOKUP(A155,Sheet2!A:H,7,FALSE)</f>
        <v>178</v>
      </c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spans="1:37" x14ac:dyDescent="0.2">
      <c r="A156" s="4">
        <v>155</v>
      </c>
      <c r="B156" s="5">
        <v>40725</v>
      </c>
      <c r="C156" s="4">
        <v>1</v>
      </c>
      <c r="D156" s="4">
        <v>0</v>
      </c>
      <c r="E156" s="4">
        <v>1</v>
      </c>
      <c r="F156" s="4">
        <v>17</v>
      </c>
      <c r="G156" s="4" t="b">
        <v>0</v>
      </c>
      <c r="H156" s="4">
        <v>5</v>
      </c>
      <c r="I156" s="4">
        <v>2</v>
      </c>
      <c r="J156" s="4">
        <v>0.2</v>
      </c>
      <c r="K156" s="6" t="str">
        <f>IF(H156=0,"weekend",IF(H156=6,"weekend","weekend"))</f>
        <v>weekend</v>
      </c>
      <c r="L156" s="3" t="str">
        <f>IF(C156=1,"Spring",IF(C156=2,"Summer",IF(C156=3,"Fall","Winter")))</f>
        <v>Spring</v>
      </c>
      <c r="M156" s="3">
        <f>SUM(J156:J180)</f>
        <v>4.5000000000000009</v>
      </c>
      <c r="N156" s="3">
        <f>AVERAGE(J156:J765)</f>
        <v>0.17850877192982448</v>
      </c>
      <c r="O156" s="3">
        <f>COUNT(J156:J765)</f>
        <v>456</v>
      </c>
      <c r="P156" s="3" t="str">
        <f>TEXT(J156,"0.00")</f>
        <v>0.20</v>
      </c>
      <c r="Q156" s="3" t="str">
        <f>LEFT(L156,3)</f>
        <v>Spr</v>
      </c>
      <c r="R156" s="7" t="str">
        <f>RIGHT(L156,3)</f>
        <v>ing</v>
      </c>
      <c r="S156" s="8">
        <f>LEN(L156)</f>
        <v>6</v>
      </c>
      <c r="T156" s="36" t="str">
        <f>A156&amp;"|"&amp;B156&amp;"|"&amp;F156</f>
        <v>155|40725|17</v>
      </c>
      <c r="V156" s="32">
        <f>VLOOKUP(A156,Sheet2!A:H,3,FALSE)</f>
        <v>0.2273</v>
      </c>
      <c r="W156" s="32">
        <f>VLOOKUP(A156,Sheet2!A:H,4,FALSE)</f>
        <v>0.4</v>
      </c>
      <c r="X156" s="32">
        <f>VLOOKUP(A156,Sheet2!A:H,7,FALSE)</f>
        <v>116</v>
      </c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spans="1:37" x14ac:dyDescent="0.2">
      <c r="A157" s="4">
        <v>156</v>
      </c>
      <c r="B157" s="5">
        <v>40725</v>
      </c>
      <c r="C157" s="4">
        <v>1</v>
      </c>
      <c r="D157" s="4">
        <v>0</v>
      </c>
      <c r="E157" s="4">
        <v>1</v>
      </c>
      <c r="F157" s="4">
        <v>18</v>
      </c>
      <c r="G157" s="4" t="b">
        <v>0</v>
      </c>
      <c r="H157" s="4">
        <v>5</v>
      </c>
      <c r="I157" s="4">
        <v>1</v>
      </c>
      <c r="J157" s="4">
        <v>0.2</v>
      </c>
      <c r="K157" s="6" t="str">
        <f>IF(H157=0,"weekend",IF(H157=6,"weekend","weekend"))</f>
        <v>weekend</v>
      </c>
      <c r="L157" s="3" t="str">
        <f>IF(C157=1,"Spring",IF(C157=2,"Summer",IF(C157=3,"Fall","Winter")))</f>
        <v>Spring</v>
      </c>
      <c r="M157" s="3">
        <f>SUM(J157:J181)</f>
        <v>4.4400000000000013</v>
      </c>
      <c r="N157" s="3">
        <f>AVERAGE(J157:J766)</f>
        <v>0.17846153846153837</v>
      </c>
      <c r="O157" s="3">
        <f>COUNT(J157:J766)</f>
        <v>455</v>
      </c>
      <c r="P157" s="3" t="str">
        <f>TEXT(J157,"0.00")</f>
        <v>0.20</v>
      </c>
      <c r="Q157" s="3" t="str">
        <f>LEFT(L157,3)</f>
        <v>Spr</v>
      </c>
      <c r="R157" s="7" t="str">
        <f>RIGHT(L157,3)</f>
        <v>ing</v>
      </c>
      <c r="S157" s="8">
        <f>LEN(L157)</f>
        <v>6</v>
      </c>
      <c r="T157" s="36" t="str">
        <f>A157&amp;"|"&amp;B157&amp;"|"&amp;F157</f>
        <v>156|40725|18</v>
      </c>
      <c r="V157" s="32">
        <f>VLOOKUP(A157,Sheet2!A:H,3,FALSE)</f>
        <v>0.19700000000000001</v>
      </c>
      <c r="W157" s="32">
        <f>VLOOKUP(A157,Sheet2!A:H,4,FALSE)</f>
        <v>0.55000000000000004</v>
      </c>
      <c r="X157" s="32">
        <f>VLOOKUP(A157,Sheet2!A:H,7,FALSE)</f>
        <v>92</v>
      </c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spans="1:37" x14ac:dyDescent="0.2">
      <c r="A158" s="4">
        <v>157</v>
      </c>
      <c r="B158" s="5">
        <v>40725</v>
      </c>
      <c r="C158" s="4">
        <v>1</v>
      </c>
      <c r="D158" s="4">
        <v>0</v>
      </c>
      <c r="E158" s="4">
        <v>1</v>
      </c>
      <c r="F158" s="4">
        <v>19</v>
      </c>
      <c r="G158" s="4" t="b">
        <v>0</v>
      </c>
      <c r="H158" s="4">
        <v>5</v>
      </c>
      <c r="I158" s="4">
        <v>1</v>
      </c>
      <c r="J158" s="4">
        <v>0.16</v>
      </c>
      <c r="K158" s="6" t="str">
        <f>IF(H158=0,"weekend",IF(H158=6,"weekend","weekend"))</f>
        <v>weekend</v>
      </c>
      <c r="L158" s="3" t="str">
        <f>IF(C158=1,"Spring",IF(C158=2,"Summer",IF(C158=3,"Fall","Winter")))</f>
        <v>Spring</v>
      </c>
      <c r="M158" s="3">
        <f>SUM(J158:J182)</f>
        <v>4.3800000000000008</v>
      </c>
      <c r="N158" s="3">
        <f>AVERAGE(J158:J767)</f>
        <v>0.1784140969162995</v>
      </c>
      <c r="O158" s="3">
        <f>COUNT(J158:J767)</f>
        <v>454</v>
      </c>
      <c r="P158" s="3" t="str">
        <f>TEXT(J158,"0.00")</f>
        <v>0.16</v>
      </c>
      <c r="Q158" s="3" t="str">
        <f>LEFT(L158,3)</f>
        <v>Spr</v>
      </c>
      <c r="R158" s="7" t="str">
        <f>RIGHT(L158,3)</f>
        <v>ing</v>
      </c>
      <c r="S158" s="8">
        <f>LEN(L158)</f>
        <v>6</v>
      </c>
      <c r="T158" s="36" t="str">
        <f>A158&amp;"|"&amp;B158&amp;"|"&amp;F158</f>
        <v>157|40725|19</v>
      </c>
      <c r="V158" s="32">
        <f>VLOOKUP(A158,Sheet2!A:H,3,FALSE)</f>
        <v>0.21210000000000001</v>
      </c>
      <c r="W158" s="32">
        <f>VLOOKUP(A158,Sheet2!A:H,4,FALSE)</f>
        <v>0.47</v>
      </c>
      <c r="X158" s="32">
        <f>VLOOKUP(A158,Sheet2!A:H,7,FALSE)</f>
        <v>50</v>
      </c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spans="1:37" x14ac:dyDescent="0.2">
      <c r="A159" s="4">
        <v>158</v>
      </c>
      <c r="B159" s="5">
        <v>40725</v>
      </c>
      <c r="C159" s="4">
        <v>1</v>
      </c>
      <c r="D159" s="4">
        <v>0</v>
      </c>
      <c r="E159" s="4">
        <v>1</v>
      </c>
      <c r="F159" s="4">
        <v>20</v>
      </c>
      <c r="G159" s="4" t="b">
        <v>0</v>
      </c>
      <c r="H159" s="4">
        <v>5</v>
      </c>
      <c r="I159" s="4">
        <v>1</v>
      </c>
      <c r="J159" s="4">
        <v>0.18</v>
      </c>
      <c r="K159" s="6" t="str">
        <f>IF(H159=0,"weekend",IF(H159=6,"weekend","weekend"))</f>
        <v>weekend</v>
      </c>
      <c r="L159" s="3" t="str">
        <f>IF(C159=1,"Spring",IF(C159=2,"Summer",IF(C159=3,"Fall","Winter")))</f>
        <v>Spring</v>
      </c>
      <c r="M159" s="3">
        <f>SUM(J159:J183)</f>
        <v>4.3400000000000007</v>
      </c>
      <c r="N159" s="3">
        <f>AVERAGE(J159:J768)</f>
        <v>0.17845474613686529</v>
      </c>
      <c r="O159" s="3">
        <f>COUNT(J159:J768)</f>
        <v>453</v>
      </c>
      <c r="P159" s="3" t="str">
        <f>TEXT(J159,"0.00")</f>
        <v>0.18</v>
      </c>
      <c r="Q159" s="3" t="str">
        <f>LEFT(L159,3)</f>
        <v>Spr</v>
      </c>
      <c r="R159" s="7" t="str">
        <f>RIGHT(L159,3)</f>
        <v>ing</v>
      </c>
      <c r="S159" s="8">
        <f>LEN(L159)</f>
        <v>6</v>
      </c>
      <c r="T159" s="36" t="str">
        <f>A159&amp;"|"&amp;B159&amp;"|"&amp;F159</f>
        <v>158|40725|20</v>
      </c>
      <c r="V159" s="32">
        <f>VLOOKUP(A159,Sheet2!A:H,3,FALSE)</f>
        <v>0.19700000000000001</v>
      </c>
      <c r="W159" s="32">
        <f>VLOOKUP(A159,Sheet2!A:H,4,FALSE)</f>
        <v>0.47</v>
      </c>
      <c r="X159" s="32">
        <f>VLOOKUP(A159,Sheet2!A:H,7,FALSE)</f>
        <v>39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spans="1:37" x14ac:dyDescent="0.2">
      <c r="A160" s="4">
        <v>159</v>
      </c>
      <c r="B160" s="5">
        <v>40725</v>
      </c>
      <c r="C160" s="4">
        <v>1</v>
      </c>
      <c r="D160" s="4">
        <v>0</v>
      </c>
      <c r="E160" s="4">
        <v>1</v>
      </c>
      <c r="F160" s="4">
        <v>21</v>
      </c>
      <c r="G160" s="4" t="b">
        <v>0</v>
      </c>
      <c r="H160" s="4">
        <v>5</v>
      </c>
      <c r="I160" s="4">
        <v>1</v>
      </c>
      <c r="J160" s="4">
        <v>0.18</v>
      </c>
      <c r="K160" s="6" t="str">
        <f>IF(H160=0,"weekend",IF(H160=6,"weekend","weekend"))</f>
        <v>weekend</v>
      </c>
      <c r="L160" s="3" t="str">
        <f>IF(C160=1,"Spring",IF(C160=2,"Summer",IF(C160=3,"Fall","Winter")))</f>
        <v>Spring</v>
      </c>
      <c r="M160" s="3">
        <f>SUM(J160:J184)</f>
        <v>4.2800000000000011</v>
      </c>
      <c r="N160" s="3">
        <f>AVERAGE(J160:J769)</f>
        <v>0.17845132743362829</v>
      </c>
      <c r="O160" s="3">
        <f>COUNT(J160:J769)</f>
        <v>452</v>
      </c>
      <c r="P160" s="3" t="str">
        <f>TEXT(J160,"0.00")</f>
        <v>0.18</v>
      </c>
      <c r="Q160" s="3" t="str">
        <f>LEFT(L160,3)</f>
        <v>Spr</v>
      </c>
      <c r="R160" s="7" t="str">
        <f>RIGHT(L160,3)</f>
        <v>ing</v>
      </c>
      <c r="S160" s="8">
        <f>LEN(L160)</f>
        <v>6</v>
      </c>
      <c r="T160" s="36" t="str">
        <f>A160&amp;"|"&amp;B160&amp;"|"&amp;F160</f>
        <v>159|40725|21</v>
      </c>
      <c r="V160" s="32">
        <f>VLOOKUP(A160,Sheet2!A:H,3,FALSE)</f>
        <v>0.19700000000000001</v>
      </c>
      <c r="W160" s="32">
        <f>VLOOKUP(A160,Sheet2!A:H,4,FALSE)</f>
        <v>0.43</v>
      </c>
      <c r="X160" s="32">
        <f>VLOOKUP(A160,Sheet2!A:H,7,FALSE)</f>
        <v>34</v>
      </c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spans="1:37" x14ac:dyDescent="0.2">
      <c r="A161" s="4">
        <v>160</v>
      </c>
      <c r="B161" s="5">
        <v>40725</v>
      </c>
      <c r="C161" s="4">
        <v>1</v>
      </c>
      <c r="D161" s="4">
        <v>0</v>
      </c>
      <c r="E161" s="4">
        <v>1</v>
      </c>
      <c r="F161" s="4">
        <v>22</v>
      </c>
      <c r="G161" s="4" t="b">
        <v>0</v>
      </c>
      <c r="H161" s="4">
        <v>5</v>
      </c>
      <c r="I161" s="4">
        <v>2</v>
      </c>
      <c r="J161" s="4">
        <v>0.18</v>
      </c>
      <c r="K161" s="6" t="str">
        <f>IF(H161=0,"weekend",IF(H161=6,"weekend","weekend"))</f>
        <v>weekend</v>
      </c>
      <c r="L161" s="3" t="str">
        <f>IF(C161=1,"Spring",IF(C161=2,"Summer",IF(C161=3,"Fall","Winter")))</f>
        <v>Spring</v>
      </c>
      <c r="M161" s="3">
        <f>SUM(J161:J185)</f>
        <v>4.2200000000000015</v>
      </c>
      <c r="N161" s="3">
        <f>AVERAGE(J161:J770)</f>
        <v>0.17844789356984472</v>
      </c>
      <c r="O161" s="3">
        <f>COUNT(J161:J770)</f>
        <v>451</v>
      </c>
      <c r="P161" s="3" t="str">
        <f>TEXT(J161,"0.00")</f>
        <v>0.18</v>
      </c>
      <c r="Q161" s="3" t="str">
        <f>LEFT(L161,3)</f>
        <v>Spr</v>
      </c>
      <c r="R161" s="7" t="str">
        <f>RIGHT(L161,3)</f>
        <v>ing</v>
      </c>
      <c r="S161" s="8">
        <f>LEN(L161)</f>
        <v>6</v>
      </c>
      <c r="T161" s="36" t="str">
        <f>A161&amp;"|"&amp;B161&amp;"|"&amp;F161</f>
        <v>160|40725|22</v>
      </c>
      <c r="V161" s="32">
        <f>VLOOKUP(A161,Sheet2!A:H,3,FALSE)</f>
        <v>0.19700000000000001</v>
      </c>
      <c r="W161" s="32">
        <f>VLOOKUP(A161,Sheet2!A:H,4,FALSE)</f>
        <v>0.51</v>
      </c>
      <c r="X161" s="32">
        <f>VLOOKUP(A161,Sheet2!A:H,7,FALSE)</f>
        <v>14</v>
      </c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spans="1:37" x14ac:dyDescent="0.2">
      <c r="A162" s="4">
        <v>161</v>
      </c>
      <c r="B162" s="5">
        <v>40725</v>
      </c>
      <c r="C162" s="4">
        <v>1</v>
      </c>
      <c r="D162" s="4">
        <v>0</v>
      </c>
      <c r="E162" s="4">
        <v>1</v>
      </c>
      <c r="F162" s="4">
        <v>23</v>
      </c>
      <c r="G162" s="4" t="b">
        <v>0</v>
      </c>
      <c r="H162" s="4">
        <v>5</v>
      </c>
      <c r="I162" s="4">
        <v>2</v>
      </c>
      <c r="J162" s="4">
        <v>0.18</v>
      </c>
      <c r="K162" s="6" t="str">
        <f>IF(H162=0,"weekend",IF(H162=6,"weekend","weekend"))</f>
        <v>weekend</v>
      </c>
      <c r="L162" s="3" t="str">
        <f>IF(C162=1,"Spring",IF(C162=2,"Summer",IF(C162=3,"Fall","Winter")))</f>
        <v>Spring</v>
      </c>
      <c r="M162" s="3">
        <f>SUM(J162:J186)</f>
        <v>4.1400000000000006</v>
      </c>
      <c r="N162" s="3">
        <f>AVERAGE(J162:J771)</f>
        <v>0.17844444444444441</v>
      </c>
      <c r="O162" s="3">
        <f>COUNT(J162:J771)</f>
        <v>450</v>
      </c>
      <c r="P162" s="3" t="str">
        <f>TEXT(J162,"0.00")</f>
        <v>0.18</v>
      </c>
      <c r="Q162" s="3" t="str">
        <f>LEFT(L162,3)</f>
        <v>Spr</v>
      </c>
      <c r="R162" s="7" t="str">
        <f>RIGHT(L162,3)</f>
        <v>ing</v>
      </c>
      <c r="S162" s="8">
        <f>LEN(L162)</f>
        <v>6</v>
      </c>
      <c r="T162" s="36" t="str">
        <f>A162&amp;"|"&amp;B162&amp;"|"&amp;F162</f>
        <v>161|40725|23</v>
      </c>
      <c r="V162" s="32">
        <f>VLOOKUP(A162,Sheet2!A:H,3,FALSE)</f>
        <v>0.19700000000000001</v>
      </c>
      <c r="W162" s="32">
        <f>VLOOKUP(A162,Sheet2!A:H,4,FALSE)</f>
        <v>0.51</v>
      </c>
      <c r="X162" s="32">
        <f>VLOOKUP(A162,Sheet2!A:H,7,FALSE)</f>
        <v>24</v>
      </c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spans="1:37" x14ac:dyDescent="0.2">
      <c r="A163" s="4">
        <v>162</v>
      </c>
      <c r="B163" s="5">
        <v>40756</v>
      </c>
      <c r="C163" s="4">
        <v>1</v>
      </c>
      <c r="D163" s="4">
        <v>0</v>
      </c>
      <c r="E163" s="4">
        <v>1</v>
      </c>
      <c r="F163" s="4">
        <v>0</v>
      </c>
      <c r="G163" s="4" t="b">
        <v>0</v>
      </c>
      <c r="H163" s="4">
        <v>6</v>
      </c>
      <c r="I163" s="4">
        <v>2</v>
      </c>
      <c r="J163" s="4">
        <v>0.18</v>
      </c>
      <c r="K163" s="6" t="str">
        <f>IF(H163=0,"weekend",IF(H163=6,"weekend","weekend"))</f>
        <v>weekend</v>
      </c>
      <c r="L163" s="3" t="str">
        <f>IF(C163=1,"Spring",IF(C163=2,"Summer",IF(C163=3,"Fall","Winter")))</f>
        <v>Spring</v>
      </c>
      <c r="M163" s="3">
        <f>SUM(J163:J187)</f>
        <v>4.0600000000000014</v>
      </c>
      <c r="N163" s="3">
        <f>AVERAGE(J163:J772)</f>
        <v>0.17844097995545655</v>
      </c>
      <c r="O163" s="3">
        <f>COUNT(J163:J772)</f>
        <v>449</v>
      </c>
      <c r="P163" s="3" t="str">
        <f>TEXT(J163,"0.00")</f>
        <v>0.18</v>
      </c>
      <c r="Q163" s="3" t="str">
        <f>LEFT(L163,3)</f>
        <v>Spr</v>
      </c>
      <c r="R163" s="7" t="str">
        <f>RIGHT(L163,3)</f>
        <v>ing</v>
      </c>
      <c r="S163" s="8">
        <f>LEN(L163)</f>
        <v>6</v>
      </c>
      <c r="T163" s="36" t="str">
        <f>A163&amp;"|"&amp;B163&amp;"|"&amp;F163</f>
        <v>162|40756|0</v>
      </c>
      <c r="V163" s="32">
        <f>VLOOKUP(A163,Sheet2!A:H,3,FALSE)</f>
        <v>0.21210000000000001</v>
      </c>
      <c r="W163" s="32">
        <f>VLOOKUP(A163,Sheet2!A:H,4,FALSE)</f>
        <v>0.55000000000000004</v>
      </c>
      <c r="X163" s="32">
        <f>VLOOKUP(A163,Sheet2!A:H,7,FALSE)</f>
        <v>15</v>
      </c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spans="1:37" x14ac:dyDescent="0.2">
      <c r="A164" s="4">
        <v>163</v>
      </c>
      <c r="B164" s="5">
        <v>40756</v>
      </c>
      <c r="C164" s="4">
        <v>1</v>
      </c>
      <c r="D164" s="4">
        <v>0</v>
      </c>
      <c r="E164" s="4">
        <v>1</v>
      </c>
      <c r="F164" s="4">
        <v>1</v>
      </c>
      <c r="G164" s="4" t="b">
        <v>0</v>
      </c>
      <c r="H164" s="4">
        <v>6</v>
      </c>
      <c r="I164" s="4">
        <v>2</v>
      </c>
      <c r="J164" s="4">
        <v>0.18</v>
      </c>
      <c r="K164" s="6" t="str">
        <f>IF(H164=0,"weekend",IF(H164=6,"weekend","weekend"))</f>
        <v>weekend</v>
      </c>
      <c r="L164" s="3" t="str">
        <f>IF(C164=1,"Spring",IF(C164=2,"Summer",IF(C164=3,"Fall","Winter")))</f>
        <v>Spring</v>
      </c>
      <c r="M164" s="3">
        <f>SUM(J164:J188)</f>
        <v>3.9800000000000013</v>
      </c>
      <c r="N164" s="3">
        <f>AVERAGE(J164:J773)</f>
        <v>0.17843749999999997</v>
      </c>
      <c r="O164" s="3">
        <f>COUNT(J164:J773)</f>
        <v>448</v>
      </c>
      <c r="P164" s="3" t="str">
        <f>TEXT(J164,"0.00")</f>
        <v>0.18</v>
      </c>
      <c r="Q164" s="3" t="str">
        <f>LEFT(L164,3)</f>
        <v>Spr</v>
      </c>
      <c r="R164" s="7" t="str">
        <f>RIGHT(L164,3)</f>
        <v>ing</v>
      </c>
      <c r="S164" s="8">
        <f>LEN(L164)</f>
        <v>6</v>
      </c>
      <c r="T164" s="36" t="str">
        <f>A164&amp;"|"&amp;B164&amp;"|"&amp;F164</f>
        <v>163|40756|1</v>
      </c>
      <c r="V164" s="32">
        <f>VLOOKUP(A164,Sheet2!A:H,3,FALSE)</f>
        <v>0.2424</v>
      </c>
      <c r="W164" s="32">
        <f>VLOOKUP(A164,Sheet2!A:H,4,FALSE)</f>
        <v>0.55000000000000004</v>
      </c>
      <c r="X164" s="32">
        <f>VLOOKUP(A164,Sheet2!A:H,7,FALSE)</f>
        <v>13</v>
      </c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spans="1:37" x14ac:dyDescent="0.2">
      <c r="A165" s="4">
        <v>164</v>
      </c>
      <c r="B165" s="5">
        <v>40756</v>
      </c>
      <c r="C165" s="4">
        <v>1</v>
      </c>
      <c r="D165" s="4">
        <v>0</v>
      </c>
      <c r="E165" s="4">
        <v>1</v>
      </c>
      <c r="F165" s="4">
        <v>2</v>
      </c>
      <c r="G165" s="4" t="b">
        <v>0</v>
      </c>
      <c r="H165" s="4">
        <v>6</v>
      </c>
      <c r="I165" s="4">
        <v>2</v>
      </c>
      <c r="J165" s="4">
        <v>0.18</v>
      </c>
      <c r="K165" s="6" t="str">
        <f>IF(H165=0,"weekend",IF(H165=6,"weekend","weekend"))</f>
        <v>weekend</v>
      </c>
      <c r="L165" s="3" t="str">
        <f>IF(C165=1,"Spring",IF(C165=2,"Summer",IF(C165=3,"Fall","Winter")))</f>
        <v>Spring</v>
      </c>
      <c r="M165" s="3">
        <f>SUM(J165:J189)</f>
        <v>3.9000000000000012</v>
      </c>
      <c r="N165" s="3">
        <f>AVERAGE(J165:J774)</f>
        <v>0.17843400447427291</v>
      </c>
      <c r="O165" s="3">
        <f>COUNT(J165:J774)</f>
        <v>447</v>
      </c>
      <c r="P165" s="3" t="str">
        <f>TEXT(J165,"0.00")</f>
        <v>0.18</v>
      </c>
      <c r="Q165" s="3" t="str">
        <f>LEFT(L165,3)</f>
        <v>Spr</v>
      </c>
      <c r="R165" s="7" t="str">
        <f>RIGHT(L165,3)</f>
        <v>ing</v>
      </c>
      <c r="S165" s="8">
        <f>LEN(L165)</f>
        <v>6</v>
      </c>
      <c r="T165" s="36" t="str">
        <f>A165&amp;"|"&amp;B165&amp;"|"&amp;F165</f>
        <v>164|40756|2</v>
      </c>
      <c r="V165" s="32">
        <f>VLOOKUP(A165,Sheet2!A:H,3,FALSE)</f>
        <v>0.19700000000000001</v>
      </c>
      <c r="W165" s="32">
        <f>VLOOKUP(A165,Sheet2!A:H,4,FALSE)</f>
        <v>0.55000000000000004</v>
      </c>
      <c r="X165" s="32">
        <f>VLOOKUP(A165,Sheet2!A:H,7,FALSE)</f>
        <v>7</v>
      </c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spans="1:37" x14ac:dyDescent="0.2">
      <c r="A166" s="4">
        <v>165</v>
      </c>
      <c r="B166" s="5">
        <v>40756</v>
      </c>
      <c r="C166" s="4">
        <v>1</v>
      </c>
      <c r="D166" s="4">
        <v>0</v>
      </c>
      <c r="E166" s="4">
        <v>1</v>
      </c>
      <c r="F166" s="4">
        <v>3</v>
      </c>
      <c r="G166" s="4" t="b">
        <v>0</v>
      </c>
      <c r="H166" s="4">
        <v>6</v>
      </c>
      <c r="I166" s="4">
        <v>3</v>
      </c>
      <c r="J166" s="4">
        <v>0.18</v>
      </c>
      <c r="K166" s="6" t="str">
        <f>IF(H166=0,"weekend",IF(H166=6,"weekend","weekend"))</f>
        <v>weekend</v>
      </c>
      <c r="L166" s="3" t="str">
        <f>IF(C166=1,"Spring",IF(C166=2,"Summer",IF(C166=3,"Fall","Winter")))</f>
        <v>Spring</v>
      </c>
      <c r="M166" s="3">
        <f>SUM(J166:J190)</f>
        <v>3.8200000000000012</v>
      </c>
      <c r="N166" s="3">
        <f>AVERAGE(J166:J775)</f>
        <v>0.17843049327354257</v>
      </c>
      <c r="O166" s="3">
        <f>COUNT(J166:J775)</f>
        <v>446</v>
      </c>
      <c r="P166" s="3" t="str">
        <f>TEXT(J166,"0.00")</f>
        <v>0.18</v>
      </c>
      <c r="Q166" s="3" t="str">
        <f>LEFT(L166,3)</f>
        <v>Spr</v>
      </c>
      <c r="R166" s="7" t="str">
        <f>RIGHT(L166,3)</f>
        <v>ing</v>
      </c>
      <c r="S166" s="8">
        <f>LEN(L166)</f>
        <v>6</v>
      </c>
      <c r="T166" s="36" t="str">
        <f>A166&amp;"|"&amp;B166&amp;"|"&amp;F166</f>
        <v>165|40756|3</v>
      </c>
      <c r="V166" s="32">
        <f>VLOOKUP(A166,Sheet2!A:H,3,FALSE)</f>
        <v>0.19700000000000001</v>
      </c>
      <c r="W166" s="32">
        <f>VLOOKUP(A166,Sheet2!A:H,4,FALSE)</f>
        <v>0.55000000000000004</v>
      </c>
      <c r="X166" s="32">
        <f>VLOOKUP(A166,Sheet2!A:H,7,FALSE)</f>
        <v>1</v>
      </c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spans="1:37" x14ac:dyDescent="0.2">
      <c r="A167" s="4">
        <v>166</v>
      </c>
      <c r="B167" s="5">
        <v>40756</v>
      </c>
      <c r="C167" s="4">
        <v>1</v>
      </c>
      <c r="D167" s="4">
        <v>0</v>
      </c>
      <c r="E167" s="4">
        <v>1</v>
      </c>
      <c r="F167" s="4">
        <v>4</v>
      </c>
      <c r="G167" s="4" t="b">
        <v>0</v>
      </c>
      <c r="H167" s="4">
        <v>6</v>
      </c>
      <c r="I167" s="4">
        <v>3</v>
      </c>
      <c r="J167" s="4">
        <v>0.18</v>
      </c>
      <c r="K167" s="6" t="str">
        <f>IF(H167=0,"weekend",IF(H167=6,"weekend","weekend"))</f>
        <v>weekend</v>
      </c>
      <c r="L167" s="3" t="str">
        <f>IF(C167=1,"Spring",IF(C167=2,"Summer",IF(C167=3,"Fall","Winter")))</f>
        <v>Spring</v>
      </c>
      <c r="M167" s="3">
        <f>SUM(J167:J191)</f>
        <v>3.7200000000000015</v>
      </c>
      <c r="N167" s="3">
        <f>AVERAGE(J167:J776)</f>
        <v>0.17842696629213481</v>
      </c>
      <c r="O167" s="3">
        <f>COUNT(J167:J776)</f>
        <v>445</v>
      </c>
      <c r="P167" s="3" t="str">
        <f>TEXT(J167,"0.00")</f>
        <v>0.18</v>
      </c>
      <c r="Q167" s="3" t="str">
        <f>LEFT(L167,3)</f>
        <v>Spr</v>
      </c>
      <c r="R167" s="7" t="str">
        <f>RIGHT(L167,3)</f>
        <v>ing</v>
      </c>
      <c r="S167" s="8">
        <f>LEN(L167)</f>
        <v>6</v>
      </c>
      <c r="T167" s="36" t="str">
        <f>A167&amp;"|"&amp;B167&amp;"|"&amp;F167</f>
        <v>166|40756|4</v>
      </c>
      <c r="V167" s="32">
        <f>VLOOKUP(A167,Sheet2!A:H,3,FALSE)</f>
        <v>0.16669999999999999</v>
      </c>
      <c r="W167" s="32">
        <f>VLOOKUP(A167,Sheet2!A:H,4,FALSE)</f>
        <v>0.74</v>
      </c>
      <c r="X167" s="32">
        <f>VLOOKUP(A167,Sheet2!A:H,7,FALSE)</f>
        <v>5</v>
      </c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spans="1:37" x14ac:dyDescent="0.2">
      <c r="A168" s="4">
        <v>167</v>
      </c>
      <c r="B168" s="5">
        <v>40756</v>
      </c>
      <c r="C168" s="4">
        <v>1</v>
      </c>
      <c r="D168" s="4">
        <v>0</v>
      </c>
      <c r="E168" s="4">
        <v>1</v>
      </c>
      <c r="F168" s="4">
        <v>5</v>
      </c>
      <c r="G168" s="4" t="b">
        <v>0</v>
      </c>
      <c r="H168" s="4">
        <v>6</v>
      </c>
      <c r="I168" s="4">
        <v>2</v>
      </c>
      <c r="J168" s="4">
        <v>0.16</v>
      </c>
      <c r="K168" s="6" t="str">
        <f>IF(H168=0,"weekend",IF(H168=6,"weekend","weekend"))</f>
        <v>weekend</v>
      </c>
      <c r="L168" s="3" t="str">
        <f>IF(C168=1,"Spring",IF(C168=2,"Summer",IF(C168=3,"Fall","Winter")))</f>
        <v>Spring</v>
      </c>
      <c r="M168" s="3">
        <f>SUM(J168:J192)</f>
        <v>3.620000000000001</v>
      </c>
      <c r="N168" s="3">
        <f>AVERAGE(J168:J777)</f>
        <v>0.17842342342342343</v>
      </c>
      <c r="O168" s="3">
        <f>COUNT(J168:J777)</f>
        <v>444</v>
      </c>
      <c r="P168" s="3" t="str">
        <f>TEXT(J168,"0.00")</f>
        <v>0.16</v>
      </c>
      <c r="Q168" s="3" t="str">
        <f>LEFT(L168,3)</f>
        <v>Spr</v>
      </c>
      <c r="R168" s="7" t="str">
        <f>RIGHT(L168,3)</f>
        <v>ing</v>
      </c>
      <c r="S168" s="8">
        <f>LEN(L168)</f>
        <v>6</v>
      </c>
      <c r="T168" s="36" t="str">
        <f>A168&amp;"|"&amp;B168&amp;"|"&amp;F168</f>
        <v>167|40756|5</v>
      </c>
      <c r="V168" s="32">
        <f>VLOOKUP(A168,Sheet2!A:H,3,FALSE)</f>
        <v>0.16669999999999999</v>
      </c>
      <c r="W168" s="32">
        <f>VLOOKUP(A168,Sheet2!A:H,4,FALSE)</f>
        <v>0.74</v>
      </c>
      <c r="X168" s="32">
        <f>VLOOKUP(A168,Sheet2!A:H,7,FALSE)</f>
        <v>2</v>
      </c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spans="1:37" x14ac:dyDescent="0.2">
      <c r="A169" s="4">
        <v>168</v>
      </c>
      <c r="B169" s="5">
        <v>40756</v>
      </c>
      <c r="C169" s="4">
        <v>1</v>
      </c>
      <c r="D169" s="4">
        <v>0</v>
      </c>
      <c r="E169" s="4">
        <v>1</v>
      </c>
      <c r="F169" s="4">
        <v>6</v>
      </c>
      <c r="G169" s="4" t="b">
        <v>0</v>
      </c>
      <c r="H169" s="4">
        <v>6</v>
      </c>
      <c r="I169" s="4">
        <v>2</v>
      </c>
      <c r="J169" s="4">
        <v>0.16</v>
      </c>
      <c r="K169" s="6" t="str">
        <f>IF(H169=0,"weekend",IF(H169=6,"weekend","weekend"))</f>
        <v>weekend</v>
      </c>
      <c r="L169" s="3" t="str">
        <f>IF(C169=1,"Spring",IF(C169=2,"Summer",IF(C169=3,"Fall","Winter")))</f>
        <v>Spring</v>
      </c>
      <c r="M169" s="3">
        <f>SUM(J169:J193)</f>
        <v>3.5600000000000009</v>
      </c>
      <c r="N169" s="3">
        <f>AVERAGE(J169:J778)</f>
        <v>0.17846501128668171</v>
      </c>
      <c r="O169" s="3">
        <f>COUNT(J169:J778)</f>
        <v>443</v>
      </c>
      <c r="P169" s="3" t="str">
        <f>TEXT(J169,"0.00")</f>
        <v>0.16</v>
      </c>
      <c r="Q169" s="3" t="str">
        <f>LEFT(L169,3)</f>
        <v>Spr</v>
      </c>
      <c r="R169" s="7" t="str">
        <f>RIGHT(L169,3)</f>
        <v>ing</v>
      </c>
      <c r="S169" s="8">
        <f>LEN(L169)</f>
        <v>6</v>
      </c>
      <c r="T169" s="36" t="str">
        <f>A169&amp;"|"&amp;B169&amp;"|"&amp;F169</f>
        <v>168|40756|6</v>
      </c>
      <c r="V169" s="32">
        <f>VLOOKUP(A169,Sheet2!A:H,3,FALSE)</f>
        <v>0.18179999999999999</v>
      </c>
      <c r="W169" s="32">
        <f>VLOOKUP(A169,Sheet2!A:H,4,FALSE)</f>
        <v>0.74</v>
      </c>
      <c r="X169" s="32">
        <f>VLOOKUP(A169,Sheet2!A:H,7,FALSE)</f>
        <v>8</v>
      </c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spans="1:37" x14ac:dyDescent="0.2">
      <c r="A170" s="4">
        <v>169</v>
      </c>
      <c r="B170" s="5">
        <v>40756</v>
      </c>
      <c r="C170" s="4">
        <v>1</v>
      </c>
      <c r="D170" s="4">
        <v>0</v>
      </c>
      <c r="E170" s="4">
        <v>1</v>
      </c>
      <c r="F170" s="4">
        <v>7</v>
      </c>
      <c r="G170" s="4" t="b">
        <v>0</v>
      </c>
      <c r="H170" s="4">
        <v>6</v>
      </c>
      <c r="I170" s="4">
        <v>2</v>
      </c>
      <c r="J170" s="4">
        <v>0.16</v>
      </c>
      <c r="K170" s="6" t="str">
        <f>IF(H170=0,"weekend",IF(H170=6,"weekend","weekend"))</f>
        <v>weekend</v>
      </c>
      <c r="L170" s="3" t="str">
        <f>IF(C170=1,"Spring",IF(C170=2,"Summer",IF(C170=3,"Fall","Winter")))</f>
        <v>Spring</v>
      </c>
      <c r="M170" s="3">
        <f>SUM(J170:J194)</f>
        <v>3.4800000000000009</v>
      </c>
      <c r="N170" s="3">
        <f>AVERAGE(J170:J779)</f>
        <v>0.17850678733031677</v>
      </c>
      <c r="O170" s="3">
        <f>COUNT(J170:J779)</f>
        <v>442</v>
      </c>
      <c r="P170" s="3" t="str">
        <f>TEXT(J170,"0.00")</f>
        <v>0.16</v>
      </c>
      <c r="Q170" s="3" t="str">
        <f>LEFT(L170,3)</f>
        <v>Spr</v>
      </c>
      <c r="R170" s="7" t="str">
        <f>RIGHT(L170,3)</f>
        <v>ing</v>
      </c>
      <c r="S170" s="8">
        <f>LEN(L170)</f>
        <v>6</v>
      </c>
      <c r="T170" s="36" t="str">
        <f>A170&amp;"|"&amp;B170&amp;"|"&amp;F170</f>
        <v>169|40756|7</v>
      </c>
      <c r="V170" s="32">
        <f>VLOOKUP(A170,Sheet2!A:H,3,FALSE)</f>
        <v>0.18179999999999999</v>
      </c>
      <c r="W170" s="32">
        <f>VLOOKUP(A170,Sheet2!A:H,4,FALSE)</f>
        <v>0.93</v>
      </c>
      <c r="X170" s="32">
        <f>VLOOKUP(A170,Sheet2!A:H,7,FALSE)</f>
        <v>15</v>
      </c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spans="1:37" x14ac:dyDescent="0.2">
      <c r="A171" s="4">
        <v>170</v>
      </c>
      <c r="B171" s="5">
        <v>40756</v>
      </c>
      <c r="C171" s="4">
        <v>1</v>
      </c>
      <c r="D171" s="4">
        <v>0</v>
      </c>
      <c r="E171" s="4">
        <v>1</v>
      </c>
      <c r="F171" s="4">
        <v>8</v>
      </c>
      <c r="G171" s="4" t="b">
        <v>0</v>
      </c>
      <c r="H171" s="4">
        <v>6</v>
      </c>
      <c r="I171" s="4">
        <v>3</v>
      </c>
      <c r="J171" s="4">
        <v>0.16</v>
      </c>
      <c r="K171" s="6" t="str">
        <f>IF(H171=0,"weekend",IF(H171=6,"weekend","weekend"))</f>
        <v>weekend</v>
      </c>
      <c r="L171" s="3" t="str">
        <f>IF(C171=1,"Spring",IF(C171=2,"Summer",IF(C171=3,"Fall","Winter")))</f>
        <v>Spring</v>
      </c>
      <c r="M171" s="3">
        <f>SUM(J171:J195)</f>
        <v>3.4200000000000008</v>
      </c>
      <c r="N171" s="3">
        <f>AVERAGE(J171:J780)</f>
        <v>0.17854875283446717</v>
      </c>
      <c r="O171" s="3">
        <f>COUNT(J171:J780)</f>
        <v>441</v>
      </c>
      <c r="P171" s="3" t="str">
        <f>TEXT(J171,"0.00")</f>
        <v>0.16</v>
      </c>
      <c r="Q171" s="3" t="str">
        <f>LEFT(L171,3)</f>
        <v>Spr</v>
      </c>
      <c r="R171" s="7" t="str">
        <f>RIGHT(L171,3)</f>
        <v>ing</v>
      </c>
      <c r="S171" s="8">
        <f>LEN(L171)</f>
        <v>6</v>
      </c>
      <c r="T171" s="36" t="str">
        <f>A171&amp;"|"&amp;B171&amp;"|"&amp;F171</f>
        <v>170|40756|8</v>
      </c>
      <c r="V171" s="32">
        <f>VLOOKUP(A171,Sheet2!A:H,3,FALSE)</f>
        <v>0.18179999999999999</v>
      </c>
      <c r="W171" s="32">
        <f>VLOOKUP(A171,Sheet2!A:H,4,FALSE)</f>
        <v>0.93</v>
      </c>
      <c r="X171" s="32">
        <f>VLOOKUP(A171,Sheet2!A:H,7,FALSE)</f>
        <v>20</v>
      </c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spans="1:37" x14ac:dyDescent="0.2">
      <c r="A172" s="4">
        <v>171</v>
      </c>
      <c r="B172" s="5">
        <v>40756</v>
      </c>
      <c r="C172" s="4">
        <v>1</v>
      </c>
      <c r="D172" s="4">
        <v>0</v>
      </c>
      <c r="E172" s="4">
        <v>1</v>
      </c>
      <c r="F172" s="4">
        <v>9</v>
      </c>
      <c r="G172" s="4" t="b">
        <v>0</v>
      </c>
      <c r="H172" s="4">
        <v>6</v>
      </c>
      <c r="I172" s="4">
        <v>3</v>
      </c>
      <c r="J172" s="4">
        <v>0.16</v>
      </c>
      <c r="K172" s="6" t="str">
        <f>IF(H172=0,"weekend",IF(H172=6,"weekend","weekend"))</f>
        <v>weekend</v>
      </c>
      <c r="L172" s="3" t="str">
        <f>IF(C172=1,"Spring",IF(C172=2,"Summer",IF(C172=3,"Fall","Winter")))</f>
        <v>Spring</v>
      </c>
      <c r="M172" s="3">
        <f>SUM(J172:J196)</f>
        <v>3.3800000000000012</v>
      </c>
      <c r="N172" s="3">
        <f>AVERAGE(J172:J781)</f>
        <v>0.17859090909090916</v>
      </c>
      <c r="O172" s="3">
        <f>COUNT(J172:J781)</f>
        <v>440</v>
      </c>
      <c r="P172" s="3" t="str">
        <f>TEXT(J172,"0.00")</f>
        <v>0.16</v>
      </c>
      <c r="Q172" s="3" t="str">
        <f>LEFT(L172,3)</f>
        <v>Spr</v>
      </c>
      <c r="R172" s="7" t="str">
        <f>RIGHT(L172,3)</f>
        <v>ing</v>
      </c>
      <c r="S172" s="8">
        <f>LEN(L172)</f>
        <v>6</v>
      </c>
      <c r="T172" s="36" t="str">
        <f>A172&amp;"|"&amp;B172&amp;"|"&amp;F172</f>
        <v>171|40756|9</v>
      </c>
      <c r="V172" s="32">
        <f>VLOOKUP(A172,Sheet2!A:H,3,FALSE)</f>
        <v>0.19700000000000001</v>
      </c>
      <c r="W172" s="32">
        <f>VLOOKUP(A172,Sheet2!A:H,4,FALSE)</f>
        <v>0.8</v>
      </c>
      <c r="X172" s="32">
        <f>VLOOKUP(A172,Sheet2!A:H,7,FALSE)</f>
        <v>56</v>
      </c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spans="1:37" x14ac:dyDescent="0.2">
      <c r="A173" s="4">
        <v>172</v>
      </c>
      <c r="B173" s="5">
        <v>40756</v>
      </c>
      <c r="C173" s="4">
        <v>1</v>
      </c>
      <c r="D173" s="4">
        <v>0</v>
      </c>
      <c r="E173" s="4">
        <v>1</v>
      </c>
      <c r="F173" s="4">
        <v>10</v>
      </c>
      <c r="G173" s="4" t="b">
        <v>0</v>
      </c>
      <c r="H173" s="4">
        <v>6</v>
      </c>
      <c r="I173" s="4">
        <v>2</v>
      </c>
      <c r="J173" s="4">
        <v>0.18</v>
      </c>
      <c r="K173" s="6" t="str">
        <f>IF(H173=0,"weekend",IF(H173=6,"weekend","weekend"))</f>
        <v>weekend</v>
      </c>
      <c r="L173" s="3" t="str">
        <f>IF(C173=1,"Spring",IF(C173=2,"Summer",IF(C173=3,"Fall","Winter")))</f>
        <v>Spring</v>
      </c>
      <c r="M173" s="3">
        <f>SUM(J173:J197)</f>
        <v>3.3600000000000012</v>
      </c>
      <c r="N173" s="3">
        <f>AVERAGE(J173:J782)</f>
        <v>0.17863325740318911</v>
      </c>
      <c r="O173" s="3">
        <f>COUNT(J173:J782)</f>
        <v>439</v>
      </c>
      <c r="P173" s="3" t="str">
        <f>TEXT(J173,"0.00")</f>
        <v>0.18</v>
      </c>
      <c r="Q173" s="3" t="str">
        <f>LEFT(L173,3)</f>
        <v>Spr</v>
      </c>
      <c r="R173" s="7" t="str">
        <f>RIGHT(L173,3)</f>
        <v>ing</v>
      </c>
      <c r="S173" s="8">
        <f>LEN(L173)</f>
        <v>6</v>
      </c>
      <c r="T173" s="36" t="str">
        <f>A173&amp;"|"&amp;B173&amp;"|"&amp;F173</f>
        <v>172|40756|10</v>
      </c>
      <c r="V173" s="32">
        <f>VLOOKUP(A173,Sheet2!A:H,3,FALSE)</f>
        <v>0.18179999999999999</v>
      </c>
      <c r="W173" s="32">
        <f>VLOOKUP(A173,Sheet2!A:H,4,FALSE)</f>
        <v>0.69</v>
      </c>
      <c r="X173" s="32">
        <f>VLOOKUP(A173,Sheet2!A:H,7,FALSE)</f>
        <v>60</v>
      </c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spans="1:37" x14ac:dyDescent="0.2">
      <c r="A174" s="4">
        <v>173</v>
      </c>
      <c r="B174" s="5">
        <v>40756</v>
      </c>
      <c r="C174" s="4">
        <v>1</v>
      </c>
      <c r="D174" s="4">
        <v>0</v>
      </c>
      <c r="E174" s="4">
        <v>1</v>
      </c>
      <c r="F174" s="4">
        <v>11</v>
      </c>
      <c r="G174" s="4" t="b">
        <v>0</v>
      </c>
      <c r="H174" s="4">
        <v>6</v>
      </c>
      <c r="I174" s="4">
        <v>2</v>
      </c>
      <c r="J174" s="4">
        <v>0.2</v>
      </c>
      <c r="K174" s="6" t="str">
        <f>IF(H174=0,"weekend",IF(H174=6,"weekend","weekend"))</f>
        <v>weekend</v>
      </c>
      <c r="L174" s="3" t="str">
        <f>IF(C174=1,"Spring",IF(C174=2,"Summer",IF(C174=3,"Fall","Winter")))</f>
        <v>Spring</v>
      </c>
      <c r="M174" s="3">
        <f>SUM(J174:J198)</f>
        <v>3.3400000000000016</v>
      </c>
      <c r="N174" s="3">
        <f>AVERAGE(J174:J783)</f>
        <v>0.17863013698630142</v>
      </c>
      <c r="O174" s="3">
        <f>COUNT(J174:J783)</f>
        <v>438</v>
      </c>
      <c r="P174" s="3" t="str">
        <f>TEXT(J174,"0.00")</f>
        <v>0.20</v>
      </c>
      <c r="Q174" s="3" t="str">
        <f>LEFT(L174,3)</f>
        <v>Spr</v>
      </c>
      <c r="R174" s="7" t="str">
        <f>RIGHT(L174,3)</f>
        <v>ing</v>
      </c>
      <c r="S174" s="8">
        <f>LEN(L174)</f>
        <v>6</v>
      </c>
      <c r="T174" s="36" t="str">
        <f>A174&amp;"|"&amp;B174&amp;"|"&amp;F174</f>
        <v>173|40756|11</v>
      </c>
      <c r="V174" s="32">
        <f>VLOOKUP(A174,Sheet2!A:H,3,FALSE)</f>
        <v>0.18179999999999999</v>
      </c>
      <c r="W174" s="32">
        <f>VLOOKUP(A174,Sheet2!A:H,4,FALSE)</f>
        <v>0.59</v>
      </c>
      <c r="X174" s="32">
        <f>VLOOKUP(A174,Sheet2!A:H,7,FALSE)</f>
        <v>90</v>
      </c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spans="1:37" x14ac:dyDescent="0.2">
      <c r="A175" s="4">
        <v>174</v>
      </c>
      <c r="B175" s="5">
        <v>40756</v>
      </c>
      <c r="C175" s="4">
        <v>1</v>
      </c>
      <c r="D175" s="4">
        <v>0</v>
      </c>
      <c r="E175" s="4">
        <v>1</v>
      </c>
      <c r="F175" s="4">
        <v>12</v>
      </c>
      <c r="G175" s="4" t="b">
        <v>0</v>
      </c>
      <c r="H175" s="4">
        <v>6</v>
      </c>
      <c r="I175" s="4">
        <v>2</v>
      </c>
      <c r="J175" s="4">
        <v>0.2</v>
      </c>
      <c r="K175" s="6" t="str">
        <f>IF(H175=0,"weekend",IF(H175=6,"weekend","weekend"))</f>
        <v>weekend</v>
      </c>
      <c r="L175" s="3" t="str">
        <f>IF(C175=1,"Spring",IF(C175=2,"Summer",IF(C175=3,"Fall","Winter")))</f>
        <v>Spring</v>
      </c>
      <c r="M175" s="3">
        <f>SUM(J175:J199)</f>
        <v>3.3200000000000016</v>
      </c>
      <c r="N175" s="3">
        <f>AVERAGE(J175:J784)</f>
        <v>0.17858123569794057</v>
      </c>
      <c r="O175" s="3">
        <f>COUNT(J175:J784)</f>
        <v>437</v>
      </c>
      <c r="P175" s="3" t="str">
        <f>TEXT(J175,"0.00")</f>
        <v>0.20</v>
      </c>
      <c r="Q175" s="3" t="str">
        <f>LEFT(L175,3)</f>
        <v>Spr</v>
      </c>
      <c r="R175" s="7" t="str">
        <f>RIGHT(L175,3)</f>
        <v>ing</v>
      </c>
      <c r="S175" s="8">
        <f>LEN(L175)</f>
        <v>6</v>
      </c>
      <c r="T175" s="36" t="str">
        <f>A175&amp;"|"&amp;B175&amp;"|"&amp;F175</f>
        <v>174|40756|12</v>
      </c>
      <c r="V175" s="32">
        <f>VLOOKUP(A175,Sheet2!A:H,3,FALSE)</f>
        <v>0.18179999999999999</v>
      </c>
      <c r="W175" s="32">
        <f>VLOOKUP(A175,Sheet2!A:H,4,FALSE)</f>
        <v>0.44</v>
      </c>
      <c r="X175" s="32">
        <f>VLOOKUP(A175,Sheet2!A:H,7,FALSE)</f>
        <v>95</v>
      </c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spans="1:37" x14ac:dyDescent="0.2">
      <c r="A176" s="4">
        <v>175</v>
      </c>
      <c r="B176" s="5">
        <v>40756</v>
      </c>
      <c r="C176" s="4">
        <v>1</v>
      </c>
      <c r="D176" s="4">
        <v>0</v>
      </c>
      <c r="E176" s="4">
        <v>1</v>
      </c>
      <c r="F176" s="4">
        <v>13</v>
      </c>
      <c r="G176" s="4" t="b">
        <v>0</v>
      </c>
      <c r="H176" s="4">
        <v>6</v>
      </c>
      <c r="I176" s="4">
        <v>1</v>
      </c>
      <c r="J176" s="4">
        <v>0.2</v>
      </c>
      <c r="K176" s="6" t="str">
        <f>IF(H176=0,"weekend",IF(H176=6,"weekend","weekend"))</f>
        <v>weekend</v>
      </c>
      <c r="L176" s="3" t="str">
        <f>IF(C176=1,"Spring",IF(C176=2,"Summer",IF(C176=3,"Fall","Winter")))</f>
        <v>Spring</v>
      </c>
      <c r="M176" s="3">
        <f>SUM(J176:J200)</f>
        <v>3.3200000000000021</v>
      </c>
      <c r="N176" s="3">
        <f>AVERAGE(J176:J785)</f>
        <v>0.17853211009174316</v>
      </c>
      <c r="O176" s="3">
        <f>COUNT(J176:J785)</f>
        <v>436</v>
      </c>
      <c r="P176" s="3" t="str">
        <f>TEXT(J176,"0.00")</f>
        <v>0.20</v>
      </c>
      <c r="Q176" s="3" t="str">
        <f>LEFT(L176,3)</f>
        <v>Spr</v>
      </c>
      <c r="R176" s="7" t="str">
        <f>RIGHT(L176,3)</f>
        <v>ing</v>
      </c>
      <c r="S176" s="8">
        <f>LEN(L176)</f>
        <v>6</v>
      </c>
      <c r="T176" s="36" t="str">
        <f>A176&amp;"|"&amp;B176&amp;"|"&amp;F176</f>
        <v>175|40756|13</v>
      </c>
      <c r="V176" s="32">
        <f>VLOOKUP(A176,Sheet2!A:H,3,FALSE)</f>
        <v>0.16669999999999999</v>
      </c>
      <c r="W176" s="32">
        <f>VLOOKUP(A176,Sheet2!A:H,4,FALSE)</f>
        <v>0.32</v>
      </c>
      <c r="X176" s="32">
        <f>VLOOKUP(A176,Sheet2!A:H,7,FALSE)</f>
        <v>83</v>
      </c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spans="1:37" x14ac:dyDescent="0.2">
      <c r="A177" s="4">
        <v>176</v>
      </c>
      <c r="B177" s="5">
        <v>40756</v>
      </c>
      <c r="C177" s="4">
        <v>1</v>
      </c>
      <c r="D177" s="4">
        <v>0</v>
      </c>
      <c r="E177" s="4">
        <v>1</v>
      </c>
      <c r="F177" s="4">
        <v>14</v>
      </c>
      <c r="G177" s="4" t="b">
        <v>0</v>
      </c>
      <c r="H177" s="4">
        <v>6</v>
      </c>
      <c r="I177" s="4">
        <v>1</v>
      </c>
      <c r="J177" s="4">
        <v>0.2</v>
      </c>
      <c r="K177" s="6" t="str">
        <f>IF(H177=0,"weekend",IF(H177=6,"weekend","weekend"))</f>
        <v>weekend</v>
      </c>
      <c r="L177" s="3" t="str">
        <f>IF(C177=1,"Spring",IF(C177=2,"Summer",IF(C177=3,"Fall","Winter")))</f>
        <v>Spring</v>
      </c>
      <c r="M177" s="3">
        <f>SUM(J177:J201)</f>
        <v>3.3400000000000021</v>
      </c>
      <c r="N177" s="3">
        <f>AVERAGE(J177:J786)</f>
        <v>0.17848275862068969</v>
      </c>
      <c r="O177" s="3">
        <f>COUNT(J177:J786)</f>
        <v>435</v>
      </c>
      <c r="P177" s="3" t="str">
        <f>TEXT(J177,"0.00")</f>
        <v>0.20</v>
      </c>
      <c r="Q177" s="3" t="str">
        <f>LEFT(L177,3)</f>
        <v>Spr</v>
      </c>
      <c r="R177" s="7" t="str">
        <f>RIGHT(L177,3)</f>
        <v>ing</v>
      </c>
      <c r="S177" s="8">
        <f>LEN(L177)</f>
        <v>6</v>
      </c>
      <c r="T177" s="36" t="str">
        <f>A177&amp;"|"&amp;B177&amp;"|"&amp;F177</f>
        <v>176|40756|14</v>
      </c>
      <c r="V177" s="32">
        <f>VLOOKUP(A177,Sheet2!A:H,3,FALSE)</f>
        <v>0.16669999999999999</v>
      </c>
      <c r="W177" s="32">
        <f>VLOOKUP(A177,Sheet2!A:H,4,FALSE)</f>
        <v>0.32</v>
      </c>
      <c r="X177" s="32">
        <f>VLOOKUP(A177,Sheet2!A:H,7,FALSE)</f>
        <v>69</v>
      </c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spans="1:37" x14ac:dyDescent="0.2">
      <c r="A178" s="4">
        <v>177</v>
      </c>
      <c r="B178" s="5">
        <v>40756</v>
      </c>
      <c r="C178" s="4">
        <v>1</v>
      </c>
      <c r="D178" s="4">
        <v>0</v>
      </c>
      <c r="E178" s="4">
        <v>1</v>
      </c>
      <c r="F178" s="4">
        <v>15</v>
      </c>
      <c r="G178" s="4" t="b">
        <v>0</v>
      </c>
      <c r="H178" s="4">
        <v>6</v>
      </c>
      <c r="I178" s="4">
        <v>1</v>
      </c>
      <c r="J178" s="4">
        <v>0.2</v>
      </c>
      <c r="K178" s="6" t="str">
        <f>IF(H178=0,"weekend",IF(H178=6,"weekend","weekend"))</f>
        <v>weekend</v>
      </c>
      <c r="L178" s="3" t="str">
        <f>IF(C178=1,"Spring",IF(C178=2,"Summer",IF(C178=3,"Fall","Winter")))</f>
        <v>Spring</v>
      </c>
      <c r="M178" s="3">
        <f>SUM(J178:J202)</f>
        <v>3.3600000000000021</v>
      </c>
      <c r="N178" s="3">
        <f>AVERAGE(J178:J787)</f>
        <v>0.17843317972350234</v>
      </c>
      <c r="O178" s="3">
        <f>COUNT(J178:J787)</f>
        <v>434</v>
      </c>
      <c r="P178" s="3" t="str">
        <f>TEXT(J178,"0.00")</f>
        <v>0.20</v>
      </c>
      <c r="Q178" s="3" t="str">
        <f>LEFT(L178,3)</f>
        <v>Spr</v>
      </c>
      <c r="R178" s="7" t="str">
        <f>RIGHT(L178,3)</f>
        <v>ing</v>
      </c>
      <c r="S178" s="8">
        <f>LEN(L178)</f>
        <v>6</v>
      </c>
      <c r="T178" s="36" t="str">
        <f>A178&amp;"|"&amp;B178&amp;"|"&amp;F178</f>
        <v>177|40756|15</v>
      </c>
      <c r="V178" s="32">
        <f>VLOOKUP(A178,Sheet2!A:H,3,FALSE)</f>
        <v>0.13639999999999999</v>
      </c>
      <c r="W178" s="32">
        <f>VLOOKUP(A178,Sheet2!A:H,4,FALSE)</f>
        <v>0.28999999999999998</v>
      </c>
      <c r="X178" s="32">
        <f>VLOOKUP(A178,Sheet2!A:H,7,FALSE)</f>
        <v>68</v>
      </c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spans="1:37" x14ac:dyDescent="0.2">
      <c r="A179" s="4">
        <v>178</v>
      </c>
      <c r="B179" s="5">
        <v>40756</v>
      </c>
      <c r="C179" s="4">
        <v>1</v>
      </c>
      <c r="D179" s="4">
        <v>0</v>
      </c>
      <c r="E179" s="4">
        <v>1</v>
      </c>
      <c r="F179" s="4">
        <v>16</v>
      </c>
      <c r="G179" s="4" t="b">
        <v>0</v>
      </c>
      <c r="H179" s="4">
        <v>6</v>
      </c>
      <c r="I179" s="4">
        <v>1</v>
      </c>
      <c r="J179" s="4">
        <v>0.18</v>
      </c>
      <c r="K179" s="6" t="str">
        <f>IF(H179=0,"weekend",IF(H179=6,"weekend","weekend"))</f>
        <v>weekend</v>
      </c>
      <c r="L179" s="3" t="str">
        <f>IF(C179=1,"Spring",IF(C179=2,"Summer",IF(C179=3,"Fall","Winter")))</f>
        <v>Spring</v>
      </c>
      <c r="M179" s="3">
        <f>SUM(J179:J203)</f>
        <v>3.3600000000000021</v>
      </c>
      <c r="N179" s="3">
        <f>AVERAGE(J179:J788)</f>
        <v>0.17838337182448039</v>
      </c>
      <c r="O179" s="3">
        <f>COUNT(J179:J788)</f>
        <v>433</v>
      </c>
      <c r="P179" s="3" t="str">
        <f>TEXT(J179,"0.00")</f>
        <v>0.18</v>
      </c>
      <c r="Q179" s="3" t="str">
        <f>LEFT(L179,3)</f>
        <v>Spr</v>
      </c>
      <c r="R179" s="7" t="str">
        <f>RIGHT(L179,3)</f>
        <v>ing</v>
      </c>
      <c r="S179" s="8">
        <f>LEN(L179)</f>
        <v>6</v>
      </c>
      <c r="T179" s="36" t="str">
        <f>A179&amp;"|"&amp;B179&amp;"|"&amp;F179</f>
        <v>178|40756|16</v>
      </c>
      <c r="V179" s="32">
        <f>VLOOKUP(A179,Sheet2!A:H,3,FALSE)</f>
        <v>0.1212</v>
      </c>
      <c r="W179" s="32">
        <f>VLOOKUP(A179,Sheet2!A:H,4,FALSE)</f>
        <v>0.37</v>
      </c>
      <c r="X179" s="32">
        <f>VLOOKUP(A179,Sheet2!A:H,7,FALSE)</f>
        <v>64</v>
      </c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spans="1:37" x14ac:dyDescent="0.2">
      <c r="A180" s="4">
        <v>179</v>
      </c>
      <c r="B180" s="5">
        <v>40756</v>
      </c>
      <c r="C180" s="4">
        <v>1</v>
      </c>
      <c r="D180" s="4">
        <v>0</v>
      </c>
      <c r="E180" s="4">
        <v>1</v>
      </c>
      <c r="F180" s="4">
        <v>17</v>
      </c>
      <c r="G180" s="4" t="b">
        <v>0</v>
      </c>
      <c r="H180" s="4">
        <v>6</v>
      </c>
      <c r="I180" s="4">
        <v>1</v>
      </c>
      <c r="J180" s="4">
        <v>0.16</v>
      </c>
      <c r="K180" s="6" t="str">
        <f>IF(H180=0,"weekend",IF(H180=6,"weekend","weekend"))</f>
        <v>weekend</v>
      </c>
      <c r="L180" s="3" t="str">
        <f>IF(C180=1,"Spring",IF(C180=2,"Summer",IF(C180=3,"Fall","Winter")))</f>
        <v>Spring</v>
      </c>
      <c r="M180" s="3">
        <f>SUM(J180:J204)</f>
        <v>3.3600000000000021</v>
      </c>
      <c r="N180" s="3">
        <f>AVERAGE(J180:J789)</f>
        <v>0.17837962962962967</v>
      </c>
      <c r="O180" s="3">
        <f>COUNT(J180:J789)</f>
        <v>432</v>
      </c>
      <c r="P180" s="3" t="str">
        <f>TEXT(J180,"0.00")</f>
        <v>0.16</v>
      </c>
      <c r="Q180" s="3" t="str">
        <f>LEFT(L180,3)</f>
        <v>Spr</v>
      </c>
      <c r="R180" s="7" t="str">
        <f>RIGHT(L180,3)</f>
        <v>ing</v>
      </c>
      <c r="S180" s="8">
        <f>LEN(L180)</f>
        <v>6</v>
      </c>
      <c r="T180" s="36" t="str">
        <f>A180&amp;"|"&amp;B180&amp;"|"&amp;F180</f>
        <v>179|40756|17</v>
      </c>
      <c r="V180" s="32">
        <f>VLOOKUP(A180,Sheet2!A:H,3,FALSE)</f>
        <v>0.1212</v>
      </c>
      <c r="W180" s="32">
        <f>VLOOKUP(A180,Sheet2!A:H,4,FALSE)</f>
        <v>0.39</v>
      </c>
      <c r="X180" s="32">
        <f>VLOOKUP(A180,Sheet2!A:H,7,FALSE)</f>
        <v>52</v>
      </c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spans="1:37" x14ac:dyDescent="0.2">
      <c r="A181" s="4">
        <v>180</v>
      </c>
      <c r="B181" s="5">
        <v>40756</v>
      </c>
      <c r="C181" s="4">
        <v>1</v>
      </c>
      <c r="D181" s="4">
        <v>0</v>
      </c>
      <c r="E181" s="4">
        <v>1</v>
      </c>
      <c r="F181" s="4">
        <v>18</v>
      </c>
      <c r="G181" s="4" t="b">
        <v>0</v>
      </c>
      <c r="H181" s="4">
        <v>6</v>
      </c>
      <c r="I181" s="4">
        <v>1</v>
      </c>
      <c r="J181" s="4">
        <v>0.14000000000000001</v>
      </c>
      <c r="K181" s="6" t="str">
        <f>IF(H181=0,"weekend",IF(H181=6,"weekend","weekend"))</f>
        <v>weekend</v>
      </c>
      <c r="L181" s="3" t="str">
        <f>IF(C181=1,"Spring",IF(C181=2,"Summer",IF(C181=3,"Fall","Winter")))</f>
        <v>Spring</v>
      </c>
      <c r="M181" s="3">
        <f>SUM(J181:J205)</f>
        <v>3.3600000000000021</v>
      </c>
      <c r="N181" s="3">
        <f>AVERAGE(J181:J790)</f>
        <v>0.17842227378190259</v>
      </c>
      <c r="O181" s="3">
        <f>COUNT(J181:J790)</f>
        <v>431</v>
      </c>
      <c r="P181" s="3" t="str">
        <f>TEXT(J181,"0.00")</f>
        <v>0.14</v>
      </c>
      <c r="Q181" s="3" t="str">
        <f>LEFT(L181,3)</f>
        <v>Spr</v>
      </c>
      <c r="R181" s="7" t="str">
        <f>RIGHT(L181,3)</f>
        <v>ing</v>
      </c>
      <c r="S181" s="8">
        <f>LEN(L181)</f>
        <v>6</v>
      </c>
      <c r="T181" s="36" t="str">
        <f>A181&amp;"|"&amp;B181&amp;"|"&amp;F181</f>
        <v>180|40756|18</v>
      </c>
      <c r="V181" s="32">
        <f>VLOOKUP(A181,Sheet2!A:H,3,FALSE)</f>
        <v>0.1212</v>
      </c>
      <c r="W181" s="32">
        <f>VLOOKUP(A181,Sheet2!A:H,4,FALSE)</f>
        <v>0.36</v>
      </c>
      <c r="X181" s="32">
        <f>VLOOKUP(A181,Sheet2!A:H,7,FALSE)</f>
        <v>26</v>
      </c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spans="1:37" x14ac:dyDescent="0.2">
      <c r="A182" s="4">
        <v>181</v>
      </c>
      <c r="B182" s="5">
        <v>40756</v>
      </c>
      <c r="C182" s="4">
        <v>1</v>
      </c>
      <c r="D182" s="4">
        <v>0</v>
      </c>
      <c r="E182" s="4">
        <v>1</v>
      </c>
      <c r="F182" s="4">
        <v>19</v>
      </c>
      <c r="G182" s="4" t="b">
        <v>0</v>
      </c>
      <c r="H182" s="4">
        <v>6</v>
      </c>
      <c r="I182" s="4">
        <v>1</v>
      </c>
      <c r="J182" s="4">
        <v>0.14000000000000001</v>
      </c>
      <c r="K182" s="6" t="str">
        <f>IF(H182=0,"weekend",IF(H182=6,"weekend","weekend"))</f>
        <v>weekend</v>
      </c>
      <c r="L182" s="3" t="str">
        <f>IF(C182=1,"Spring",IF(C182=2,"Summer",IF(C182=3,"Fall","Winter")))</f>
        <v>Spring</v>
      </c>
      <c r="M182" s="3">
        <f>SUM(J182:J206)</f>
        <v>3.3800000000000012</v>
      </c>
      <c r="N182" s="3">
        <f>AVERAGE(J182:J791)</f>
        <v>0.17851162790697678</v>
      </c>
      <c r="O182" s="3">
        <f>COUNT(J182:J791)</f>
        <v>430</v>
      </c>
      <c r="P182" s="3" t="str">
        <f>TEXT(J182,"0.00")</f>
        <v>0.14</v>
      </c>
      <c r="Q182" s="3" t="str">
        <f>LEFT(L182,3)</f>
        <v>Spr</v>
      </c>
      <c r="R182" s="7" t="str">
        <f>RIGHT(L182,3)</f>
        <v>ing</v>
      </c>
      <c r="S182" s="8">
        <f>LEN(L182)</f>
        <v>6</v>
      </c>
      <c r="T182" s="36" t="str">
        <f>A182&amp;"|"&amp;B182&amp;"|"&amp;F182</f>
        <v>181|40756|19</v>
      </c>
      <c r="V182" s="32">
        <f>VLOOKUP(A182,Sheet2!A:H,3,FALSE)</f>
        <v>0.1212</v>
      </c>
      <c r="W182" s="32">
        <f>VLOOKUP(A182,Sheet2!A:H,4,FALSE)</f>
        <v>0.36</v>
      </c>
      <c r="X182" s="32">
        <f>VLOOKUP(A182,Sheet2!A:H,7,FALSE)</f>
        <v>28</v>
      </c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spans="1:37" x14ac:dyDescent="0.2">
      <c r="A183" s="4">
        <v>182</v>
      </c>
      <c r="B183" s="5">
        <v>40756</v>
      </c>
      <c r="C183" s="4">
        <v>1</v>
      </c>
      <c r="D183" s="4">
        <v>0</v>
      </c>
      <c r="E183" s="4">
        <v>1</v>
      </c>
      <c r="F183" s="4">
        <v>20</v>
      </c>
      <c r="G183" s="4" t="b">
        <v>0</v>
      </c>
      <c r="H183" s="4">
        <v>6</v>
      </c>
      <c r="I183" s="4">
        <v>1</v>
      </c>
      <c r="J183" s="4">
        <v>0.12</v>
      </c>
      <c r="K183" s="6" t="str">
        <f>IF(H183=0,"weekend",IF(H183=6,"weekend","weekend"))</f>
        <v>weekend</v>
      </c>
      <c r="L183" s="3" t="str">
        <f>IF(C183=1,"Spring",IF(C183=2,"Summer",IF(C183=3,"Fall","Winter")))</f>
        <v>Spring</v>
      </c>
      <c r="M183" s="3">
        <f>SUM(J183:J207)</f>
        <v>3.3800000000000012</v>
      </c>
      <c r="N183" s="3">
        <f>AVERAGE(J183:J792)</f>
        <v>0.17860139860139865</v>
      </c>
      <c r="O183" s="3">
        <f>COUNT(J183:J792)</f>
        <v>429</v>
      </c>
      <c r="P183" s="3" t="str">
        <f>TEXT(J183,"0.00")</f>
        <v>0.12</v>
      </c>
      <c r="Q183" s="3" t="str">
        <f>LEFT(L183,3)</f>
        <v>Spr</v>
      </c>
      <c r="R183" s="7" t="str">
        <f>RIGHT(L183,3)</f>
        <v>ing</v>
      </c>
      <c r="S183" s="8">
        <f>LEN(L183)</f>
        <v>6</v>
      </c>
      <c r="T183" s="36" t="str">
        <f>A183&amp;"|"&amp;B183&amp;"|"&amp;F183</f>
        <v>182|40756|20</v>
      </c>
      <c r="V183" s="32">
        <f>VLOOKUP(A183,Sheet2!A:H,3,FALSE)</f>
        <v>0.1061</v>
      </c>
      <c r="W183" s="32">
        <f>VLOOKUP(A183,Sheet2!A:H,4,FALSE)</f>
        <v>0.39</v>
      </c>
      <c r="X183" s="32">
        <f>VLOOKUP(A183,Sheet2!A:H,7,FALSE)</f>
        <v>35</v>
      </c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spans="1:37" x14ac:dyDescent="0.2">
      <c r="A184" s="4">
        <v>183</v>
      </c>
      <c r="B184" s="5">
        <v>40756</v>
      </c>
      <c r="C184" s="4">
        <v>1</v>
      </c>
      <c r="D184" s="4">
        <v>0</v>
      </c>
      <c r="E184" s="4">
        <v>1</v>
      </c>
      <c r="F184" s="4">
        <v>21</v>
      </c>
      <c r="G184" s="4" t="b">
        <v>0</v>
      </c>
      <c r="H184" s="4">
        <v>6</v>
      </c>
      <c r="I184" s="4">
        <v>1</v>
      </c>
      <c r="J184" s="4">
        <v>0.12</v>
      </c>
      <c r="K184" s="6" t="str">
        <f>IF(H184=0,"weekend",IF(H184=6,"weekend","weekend"))</f>
        <v>weekend</v>
      </c>
      <c r="L184" s="3" t="str">
        <f>IF(C184=1,"Spring",IF(C184=2,"Summer",IF(C184=3,"Fall","Winter")))</f>
        <v>Spring</v>
      </c>
      <c r="M184" s="3">
        <f>SUM(J184:J208)</f>
        <v>3.4000000000000008</v>
      </c>
      <c r="N184" s="3">
        <f>AVERAGE(J184:J793)</f>
        <v>0.17873831775700938</v>
      </c>
      <c r="O184" s="3">
        <f>COUNT(J184:J793)</f>
        <v>428</v>
      </c>
      <c r="P184" s="3" t="str">
        <f>TEXT(J184,"0.00")</f>
        <v>0.12</v>
      </c>
      <c r="Q184" s="3" t="str">
        <f>LEFT(L184,3)</f>
        <v>Spr</v>
      </c>
      <c r="R184" s="7" t="str">
        <f>RIGHT(L184,3)</f>
        <v>ing</v>
      </c>
      <c r="S184" s="8">
        <f>LEN(L184)</f>
        <v>6</v>
      </c>
      <c r="T184" s="36" t="str">
        <f>A184&amp;"|"&amp;B184&amp;"|"&amp;F184</f>
        <v>183|40756|21</v>
      </c>
      <c r="V184" s="32">
        <f>VLOOKUP(A184,Sheet2!A:H,3,FALSE)</f>
        <v>0.1061</v>
      </c>
      <c r="W184" s="32">
        <f>VLOOKUP(A184,Sheet2!A:H,4,FALSE)</f>
        <v>0.36</v>
      </c>
      <c r="X184" s="32">
        <f>VLOOKUP(A184,Sheet2!A:H,7,FALSE)</f>
        <v>33</v>
      </c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spans="1:37" x14ac:dyDescent="0.2">
      <c r="A185" s="4">
        <v>184</v>
      </c>
      <c r="B185" s="5">
        <v>40756</v>
      </c>
      <c r="C185" s="4">
        <v>1</v>
      </c>
      <c r="D185" s="4">
        <v>0</v>
      </c>
      <c r="E185" s="4">
        <v>1</v>
      </c>
      <c r="F185" s="4">
        <v>22</v>
      </c>
      <c r="G185" s="4" t="b">
        <v>0</v>
      </c>
      <c r="H185" s="4">
        <v>6</v>
      </c>
      <c r="I185" s="4">
        <v>1</v>
      </c>
      <c r="J185" s="4">
        <v>0.12</v>
      </c>
      <c r="K185" s="6" t="str">
        <f>IF(H185=0,"weekend",IF(H185=6,"weekend","weekend"))</f>
        <v>weekend</v>
      </c>
      <c r="L185" s="3" t="str">
        <f>IF(C185=1,"Spring",IF(C185=2,"Summer",IF(C185=3,"Fall","Winter")))</f>
        <v>Spring</v>
      </c>
      <c r="M185" s="3">
        <f>SUM(J185:J209)</f>
        <v>3.4200000000000008</v>
      </c>
      <c r="N185" s="3">
        <f>AVERAGE(J185:J794)</f>
        <v>0.17887587822014053</v>
      </c>
      <c r="O185" s="3">
        <f>COUNT(J185:J794)</f>
        <v>427</v>
      </c>
      <c r="P185" s="3" t="str">
        <f>TEXT(J185,"0.00")</f>
        <v>0.12</v>
      </c>
      <c r="Q185" s="3" t="str">
        <f>LEFT(L185,3)</f>
        <v>Spr</v>
      </c>
      <c r="R185" s="7" t="str">
        <f>RIGHT(L185,3)</f>
        <v>ing</v>
      </c>
      <c r="S185" s="8">
        <f>LEN(L185)</f>
        <v>6</v>
      </c>
      <c r="T185" s="36" t="str">
        <f>A185&amp;"|"&amp;B185&amp;"|"&amp;F185</f>
        <v>184|40756|22</v>
      </c>
      <c r="V185" s="32">
        <f>VLOOKUP(A185,Sheet2!A:H,3,FALSE)</f>
        <v>6.0600000000000001E-2</v>
      </c>
      <c r="W185" s="32">
        <f>VLOOKUP(A185,Sheet2!A:H,4,FALSE)</f>
        <v>0.39</v>
      </c>
      <c r="X185" s="32">
        <f>VLOOKUP(A185,Sheet2!A:H,7,FALSE)</f>
        <v>22</v>
      </c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spans="1:37" x14ac:dyDescent="0.2">
      <c r="A186" s="4">
        <v>185</v>
      </c>
      <c r="B186" s="5">
        <v>40756</v>
      </c>
      <c r="C186" s="4">
        <v>1</v>
      </c>
      <c r="D186" s="4">
        <v>0</v>
      </c>
      <c r="E186" s="4">
        <v>1</v>
      </c>
      <c r="F186" s="4">
        <v>23</v>
      </c>
      <c r="G186" s="4" t="b">
        <v>0</v>
      </c>
      <c r="H186" s="4">
        <v>6</v>
      </c>
      <c r="I186" s="4">
        <v>1</v>
      </c>
      <c r="J186" s="4">
        <v>0.1</v>
      </c>
      <c r="K186" s="6" t="str">
        <f>IF(H186=0,"weekend",IF(H186=6,"weekend","weekend"))</f>
        <v>weekend</v>
      </c>
      <c r="L186" s="3" t="str">
        <f>IF(C186=1,"Spring",IF(C186=2,"Summer",IF(C186=3,"Fall","Winter")))</f>
        <v>Spring</v>
      </c>
      <c r="M186" s="3">
        <f>SUM(J186:J210)</f>
        <v>3.4200000000000008</v>
      </c>
      <c r="N186" s="3">
        <f>AVERAGE(J186:J795)</f>
        <v>0.17901408450704226</v>
      </c>
      <c r="O186" s="3">
        <f>COUNT(J186:J795)</f>
        <v>426</v>
      </c>
      <c r="P186" s="3" t="str">
        <f>TEXT(J186,"0.00")</f>
        <v>0.10</v>
      </c>
      <c r="Q186" s="3" t="str">
        <f>LEFT(L186,3)</f>
        <v>Spr</v>
      </c>
      <c r="R186" s="7" t="str">
        <f>RIGHT(L186,3)</f>
        <v>ing</v>
      </c>
      <c r="S186" s="8">
        <f>LEN(L186)</f>
        <v>6</v>
      </c>
      <c r="T186" s="36" t="str">
        <f>A186&amp;"|"&amp;B186&amp;"|"&amp;F186</f>
        <v>185|40756|23</v>
      </c>
      <c r="V186" s="32">
        <f>VLOOKUP(A186,Sheet2!A:H,3,FALSE)</f>
        <v>7.5800000000000006E-2</v>
      </c>
      <c r="W186" s="32">
        <f>VLOOKUP(A186,Sheet2!A:H,4,FALSE)</f>
        <v>0.42</v>
      </c>
      <c r="X186" s="32">
        <f>VLOOKUP(A186,Sheet2!A:H,7,FALSE)</f>
        <v>24</v>
      </c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spans="1:37" x14ac:dyDescent="0.2">
      <c r="A187" s="4">
        <v>186</v>
      </c>
      <c r="B187" s="5">
        <v>40787</v>
      </c>
      <c r="C187" s="4">
        <v>1</v>
      </c>
      <c r="D187" s="4">
        <v>0</v>
      </c>
      <c r="E187" s="4">
        <v>1</v>
      </c>
      <c r="F187" s="4">
        <v>0</v>
      </c>
      <c r="G187" s="4" t="b">
        <v>0</v>
      </c>
      <c r="H187" s="4">
        <v>0</v>
      </c>
      <c r="I187" s="4">
        <v>1</v>
      </c>
      <c r="J187" s="4">
        <v>0.1</v>
      </c>
      <c r="K187" s="6" t="str">
        <f>IF(H187=0,"weekend",IF(H187=6,"weekend","weekend"))</f>
        <v>weekend</v>
      </c>
      <c r="L187" s="3" t="str">
        <f>IF(C187=1,"Spring",IF(C187=2,"Summer",IF(C187=3,"Fall","Winter")))</f>
        <v>Spring</v>
      </c>
      <c r="M187" s="3">
        <f>SUM(J187:J211)</f>
        <v>3.4400000000000013</v>
      </c>
      <c r="N187" s="3">
        <f>AVERAGE(J187:J796)</f>
        <v>0.17920000000000005</v>
      </c>
      <c r="O187" s="3">
        <f>COUNT(J187:J796)</f>
        <v>425</v>
      </c>
      <c r="P187" s="3" t="str">
        <f>TEXT(J187,"0.00")</f>
        <v>0.10</v>
      </c>
      <c r="Q187" s="3" t="str">
        <f>LEFT(L187,3)</f>
        <v>Spr</v>
      </c>
      <c r="R187" s="7" t="str">
        <f>RIGHT(L187,3)</f>
        <v>ing</v>
      </c>
      <c r="S187" s="8">
        <f>LEN(L187)</f>
        <v>6</v>
      </c>
      <c r="T187" s="36" t="str">
        <f>A187&amp;"|"&amp;B187&amp;"|"&amp;F187</f>
        <v>186|40787|0</v>
      </c>
      <c r="V187" s="32">
        <f>VLOOKUP(A187,Sheet2!A:H,3,FALSE)</f>
        <v>6.0600000000000001E-2</v>
      </c>
      <c r="W187" s="32">
        <f>VLOOKUP(A187,Sheet2!A:H,4,FALSE)</f>
        <v>0.42</v>
      </c>
      <c r="X187" s="32">
        <f>VLOOKUP(A187,Sheet2!A:H,7,FALSE)</f>
        <v>12</v>
      </c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spans="1:37" x14ac:dyDescent="0.2">
      <c r="A188" s="4">
        <v>187</v>
      </c>
      <c r="B188" s="5">
        <v>40787</v>
      </c>
      <c r="C188" s="4">
        <v>1</v>
      </c>
      <c r="D188" s="4">
        <v>0</v>
      </c>
      <c r="E188" s="4">
        <v>1</v>
      </c>
      <c r="F188" s="4">
        <v>1</v>
      </c>
      <c r="G188" s="4" t="b">
        <v>0</v>
      </c>
      <c r="H188" s="4">
        <v>0</v>
      </c>
      <c r="I188" s="4">
        <v>1</v>
      </c>
      <c r="J188" s="4">
        <v>0.1</v>
      </c>
      <c r="K188" s="6" t="str">
        <f>IF(H188=0,"weekend",IF(H188=6,"weekend","weekend"))</f>
        <v>weekend</v>
      </c>
      <c r="L188" s="3" t="str">
        <f>IF(C188=1,"Spring",IF(C188=2,"Summer",IF(C188=3,"Fall","Winter")))</f>
        <v>Spring</v>
      </c>
      <c r="M188" s="3">
        <f>SUM(J188:J212)</f>
        <v>3.4600000000000009</v>
      </c>
      <c r="N188" s="3">
        <f>AVERAGE(J188:J797)</f>
        <v>0.17938679245283023</v>
      </c>
      <c r="O188" s="3">
        <f>COUNT(J188:J797)</f>
        <v>424</v>
      </c>
      <c r="P188" s="3" t="str">
        <f>TEXT(J188,"0.00")</f>
        <v>0.10</v>
      </c>
      <c r="Q188" s="3" t="str">
        <f>LEFT(L188,3)</f>
        <v>Spr</v>
      </c>
      <c r="R188" s="7" t="str">
        <f>RIGHT(L188,3)</f>
        <v>ing</v>
      </c>
      <c r="S188" s="8">
        <f>LEN(L188)</f>
        <v>6</v>
      </c>
      <c r="T188" s="36" t="str">
        <f>A188&amp;"|"&amp;B188&amp;"|"&amp;F188</f>
        <v>187|40787|1</v>
      </c>
      <c r="V188" s="32">
        <f>VLOOKUP(A188,Sheet2!A:H,3,FALSE)</f>
        <v>6.0600000000000001E-2</v>
      </c>
      <c r="W188" s="32">
        <f>VLOOKUP(A188,Sheet2!A:H,4,FALSE)</f>
        <v>0.46</v>
      </c>
      <c r="X188" s="32">
        <f>VLOOKUP(A188,Sheet2!A:H,7,FALSE)</f>
        <v>11</v>
      </c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spans="1:37" x14ac:dyDescent="0.2">
      <c r="A189" s="4">
        <v>188</v>
      </c>
      <c r="B189" s="5">
        <v>40787</v>
      </c>
      <c r="C189" s="4">
        <v>1</v>
      </c>
      <c r="D189" s="4">
        <v>0</v>
      </c>
      <c r="E189" s="4">
        <v>1</v>
      </c>
      <c r="F189" s="4">
        <v>2</v>
      </c>
      <c r="G189" s="4" t="b">
        <v>0</v>
      </c>
      <c r="H189" s="4">
        <v>0</v>
      </c>
      <c r="I189" s="4">
        <v>1</v>
      </c>
      <c r="J189" s="4">
        <v>0.1</v>
      </c>
      <c r="K189" s="6" t="str">
        <f>IF(H189=0,"weekend",IF(H189=6,"weekend","weekend"))</f>
        <v>weekend</v>
      </c>
      <c r="L189" s="3" t="str">
        <f>IF(C189=1,"Spring",IF(C189=2,"Summer",IF(C189=3,"Fall","Winter")))</f>
        <v>Spring</v>
      </c>
      <c r="M189" s="3">
        <f>SUM(J189:J213)</f>
        <v>3.4800000000000013</v>
      </c>
      <c r="N189" s="3">
        <f>AVERAGE(J189:J798)</f>
        <v>0.17957446808510644</v>
      </c>
      <c r="O189" s="3">
        <f>COUNT(J189:J798)</f>
        <v>423</v>
      </c>
      <c r="P189" s="3" t="str">
        <f>TEXT(J189,"0.00")</f>
        <v>0.10</v>
      </c>
      <c r="Q189" s="3" t="str">
        <f>LEFT(L189,3)</f>
        <v>Spr</v>
      </c>
      <c r="R189" s="7" t="str">
        <f>RIGHT(L189,3)</f>
        <v>ing</v>
      </c>
      <c r="S189" s="8">
        <f>LEN(L189)</f>
        <v>6</v>
      </c>
      <c r="T189" s="36" t="str">
        <f>A189&amp;"|"&amp;B189&amp;"|"&amp;F189</f>
        <v>188|40787|2</v>
      </c>
      <c r="V189" s="32">
        <f>VLOOKUP(A189,Sheet2!A:H,3,FALSE)</f>
        <v>7.5800000000000006E-2</v>
      </c>
      <c r="W189" s="32">
        <f>VLOOKUP(A189,Sheet2!A:H,4,FALSE)</f>
        <v>0.46</v>
      </c>
      <c r="X189" s="32">
        <f>VLOOKUP(A189,Sheet2!A:H,7,FALSE)</f>
        <v>4</v>
      </c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spans="1:37" x14ac:dyDescent="0.2">
      <c r="A190" s="4">
        <v>189</v>
      </c>
      <c r="B190" s="5">
        <v>40787</v>
      </c>
      <c r="C190" s="4">
        <v>1</v>
      </c>
      <c r="D190" s="4">
        <v>0</v>
      </c>
      <c r="E190" s="4">
        <v>1</v>
      </c>
      <c r="F190" s="4">
        <v>3</v>
      </c>
      <c r="G190" s="4" t="b">
        <v>0</v>
      </c>
      <c r="H190" s="4">
        <v>0</v>
      </c>
      <c r="I190" s="4">
        <v>1</v>
      </c>
      <c r="J190" s="4">
        <v>0.1</v>
      </c>
      <c r="K190" s="6" t="str">
        <f>IF(H190=0,"weekend",IF(H190=6,"weekend","weekend"))</f>
        <v>weekend</v>
      </c>
      <c r="L190" s="3" t="str">
        <f>IF(C190=1,"Spring",IF(C190=2,"Summer",IF(C190=3,"Fall","Winter")))</f>
        <v>Spring</v>
      </c>
      <c r="M190" s="3">
        <f>SUM(J190:J214)</f>
        <v>3.5000000000000013</v>
      </c>
      <c r="N190" s="3">
        <f>AVERAGE(J190:J799)</f>
        <v>0.17976303317535547</v>
      </c>
      <c r="O190" s="3">
        <f>COUNT(J190:J799)</f>
        <v>422</v>
      </c>
      <c r="P190" s="3" t="str">
        <f>TEXT(J190,"0.00")</f>
        <v>0.10</v>
      </c>
      <c r="Q190" s="3" t="str">
        <f>LEFT(L190,3)</f>
        <v>Spr</v>
      </c>
      <c r="R190" s="7" t="str">
        <f>RIGHT(L190,3)</f>
        <v>ing</v>
      </c>
      <c r="S190" s="8">
        <f>LEN(L190)</f>
        <v>6</v>
      </c>
      <c r="T190" s="36" t="str">
        <f>A190&amp;"|"&amp;B190&amp;"|"&amp;F190</f>
        <v>189|40787|3</v>
      </c>
      <c r="V190" s="32">
        <f>VLOOKUP(A190,Sheet2!A:H,3,FALSE)</f>
        <v>9.0899999999999995E-2</v>
      </c>
      <c r="W190" s="32">
        <f>VLOOKUP(A190,Sheet2!A:H,4,FALSE)</f>
        <v>0.53</v>
      </c>
      <c r="X190" s="32">
        <f>VLOOKUP(A190,Sheet2!A:H,7,FALSE)</f>
        <v>1</v>
      </c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spans="1:37" x14ac:dyDescent="0.2">
      <c r="A191" s="4">
        <v>190</v>
      </c>
      <c r="B191" s="5">
        <v>40787</v>
      </c>
      <c r="C191" s="4">
        <v>1</v>
      </c>
      <c r="D191" s="4">
        <v>0</v>
      </c>
      <c r="E191" s="4">
        <v>1</v>
      </c>
      <c r="F191" s="4">
        <v>4</v>
      </c>
      <c r="G191" s="4" t="b">
        <v>0</v>
      </c>
      <c r="H191" s="4">
        <v>0</v>
      </c>
      <c r="I191" s="4">
        <v>1</v>
      </c>
      <c r="J191" s="4">
        <v>0.08</v>
      </c>
      <c r="K191" s="6" t="str">
        <f>IF(H191=0,"weekend",IF(H191=6,"weekend","weekend"))</f>
        <v>weekend</v>
      </c>
      <c r="L191" s="3" t="str">
        <f>IF(C191=1,"Spring",IF(C191=2,"Summer",IF(C191=3,"Fall","Winter")))</f>
        <v>Spring</v>
      </c>
      <c r="M191" s="3">
        <f>SUM(J191:J215)</f>
        <v>3.5000000000000013</v>
      </c>
      <c r="N191" s="3">
        <f>AVERAGE(J191:J800)</f>
        <v>0.17995249406175776</v>
      </c>
      <c r="O191" s="3">
        <f>COUNT(J191:J800)</f>
        <v>421</v>
      </c>
      <c r="P191" s="3" t="str">
        <f>TEXT(J191,"0.00")</f>
        <v>0.08</v>
      </c>
      <c r="Q191" s="3" t="str">
        <f>LEFT(L191,3)</f>
        <v>Spr</v>
      </c>
      <c r="R191" s="7" t="str">
        <f>RIGHT(L191,3)</f>
        <v>ing</v>
      </c>
      <c r="S191" s="8">
        <f>LEN(L191)</f>
        <v>6</v>
      </c>
      <c r="T191" s="36" t="str">
        <f>A191&amp;"|"&amp;B191&amp;"|"&amp;F191</f>
        <v>190|40787|4</v>
      </c>
      <c r="V191" s="32">
        <f>VLOOKUP(A191,Sheet2!A:H,3,FALSE)</f>
        <v>9.0899999999999995E-2</v>
      </c>
      <c r="W191" s="32">
        <f>VLOOKUP(A191,Sheet2!A:H,4,FALSE)</f>
        <v>0.53</v>
      </c>
      <c r="X191" s="32">
        <f>VLOOKUP(A191,Sheet2!A:H,7,FALSE)</f>
        <v>1</v>
      </c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spans="1:37" x14ac:dyDescent="0.2">
      <c r="A192" s="4">
        <v>191</v>
      </c>
      <c r="B192" s="5">
        <v>40787</v>
      </c>
      <c r="C192" s="4">
        <v>1</v>
      </c>
      <c r="D192" s="4">
        <v>0</v>
      </c>
      <c r="E192" s="4">
        <v>1</v>
      </c>
      <c r="F192" s="4">
        <v>5</v>
      </c>
      <c r="G192" s="4" t="b">
        <v>0</v>
      </c>
      <c r="H192" s="4">
        <v>0</v>
      </c>
      <c r="I192" s="4">
        <v>1</v>
      </c>
      <c r="J192" s="4">
        <v>0.08</v>
      </c>
      <c r="K192" s="6" t="str">
        <f>IF(H192=0,"weekend",IF(H192=6,"weekend","weekend"))</f>
        <v>weekend</v>
      </c>
      <c r="L192" s="3" t="str">
        <f>IF(C192=1,"Spring",IF(C192=2,"Summer",IF(C192=3,"Fall","Winter")))</f>
        <v>Spring</v>
      </c>
      <c r="M192" s="3">
        <f>SUM(J192:J216)</f>
        <v>3.5200000000000009</v>
      </c>
      <c r="N192" s="3">
        <f>AVERAGE(J192:J801)</f>
        <v>0.18019047619047621</v>
      </c>
      <c r="O192" s="3">
        <f>COUNT(J192:J801)</f>
        <v>420</v>
      </c>
      <c r="P192" s="3" t="str">
        <f>TEXT(J192,"0.00")</f>
        <v>0.08</v>
      </c>
      <c r="Q192" s="3" t="str">
        <f>LEFT(L192,3)</f>
        <v>Spr</v>
      </c>
      <c r="R192" s="7" t="str">
        <f>RIGHT(L192,3)</f>
        <v>ing</v>
      </c>
      <c r="S192" s="8">
        <f>LEN(L192)</f>
        <v>6</v>
      </c>
      <c r="T192" s="36" t="str">
        <f>A192&amp;"|"&amp;B192&amp;"|"&amp;F192</f>
        <v>191|40787|5</v>
      </c>
      <c r="V192" s="32">
        <f>VLOOKUP(A192,Sheet2!A:H,3,FALSE)</f>
        <v>9.0899999999999995E-2</v>
      </c>
      <c r="W192" s="32">
        <f>VLOOKUP(A192,Sheet2!A:H,4,FALSE)</f>
        <v>0.49</v>
      </c>
      <c r="X192" s="32">
        <f>VLOOKUP(A192,Sheet2!A:H,7,FALSE)</f>
        <v>1</v>
      </c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spans="1:37" x14ac:dyDescent="0.2">
      <c r="A193" s="4">
        <v>192</v>
      </c>
      <c r="B193" s="5">
        <v>40787</v>
      </c>
      <c r="C193" s="4">
        <v>1</v>
      </c>
      <c r="D193" s="4">
        <v>0</v>
      </c>
      <c r="E193" s="4">
        <v>1</v>
      </c>
      <c r="F193" s="4">
        <v>6</v>
      </c>
      <c r="G193" s="4" t="b">
        <v>0</v>
      </c>
      <c r="H193" s="4">
        <v>0</v>
      </c>
      <c r="I193" s="4">
        <v>1</v>
      </c>
      <c r="J193" s="4">
        <v>0.1</v>
      </c>
      <c r="K193" s="6" t="str">
        <f>IF(H193=0,"weekend",IF(H193=6,"weekend","weekend"))</f>
        <v>weekend</v>
      </c>
      <c r="L193" s="3" t="str">
        <f>IF(C193=1,"Spring",IF(C193=2,"Summer",IF(C193=3,"Fall","Winter")))</f>
        <v>Spring</v>
      </c>
      <c r="M193" s="3">
        <f>SUM(J193:J217)</f>
        <v>3.5600000000000014</v>
      </c>
      <c r="N193" s="3">
        <f>AVERAGE(J193:J802)</f>
        <v>0.18042959427207639</v>
      </c>
      <c r="O193" s="3">
        <f>COUNT(J193:J802)</f>
        <v>419</v>
      </c>
      <c r="P193" s="3" t="str">
        <f>TEXT(J193,"0.00")</f>
        <v>0.10</v>
      </c>
      <c r="Q193" s="3" t="str">
        <f>LEFT(L193,3)</f>
        <v>Spr</v>
      </c>
      <c r="R193" s="7" t="str">
        <f>RIGHT(L193,3)</f>
        <v>ing</v>
      </c>
      <c r="S193" s="8">
        <f>LEN(L193)</f>
        <v>6</v>
      </c>
      <c r="T193" s="36" t="str">
        <f>A193&amp;"|"&amp;B193&amp;"|"&amp;F193</f>
        <v>192|40787|6</v>
      </c>
      <c r="V193" s="32">
        <f>VLOOKUP(A193,Sheet2!A:H,3,FALSE)</f>
        <v>9.0899999999999995E-2</v>
      </c>
      <c r="W193" s="32">
        <f>VLOOKUP(A193,Sheet2!A:H,4,FALSE)</f>
        <v>0.53</v>
      </c>
      <c r="X193" s="32">
        <f>VLOOKUP(A193,Sheet2!A:H,7,FALSE)</f>
        <v>5</v>
      </c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spans="1:37" x14ac:dyDescent="0.2">
      <c r="A194" s="4">
        <v>193</v>
      </c>
      <c r="B194" s="5">
        <v>40787</v>
      </c>
      <c r="C194" s="4">
        <v>1</v>
      </c>
      <c r="D194" s="4">
        <v>0</v>
      </c>
      <c r="E194" s="4">
        <v>1</v>
      </c>
      <c r="F194" s="4">
        <v>7</v>
      </c>
      <c r="G194" s="4" t="b">
        <v>0</v>
      </c>
      <c r="H194" s="4">
        <v>0</v>
      </c>
      <c r="I194" s="4">
        <v>1</v>
      </c>
      <c r="J194" s="4">
        <v>0.08</v>
      </c>
      <c r="K194" s="6" t="str">
        <f>IF(H194=0,"weekend",IF(H194=6,"weekend","weekend"))</f>
        <v>weekend</v>
      </c>
      <c r="L194" s="3" t="str">
        <f>IF(C194=1,"Spring",IF(C194=2,"Summer",IF(C194=3,"Fall","Winter")))</f>
        <v>Spring</v>
      </c>
      <c r="M194" s="3">
        <f>SUM(J194:J218)</f>
        <v>3.580000000000001</v>
      </c>
      <c r="N194" s="3">
        <f>AVERAGE(J194:J803)</f>
        <v>0.18062200956937804</v>
      </c>
      <c r="O194" s="3">
        <f>COUNT(J194:J803)</f>
        <v>418</v>
      </c>
      <c r="P194" s="3" t="str">
        <f>TEXT(J194,"0.00")</f>
        <v>0.08</v>
      </c>
      <c r="Q194" s="3" t="str">
        <f>LEFT(L194,3)</f>
        <v>Spr</v>
      </c>
      <c r="R194" s="7" t="str">
        <f>RIGHT(L194,3)</f>
        <v>ing</v>
      </c>
      <c r="S194" s="8">
        <f>LEN(L194)</f>
        <v>6</v>
      </c>
      <c r="T194" s="36" t="str">
        <f>A194&amp;"|"&amp;B194&amp;"|"&amp;F194</f>
        <v>193|40787|7</v>
      </c>
      <c r="V194" s="32">
        <f>VLOOKUP(A194,Sheet2!A:H,3,FALSE)</f>
        <v>9.0899999999999995E-2</v>
      </c>
      <c r="W194" s="32">
        <f>VLOOKUP(A194,Sheet2!A:H,4,FALSE)</f>
        <v>0.49</v>
      </c>
      <c r="X194" s="32">
        <f>VLOOKUP(A194,Sheet2!A:H,7,FALSE)</f>
        <v>10</v>
      </c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spans="1:37" x14ac:dyDescent="0.2">
      <c r="A195" s="4">
        <v>194</v>
      </c>
      <c r="B195" s="5">
        <v>40787</v>
      </c>
      <c r="C195" s="4">
        <v>1</v>
      </c>
      <c r="D195" s="4">
        <v>0</v>
      </c>
      <c r="E195" s="4">
        <v>1</v>
      </c>
      <c r="F195" s="4">
        <v>8</v>
      </c>
      <c r="G195" s="4" t="b">
        <v>0</v>
      </c>
      <c r="H195" s="4">
        <v>0</v>
      </c>
      <c r="I195" s="4">
        <v>1</v>
      </c>
      <c r="J195" s="4">
        <v>0.1</v>
      </c>
      <c r="K195" s="6" t="str">
        <f>IF(H195=0,"weekend",IF(H195=6,"weekend","weekend"))</f>
        <v>weekend</v>
      </c>
      <c r="L195" s="3" t="str">
        <f>IF(C195=1,"Spring",IF(C195=2,"Summer",IF(C195=3,"Fall","Winter")))</f>
        <v>Spring</v>
      </c>
      <c r="M195" s="3">
        <f>SUM(J195:J219)</f>
        <v>3.620000000000001</v>
      </c>
      <c r="N195" s="3">
        <f>AVERAGE(J195:J804)</f>
        <v>0.18086330935251801</v>
      </c>
      <c r="O195" s="3">
        <f>COUNT(J195:J804)</f>
        <v>417</v>
      </c>
      <c r="P195" s="3" t="str">
        <f>TEXT(J195,"0.00")</f>
        <v>0.10</v>
      </c>
      <c r="Q195" s="3" t="str">
        <f>LEFT(L195,3)</f>
        <v>Spr</v>
      </c>
      <c r="R195" s="7" t="str">
        <f>RIGHT(L195,3)</f>
        <v>ing</v>
      </c>
      <c r="S195" s="8">
        <f>LEN(L195)</f>
        <v>6</v>
      </c>
      <c r="T195" s="36" t="str">
        <f>A195&amp;"|"&amp;B195&amp;"|"&amp;F195</f>
        <v>194|40787|8</v>
      </c>
      <c r="V195" s="32">
        <f>VLOOKUP(A195,Sheet2!A:H,3,FALSE)</f>
        <v>7.5800000000000006E-2</v>
      </c>
      <c r="W195" s="32">
        <f>VLOOKUP(A195,Sheet2!A:H,4,FALSE)</f>
        <v>0.46</v>
      </c>
      <c r="X195" s="32">
        <f>VLOOKUP(A195,Sheet2!A:H,7,FALSE)</f>
        <v>19</v>
      </c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spans="1:37" x14ac:dyDescent="0.2">
      <c r="A196" s="4">
        <v>195</v>
      </c>
      <c r="B196" s="5">
        <v>40787</v>
      </c>
      <c r="C196" s="4">
        <v>1</v>
      </c>
      <c r="D196" s="4">
        <v>0</v>
      </c>
      <c r="E196" s="4">
        <v>1</v>
      </c>
      <c r="F196" s="4">
        <v>9</v>
      </c>
      <c r="G196" s="4" t="b">
        <v>0</v>
      </c>
      <c r="H196" s="4">
        <v>0</v>
      </c>
      <c r="I196" s="4">
        <v>1</v>
      </c>
      <c r="J196" s="4">
        <v>0.12</v>
      </c>
      <c r="K196" s="6" t="str">
        <f>IF(H196=0,"weekend",IF(H196=6,"weekend","weekend"))</f>
        <v>weekend</v>
      </c>
      <c r="L196" s="3" t="str">
        <f>IF(C196=1,"Spring",IF(C196=2,"Summer",IF(C196=3,"Fall","Winter")))</f>
        <v>Spring</v>
      </c>
      <c r="M196" s="3">
        <f>SUM(J196:J220)</f>
        <v>3.660000000000001</v>
      </c>
      <c r="N196" s="3">
        <f>AVERAGE(J196:J805)</f>
        <v>0.18105769230769236</v>
      </c>
      <c r="O196" s="3">
        <f>COUNT(J196:J805)</f>
        <v>416</v>
      </c>
      <c r="P196" s="3" t="str">
        <f>TEXT(J196,"0.00")</f>
        <v>0.12</v>
      </c>
      <c r="Q196" s="3" t="str">
        <f>LEFT(L196,3)</f>
        <v>Spr</v>
      </c>
      <c r="R196" s="7" t="str">
        <f>RIGHT(L196,3)</f>
        <v>ing</v>
      </c>
      <c r="S196" s="8">
        <f>LEN(L196)</f>
        <v>6</v>
      </c>
      <c r="T196" s="36" t="str">
        <f>A196&amp;"|"&amp;B196&amp;"|"&amp;F196</f>
        <v>195|40787|9</v>
      </c>
      <c r="V196" s="32">
        <f>VLOOKUP(A196,Sheet2!A:H,3,FALSE)</f>
        <v>0.1061</v>
      </c>
      <c r="W196" s="32">
        <f>VLOOKUP(A196,Sheet2!A:H,4,FALSE)</f>
        <v>0.43</v>
      </c>
      <c r="X196" s="32">
        <f>VLOOKUP(A196,Sheet2!A:H,7,FALSE)</f>
        <v>49</v>
      </c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spans="1:37" x14ac:dyDescent="0.2">
      <c r="A197" s="4">
        <v>196</v>
      </c>
      <c r="B197" s="5">
        <v>40787</v>
      </c>
      <c r="C197" s="4">
        <v>1</v>
      </c>
      <c r="D197" s="4">
        <v>0</v>
      </c>
      <c r="E197" s="4">
        <v>1</v>
      </c>
      <c r="F197" s="4">
        <v>10</v>
      </c>
      <c r="G197" s="4" t="b">
        <v>0</v>
      </c>
      <c r="H197" s="4">
        <v>0</v>
      </c>
      <c r="I197" s="4">
        <v>1</v>
      </c>
      <c r="J197" s="4">
        <v>0.14000000000000001</v>
      </c>
      <c r="K197" s="6" t="str">
        <f>IF(H197=0,"weekend",IF(H197=6,"weekend","weekend"))</f>
        <v>weekend</v>
      </c>
      <c r="L197" s="3" t="str">
        <f>IF(C197=1,"Spring",IF(C197=2,"Summer",IF(C197=3,"Fall","Winter")))</f>
        <v>Spring</v>
      </c>
      <c r="M197" s="3">
        <f>SUM(J197:J221)</f>
        <v>3.6800000000000015</v>
      </c>
      <c r="N197" s="3">
        <f>AVERAGE(J197:J806)</f>
        <v>0.18120481927710846</v>
      </c>
      <c r="O197" s="3">
        <f>COUNT(J197:J806)</f>
        <v>415</v>
      </c>
      <c r="P197" s="3" t="str">
        <f>TEXT(J197,"0.00")</f>
        <v>0.14</v>
      </c>
      <c r="Q197" s="3" t="str">
        <f>LEFT(L197,3)</f>
        <v>Spr</v>
      </c>
      <c r="R197" s="7" t="str">
        <f>RIGHT(L197,3)</f>
        <v>ing</v>
      </c>
      <c r="S197" s="8">
        <f>LEN(L197)</f>
        <v>6</v>
      </c>
      <c r="T197" s="36" t="str">
        <f>A197&amp;"|"&amp;B197&amp;"|"&amp;F197</f>
        <v>196|40787|10</v>
      </c>
      <c r="V197" s="32">
        <f>VLOOKUP(A197,Sheet2!A:H,3,FALSE)</f>
        <v>0.1212</v>
      </c>
      <c r="W197" s="32">
        <f>VLOOKUP(A197,Sheet2!A:H,4,FALSE)</f>
        <v>0.4</v>
      </c>
      <c r="X197" s="32">
        <f>VLOOKUP(A197,Sheet2!A:H,7,FALSE)</f>
        <v>47</v>
      </c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spans="1:37" x14ac:dyDescent="0.2">
      <c r="A198" s="4">
        <v>197</v>
      </c>
      <c r="B198" s="5">
        <v>40787</v>
      </c>
      <c r="C198" s="4">
        <v>1</v>
      </c>
      <c r="D198" s="4">
        <v>0</v>
      </c>
      <c r="E198" s="4">
        <v>1</v>
      </c>
      <c r="F198" s="4">
        <v>11</v>
      </c>
      <c r="G198" s="4" t="b">
        <v>0</v>
      </c>
      <c r="H198" s="4">
        <v>0</v>
      </c>
      <c r="I198" s="4">
        <v>1</v>
      </c>
      <c r="J198" s="4">
        <v>0.16</v>
      </c>
      <c r="K198" s="6" t="str">
        <f>IF(H198=0,"weekend",IF(H198=6,"weekend","weekend"))</f>
        <v>weekend</v>
      </c>
      <c r="L198" s="3" t="str">
        <f>IF(C198=1,"Spring",IF(C198=2,"Summer",IF(C198=3,"Fall","Winter")))</f>
        <v>Spring</v>
      </c>
      <c r="M198" s="3">
        <f>SUM(J198:J222)</f>
        <v>3.7000000000000015</v>
      </c>
      <c r="N198" s="3">
        <f>AVERAGE(J198:J807)</f>
        <v>0.18130434782608701</v>
      </c>
      <c r="O198" s="3">
        <f>COUNT(J198:J807)</f>
        <v>414</v>
      </c>
      <c r="P198" s="3" t="str">
        <f>TEXT(J198,"0.00")</f>
        <v>0.16</v>
      </c>
      <c r="Q198" s="3" t="str">
        <f>LEFT(L198,3)</f>
        <v>Spr</v>
      </c>
      <c r="R198" s="7" t="str">
        <f>RIGHT(L198,3)</f>
        <v>ing</v>
      </c>
      <c r="S198" s="8">
        <f>LEN(L198)</f>
        <v>6</v>
      </c>
      <c r="T198" s="36" t="str">
        <f>A198&amp;"|"&amp;B198&amp;"|"&amp;F198</f>
        <v>197|40787|11</v>
      </c>
      <c r="V198" s="32">
        <f>VLOOKUP(A198,Sheet2!A:H,3,FALSE)</f>
        <v>0.13639999999999999</v>
      </c>
      <c r="W198" s="32">
        <f>VLOOKUP(A198,Sheet2!A:H,4,FALSE)</f>
        <v>0.37</v>
      </c>
      <c r="X198" s="32">
        <f>VLOOKUP(A198,Sheet2!A:H,7,FALSE)</f>
        <v>79</v>
      </c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spans="1:37" x14ac:dyDescent="0.2">
      <c r="A199" s="4">
        <v>198</v>
      </c>
      <c r="B199" s="5">
        <v>40787</v>
      </c>
      <c r="C199" s="4">
        <v>1</v>
      </c>
      <c r="D199" s="4">
        <v>0</v>
      </c>
      <c r="E199" s="4">
        <v>1</v>
      </c>
      <c r="F199" s="4">
        <v>12</v>
      </c>
      <c r="G199" s="4" t="b">
        <v>0</v>
      </c>
      <c r="H199" s="4">
        <v>0</v>
      </c>
      <c r="I199" s="4">
        <v>1</v>
      </c>
      <c r="J199" s="4">
        <v>0.18</v>
      </c>
      <c r="K199" s="6" t="str">
        <f>IF(H199=0,"weekend",IF(H199=6,"weekend","weekend"))</f>
        <v>weekend</v>
      </c>
      <c r="L199" s="3" t="str">
        <f>IF(C199=1,"Spring",IF(C199=2,"Summer",IF(C199=3,"Fall","Winter")))</f>
        <v>Spring</v>
      </c>
      <c r="M199" s="3">
        <f>SUM(J199:J223)</f>
        <v>3.7400000000000015</v>
      </c>
      <c r="N199" s="3">
        <f>AVERAGE(J199:J808)</f>
        <v>0.18135593220338989</v>
      </c>
      <c r="O199" s="3">
        <f>COUNT(J199:J808)</f>
        <v>413</v>
      </c>
      <c r="P199" s="3" t="str">
        <f>TEXT(J199,"0.00")</f>
        <v>0.18</v>
      </c>
      <c r="Q199" s="3" t="str">
        <f>LEFT(L199,3)</f>
        <v>Spr</v>
      </c>
      <c r="R199" s="7" t="str">
        <f>RIGHT(L199,3)</f>
        <v>ing</v>
      </c>
      <c r="S199" s="8">
        <f>LEN(L199)</f>
        <v>6</v>
      </c>
      <c r="T199" s="36" t="str">
        <f>A199&amp;"|"&amp;B199&amp;"|"&amp;F199</f>
        <v>198|40787|12</v>
      </c>
      <c r="V199" s="32">
        <f>VLOOKUP(A199,Sheet2!A:H,3,FALSE)</f>
        <v>0.16669999999999999</v>
      </c>
      <c r="W199" s="32">
        <f>VLOOKUP(A199,Sheet2!A:H,4,FALSE)</f>
        <v>0.34</v>
      </c>
      <c r="X199" s="32">
        <f>VLOOKUP(A199,Sheet2!A:H,7,FALSE)</f>
        <v>69</v>
      </c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spans="1:37" x14ac:dyDescent="0.2">
      <c r="A200" s="4">
        <v>199</v>
      </c>
      <c r="B200" s="5">
        <v>40787</v>
      </c>
      <c r="C200" s="4">
        <v>1</v>
      </c>
      <c r="D200" s="4">
        <v>0</v>
      </c>
      <c r="E200" s="4">
        <v>1</v>
      </c>
      <c r="F200" s="4">
        <v>13</v>
      </c>
      <c r="G200" s="4" t="b">
        <v>0</v>
      </c>
      <c r="H200" s="4">
        <v>0</v>
      </c>
      <c r="I200" s="4">
        <v>1</v>
      </c>
      <c r="J200" s="4">
        <v>0.2</v>
      </c>
      <c r="K200" s="6" t="str">
        <f>IF(H200=0,"weekend",IF(H200=6,"weekend","weekend"))</f>
        <v>weekend</v>
      </c>
      <c r="L200" s="3" t="str">
        <f>IF(C200=1,"Spring",IF(C200=2,"Summer",IF(C200=3,"Fall","Winter")))</f>
        <v>Spring</v>
      </c>
      <c r="M200" s="3">
        <f>SUM(J200:J224)</f>
        <v>3.760000000000002</v>
      </c>
      <c r="N200" s="3">
        <f>AVERAGE(J200:J809)</f>
        <v>0.1813592233009709</v>
      </c>
      <c r="O200" s="3">
        <f>COUNT(J200:J809)</f>
        <v>412</v>
      </c>
      <c r="P200" s="3" t="str">
        <f>TEXT(J200,"0.00")</f>
        <v>0.20</v>
      </c>
      <c r="Q200" s="3" t="str">
        <f>LEFT(L200,3)</f>
        <v>Spr</v>
      </c>
      <c r="R200" s="7" t="str">
        <f>RIGHT(L200,3)</f>
        <v>ing</v>
      </c>
      <c r="S200" s="8">
        <f>LEN(L200)</f>
        <v>6</v>
      </c>
      <c r="T200" s="36" t="str">
        <f>A200&amp;"|"&amp;B200&amp;"|"&amp;F200</f>
        <v>199|40787|13</v>
      </c>
      <c r="V200" s="32">
        <f>VLOOKUP(A200,Sheet2!A:H,3,FALSE)</f>
        <v>0.18179999999999999</v>
      </c>
      <c r="W200" s="32">
        <f>VLOOKUP(A200,Sheet2!A:H,4,FALSE)</f>
        <v>0.32</v>
      </c>
      <c r="X200" s="32">
        <f>VLOOKUP(A200,Sheet2!A:H,7,FALSE)</f>
        <v>64</v>
      </c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spans="1:37" x14ac:dyDescent="0.2">
      <c r="A201" s="4">
        <v>200</v>
      </c>
      <c r="B201" s="5">
        <v>40787</v>
      </c>
      <c r="C201" s="4">
        <v>1</v>
      </c>
      <c r="D201" s="4">
        <v>0</v>
      </c>
      <c r="E201" s="4">
        <v>1</v>
      </c>
      <c r="F201" s="4">
        <v>14</v>
      </c>
      <c r="G201" s="4" t="b">
        <v>0</v>
      </c>
      <c r="H201" s="4">
        <v>0</v>
      </c>
      <c r="I201" s="4">
        <v>1</v>
      </c>
      <c r="J201" s="4">
        <v>0.22</v>
      </c>
      <c r="K201" s="6" t="str">
        <f>IF(H201=0,"weekend",IF(H201=6,"weekend","weekend"))</f>
        <v>weekend</v>
      </c>
      <c r="L201" s="3" t="str">
        <f>IF(C201=1,"Spring",IF(C201=2,"Summer",IF(C201=3,"Fall","Winter")))</f>
        <v>Spring</v>
      </c>
      <c r="M201" s="3">
        <f>SUM(J201:J225)</f>
        <v>3.7600000000000025</v>
      </c>
      <c r="N201" s="3">
        <f>AVERAGE(J201:J810)</f>
        <v>0.18131386861313872</v>
      </c>
      <c r="O201" s="3">
        <f>COUNT(J201:J810)</f>
        <v>411</v>
      </c>
      <c r="P201" s="3" t="str">
        <f>TEXT(J201,"0.00")</f>
        <v>0.22</v>
      </c>
      <c r="Q201" s="3" t="str">
        <f>LEFT(L201,3)</f>
        <v>Spr</v>
      </c>
      <c r="R201" s="7" t="str">
        <f>RIGHT(L201,3)</f>
        <v>ing</v>
      </c>
      <c r="S201" s="8">
        <f>LEN(L201)</f>
        <v>6</v>
      </c>
      <c r="T201" s="36" t="str">
        <f>A201&amp;"|"&amp;B201&amp;"|"&amp;F201</f>
        <v>200|40787|14</v>
      </c>
      <c r="V201" s="32">
        <f>VLOOKUP(A201,Sheet2!A:H,3,FALSE)</f>
        <v>0.19700000000000001</v>
      </c>
      <c r="W201" s="32">
        <f>VLOOKUP(A201,Sheet2!A:H,4,FALSE)</f>
        <v>0.35</v>
      </c>
      <c r="X201" s="32">
        <f>VLOOKUP(A201,Sheet2!A:H,7,FALSE)</f>
        <v>77</v>
      </c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spans="1:37" x14ac:dyDescent="0.2">
      <c r="A202" s="4">
        <v>201</v>
      </c>
      <c r="B202" s="5">
        <v>40787</v>
      </c>
      <c r="C202" s="4">
        <v>1</v>
      </c>
      <c r="D202" s="4">
        <v>0</v>
      </c>
      <c r="E202" s="4">
        <v>1</v>
      </c>
      <c r="F202" s="4">
        <v>15</v>
      </c>
      <c r="G202" s="4" t="b">
        <v>0</v>
      </c>
      <c r="H202" s="4">
        <v>0</v>
      </c>
      <c r="I202" s="4">
        <v>1</v>
      </c>
      <c r="J202" s="4">
        <v>0.22</v>
      </c>
      <c r="K202" s="6" t="str">
        <f>IF(H202=0,"weekend",IF(H202=6,"weekend","weekend"))</f>
        <v>weekend</v>
      </c>
      <c r="L202" s="3" t="str">
        <f>IF(C202=1,"Spring",IF(C202=2,"Summer",IF(C202=3,"Fall","Winter")))</f>
        <v>Spring</v>
      </c>
      <c r="M202" s="3">
        <f>SUM(J202:J226)</f>
        <v>3.7400000000000024</v>
      </c>
      <c r="N202" s="3">
        <f>AVERAGE(J202:J811)</f>
        <v>0.18121951219512197</v>
      </c>
      <c r="O202" s="3">
        <f>COUNT(J202:J811)</f>
        <v>410</v>
      </c>
      <c r="P202" s="3" t="str">
        <f>TEXT(J202,"0.00")</f>
        <v>0.22</v>
      </c>
      <c r="Q202" s="3" t="str">
        <f>LEFT(L202,3)</f>
        <v>Spr</v>
      </c>
      <c r="R202" s="7" t="str">
        <f>RIGHT(L202,3)</f>
        <v>ing</v>
      </c>
      <c r="S202" s="8">
        <f>LEN(L202)</f>
        <v>6</v>
      </c>
      <c r="T202" s="36" t="str">
        <f>A202&amp;"|"&amp;B202&amp;"|"&amp;F202</f>
        <v>201|40787|15</v>
      </c>
      <c r="V202" s="32">
        <f>VLOOKUP(A202,Sheet2!A:H,3,FALSE)</f>
        <v>0.16669999999999999</v>
      </c>
      <c r="W202" s="32">
        <f>VLOOKUP(A202,Sheet2!A:H,4,FALSE)</f>
        <v>0.34</v>
      </c>
      <c r="X202" s="32">
        <f>VLOOKUP(A202,Sheet2!A:H,7,FALSE)</f>
        <v>79</v>
      </c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spans="1:37" x14ac:dyDescent="0.2">
      <c r="A203" s="4">
        <v>202</v>
      </c>
      <c r="B203" s="5">
        <v>40787</v>
      </c>
      <c r="C203" s="4">
        <v>1</v>
      </c>
      <c r="D203" s="4">
        <v>0</v>
      </c>
      <c r="E203" s="4">
        <v>1</v>
      </c>
      <c r="F203" s="4">
        <v>16</v>
      </c>
      <c r="G203" s="4" t="b">
        <v>0</v>
      </c>
      <c r="H203" s="4">
        <v>0</v>
      </c>
      <c r="I203" s="4">
        <v>1</v>
      </c>
      <c r="J203" s="4">
        <v>0.2</v>
      </c>
      <c r="K203" s="6" t="str">
        <f>IF(H203=0,"weekend",IF(H203=6,"weekend","weekend"))</f>
        <v>weekend</v>
      </c>
      <c r="L203" s="3" t="str">
        <f>IF(C203=1,"Spring",IF(C203=2,"Summer",IF(C203=3,"Fall","Winter")))</f>
        <v>Spring</v>
      </c>
      <c r="M203" s="3">
        <f>SUM(J203:J227)</f>
        <v>3.7200000000000024</v>
      </c>
      <c r="N203" s="3">
        <f>AVERAGE(J203:J812)</f>
        <v>0.18112469437652814</v>
      </c>
      <c r="O203" s="3">
        <f>COUNT(J203:J812)</f>
        <v>409</v>
      </c>
      <c r="P203" s="3" t="str">
        <f>TEXT(J203,"0.00")</f>
        <v>0.20</v>
      </c>
      <c r="Q203" s="3" t="str">
        <f>LEFT(L203,3)</f>
        <v>Spr</v>
      </c>
      <c r="R203" s="7" t="str">
        <f>RIGHT(L203,3)</f>
        <v>ing</v>
      </c>
      <c r="S203" s="8">
        <f>LEN(L203)</f>
        <v>6</v>
      </c>
      <c r="T203" s="36" t="str">
        <f>A203&amp;"|"&amp;B203&amp;"|"&amp;F203</f>
        <v>202|40787|16</v>
      </c>
      <c r="V203" s="32">
        <f>VLOOKUP(A203,Sheet2!A:H,3,FALSE)</f>
        <v>0.1515</v>
      </c>
      <c r="W203" s="32">
        <f>VLOOKUP(A203,Sheet2!A:H,4,FALSE)</f>
        <v>0.37</v>
      </c>
      <c r="X203" s="32">
        <f>VLOOKUP(A203,Sheet2!A:H,7,FALSE)</f>
        <v>59</v>
      </c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spans="1:37" x14ac:dyDescent="0.2">
      <c r="A204" s="4">
        <v>203</v>
      </c>
      <c r="B204" s="5">
        <v>40787</v>
      </c>
      <c r="C204" s="4">
        <v>1</v>
      </c>
      <c r="D204" s="4">
        <v>0</v>
      </c>
      <c r="E204" s="4">
        <v>1</v>
      </c>
      <c r="F204" s="4">
        <v>17</v>
      </c>
      <c r="G204" s="4" t="b">
        <v>0</v>
      </c>
      <c r="H204" s="4">
        <v>0</v>
      </c>
      <c r="I204" s="4">
        <v>1</v>
      </c>
      <c r="J204" s="4">
        <v>0.18</v>
      </c>
      <c r="K204" s="6" t="str">
        <f>IF(H204=0,"weekend",IF(H204=6,"weekend","weekend"))</f>
        <v>weekend</v>
      </c>
      <c r="L204" s="3" t="str">
        <f>IF(C204=1,"Spring",IF(C204=2,"Summer",IF(C204=3,"Fall","Winter")))</f>
        <v>Spring</v>
      </c>
      <c r="M204" s="3">
        <f>SUM(J204:J228)</f>
        <v>3.7200000000000024</v>
      </c>
      <c r="N204" s="3">
        <f>AVERAGE(J204:J813)</f>
        <v>0.18107843137254903</v>
      </c>
      <c r="O204" s="3">
        <f>COUNT(J204:J813)</f>
        <v>408</v>
      </c>
      <c r="P204" s="3" t="str">
        <f>TEXT(J204,"0.00")</f>
        <v>0.18</v>
      </c>
      <c r="Q204" s="3" t="str">
        <f>LEFT(L204,3)</f>
        <v>Spr</v>
      </c>
      <c r="R204" s="7" t="str">
        <f>RIGHT(L204,3)</f>
        <v>ing</v>
      </c>
      <c r="S204" s="8">
        <f>LEN(L204)</f>
        <v>6</v>
      </c>
      <c r="T204" s="36" t="str">
        <f>A204&amp;"|"&amp;B204&amp;"|"&amp;F204</f>
        <v>203|40787|17</v>
      </c>
      <c r="V204" s="32">
        <f>VLOOKUP(A204,Sheet2!A:H,3,FALSE)</f>
        <v>0.13639999999999999</v>
      </c>
      <c r="W204" s="32">
        <f>VLOOKUP(A204,Sheet2!A:H,4,FALSE)</f>
        <v>0.4</v>
      </c>
      <c r="X204" s="32">
        <f>VLOOKUP(A204,Sheet2!A:H,7,FALSE)</f>
        <v>44</v>
      </c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spans="1:37" x14ac:dyDescent="0.2">
      <c r="A205" s="4">
        <v>204</v>
      </c>
      <c r="B205" s="5">
        <v>40787</v>
      </c>
      <c r="C205" s="4">
        <v>1</v>
      </c>
      <c r="D205" s="4">
        <v>0</v>
      </c>
      <c r="E205" s="4">
        <v>1</v>
      </c>
      <c r="F205" s="4">
        <v>18</v>
      </c>
      <c r="G205" s="4" t="b">
        <v>0</v>
      </c>
      <c r="H205" s="4">
        <v>0</v>
      </c>
      <c r="I205" s="4">
        <v>1</v>
      </c>
      <c r="J205" s="4">
        <v>0.16</v>
      </c>
      <c r="K205" s="6" t="str">
        <f>IF(H205=0,"weekend",IF(H205=6,"weekend","weekend"))</f>
        <v>weekend</v>
      </c>
      <c r="L205" s="3" t="str">
        <f>IF(C205=1,"Spring",IF(C205=2,"Summer",IF(C205=3,"Fall","Winter")))</f>
        <v>Spring</v>
      </c>
      <c r="M205" s="3">
        <f>SUM(J205:J229)</f>
        <v>3.7400000000000024</v>
      </c>
      <c r="N205" s="3">
        <f>AVERAGE(J205:J814)</f>
        <v>0.18108108108108112</v>
      </c>
      <c r="O205" s="3">
        <f>COUNT(J205:J814)</f>
        <v>407</v>
      </c>
      <c r="P205" s="3" t="str">
        <f>TEXT(J205,"0.00")</f>
        <v>0.16</v>
      </c>
      <c r="Q205" s="3" t="str">
        <f>LEFT(L205,3)</f>
        <v>Spr</v>
      </c>
      <c r="R205" s="7" t="str">
        <f>RIGHT(L205,3)</f>
        <v>ing</v>
      </c>
      <c r="S205" s="8">
        <f>LEN(L205)</f>
        <v>6</v>
      </c>
      <c r="T205" s="36" t="str">
        <f>A205&amp;"|"&amp;B205&amp;"|"&amp;F205</f>
        <v>204|40787|18</v>
      </c>
      <c r="V205" s="32">
        <f>VLOOKUP(A205,Sheet2!A:H,3,FALSE)</f>
        <v>0.13639999999999999</v>
      </c>
      <c r="W205" s="32">
        <f>VLOOKUP(A205,Sheet2!A:H,4,FALSE)</f>
        <v>0.43</v>
      </c>
      <c r="X205" s="32">
        <f>VLOOKUP(A205,Sheet2!A:H,7,FALSE)</f>
        <v>40</v>
      </c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spans="1:37" x14ac:dyDescent="0.2">
      <c r="A206" s="4">
        <v>205</v>
      </c>
      <c r="B206" s="5">
        <v>40787</v>
      </c>
      <c r="C206" s="4">
        <v>1</v>
      </c>
      <c r="D206" s="4">
        <v>0</v>
      </c>
      <c r="E206" s="4">
        <v>1</v>
      </c>
      <c r="F206" s="4">
        <v>19</v>
      </c>
      <c r="G206" s="4" t="b">
        <v>0</v>
      </c>
      <c r="H206" s="4">
        <v>0</v>
      </c>
      <c r="I206" s="4">
        <v>1</v>
      </c>
      <c r="J206" s="4">
        <v>0.16</v>
      </c>
      <c r="K206" s="6" t="str">
        <f>IF(H206=0,"weekend",IF(H206=6,"weekend","weekend"))</f>
        <v>weekend</v>
      </c>
      <c r="L206" s="3" t="str">
        <f>IF(C206=1,"Spring",IF(C206=2,"Summer",IF(C206=3,"Fall","Winter")))</f>
        <v>Spring</v>
      </c>
      <c r="M206" s="3">
        <f>SUM(J206:J230)</f>
        <v>3.7400000000000024</v>
      </c>
      <c r="N206" s="3">
        <f>AVERAGE(J206:J815)</f>
        <v>0.18113300492610843</v>
      </c>
      <c r="O206" s="3">
        <f>COUNT(J206:J815)</f>
        <v>406</v>
      </c>
      <c r="P206" s="3" t="str">
        <f>TEXT(J206,"0.00")</f>
        <v>0.16</v>
      </c>
      <c r="Q206" s="3" t="str">
        <f>LEFT(L206,3)</f>
        <v>Spr</v>
      </c>
      <c r="R206" s="7" t="str">
        <f>RIGHT(L206,3)</f>
        <v>ing</v>
      </c>
      <c r="S206" s="8">
        <f>LEN(L206)</f>
        <v>6</v>
      </c>
      <c r="T206" s="36" t="str">
        <f>A206&amp;"|"&amp;B206&amp;"|"&amp;F206</f>
        <v>205|40787|19</v>
      </c>
      <c r="V206" s="32">
        <f>VLOOKUP(A206,Sheet2!A:H,3,FALSE)</f>
        <v>0.1212</v>
      </c>
      <c r="W206" s="32">
        <f>VLOOKUP(A206,Sheet2!A:H,4,FALSE)</f>
        <v>0.46</v>
      </c>
      <c r="X206" s="32">
        <f>VLOOKUP(A206,Sheet2!A:H,7,FALSE)</f>
        <v>38</v>
      </c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spans="1:37" x14ac:dyDescent="0.2">
      <c r="A207" s="4">
        <v>206</v>
      </c>
      <c r="B207" s="5">
        <v>40787</v>
      </c>
      <c r="C207" s="4">
        <v>1</v>
      </c>
      <c r="D207" s="4">
        <v>0</v>
      </c>
      <c r="E207" s="4">
        <v>1</v>
      </c>
      <c r="F207" s="4">
        <v>20</v>
      </c>
      <c r="G207" s="4" t="b">
        <v>0</v>
      </c>
      <c r="H207" s="4">
        <v>0</v>
      </c>
      <c r="I207" s="4">
        <v>1</v>
      </c>
      <c r="J207" s="4">
        <v>0.14000000000000001</v>
      </c>
      <c r="K207" s="6" t="str">
        <f>IF(H207=0,"weekend",IF(H207=6,"weekend","weekend"))</f>
        <v>weekend</v>
      </c>
      <c r="L207" s="3" t="str">
        <f>IF(C207=1,"Spring",IF(C207=2,"Summer",IF(C207=3,"Fall","Winter")))</f>
        <v>Spring</v>
      </c>
      <c r="M207" s="3">
        <f>SUM(J207:J231)</f>
        <v>3.7400000000000024</v>
      </c>
      <c r="N207" s="3">
        <f>AVERAGE(J207:J816)</f>
        <v>0.1811851851851852</v>
      </c>
      <c r="O207" s="3">
        <f>COUNT(J207:J816)</f>
        <v>405</v>
      </c>
      <c r="P207" s="3" t="str">
        <f>TEXT(J207,"0.00")</f>
        <v>0.14</v>
      </c>
      <c r="Q207" s="3" t="str">
        <f>LEFT(L207,3)</f>
        <v>Spr</v>
      </c>
      <c r="R207" s="7" t="str">
        <f>RIGHT(L207,3)</f>
        <v>ing</v>
      </c>
      <c r="S207" s="8">
        <f>LEN(L207)</f>
        <v>6</v>
      </c>
      <c r="T207" s="36" t="str">
        <f>A207&amp;"|"&amp;B207&amp;"|"&amp;F207</f>
        <v>206|40787|20</v>
      </c>
      <c r="V207" s="32">
        <f>VLOOKUP(A207,Sheet2!A:H,3,FALSE)</f>
        <v>0.1061</v>
      </c>
      <c r="W207" s="32">
        <f>VLOOKUP(A207,Sheet2!A:H,4,FALSE)</f>
        <v>0.46</v>
      </c>
      <c r="X207" s="32">
        <f>VLOOKUP(A207,Sheet2!A:H,7,FALSE)</f>
        <v>19</v>
      </c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spans="1:37" x14ac:dyDescent="0.2">
      <c r="A208" s="4">
        <v>207</v>
      </c>
      <c r="B208" s="5">
        <v>40787</v>
      </c>
      <c r="C208" s="4">
        <v>1</v>
      </c>
      <c r="D208" s="4">
        <v>0</v>
      </c>
      <c r="E208" s="4">
        <v>1</v>
      </c>
      <c r="F208" s="4">
        <v>21</v>
      </c>
      <c r="G208" s="4" t="b">
        <v>0</v>
      </c>
      <c r="H208" s="4">
        <v>0</v>
      </c>
      <c r="I208" s="4">
        <v>1</v>
      </c>
      <c r="J208" s="4">
        <v>0.14000000000000001</v>
      </c>
      <c r="K208" s="6" t="str">
        <f>IF(H208=0,"weekend",IF(H208=6,"weekend","weekend"))</f>
        <v>weekend</v>
      </c>
      <c r="L208" s="3" t="str">
        <f>IF(C208=1,"Spring",IF(C208=2,"Summer",IF(C208=3,"Fall","Winter")))</f>
        <v>Spring</v>
      </c>
      <c r="M208" s="3">
        <f>SUM(J208:J232)</f>
        <v>3.740000000000002</v>
      </c>
      <c r="N208" s="3">
        <f>AVERAGE(J208:J817)</f>
        <v>0.18128712871287134</v>
      </c>
      <c r="O208" s="3">
        <f>COUNT(J208:J817)</f>
        <v>404</v>
      </c>
      <c r="P208" s="3" t="str">
        <f>TEXT(J208,"0.00")</f>
        <v>0.14</v>
      </c>
      <c r="Q208" s="3" t="str">
        <f>LEFT(L208,3)</f>
        <v>Spr</v>
      </c>
      <c r="R208" s="7" t="str">
        <f>RIGHT(L208,3)</f>
        <v>ing</v>
      </c>
      <c r="S208" s="8">
        <f>LEN(L208)</f>
        <v>6</v>
      </c>
      <c r="T208" s="36" t="str">
        <f>A208&amp;"|"&amp;B208&amp;"|"&amp;F208</f>
        <v>207|40787|21</v>
      </c>
      <c r="V208" s="32">
        <f>VLOOKUP(A208,Sheet2!A:H,3,FALSE)</f>
        <v>0.1212</v>
      </c>
      <c r="W208" s="32">
        <f>VLOOKUP(A208,Sheet2!A:H,4,FALSE)</f>
        <v>0.46</v>
      </c>
      <c r="X208" s="32">
        <f>VLOOKUP(A208,Sheet2!A:H,7,FALSE)</f>
        <v>10</v>
      </c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spans="1:37" x14ac:dyDescent="0.2">
      <c r="A209" s="4">
        <v>208</v>
      </c>
      <c r="B209" s="5">
        <v>40787</v>
      </c>
      <c r="C209" s="4">
        <v>1</v>
      </c>
      <c r="D209" s="4">
        <v>0</v>
      </c>
      <c r="E209" s="4">
        <v>1</v>
      </c>
      <c r="F209" s="4">
        <v>22</v>
      </c>
      <c r="G209" s="4" t="b">
        <v>0</v>
      </c>
      <c r="H209" s="4">
        <v>0</v>
      </c>
      <c r="I209" s="4">
        <v>1</v>
      </c>
      <c r="J209" s="4">
        <v>0.14000000000000001</v>
      </c>
      <c r="K209" s="6" t="str">
        <f>IF(H209=0,"weekend",IF(H209=6,"weekend","weekend"))</f>
        <v>weekend</v>
      </c>
      <c r="L209" s="3" t="str">
        <f>IF(C209=1,"Spring",IF(C209=2,"Summer",IF(C209=3,"Fall","Winter")))</f>
        <v>Spring</v>
      </c>
      <c r="M209" s="3">
        <f>SUM(J209:J233)</f>
        <v>3.740000000000002</v>
      </c>
      <c r="N209" s="3">
        <f>AVERAGE(J209:J818)</f>
        <v>0.18138957816377177</v>
      </c>
      <c r="O209" s="3">
        <f>COUNT(J209:J818)</f>
        <v>403</v>
      </c>
      <c r="P209" s="3" t="str">
        <f>TEXT(J209,"0.00")</f>
        <v>0.14</v>
      </c>
      <c r="Q209" s="3" t="str">
        <f>LEFT(L209,3)</f>
        <v>Spr</v>
      </c>
      <c r="R209" s="7" t="str">
        <f>RIGHT(L209,3)</f>
        <v>ing</v>
      </c>
      <c r="S209" s="8">
        <f>LEN(L209)</f>
        <v>6</v>
      </c>
      <c r="T209" s="36" t="str">
        <f>A209&amp;"|"&amp;B209&amp;"|"&amp;F209</f>
        <v>208|40787|22</v>
      </c>
      <c r="V209" s="32">
        <f>VLOOKUP(A209,Sheet2!A:H,3,FALSE)</f>
        <v>0.13639999999999999</v>
      </c>
      <c r="W209" s="32">
        <f>VLOOKUP(A209,Sheet2!A:H,4,FALSE)</f>
        <v>0.5</v>
      </c>
      <c r="X209" s="32">
        <f>VLOOKUP(A209,Sheet2!A:H,7,FALSE)</f>
        <v>6</v>
      </c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spans="1:37" x14ac:dyDescent="0.2">
      <c r="A210" s="4">
        <v>209</v>
      </c>
      <c r="B210" s="5">
        <v>40787</v>
      </c>
      <c r="C210" s="4">
        <v>1</v>
      </c>
      <c r="D210" s="4">
        <v>0</v>
      </c>
      <c r="E210" s="4">
        <v>1</v>
      </c>
      <c r="F210" s="4">
        <v>23</v>
      </c>
      <c r="G210" s="4" t="b">
        <v>0</v>
      </c>
      <c r="H210" s="4">
        <v>0</v>
      </c>
      <c r="I210" s="4">
        <v>1</v>
      </c>
      <c r="J210" s="4">
        <v>0.12</v>
      </c>
      <c r="K210" s="6" t="str">
        <f>IF(H210=0,"weekend",IF(H210=6,"weekend","weekend"))</f>
        <v>weekend</v>
      </c>
      <c r="L210" s="3" t="str">
        <f>IF(C210=1,"Spring",IF(C210=2,"Summer",IF(C210=3,"Fall","Winter")))</f>
        <v>Spring</v>
      </c>
      <c r="M210" s="3">
        <f>SUM(J210:J234)</f>
        <v>3.740000000000002</v>
      </c>
      <c r="N210" s="3">
        <f>AVERAGE(J210:J819)</f>
        <v>0.18149253731343284</v>
      </c>
      <c r="O210" s="3">
        <f>COUNT(J210:J819)</f>
        <v>402</v>
      </c>
      <c r="P210" s="3" t="str">
        <f>TEXT(J210,"0.00")</f>
        <v>0.12</v>
      </c>
      <c r="Q210" s="3" t="str">
        <f>LEFT(L210,3)</f>
        <v>Spr</v>
      </c>
      <c r="R210" s="7" t="str">
        <f>RIGHT(L210,3)</f>
        <v>ing</v>
      </c>
      <c r="S210" s="8">
        <f>LEN(L210)</f>
        <v>6</v>
      </c>
      <c r="T210" s="36" t="str">
        <f>A210&amp;"|"&amp;B210&amp;"|"&amp;F210</f>
        <v>209|40787|23</v>
      </c>
      <c r="V210" s="32">
        <f>VLOOKUP(A210,Sheet2!A:H,3,FALSE)</f>
        <v>0.1212</v>
      </c>
      <c r="W210" s="32">
        <f>VLOOKUP(A210,Sheet2!A:H,4,FALSE)</f>
        <v>0.5</v>
      </c>
      <c r="X210" s="32">
        <f>VLOOKUP(A210,Sheet2!A:H,7,FALSE)</f>
        <v>3</v>
      </c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spans="1:37" x14ac:dyDescent="0.2">
      <c r="A211" s="4">
        <v>210</v>
      </c>
      <c r="B211" s="5">
        <v>40817</v>
      </c>
      <c r="C211" s="4">
        <v>1</v>
      </c>
      <c r="D211" s="4">
        <v>0</v>
      </c>
      <c r="E211" s="4">
        <v>1</v>
      </c>
      <c r="F211" s="4">
        <v>0</v>
      </c>
      <c r="G211" s="4" t="b">
        <v>0</v>
      </c>
      <c r="H211" s="4">
        <v>1</v>
      </c>
      <c r="I211" s="4">
        <v>1</v>
      </c>
      <c r="J211" s="4">
        <v>0.12</v>
      </c>
      <c r="K211" s="6" t="str">
        <f>IF(H211=0,"weekend",IF(H211=6,"weekend","weekend"))</f>
        <v>weekend</v>
      </c>
      <c r="L211" s="3" t="str">
        <f>IF(C211=1,"Spring",IF(C211=2,"Summer",IF(C211=3,"Fall","Winter")))</f>
        <v>Spring</v>
      </c>
      <c r="M211" s="3">
        <f>SUM(J211:J235)</f>
        <v>3.7600000000000016</v>
      </c>
      <c r="N211" s="3">
        <f>AVERAGE(J211:J820)</f>
        <v>0.18164588528678305</v>
      </c>
      <c r="O211" s="3">
        <f>COUNT(J211:J820)</f>
        <v>401</v>
      </c>
      <c r="P211" s="3" t="str">
        <f>TEXT(J211,"0.00")</f>
        <v>0.12</v>
      </c>
      <c r="Q211" s="3" t="str">
        <f>LEFT(L211,3)</f>
        <v>Spr</v>
      </c>
      <c r="R211" s="7" t="str">
        <f>RIGHT(L211,3)</f>
        <v>ing</v>
      </c>
      <c r="S211" s="8">
        <f>LEN(L211)</f>
        <v>6</v>
      </c>
      <c r="T211" s="36" t="str">
        <f>A211&amp;"|"&amp;B211&amp;"|"&amp;F211</f>
        <v>210|40817|0</v>
      </c>
      <c r="V211" s="32">
        <f>VLOOKUP(A211,Sheet2!A:H,3,FALSE)</f>
        <v>0.1212</v>
      </c>
      <c r="W211" s="32">
        <f>VLOOKUP(A211,Sheet2!A:H,4,FALSE)</f>
        <v>0.5</v>
      </c>
      <c r="X211" s="32">
        <f>VLOOKUP(A211,Sheet2!A:H,7,FALSE)</f>
        <v>0</v>
      </c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spans="1:37" x14ac:dyDescent="0.2">
      <c r="A212" s="4">
        <v>211</v>
      </c>
      <c r="B212" s="5">
        <v>40817</v>
      </c>
      <c r="C212" s="4">
        <v>1</v>
      </c>
      <c r="D212" s="4">
        <v>0</v>
      </c>
      <c r="E212" s="4">
        <v>1</v>
      </c>
      <c r="F212" s="4">
        <v>1</v>
      </c>
      <c r="G212" s="4" t="b">
        <v>0</v>
      </c>
      <c r="H212" s="4">
        <v>1</v>
      </c>
      <c r="I212" s="4">
        <v>1</v>
      </c>
      <c r="J212" s="4">
        <v>0.12</v>
      </c>
      <c r="K212" s="6" t="str">
        <f>IF(H212=0,"weekend",IF(H212=6,"weekend","weekend"))</f>
        <v>weekend</v>
      </c>
      <c r="L212" s="3" t="str">
        <f>IF(C212=1,"Spring",IF(C212=2,"Summer",IF(C212=3,"Fall","Winter")))</f>
        <v>Spring</v>
      </c>
      <c r="M212" s="3">
        <f>SUM(J212:J236)</f>
        <v>3.7800000000000016</v>
      </c>
      <c r="N212" s="3">
        <f>AVERAGE(J212:J821)</f>
        <v>0.18180000000000004</v>
      </c>
      <c r="O212" s="3">
        <f>COUNT(J212:J821)</f>
        <v>400</v>
      </c>
      <c r="P212" s="3" t="str">
        <f>TEXT(J212,"0.00")</f>
        <v>0.12</v>
      </c>
      <c r="Q212" s="3" t="str">
        <f>LEFT(L212,3)</f>
        <v>Spr</v>
      </c>
      <c r="R212" s="7" t="str">
        <f>RIGHT(L212,3)</f>
        <v>ing</v>
      </c>
      <c r="S212" s="8">
        <f>LEN(L212)</f>
        <v>6</v>
      </c>
      <c r="T212" s="36" t="str">
        <f>A212&amp;"|"&amp;B212&amp;"|"&amp;F212</f>
        <v>211|40817|1</v>
      </c>
      <c r="V212" s="32">
        <f>VLOOKUP(A212,Sheet2!A:H,3,FALSE)</f>
        <v>0.1212</v>
      </c>
      <c r="W212" s="32">
        <f>VLOOKUP(A212,Sheet2!A:H,4,FALSE)</f>
        <v>0.5</v>
      </c>
      <c r="X212" s="32">
        <f>VLOOKUP(A212,Sheet2!A:H,7,FALSE)</f>
        <v>3</v>
      </c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spans="1:37" x14ac:dyDescent="0.2">
      <c r="A213" s="4">
        <v>212</v>
      </c>
      <c r="B213" s="5">
        <v>40817</v>
      </c>
      <c r="C213" s="4">
        <v>1</v>
      </c>
      <c r="D213" s="4">
        <v>0</v>
      </c>
      <c r="E213" s="4">
        <v>1</v>
      </c>
      <c r="F213" s="4">
        <v>2</v>
      </c>
      <c r="G213" s="4" t="b">
        <v>0</v>
      </c>
      <c r="H213" s="4">
        <v>1</v>
      </c>
      <c r="I213" s="4">
        <v>1</v>
      </c>
      <c r="J213" s="4">
        <v>0.12</v>
      </c>
      <c r="K213" s="6" t="str">
        <f>IF(H213=0,"weekend",IF(H213=6,"weekend","weekend"))</f>
        <v>weekend</v>
      </c>
      <c r="L213" s="3" t="str">
        <f>IF(C213=1,"Spring",IF(C213=2,"Summer",IF(C213=3,"Fall","Winter")))</f>
        <v>Spring</v>
      </c>
      <c r="M213" s="3">
        <f>SUM(J213:J237)</f>
        <v>3.8200000000000016</v>
      </c>
      <c r="N213" s="3">
        <f>AVERAGE(J213:J822)</f>
        <v>0.18195488721804515</v>
      </c>
      <c r="O213" s="3">
        <f>COUNT(J213:J822)</f>
        <v>399</v>
      </c>
      <c r="P213" s="3" t="str">
        <f>TEXT(J213,"0.00")</f>
        <v>0.12</v>
      </c>
      <c r="Q213" s="3" t="str">
        <f>LEFT(L213,3)</f>
        <v>Spr</v>
      </c>
      <c r="R213" s="7" t="str">
        <f>RIGHT(L213,3)</f>
        <v>ing</v>
      </c>
      <c r="S213" s="8">
        <f>LEN(L213)</f>
        <v>6</v>
      </c>
      <c r="T213" s="36" t="str">
        <f>A213&amp;"|"&amp;B213&amp;"|"&amp;F213</f>
        <v>212|40817|2</v>
      </c>
      <c r="V213" s="32">
        <f>VLOOKUP(A213,Sheet2!A:H,3,FALSE)</f>
        <v>0.1212</v>
      </c>
      <c r="W213" s="32">
        <f>VLOOKUP(A213,Sheet2!A:H,4,FALSE)</f>
        <v>0.5</v>
      </c>
      <c r="X213" s="32">
        <f>VLOOKUP(A213,Sheet2!A:H,7,FALSE)</f>
        <v>1</v>
      </c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spans="1:37" x14ac:dyDescent="0.2">
      <c r="A214" s="4">
        <v>213</v>
      </c>
      <c r="B214" s="5">
        <v>40817</v>
      </c>
      <c r="C214" s="4">
        <v>1</v>
      </c>
      <c r="D214" s="4">
        <v>0</v>
      </c>
      <c r="E214" s="4">
        <v>1</v>
      </c>
      <c r="F214" s="4">
        <v>3</v>
      </c>
      <c r="G214" s="4" t="b">
        <v>0</v>
      </c>
      <c r="H214" s="4">
        <v>1</v>
      </c>
      <c r="I214" s="4">
        <v>1</v>
      </c>
      <c r="J214" s="4">
        <v>0.12</v>
      </c>
      <c r="K214" s="6" t="str">
        <f>IF(H214=0,"weekend",IF(H214=6,"weekend","weekend"))</f>
        <v>weekend</v>
      </c>
      <c r="L214" s="3" t="str">
        <f>IF(C214=1,"Spring",IF(C214=2,"Summer",IF(C214=3,"Fall","Winter")))</f>
        <v>Spring</v>
      </c>
      <c r="M214" s="3">
        <f>SUM(J214:J238)</f>
        <v>3.8600000000000017</v>
      </c>
      <c r="N214" s="3">
        <f>AVERAGE(J214:J823)</f>
        <v>0.18211055276381913</v>
      </c>
      <c r="O214" s="3">
        <f>COUNT(J214:J823)</f>
        <v>398</v>
      </c>
      <c r="P214" s="3" t="str">
        <f>TEXT(J214,"0.00")</f>
        <v>0.12</v>
      </c>
      <c r="Q214" s="3" t="str">
        <f>LEFT(L214,3)</f>
        <v>Spr</v>
      </c>
      <c r="R214" s="7" t="str">
        <f>RIGHT(L214,3)</f>
        <v>ing</v>
      </c>
      <c r="S214" s="8">
        <f>LEN(L214)</f>
        <v>6</v>
      </c>
      <c r="T214" s="36" t="str">
        <f>A214&amp;"|"&amp;B214&amp;"|"&amp;F214</f>
        <v>213|40817|3</v>
      </c>
      <c r="V214" s="32">
        <f>VLOOKUP(A214,Sheet2!A:H,3,FALSE)</f>
        <v>0.1212</v>
      </c>
      <c r="W214" s="32">
        <f>VLOOKUP(A214,Sheet2!A:H,4,FALSE)</f>
        <v>0.54</v>
      </c>
      <c r="X214" s="32">
        <f>VLOOKUP(A214,Sheet2!A:H,7,FALSE)</f>
        <v>2</v>
      </c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spans="1:37" x14ac:dyDescent="0.2">
      <c r="A215" s="4">
        <v>214</v>
      </c>
      <c r="B215" s="5">
        <v>40817</v>
      </c>
      <c r="C215" s="4">
        <v>1</v>
      </c>
      <c r="D215" s="4">
        <v>0</v>
      </c>
      <c r="E215" s="4">
        <v>1</v>
      </c>
      <c r="F215" s="4">
        <v>4</v>
      </c>
      <c r="G215" s="4" t="b">
        <v>0</v>
      </c>
      <c r="H215" s="4">
        <v>1</v>
      </c>
      <c r="I215" s="4">
        <v>1</v>
      </c>
      <c r="J215" s="4">
        <v>0.1</v>
      </c>
      <c r="K215" s="6" t="str">
        <f>IF(H215=0,"weekend",IF(H215=6,"weekend","weekend"))</f>
        <v>weekend</v>
      </c>
      <c r="L215" s="3" t="str">
        <f>IF(C215=1,"Spring",IF(C215=2,"Summer",IF(C215=3,"Fall","Winter")))</f>
        <v>Spring</v>
      </c>
      <c r="M215" s="3">
        <f>SUM(J215:J239)</f>
        <v>3.9000000000000012</v>
      </c>
      <c r="N215" s="3">
        <f>AVERAGE(J215:J824)</f>
        <v>0.18226700251889175</v>
      </c>
      <c r="O215" s="3">
        <f>COUNT(J215:J824)</f>
        <v>397</v>
      </c>
      <c r="P215" s="3" t="str">
        <f>TEXT(J215,"0.00")</f>
        <v>0.10</v>
      </c>
      <c r="Q215" s="3" t="str">
        <f>LEFT(L215,3)</f>
        <v>Spr</v>
      </c>
      <c r="R215" s="7" t="str">
        <f>RIGHT(L215,3)</f>
        <v>ing</v>
      </c>
      <c r="S215" s="8">
        <f>LEN(L215)</f>
        <v>6</v>
      </c>
      <c r="T215" s="36" t="str">
        <f>A215&amp;"|"&amp;B215&amp;"|"&amp;F215</f>
        <v>214|40817|4</v>
      </c>
      <c r="V215" s="32">
        <f>VLOOKUP(A215,Sheet2!A:H,3,FALSE)</f>
        <v>0.1061</v>
      </c>
      <c r="W215" s="32">
        <f>VLOOKUP(A215,Sheet2!A:H,4,FALSE)</f>
        <v>0.54</v>
      </c>
      <c r="X215" s="32">
        <f>VLOOKUP(A215,Sheet2!A:H,7,FALSE)</f>
        <v>3</v>
      </c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spans="1:37" x14ac:dyDescent="0.2">
      <c r="A216" s="4">
        <v>215</v>
      </c>
      <c r="B216" s="5">
        <v>40817</v>
      </c>
      <c r="C216" s="4">
        <v>1</v>
      </c>
      <c r="D216" s="4">
        <v>0</v>
      </c>
      <c r="E216" s="4">
        <v>1</v>
      </c>
      <c r="F216" s="4">
        <v>5</v>
      </c>
      <c r="G216" s="4" t="b">
        <v>0</v>
      </c>
      <c r="H216" s="4">
        <v>1</v>
      </c>
      <c r="I216" s="4">
        <v>1</v>
      </c>
      <c r="J216" s="4">
        <v>0.1</v>
      </c>
      <c r="K216" s="6" t="str">
        <f>IF(H216=0,"weekend",IF(H216=6,"weekend","weekend"))</f>
        <v>weekend</v>
      </c>
      <c r="L216" s="3" t="str">
        <f>IF(C216=1,"Spring",IF(C216=2,"Summer",IF(C216=3,"Fall","Winter")))</f>
        <v>Spring</v>
      </c>
      <c r="M216" s="3">
        <f>SUM(J216:J240)</f>
        <v>3.9600000000000017</v>
      </c>
      <c r="N216" s="3">
        <f>AVERAGE(J216:J825)</f>
        <v>0.18247474747474757</v>
      </c>
      <c r="O216" s="3">
        <f>COUNT(J216:J825)</f>
        <v>396</v>
      </c>
      <c r="P216" s="3" t="str">
        <f>TEXT(J216,"0.00")</f>
        <v>0.10</v>
      </c>
      <c r="Q216" s="3" t="str">
        <f>LEFT(L216,3)</f>
        <v>Spr</v>
      </c>
      <c r="R216" s="7" t="str">
        <f>RIGHT(L216,3)</f>
        <v>ing</v>
      </c>
      <c r="S216" s="8">
        <f>LEN(L216)</f>
        <v>6</v>
      </c>
      <c r="T216" s="36" t="str">
        <f>A216&amp;"|"&amp;B216&amp;"|"&amp;F216</f>
        <v>215|40817|5</v>
      </c>
      <c r="V216" s="32">
        <f>VLOOKUP(A216,Sheet2!A:H,3,FALSE)</f>
        <v>0.1212</v>
      </c>
      <c r="W216" s="32">
        <f>VLOOKUP(A216,Sheet2!A:H,4,FALSE)</f>
        <v>0.5</v>
      </c>
      <c r="X216" s="32">
        <f>VLOOKUP(A216,Sheet2!A:H,7,FALSE)</f>
        <v>31</v>
      </c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spans="1:37" x14ac:dyDescent="0.2">
      <c r="A217" s="4">
        <v>216</v>
      </c>
      <c r="B217" s="5">
        <v>40817</v>
      </c>
      <c r="C217" s="4">
        <v>1</v>
      </c>
      <c r="D217" s="4">
        <v>0</v>
      </c>
      <c r="E217" s="4">
        <v>1</v>
      </c>
      <c r="F217" s="4">
        <v>6</v>
      </c>
      <c r="G217" s="4" t="b">
        <v>0</v>
      </c>
      <c r="H217" s="4">
        <v>1</v>
      </c>
      <c r="I217" s="4">
        <v>1</v>
      </c>
      <c r="J217" s="4">
        <v>0.12</v>
      </c>
      <c r="K217" s="6" t="str">
        <f>IF(H217=0,"weekend",IF(H217=6,"weekend","weekend"))</f>
        <v>weekend</v>
      </c>
      <c r="L217" s="3" t="str">
        <f>IF(C217=1,"Spring",IF(C217=2,"Summer",IF(C217=3,"Fall","Winter")))</f>
        <v>Spring</v>
      </c>
      <c r="M217" s="3">
        <f>SUM(J217:J241)</f>
        <v>4.0400000000000009</v>
      </c>
      <c r="N217" s="3">
        <f>AVERAGE(J217:J826)</f>
        <v>0.18268354430379752</v>
      </c>
      <c r="O217" s="3">
        <f>COUNT(J217:J826)</f>
        <v>395</v>
      </c>
      <c r="P217" s="3" t="str">
        <f>TEXT(J217,"0.00")</f>
        <v>0.12</v>
      </c>
      <c r="Q217" s="3" t="str">
        <f>LEFT(L217,3)</f>
        <v>Spr</v>
      </c>
      <c r="R217" s="7" t="str">
        <f>RIGHT(L217,3)</f>
        <v>ing</v>
      </c>
      <c r="S217" s="8">
        <f>LEN(L217)</f>
        <v>6</v>
      </c>
      <c r="T217" s="36" t="str">
        <f>A217&amp;"|"&amp;B217&amp;"|"&amp;F217</f>
        <v>216|40817|6</v>
      </c>
      <c r="V217" s="32">
        <f>VLOOKUP(A217,Sheet2!A:H,3,FALSE)</f>
        <v>0.1212</v>
      </c>
      <c r="W217" s="32">
        <f>VLOOKUP(A217,Sheet2!A:H,4,FALSE)</f>
        <v>0.5</v>
      </c>
      <c r="X217" s="32">
        <f>VLOOKUP(A217,Sheet2!A:H,7,FALSE)</f>
        <v>75</v>
      </c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spans="1:37" x14ac:dyDescent="0.2">
      <c r="A218" s="4">
        <v>217</v>
      </c>
      <c r="B218" s="5">
        <v>40817</v>
      </c>
      <c r="C218" s="4">
        <v>1</v>
      </c>
      <c r="D218" s="4">
        <v>0</v>
      </c>
      <c r="E218" s="4">
        <v>1</v>
      </c>
      <c r="F218" s="4">
        <v>7</v>
      </c>
      <c r="G218" s="4" t="b">
        <v>0</v>
      </c>
      <c r="H218" s="4">
        <v>1</v>
      </c>
      <c r="I218" s="4">
        <v>1</v>
      </c>
      <c r="J218" s="4">
        <v>0.12</v>
      </c>
      <c r="K218" s="6" t="str">
        <f>IF(H218=0,"weekend",IF(H218=6,"weekend","weekend"))</f>
        <v>weekend</v>
      </c>
      <c r="L218" s="3" t="str">
        <f>IF(C218=1,"Spring",IF(C218=2,"Summer",IF(C218=3,"Fall","Winter")))</f>
        <v>Spring</v>
      </c>
      <c r="M218" s="3">
        <f>SUM(J218:J242)</f>
        <v>4.1000000000000014</v>
      </c>
      <c r="N218" s="3">
        <f>AVERAGE(J218:J827)</f>
        <v>0.18284263959390867</v>
      </c>
      <c r="O218" s="3">
        <f>COUNT(J218:J827)</f>
        <v>394</v>
      </c>
      <c r="P218" s="3" t="str">
        <f>TEXT(J218,"0.00")</f>
        <v>0.12</v>
      </c>
      <c r="Q218" s="3" t="str">
        <f>LEFT(L218,3)</f>
        <v>Spr</v>
      </c>
      <c r="R218" s="7" t="str">
        <f>RIGHT(L218,3)</f>
        <v>ing</v>
      </c>
      <c r="S218" s="8">
        <f>LEN(L218)</f>
        <v>6</v>
      </c>
      <c r="T218" s="36" t="str">
        <f>A218&amp;"|"&amp;B218&amp;"|"&amp;F218</f>
        <v>217|40817|7</v>
      </c>
      <c r="V218" s="32">
        <f>VLOOKUP(A218,Sheet2!A:H,3,FALSE)</f>
        <v>0.1212</v>
      </c>
      <c r="W218" s="32">
        <f>VLOOKUP(A218,Sheet2!A:H,4,FALSE)</f>
        <v>0.5</v>
      </c>
      <c r="X218" s="32">
        <f>VLOOKUP(A218,Sheet2!A:H,7,FALSE)</f>
        <v>184</v>
      </c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spans="1:37" x14ac:dyDescent="0.2">
      <c r="A219" s="4">
        <v>218</v>
      </c>
      <c r="B219" s="5">
        <v>40817</v>
      </c>
      <c r="C219" s="4">
        <v>1</v>
      </c>
      <c r="D219" s="4">
        <v>0</v>
      </c>
      <c r="E219" s="4">
        <v>1</v>
      </c>
      <c r="F219" s="4">
        <v>8</v>
      </c>
      <c r="G219" s="4" t="b">
        <v>0</v>
      </c>
      <c r="H219" s="4">
        <v>1</v>
      </c>
      <c r="I219" s="4">
        <v>2</v>
      </c>
      <c r="J219" s="4">
        <v>0.12</v>
      </c>
      <c r="K219" s="6" t="str">
        <f>IF(H219=0,"weekend",IF(H219=6,"weekend","weekend"))</f>
        <v>weekend</v>
      </c>
      <c r="L219" s="3" t="str">
        <f>IF(C219=1,"Spring",IF(C219=2,"Summer",IF(C219=3,"Fall","Winter")))</f>
        <v>Spring</v>
      </c>
      <c r="M219" s="3">
        <f>SUM(J219:J243)</f>
        <v>4.1800000000000015</v>
      </c>
      <c r="N219" s="3">
        <f>AVERAGE(J219:J828)</f>
        <v>0.18300254452926215</v>
      </c>
      <c r="O219" s="3">
        <f>COUNT(J219:J828)</f>
        <v>393</v>
      </c>
      <c r="P219" s="3" t="str">
        <f>TEXT(J219,"0.00")</f>
        <v>0.12</v>
      </c>
      <c r="Q219" s="3" t="str">
        <f>LEFT(L219,3)</f>
        <v>Spr</v>
      </c>
      <c r="R219" s="7" t="str">
        <f>RIGHT(L219,3)</f>
        <v>ing</v>
      </c>
      <c r="S219" s="8">
        <f>LEN(L219)</f>
        <v>6</v>
      </c>
      <c r="T219" s="36" t="str">
        <f>A219&amp;"|"&amp;B219&amp;"|"&amp;F219</f>
        <v>218|40817|8</v>
      </c>
      <c r="V219" s="32">
        <f>VLOOKUP(A219,Sheet2!A:H,3,FALSE)</f>
        <v>0.1212</v>
      </c>
      <c r="W219" s="32">
        <f>VLOOKUP(A219,Sheet2!A:H,4,FALSE)</f>
        <v>0.5</v>
      </c>
      <c r="X219" s="32">
        <f>VLOOKUP(A219,Sheet2!A:H,7,FALSE)</f>
        <v>92</v>
      </c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spans="1:37" x14ac:dyDescent="0.2">
      <c r="A220" s="4">
        <v>219</v>
      </c>
      <c r="B220" s="5">
        <v>40817</v>
      </c>
      <c r="C220" s="4">
        <v>1</v>
      </c>
      <c r="D220" s="4">
        <v>0</v>
      </c>
      <c r="E220" s="4">
        <v>1</v>
      </c>
      <c r="F220" s="4">
        <v>9</v>
      </c>
      <c r="G220" s="4" t="b">
        <v>0</v>
      </c>
      <c r="H220" s="4">
        <v>1</v>
      </c>
      <c r="I220" s="4">
        <v>2</v>
      </c>
      <c r="J220" s="4">
        <v>0.14000000000000001</v>
      </c>
      <c r="K220" s="6" t="str">
        <f>IF(H220=0,"weekend",IF(H220=6,"weekend","weekend"))</f>
        <v>weekend</v>
      </c>
      <c r="L220" s="3" t="str">
        <f>IF(C220=1,"Spring",IF(C220=2,"Summer",IF(C220=3,"Fall","Winter")))</f>
        <v>Spring</v>
      </c>
      <c r="M220" s="3">
        <f>SUM(J220:J244)</f>
        <v>4.2600000000000016</v>
      </c>
      <c r="N220" s="3">
        <f>AVERAGE(J220:J829)</f>
        <v>0.18316326530612251</v>
      </c>
      <c r="O220" s="3">
        <f>COUNT(J220:J829)</f>
        <v>392</v>
      </c>
      <c r="P220" s="3" t="str">
        <f>TEXT(J220,"0.00")</f>
        <v>0.14</v>
      </c>
      <c r="Q220" s="3" t="str">
        <f>LEFT(L220,3)</f>
        <v>Spr</v>
      </c>
      <c r="R220" s="7" t="str">
        <f>RIGHT(L220,3)</f>
        <v>ing</v>
      </c>
      <c r="S220" s="8">
        <f>LEN(L220)</f>
        <v>6</v>
      </c>
      <c r="T220" s="36" t="str">
        <f>A220&amp;"|"&amp;B220&amp;"|"&amp;F220</f>
        <v>219|40817|9</v>
      </c>
      <c r="V220" s="32">
        <f>VLOOKUP(A220,Sheet2!A:H,3,FALSE)</f>
        <v>0.1212</v>
      </c>
      <c r="W220" s="32">
        <f>VLOOKUP(A220,Sheet2!A:H,4,FALSE)</f>
        <v>0.5</v>
      </c>
      <c r="X220" s="32">
        <f>VLOOKUP(A220,Sheet2!A:H,7,FALSE)</f>
        <v>31</v>
      </c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spans="1:37" x14ac:dyDescent="0.2">
      <c r="A221" s="4">
        <v>220</v>
      </c>
      <c r="B221" s="5">
        <v>40817</v>
      </c>
      <c r="C221" s="4">
        <v>1</v>
      </c>
      <c r="D221" s="4">
        <v>0</v>
      </c>
      <c r="E221" s="4">
        <v>1</v>
      </c>
      <c r="F221" s="4">
        <v>10</v>
      </c>
      <c r="G221" s="4" t="b">
        <v>0</v>
      </c>
      <c r="H221" s="4">
        <v>1</v>
      </c>
      <c r="I221" s="4">
        <v>2</v>
      </c>
      <c r="J221" s="4">
        <v>0.14000000000000001</v>
      </c>
      <c r="K221" s="6" t="str">
        <f>IF(H221=0,"weekend",IF(H221=6,"weekend","weekend"))</f>
        <v>weekend</v>
      </c>
      <c r="L221" s="3" t="str">
        <f>IF(C221=1,"Spring",IF(C221=2,"Summer",IF(C221=3,"Fall","Winter")))</f>
        <v>Spring</v>
      </c>
      <c r="M221" s="3">
        <f>SUM(J221:J245)</f>
        <v>4.3200000000000012</v>
      </c>
      <c r="N221" s="3">
        <f>AVERAGE(J221:J830)</f>
        <v>0.18327365728900263</v>
      </c>
      <c r="O221" s="3">
        <f>COUNT(J221:J830)</f>
        <v>391</v>
      </c>
      <c r="P221" s="3" t="str">
        <f>TEXT(J221,"0.00")</f>
        <v>0.14</v>
      </c>
      <c r="Q221" s="3" t="str">
        <f>LEFT(L221,3)</f>
        <v>Spr</v>
      </c>
      <c r="R221" s="7" t="str">
        <f>RIGHT(L221,3)</f>
        <v>ing</v>
      </c>
      <c r="S221" s="8">
        <f>LEN(L221)</f>
        <v>6</v>
      </c>
      <c r="T221" s="36" t="str">
        <f>A221&amp;"|"&amp;B221&amp;"|"&amp;F221</f>
        <v>220|40817|10</v>
      </c>
      <c r="V221" s="32">
        <f>VLOOKUP(A221,Sheet2!A:H,3,FALSE)</f>
        <v>0.13639999999999999</v>
      </c>
      <c r="W221" s="32">
        <f>VLOOKUP(A221,Sheet2!A:H,4,FALSE)</f>
        <v>0.47</v>
      </c>
      <c r="X221" s="32">
        <f>VLOOKUP(A221,Sheet2!A:H,7,FALSE)</f>
        <v>28</v>
      </c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spans="1:37" x14ac:dyDescent="0.2">
      <c r="A222" s="4">
        <v>221</v>
      </c>
      <c r="B222" s="5">
        <v>40817</v>
      </c>
      <c r="C222" s="4">
        <v>1</v>
      </c>
      <c r="D222" s="4">
        <v>0</v>
      </c>
      <c r="E222" s="4">
        <v>1</v>
      </c>
      <c r="F222" s="4">
        <v>11</v>
      </c>
      <c r="G222" s="4" t="b">
        <v>0</v>
      </c>
      <c r="H222" s="4">
        <v>1</v>
      </c>
      <c r="I222" s="4">
        <v>2</v>
      </c>
      <c r="J222" s="4">
        <v>0.16</v>
      </c>
      <c r="K222" s="6" t="str">
        <f>IF(H222=0,"weekend",IF(H222=6,"weekend","weekend"))</f>
        <v>weekend</v>
      </c>
      <c r="L222" s="3" t="str">
        <f>IF(C222=1,"Spring",IF(C222=2,"Summer",IF(C222=3,"Fall","Winter")))</f>
        <v>Spring</v>
      </c>
      <c r="M222" s="3">
        <f>SUM(J222:J246)</f>
        <v>4.3800000000000017</v>
      </c>
      <c r="N222" s="3">
        <f>AVERAGE(J222:J831)</f>
        <v>0.18338461538461545</v>
      </c>
      <c r="O222" s="3">
        <f>COUNT(J222:J831)</f>
        <v>390</v>
      </c>
      <c r="P222" s="3" t="str">
        <f>TEXT(J222,"0.00")</f>
        <v>0.16</v>
      </c>
      <c r="Q222" s="3" t="str">
        <f>LEFT(L222,3)</f>
        <v>Spr</v>
      </c>
      <c r="R222" s="7" t="str">
        <f>RIGHT(L222,3)</f>
        <v>ing</v>
      </c>
      <c r="S222" s="8">
        <f>LEN(L222)</f>
        <v>6</v>
      </c>
      <c r="T222" s="36" t="str">
        <f>A222&amp;"|"&amp;B222&amp;"|"&amp;F222</f>
        <v>221|40817|11</v>
      </c>
      <c r="V222" s="32">
        <f>VLOOKUP(A222,Sheet2!A:H,3,FALSE)</f>
        <v>0.18179999999999999</v>
      </c>
      <c r="W222" s="32">
        <f>VLOOKUP(A222,Sheet2!A:H,4,FALSE)</f>
        <v>0.4</v>
      </c>
      <c r="X222" s="32">
        <f>VLOOKUP(A222,Sheet2!A:H,7,FALSE)</f>
        <v>47</v>
      </c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spans="1:37" x14ac:dyDescent="0.2">
      <c r="A223" s="4">
        <v>222</v>
      </c>
      <c r="B223" s="5">
        <v>40817</v>
      </c>
      <c r="C223" s="4">
        <v>1</v>
      </c>
      <c r="D223" s="4">
        <v>0</v>
      </c>
      <c r="E223" s="4">
        <v>1</v>
      </c>
      <c r="F223" s="4">
        <v>12</v>
      </c>
      <c r="G223" s="4" t="b">
        <v>0</v>
      </c>
      <c r="H223" s="4">
        <v>1</v>
      </c>
      <c r="I223" s="4">
        <v>2</v>
      </c>
      <c r="J223" s="4">
        <v>0.2</v>
      </c>
      <c r="K223" s="6" t="str">
        <f>IF(H223=0,"weekend",IF(H223=6,"weekend","weekend"))</f>
        <v>weekend</v>
      </c>
      <c r="L223" s="3" t="str">
        <f>IF(C223=1,"Spring",IF(C223=2,"Summer",IF(C223=3,"Fall","Winter")))</f>
        <v>Spring</v>
      </c>
      <c r="M223" s="3">
        <f>SUM(J223:J247)</f>
        <v>4.4200000000000017</v>
      </c>
      <c r="N223" s="3">
        <f>AVERAGE(J223:J832)</f>
        <v>0.18344473007712089</v>
      </c>
      <c r="O223" s="3">
        <f>COUNT(J223:J832)</f>
        <v>389</v>
      </c>
      <c r="P223" s="3" t="str">
        <f>TEXT(J223,"0.00")</f>
        <v>0.20</v>
      </c>
      <c r="Q223" s="3" t="str">
        <f>LEFT(L223,3)</f>
        <v>Spr</v>
      </c>
      <c r="R223" s="7" t="str">
        <f>RIGHT(L223,3)</f>
        <v>ing</v>
      </c>
      <c r="S223" s="8">
        <f>LEN(L223)</f>
        <v>6</v>
      </c>
      <c r="T223" s="36" t="str">
        <f>A223&amp;"|"&amp;B223&amp;"|"&amp;F223</f>
        <v>222|40817|12</v>
      </c>
      <c r="V223" s="32">
        <f>VLOOKUP(A223,Sheet2!A:H,3,FALSE)</f>
        <v>0.18179999999999999</v>
      </c>
      <c r="W223" s="32">
        <f>VLOOKUP(A223,Sheet2!A:H,4,FALSE)</f>
        <v>0.4</v>
      </c>
      <c r="X223" s="32">
        <f>VLOOKUP(A223,Sheet2!A:H,7,FALSE)</f>
        <v>50</v>
      </c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spans="1:37" x14ac:dyDescent="0.2">
      <c r="A224" s="4">
        <v>223</v>
      </c>
      <c r="B224" s="5">
        <v>40817</v>
      </c>
      <c r="C224" s="4">
        <v>1</v>
      </c>
      <c r="D224" s="4">
        <v>0</v>
      </c>
      <c r="E224" s="4">
        <v>1</v>
      </c>
      <c r="F224" s="4">
        <v>13</v>
      </c>
      <c r="G224" s="4" t="b">
        <v>0</v>
      </c>
      <c r="H224" s="4">
        <v>1</v>
      </c>
      <c r="I224" s="4">
        <v>2</v>
      </c>
      <c r="J224" s="4">
        <v>0.2</v>
      </c>
      <c r="K224" s="6" t="str">
        <f>IF(H224=0,"weekend",IF(H224=6,"weekend","weekend"))</f>
        <v>weekend</v>
      </c>
      <c r="L224" s="3" t="str">
        <f>IF(C224=1,"Spring",IF(C224=2,"Summer",IF(C224=3,"Fall","Winter")))</f>
        <v>Spring</v>
      </c>
      <c r="M224" s="3">
        <f>SUM(J224:J248)</f>
        <v>4.3800000000000017</v>
      </c>
      <c r="N224" s="3">
        <f>AVERAGE(J224:J833)</f>
        <v>0.18340206185567018</v>
      </c>
      <c r="O224" s="3">
        <f>COUNT(J224:J833)</f>
        <v>388</v>
      </c>
      <c r="P224" s="3" t="str">
        <f>TEXT(J224,"0.00")</f>
        <v>0.20</v>
      </c>
      <c r="Q224" s="3" t="str">
        <f>LEFT(L224,3)</f>
        <v>Spr</v>
      </c>
      <c r="R224" s="7" t="str">
        <f>RIGHT(L224,3)</f>
        <v>ing</v>
      </c>
      <c r="S224" s="8">
        <f>LEN(L224)</f>
        <v>6</v>
      </c>
      <c r="T224" s="36" t="str">
        <f>A224&amp;"|"&amp;B224&amp;"|"&amp;F224</f>
        <v>223|40817|13</v>
      </c>
      <c r="V224" s="32">
        <f>VLOOKUP(A224,Sheet2!A:H,3,FALSE)</f>
        <v>0.19700000000000001</v>
      </c>
      <c r="W224" s="32">
        <f>VLOOKUP(A224,Sheet2!A:H,4,FALSE)</f>
        <v>0.4</v>
      </c>
      <c r="X224" s="32">
        <f>VLOOKUP(A224,Sheet2!A:H,7,FALSE)</f>
        <v>47</v>
      </c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spans="1:37" x14ac:dyDescent="0.2">
      <c r="A225" s="4">
        <v>224</v>
      </c>
      <c r="B225" s="5">
        <v>40817</v>
      </c>
      <c r="C225" s="4">
        <v>1</v>
      </c>
      <c r="D225" s="4">
        <v>0</v>
      </c>
      <c r="E225" s="4">
        <v>1</v>
      </c>
      <c r="F225" s="4">
        <v>14</v>
      </c>
      <c r="G225" s="4" t="b">
        <v>0</v>
      </c>
      <c r="H225" s="4">
        <v>1</v>
      </c>
      <c r="I225" s="4">
        <v>2</v>
      </c>
      <c r="J225" s="4">
        <v>0.2</v>
      </c>
      <c r="K225" s="6" t="str">
        <f>IF(H225=0,"weekend",IF(H225=6,"weekend","weekend"))</f>
        <v>weekend</v>
      </c>
      <c r="L225" s="3" t="str">
        <f>IF(C225=1,"Spring",IF(C225=2,"Summer",IF(C225=3,"Fall","Winter")))</f>
        <v>Spring</v>
      </c>
      <c r="M225" s="3">
        <f>SUM(J225:J249)</f>
        <v>4.3400000000000025</v>
      </c>
      <c r="N225" s="3">
        <f>AVERAGE(J225:J834)</f>
        <v>0.18335917312661509</v>
      </c>
      <c r="O225" s="3">
        <f>COUNT(J225:J834)</f>
        <v>387</v>
      </c>
      <c r="P225" s="3" t="str">
        <f>TEXT(J225,"0.00")</f>
        <v>0.20</v>
      </c>
      <c r="Q225" s="3" t="str">
        <f>LEFT(L225,3)</f>
        <v>Spr</v>
      </c>
      <c r="R225" s="7" t="str">
        <f>RIGHT(L225,3)</f>
        <v>ing</v>
      </c>
      <c r="S225" s="8">
        <f>LEN(L225)</f>
        <v>6</v>
      </c>
      <c r="T225" s="36" t="str">
        <f>A225&amp;"|"&amp;B225&amp;"|"&amp;F225</f>
        <v>224|40817|14</v>
      </c>
      <c r="V225" s="32">
        <f>VLOOKUP(A225,Sheet2!A:H,3,FALSE)</f>
        <v>0.19700000000000001</v>
      </c>
      <c r="W225" s="32">
        <f>VLOOKUP(A225,Sheet2!A:H,4,FALSE)</f>
        <v>0.4</v>
      </c>
      <c r="X225" s="32">
        <f>VLOOKUP(A225,Sheet2!A:H,7,FALSE)</f>
        <v>43</v>
      </c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spans="1:37" x14ac:dyDescent="0.2">
      <c r="A226" s="4">
        <v>225</v>
      </c>
      <c r="B226" s="5">
        <v>40817</v>
      </c>
      <c r="C226" s="4">
        <v>1</v>
      </c>
      <c r="D226" s="4">
        <v>0</v>
      </c>
      <c r="E226" s="4">
        <v>1</v>
      </c>
      <c r="F226" s="4">
        <v>15</v>
      </c>
      <c r="G226" s="4" t="b">
        <v>0</v>
      </c>
      <c r="H226" s="4">
        <v>1</v>
      </c>
      <c r="I226" s="4">
        <v>2</v>
      </c>
      <c r="J226" s="4">
        <v>0.2</v>
      </c>
      <c r="K226" s="6" t="str">
        <f>IF(H226=0,"weekend",IF(H226=6,"weekend","weekend"))</f>
        <v>weekend</v>
      </c>
      <c r="L226" s="3" t="str">
        <f>IF(C226=1,"Spring",IF(C226=2,"Summer",IF(C226=3,"Fall","Winter")))</f>
        <v>Spring</v>
      </c>
      <c r="M226" s="3">
        <f>SUM(J226:J250)</f>
        <v>4.3000000000000025</v>
      </c>
      <c r="N226" s="3">
        <f>AVERAGE(J226:J835)</f>
        <v>0.18331606217616592</v>
      </c>
      <c r="O226" s="3">
        <f>COUNT(J226:J835)</f>
        <v>386</v>
      </c>
      <c r="P226" s="3" t="str">
        <f>TEXT(J226,"0.00")</f>
        <v>0.20</v>
      </c>
      <c r="Q226" s="3" t="str">
        <f>LEFT(L226,3)</f>
        <v>Spr</v>
      </c>
      <c r="R226" s="7" t="str">
        <f>RIGHT(L226,3)</f>
        <v>ing</v>
      </c>
      <c r="S226" s="8">
        <f>LEN(L226)</f>
        <v>6</v>
      </c>
      <c r="T226" s="36" t="str">
        <f>A226&amp;"|"&amp;B226&amp;"|"&amp;F226</f>
        <v>225|40817|15</v>
      </c>
      <c r="V226" s="32">
        <f>VLOOKUP(A226,Sheet2!A:H,3,FALSE)</f>
        <v>0.21210000000000001</v>
      </c>
      <c r="W226" s="32">
        <f>VLOOKUP(A226,Sheet2!A:H,4,FALSE)</f>
        <v>0.4</v>
      </c>
      <c r="X226" s="32">
        <f>VLOOKUP(A226,Sheet2!A:H,7,FALSE)</f>
        <v>70</v>
      </c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spans="1:37" x14ac:dyDescent="0.2">
      <c r="A227" s="4">
        <v>226</v>
      </c>
      <c r="B227" s="5">
        <v>40817</v>
      </c>
      <c r="C227" s="4">
        <v>1</v>
      </c>
      <c r="D227" s="4">
        <v>0</v>
      </c>
      <c r="E227" s="4">
        <v>1</v>
      </c>
      <c r="F227" s="4">
        <v>16</v>
      </c>
      <c r="G227" s="4" t="b">
        <v>0</v>
      </c>
      <c r="H227" s="4">
        <v>1</v>
      </c>
      <c r="I227" s="4">
        <v>1</v>
      </c>
      <c r="J227" s="4">
        <v>0.2</v>
      </c>
      <c r="K227" s="6" t="str">
        <f>IF(H227=0,"weekend",IF(H227=6,"weekend","weekend"))</f>
        <v>weekend</v>
      </c>
      <c r="L227" s="3" t="str">
        <f>IF(C227=1,"Spring",IF(C227=2,"Summer",IF(C227=3,"Fall","Winter")))</f>
        <v>Spring</v>
      </c>
      <c r="M227" s="3">
        <f>SUM(J227:J251)</f>
        <v>4.2600000000000025</v>
      </c>
      <c r="N227" s="3">
        <f>AVERAGE(J227:J836)</f>
        <v>0.18327272727272739</v>
      </c>
      <c r="O227" s="3">
        <f>COUNT(J227:J836)</f>
        <v>385</v>
      </c>
      <c r="P227" s="3" t="str">
        <f>TEXT(J227,"0.00")</f>
        <v>0.20</v>
      </c>
      <c r="Q227" s="3" t="str">
        <f>LEFT(L227,3)</f>
        <v>Spr</v>
      </c>
      <c r="R227" s="7" t="str">
        <f>RIGHT(L227,3)</f>
        <v>ing</v>
      </c>
      <c r="S227" s="8">
        <f>LEN(L227)</f>
        <v>6</v>
      </c>
      <c r="T227" s="36" t="str">
        <f>A227&amp;"|"&amp;B227&amp;"|"&amp;F227</f>
        <v>226|40817|16</v>
      </c>
      <c r="V227" s="32">
        <f>VLOOKUP(A227,Sheet2!A:H,3,FALSE)</f>
        <v>0.2273</v>
      </c>
      <c r="W227" s="32">
        <f>VLOOKUP(A227,Sheet2!A:H,4,FALSE)</f>
        <v>0.4</v>
      </c>
      <c r="X227" s="32">
        <f>VLOOKUP(A227,Sheet2!A:H,7,FALSE)</f>
        <v>174</v>
      </c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spans="1:37" x14ac:dyDescent="0.2">
      <c r="A228" s="4">
        <v>227</v>
      </c>
      <c r="B228" s="5">
        <v>40817</v>
      </c>
      <c r="C228" s="4">
        <v>1</v>
      </c>
      <c r="D228" s="4">
        <v>0</v>
      </c>
      <c r="E228" s="4">
        <v>1</v>
      </c>
      <c r="F228" s="4">
        <v>17</v>
      </c>
      <c r="G228" s="4" t="b">
        <v>0</v>
      </c>
      <c r="H228" s="4">
        <v>1</v>
      </c>
      <c r="I228" s="4">
        <v>1</v>
      </c>
      <c r="J228" s="4">
        <v>0.2</v>
      </c>
      <c r="K228" s="6" t="str">
        <f>IF(H228=0,"weekend",IF(H228=6,"weekend","weekend"))</f>
        <v>weekend</v>
      </c>
      <c r="L228" s="3" t="str">
        <f>IF(C228=1,"Spring",IF(C228=2,"Summer",IF(C228=3,"Fall","Winter")))</f>
        <v>Spring</v>
      </c>
      <c r="M228" s="3">
        <f>SUM(J228:J252)</f>
        <v>4.2200000000000015</v>
      </c>
      <c r="N228" s="3">
        <f>AVERAGE(J228:J837)</f>
        <v>0.18322916666666678</v>
      </c>
      <c r="O228" s="3">
        <f>COUNT(J228:J837)</f>
        <v>384</v>
      </c>
      <c r="P228" s="3" t="str">
        <f>TEXT(J228,"0.00")</f>
        <v>0.20</v>
      </c>
      <c r="Q228" s="3" t="str">
        <f>LEFT(L228,3)</f>
        <v>Spr</v>
      </c>
      <c r="R228" s="7" t="str">
        <f>RIGHT(L228,3)</f>
        <v>ing</v>
      </c>
      <c r="S228" s="8">
        <f>LEN(L228)</f>
        <v>6</v>
      </c>
      <c r="T228" s="36" t="str">
        <f>A228&amp;"|"&amp;B228&amp;"|"&amp;F228</f>
        <v>227|40817|17</v>
      </c>
      <c r="V228" s="32">
        <f>VLOOKUP(A228,Sheet2!A:H,3,FALSE)</f>
        <v>0.19700000000000001</v>
      </c>
      <c r="W228" s="32">
        <f>VLOOKUP(A228,Sheet2!A:H,4,FALSE)</f>
        <v>0.4</v>
      </c>
      <c r="X228" s="32">
        <f>VLOOKUP(A228,Sheet2!A:H,7,FALSE)</f>
        <v>154</v>
      </c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spans="1:37" x14ac:dyDescent="0.2">
      <c r="A229" s="4">
        <v>228</v>
      </c>
      <c r="B229" s="5">
        <v>40817</v>
      </c>
      <c r="C229" s="4">
        <v>1</v>
      </c>
      <c r="D229" s="4">
        <v>0</v>
      </c>
      <c r="E229" s="4">
        <v>1</v>
      </c>
      <c r="F229" s="4">
        <v>18</v>
      </c>
      <c r="G229" s="4" t="b">
        <v>0</v>
      </c>
      <c r="H229" s="4">
        <v>1</v>
      </c>
      <c r="I229" s="4">
        <v>1</v>
      </c>
      <c r="J229" s="4">
        <v>0.2</v>
      </c>
      <c r="K229" s="6" t="str">
        <f>IF(H229=0,"weekend",IF(H229=6,"weekend","weekend"))</f>
        <v>weekend</v>
      </c>
      <c r="L229" s="3" t="str">
        <f>IF(C229=1,"Spring",IF(C229=2,"Summer",IF(C229=3,"Fall","Winter")))</f>
        <v>Spring</v>
      </c>
      <c r="M229" s="3">
        <f>SUM(J229:J253)</f>
        <v>4.1800000000000015</v>
      </c>
      <c r="N229" s="3">
        <f>AVERAGE(J229:J838)</f>
        <v>0.18318537859007844</v>
      </c>
      <c r="O229" s="3">
        <f>COUNT(J229:J838)</f>
        <v>383</v>
      </c>
      <c r="P229" s="3" t="str">
        <f>TEXT(J229,"0.00")</f>
        <v>0.20</v>
      </c>
      <c r="Q229" s="3" t="str">
        <f>LEFT(L229,3)</f>
        <v>Spr</v>
      </c>
      <c r="R229" s="7" t="str">
        <f>RIGHT(L229,3)</f>
        <v>ing</v>
      </c>
      <c r="S229" s="8">
        <f>LEN(L229)</f>
        <v>6</v>
      </c>
      <c r="T229" s="36" t="str">
        <f>A229&amp;"|"&amp;B229&amp;"|"&amp;F229</f>
        <v>228|40817|18</v>
      </c>
      <c r="V229" s="32">
        <f>VLOOKUP(A229,Sheet2!A:H,3,FALSE)</f>
        <v>0.16669999999999999</v>
      </c>
      <c r="W229" s="32">
        <f>VLOOKUP(A229,Sheet2!A:H,4,FALSE)</f>
        <v>0.47</v>
      </c>
      <c r="X229" s="32">
        <f>VLOOKUP(A229,Sheet2!A:H,7,FALSE)</f>
        <v>92</v>
      </c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spans="1:37" x14ac:dyDescent="0.2">
      <c r="A230" s="4">
        <v>229</v>
      </c>
      <c r="B230" s="5">
        <v>40817</v>
      </c>
      <c r="C230" s="4">
        <v>1</v>
      </c>
      <c r="D230" s="4">
        <v>0</v>
      </c>
      <c r="E230" s="4">
        <v>1</v>
      </c>
      <c r="F230" s="4">
        <v>19</v>
      </c>
      <c r="G230" s="4" t="b">
        <v>0</v>
      </c>
      <c r="H230" s="4">
        <v>1</v>
      </c>
      <c r="I230" s="4">
        <v>1</v>
      </c>
      <c r="J230" s="4">
        <v>0.16</v>
      </c>
      <c r="K230" s="6" t="str">
        <f>IF(H230=0,"weekend",IF(H230=6,"weekend","weekend"))</f>
        <v>weekend</v>
      </c>
      <c r="L230" s="3" t="str">
        <f>IF(C230=1,"Spring",IF(C230=2,"Summer",IF(C230=3,"Fall","Winter")))</f>
        <v>Spring</v>
      </c>
      <c r="M230" s="3">
        <f>SUM(J230:J254)</f>
        <v>4.1400000000000015</v>
      </c>
      <c r="N230" s="3">
        <f>AVERAGE(J230:J839)</f>
        <v>0.18314136125654459</v>
      </c>
      <c r="O230" s="3">
        <f>COUNT(J230:J839)</f>
        <v>382</v>
      </c>
      <c r="P230" s="3" t="str">
        <f>TEXT(J230,"0.00")</f>
        <v>0.16</v>
      </c>
      <c r="Q230" s="3" t="str">
        <f>LEFT(L230,3)</f>
        <v>Spr</v>
      </c>
      <c r="R230" s="7" t="str">
        <f>RIGHT(L230,3)</f>
        <v>ing</v>
      </c>
      <c r="S230" s="8">
        <f>LEN(L230)</f>
        <v>6</v>
      </c>
      <c r="T230" s="36" t="str">
        <f>A230&amp;"|"&amp;B230&amp;"|"&amp;F230</f>
        <v>229|40817|19</v>
      </c>
      <c r="V230" s="32">
        <f>VLOOKUP(A230,Sheet2!A:H,3,FALSE)</f>
        <v>0.16669999999999999</v>
      </c>
      <c r="W230" s="32">
        <f>VLOOKUP(A230,Sheet2!A:H,4,FALSE)</f>
        <v>0.5</v>
      </c>
      <c r="X230" s="32">
        <f>VLOOKUP(A230,Sheet2!A:H,7,FALSE)</f>
        <v>73</v>
      </c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spans="1:37" x14ac:dyDescent="0.2">
      <c r="A231" s="4">
        <v>230</v>
      </c>
      <c r="B231" s="5">
        <v>40817</v>
      </c>
      <c r="C231" s="4">
        <v>1</v>
      </c>
      <c r="D231" s="4">
        <v>0</v>
      </c>
      <c r="E231" s="4">
        <v>1</v>
      </c>
      <c r="F231" s="4">
        <v>20</v>
      </c>
      <c r="G231" s="4" t="b">
        <v>0</v>
      </c>
      <c r="H231" s="4">
        <v>1</v>
      </c>
      <c r="I231" s="4">
        <v>1</v>
      </c>
      <c r="J231" s="4">
        <v>0.16</v>
      </c>
      <c r="K231" s="6" t="str">
        <f>IF(H231=0,"weekend",IF(H231=6,"weekend","weekend"))</f>
        <v>weekend</v>
      </c>
      <c r="L231" s="3" t="str">
        <f>IF(C231=1,"Spring",IF(C231=2,"Summer",IF(C231=3,"Fall","Winter")))</f>
        <v>Spring</v>
      </c>
      <c r="M231" s="3">
        <f>SUM(J231:J255)</f>
        <v>4.1400000000000015</v>
      </c>
      <c r="N231" s="3">
        <f>AVERAGE(J231:J840)</f>
        <v>0.1832020997375329</v>
      </c>
      <c r="O231" s="3">
        <f>COUNT(J231:J840)</f>
        <v>381</v>
      </c>
      <c r="P231" s="3" t="str">
        <f>TEXT(J231,"0.00")</f>
        <v>0.16</v>
      </c>
      <c r="Q231" s="3" t="str">
        <f>LEFT(L231,3)</f>
        <v>Spr</v>
      </c>
      <c r="R231" s="7" t="str">
        <f>RIGHT(L231,3)</f>
        <v>ing</v>
      </c>
      <c r="S231" s="8">
        <f>LEN(L231)</f>
        <v>6</v>
      </c>
      <c r="T231" s="36" t="str">
        <f>A231&amp;"|"&amp;B231&amp;"|"&amp;F231</f>
        <v>230|40817|20</v>
      </c>
      <c r="V231" s="32">
        <f>VLOOKUP(A231,Sheet2!A:H,3,FALSE)</f>
        <v>0.13639999999999999</v>
      </c>
      <c r="W231" s="32">
        <f>VLOOKUP(A231,Sheet2!A:H,4,FALSE)</f>
        <v>0.59</v>
      </c>
      <c r="X231" s="32">
        <f>VLOOKUP(A231,Sheet2!A:H,7,FALSE)</f>
        <v>37</v>
      </c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spans="1:37" x14ac:dyDescent="0.2">
      <c r="A232" s="4">
        <v>231</v>
      </c>
      <c r="B232" s="5">
        <v>40817</v>
      </c>
      <c r="C232" s="4">
        <v>1</v>
      </c>
      <c r="D232" s="4">
        <v>0</v>
      </c>
      <c r="E232" s="4">
        <v>1</v>
      </c>
      <c r="F232" s="4">
        <v>21</v>
      </c>
      <c r="G232" s="4" t="b">
        <v>0</v>
      </c>
      <c r="H232" s="4">
        <v>1</v>
      </c>
      <c r="I232" s="4">
        <v>1</v>
      </c>
      <c r="J232" s="4">
        <v>0.14000000000000001</v>
      </c>
      <c r="K232" s="6" t="str">
        <f>IF(H232=0,"weekend",IF(H232=6,"weekend","weekend"))</f>
        <v>weekend</v>
      </c>
      <c r="L232" s="3" t="str">
        <f>IF(C232=1,"Spring",IF(C232=2,"Summer",IF(C232=3,"Fall","Winter")))</f>
        <v>Spring</v>
      </c>
      <c r="M232" s="3">
        <f>SUM(J232:J256)</f>
        <v>4.1400000000000015</v>
      </c>
      <c r="N232" s="3">
        <f>AVERAGE(J232:J841)</f>
        <v>0.18326315789473696</v>
      </c>
      <c r="O232" s="3">
        <f>COUNT(J232:J841)</f>
        <v>380</v>
      </c>
      <c r="P232" s="3" t="str">
        <f>TEXT(J232,"0.00")</f>
        <v>0.14</v>
      </c>
      <c r="Q232" s="3" t="str">
        <f>LEFT(L232,3)</f>
        <v>Spr</v>
      </c>
      <c r="R232" s="7" t="str">
        <f>RIGHT(L232,3)</f>
        <v>ing</v>
      </c>
      <c r="S232" s="8">
        <f>LEN(L232)</f>
        <v>6</v>
      </c>
      <c r="T232" s="36" t="str">
        <f>A232&amp;"|"&amp;B232&amp;"|"&amp;F232</f>
        <v>231|40817|21</v>
      </c>
      <c r="V232" s="32">
        <f>VLOOKUP(A232,Sheet2!A:H,3,FALSE)</f>
        <v>0.1515</v>
      </c>
      <c r="W232" s="32">
        <f>VLOOKUP(A232,Sheet2!A:H,4,FALSE)</f>
        <v>0.59</v>
      </c>
      <c r="X232" s="32">
        <f>VLOOKUP(A232,Sheet2!A:H,7,FALSE)</f>
        <v>22</v>
      </c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spans="1:37" x14ac:dyDescent="0.2">
      <c r="A233" s="4">
        <v>232</v>
      </c>
      <c r="B233" s="5">
        <v>40817</v>
      </c>
      <c r="C233" s="4">
        <v>1</v>
      </c>
      <c r="D233" s="4">
        <v>0</v>
      </c>
      <c r="E233" s="4">
        <v>1</v>
      </c>
      <c r="F233" s="4">
        <v>22</v>
      </c>
      <c r="G233" s="4" t="b">
        <v>0</v>
      </c>
      <c r="H233" s="4">
        <v>1</v>
      </c>
      <c r="I233" s="4">
        <v>1</v>
      </c>
      <c r="J233" s="4">
        <v>0.14000000000000001</v>
      </c>
      <c r="K233" s="6" t="str">
        <f>IF(H233=0,"weekend",IF(H233=6,"weekend","weekend"))</f>
        <v>weekend</v>
      </c>
      <c r="L233" s="3" t="str">
        <f>IF(C233=1,"Spring",IF(C233=2,"Summer",IF(C233=3,"Fall","Winter")))</f>
        <v>Spring</v>
      </c>
      <c r="M233" s="3">
        <f>SUM(J233:J257)</f>
        <v>4.160000000000001</v>
      </c>
      <c r="N233" s="3">
        <f>AVERAGE(J233:J842)</f>
        <v>0.1833773087071241</v>
      </c>
      <c r="O233" s="3">
        <f>COUNT(J233:J842)</f>
        <v>379</v>
      </c>
      <c r="P233" s="3" t="str">
        <f>TEXT(J233,"0.00")</f>
        <v>0.14</v>
      </c>
      <c r="Q233" s="3" t="str">
        <f>LEFT(L233,3)</f>
        <v>Spr</v>
      </c>
      <c r="R233" s="7" t="str">
        <f>RIGHT(L233,3)</f>
        <v>ing</v>
      </c>
      <c r="S233" s="8">
        <f>LEN(L233)</f>
        <v>6</v>
      </c>
      <c r="T233" s="36" t="str">
        <f>A233&amp;"|"&amp;B233&amp;"|"&amp;F233</f>
        <v>232|40817|22</v>
      </c>
      <c r="V233" s="32">
        <f>VLOOKUP(A233,Sheet2!A:H,3,FALSE)</f>
        <v>0.1515</v>
      </c>
      <c r="W233" s="32">
        <f>VLOOKUP(A233,Sheet2!A:H,4,FALSE)</f>
        <v>0.59</v>
      </c>
      <c r="X233" s="32">
        <f>VLOOKUP(A233,Sheet2!A:H,7,FALSE)</f>
        <v>18</v>
      </c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spans="1:37" x14ac:dyDescent="0.2">
      <c r="A234" s="4">
        <v>233</v>
      </c>
      <c r="B234" s="5">
        <v>40817</v>
      </c>
      <c r="C234" s="4">
        <v>1</v>
      </c>
      <c r="D234" s="4">
        <v>0</v>
      </c>
      <c r="E234" s="4">
        <v>1</v>
      </c>
      <c r="F234" s="4">
        <v>23</v>
      </c>
      <c r="G234" s="4" t="b">
        <v>0</v>
      </c>
      <c r="H234" s="4">
        <v>1</v>
      </c>
      <c r="I234" s="4">
        <v>1</v>
      </c>
      <c r="J234" s="4">
        <v>0.14000000000000001</v>
      </c>
      <c r="K234" s="6" t="str">
        <f>IF(H234=0,"weekend",IF(H234=6,"weekend","weekend"))</f>
        <v>weekend</v>
      </c>
      <c r="L234" s="3" t="str">
        <f>IF(C234=1,"Spring",IF(C234=2,"Summer",IF(C234=3,"Fall","Winter")))</f>
        <v>Spring</v>
      </c>
      <c r="M234" s="3">
        <f>SUM(J234:J258)</f>
        <v>4.1800000000000015</v>
      </c>
      <c r="N234" s="3">
        <f>AVERAGE(J234:J843)</f>
        <v>0.18349206349206357</v>
      </c>
      <c r="O234" s="3">
        <f>COUNT(J234:J843)</f>
        <v>378</v>
      </c>
      <c r="P234" s="3" t="str">
        <f>TEXT(J234,"0.00")</f>
        <v>0.14</v>
      </c>
      <c r="Q234" s="3" t="str">
        <f>LEFT(L234,3)</f>
        <v>Spr</v>
      </c>
      <c r="R234" s="7" t="str">
        <f>RIGHT(L234,3)</f>
        <v>ing</v>
      </c>
      <c r="S234" s="8">
        <f>LEN(L234)</f>
        <v>6</v>
      </c>
      <c r="T234" s="36" t="str">
        <f>A234&amp;"|"&amp;B234&amp;"|"&amp;F234</f>
        <v>233|40817|23</v>
      </c>
      <c r="V234" s="32">
        <f>VLOOKUP(A234,Sheet2!A:H,3,FALSE)</f>
        <v>0.16669999999999999</v>
      </c>
      <c r="W234" s="32">
        <f>VLOOKUP(A234,Sheet2!A:H,4,FALSE)</f>
        <v>0.59</v>
      </c>
      <c r="X234" s="32">
        <f>VLOOKUP(A234,Sheet2!A:H,7,FALSE)</f>
        <v>10</v>
      </c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spans="1:37" x14ac:dyDescent="0.2">
      <c r="A235" s="4">
        <v>234</v>
      </c>
      <c r="B235" s="5">
        <v>40848</v>
      </c>
      <c r="C235" s="4">
        <v>1</v>
      </c>
      <c r="D235" s="4">
        <v>0</v>
      </c>
      <c r="E235" s="4">
        <v>1</v>
      </c>
      <c r="F235" s="4">
        <v>0</v>
      </c>
      <c r="G235" s="4" t="b">
        <v>0</v>
      </c>
      <c r="H235" s="4">
        <v>2</v>
      </c>
      <c r="I235" s="4">
        <v>1</v>
      </c>
      <c r="J235" s="4">
        <v>0.14000000000000001</v>
      </c>
      <c r="K235" s="6" t="str">
        <f>IF(H235=0,"weekend",IF(H235=6,"weekend","weekend"))</f>
        <v>weekend</v>
      </c>
      <c r="L235" s="3" t="str">
        <f>IF(C235=1,"Spring",IF(C235=2,"Summer",IF(C235=3,"Fall","Winter")))</f>
        <v>Spring</v>
      </c>
      <c r="M235" s="3">
        <f>SUM(J235:J259)</f>
        <v>4.1800000000000015</v>
      </c>
      <c r="N235" s="3">
        <f>AVERAGE(J235:J844)</f>
        <v>0.18360742705570299</v>
      </c>
      <c r="O235" s="3">
        <f>COUNT(J235:J844)</f>
        <v>377</v>
      </c>
      <c r="P235" s="3" t="str">
        <f>TEXT(J235,"0.00")</f>
        <v>0.14</v>
      </c>
      <c r="Q235" s="3" t="str">
        <f>LEFT(L235,3)</f>
        <v>Spr</v>
      </c>
      <c r="R235" s="7" t="str">
        <f>RIGHT(L235,3)</f>
        <v>ing</v>
      </c>
      <c r="S235" s="8">
        <f>LEN(L235)</f>
        <v>6</v>
      </c>
      <c r="T235" s="36" t="str">
        <f>A235&amp;"|"&amp;B235&amp;"|"&amp;F235</f>
        <v>234|40848|0</v>
      </c>
      <c r="V235" s="32">
        <f>VLOOKUP(A235,Sheet2!A:H,3,FALSE)</f>
        <v>0.1515</v>
      </c>
      <c r="W235" s="32">
        <f>VLOOKUP(A235,Sheet2!A:H,4,FALSE)</f>
        <v>0.59</v>
      </c>
      <c r="X235" s="32">
        <f>VLOOKUP(A235,Sheet2!A:H,7,FALSE)</f>
        <v>3</v>
      </c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spans="1:37" x14ac:dyDescent="0.2">
      <c r="A236" s="4">
        <v>235</v>
      </c>
      <c r="B236" s="5">
        <v>40848</v>
      </c>
      <c r="C236" s="4">
        <v>1</v>
      </c>
      <c r="D236" s="4">
        <v>0</v>
      </c>
      <c r="E236" s="4">
        <v>1</v>
      </c>
      <c r="F236" s="4">
        <v>1</v>
      </c>
      <c r="G236" s="4" t="b">
        <v>0</v>
      </c>
      <c r="H236" s="4">
        <v>2</v>
      </c>
      <c r="I236" s="4">
        <v>1</v>
      </c>
      <c r="J236" s="4">
        <v>0.14000000000000001</v>
      </c>
      <c r="K236" s="6" t="str">
        <f>IF(H236=0,"weekend",IF(H236=6,"weekend","weekend"))</f>
        <v>weekend</v>
      </c>
      <c r="L236" s="3" t="str">
        <f>IF(C236=1,"Spring",IF(C236=2,"Summer",IF(C236=3,"Fall","Winter")))</f>
        <v>Spring</v>
      </c>
      <c r="M236" s="3">
        <f>SUM(J236:J260)</f>
        <v>4.1800000000000015</v>
      </c>
      <c r="N236" s="3">
        <f>AVERAGE(J236:J845)</f>
        <v>0.18372340425531922</v>
      </c>
      <c r="O236" s="3">
        <f>COUNT(J236:J845)</f>
        <v>376</v>
      </c>
      <c r="P236" s="3" t="str">
        <f>TEXT(J236,"0.00")</f>
        <v>0.14</v>
      </c>
      <c r="Q236" s="3" t="str">
        <f>LEFT(L236,3)</f>
        <v>Spr</v>
      </c>
      <c r="R236" s="7" t="str">
        <f>RIGHT(L236,3)</f>
        <v>ing</v>
      </c>
      <c r="S236" s="8">
        <f>LEN(L236)</f>
        <v>6</v>
      </c>
      <c r="T236" s="36" t="str">
        <f>A236&amp;"|"&amp;B236&amp;"|"&amp;F236</f>
        <v>235|40848|1</v>
      </c>
      <c r="V236" s="32">
        <f>VLOOKUP(A236,Sheet2!A:H,3,FALSE)</f>
        <v>0.1515</v>
      </c>
      <c r="W236" s="32">
        <f>VLOOKUP(A236,Sheet2!A:H,4,FALSE)</f>
        <v>0.55000000000000004</v>
      </c>
      <c r="X236" s="32">
        <f>VLOOKUP(A236,Sheet2!A:H,7,FALSE)</f>
        <v>3</v>
      </c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spans="1:37" x14ac:dyDescent="0.2">
      <c r="A237" s="4">
        <v>236</v>
      </c>
      <c r="B237" s="5">
        <v>40848</v>
      </c>
      <c r="C237" s="4">
        <v>1</v>
      </c>
      <c r="D237" s="4">
        <v>0</v>
      </c>
      <c r="E237" s="4">
        <v>1</v>
      </c>
      <c r="F237" s="4">
        <v>2</v>
      </c>
      <c r="G237" s="4" t="b">
        <v>0</v>
      </c>
      <c r="H237" s="4">
        <v>2</v>
      </c>
      <c r="I237" s="4">
        <v>2</v>
      </c>
      <c r="J237" s="4">
        <v>0.16</v>
      </c>
      <c r="K237" s="6" t="str">
        <f>IF(H237=0,"weekend",IF(H237=6,"weekend","weekend"))</f>
        <v>weekend</v>
      </c>
      <c r="L237" s="3" t="str">
        <f>IF(C237=1,"Spring",IF(C237=2,"Summer",IF(C237=3,"Fall","Winter")))</f>
        <v>Spring</v>
      </c>
      <c r="M237" s="3">
        <f>SUM(J237:J261)</f>
        <v>4.160000000000001</v>
      </c>
      <c r="N237" s="3">
        <f>AVERAGE(J237:J846)</f>
        <v>0.18384000000000006</v>
      </c>
      <c r="O237" s="3">
        <f>COUNT(J237:J846)</f>
        <v>375</v>
      </c>
      <c r="P237" s="3" t="str">
        <f>TEXT(J237,"0.00")</f>
        <v>0.16</v>
      </c>
      <c r="Q237" s="3" t="str">
        <f>LEFT(L237,3)</f>
        <v>Spr</v>
      </c>
      <c r="R237" s="7" t="str">
        <f>RIGHT(L237,3)</f>
        <v>ing</v>
      </c>
      <c r="S237" s="8">
        <f>LEN(L237)</f>
        <v>6</v>
      </c>
      <c r="T237" s="36" t="str">
        <f>A237&amp;"|"&amp;B237&amp;"|"&amp;F237</f>
        <v>236|40848|2</v>
      </c>
      <c r="V237" s="32">
        <f>VLOOKUP(A237,Sheet2!A:H,3,FALSE)</f>
        <v>0.18179999999999999</v>
      </c>
      <c r="W237" s="32">
        <f>VLOOKUP(A237,Sheet2!A:H,4,FALSE)</f>
        <v>0.55000000000000004</v>
      </c>
      <c r="X237" s="32">
        <f>VLOOKUP(A237,Sheet2!A:H,7,FALSE)</f>
        <v>6</v>
      </c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spans="1:37" x14ac:dyDescent="0.2">
      <c r="A238" s="4">
        <v>237</v>
      </c>
      <c r="B238" s="5">
        <v>40848</v>
      </c>
      <c r="C238" s="4">
        <v>1</v>
      </c>
      <c r="D238" s="4">
        <v>0</v>
      </c>
      <c r="E238" s="4">
        <v>1</v>
      </c>
      <c r="F238" s="4">
        <v>5</v>
      </c>
      <c r="G238" s="4" t="b">
        <v>0</v>
      </c>
      <c r="H238" s="4">
        <v>2</v>
      </c>
      <c r="I238" s="4">
        <v>2</v>
      </c>
      <c r="J238" s="4">
        <v>0.16</v>
      </c>
      <c r="K238" s="6" t="str">
        <f>IF(H238=0,"weekend",IF(H238=6,"weekend","weekend"))</f>
        <v>weekend</v>
      </c>
      <c r="L238" s="3" t="str">
        <f>IF(C238=1,"Spring",IF(C238=2,"Summer",IF(C238=3,"Fall","Winter")))</f>
        <v>Spring</v>
      </c>
      <c r="M238" s="3">
        <f>SUM(J238:J262)</f>
        <v>4.1400000000000006</v>
      </c>
      <c r="N238" s="3">
        <f>AVERAGE(J238:J847)</f>
        <v>0.1839037433155081</v>
      </c>
      <c r="O238" s="3">
        <f>COUNT(J238:J847)</f>
        <v>374</v>
      </c>
      <c r="P238" s="3" t="str">
        <f>TEXT(J238,"0.00")</f>
        <v>0.16</v>
      </c>
      <c r="Q238" s="3" t="str">
        <f>LEFT(L238,3)</f>
        <v>Spr</v>
      </c>
      <c r="R238" s="7" t="str">
        <f>RIGHT(L238,3)</f>
        <v>ing</v>
      </c>
      <c r="S238" s="8">
        <f>LEN(L238)</f>
        <v>6</v>
      </c>
      <c r="T238" s="36" t="str">
        <f>A238&amp;"|"&amp;B238&amp;"|"&amp;F238</f>
        <v>237|40848|5</v>
      </c>
      <c r="V238" s="32">
        <f>VLOOKUP(A238,Sheet2!A:H,3,FALSE)</f>
        <v>0.18179999999999999</v>
      </c>
      <c r="W238" s="32">
        <f>VLOOKUP(A238,Sheet2!A:H,4,FALSE)</f>
        <v>0.55000000000000004</v>
      </c>
      <c r="X238" s="32">
        <f>VLOOKUP(A238,Sheet2!A:H,7,FALSE)</f>
        <v>27</v>
      </c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spans="1:37" x14ac:dyDescent="0.2">
      <c r="A239" s="4">
        <v>238</v>
      </c>
      <c r="B239" s="5">
        <v>40848</v>
      </c>
      <c r="C239" s="4">
        <v>1</v>
      </c>
      <c r="D239" s="4">
        <v>0</v>
      </c>
      <c r="E239" s="4">
        <v>1</v>
      </c>
      <c r="F239" s="4">
        <v>6</v>
      </c>
      <c r="G239" s="4" t="b">
        <v>0</v>
      </c>
      <c r="H239" s="4">
        <v>2</v>
      </c>
      <c r="I239" s="4">
        <v>2</v>
      </c>
      <c r="J239" s="4">
        <v>0.16</v>
      </c>
      <c r="K239" s="6" t="str">
        <f>IF(H239=0,"weekend",IF(H239=6,"weekend","weekend"))</f>
        <v>weekend</v>
      </c>
      <c r="L239" s="3" t="str">
        <f>IF(C239=1,"Spring",IF(C239=2,"Summer",IF(C239=3,"Fall","Winter")))</f>
        <v>Spring</v>
      </c>
      <c r="M239" s="3">
        <f>SUM(J239:J263)</f>
        <v>4.1400000000000015</v>
      </c>
      <c r="N239" s="3">
        <f>AVERAGE(J239:J848)</f>
        <v>0.18396782841823064</v>
      </c>
      <c r="O239" s="3">
        <f>COUNT(J239:J848)</f>
        <v>373</v>
      </c>
      <c r="P239" s="3" t="str">
        <f>TEXT(J239,"0.00")</f>
        <v>0.16</v>
      </c>
      <c r="Q239" s="3" t="str">
        <f>LEFT(L239,3)</f>
        <v>Spr</v>
      </c>
      <c r="R239" s="7" t="str">
        <f>RIGHT(L239,3)</f>
        <v>ing</v>
      </c>
      <c r="S239" s="8">
        <f>LEN(L239)</f>
        <v>6</v>
      </c>
      <c r="T239" s="36" t="str">
        <f>A239&amp;"|"&amp;B239&amp;"|"&amp;F239</f>
        <v>238|40848|6</v>
      </c>
      <c r="V239" s="32">
        <f>VLOOKUP(A239,Sheet2!A:H,3,FALSE)</f>
        <v>0.2273</v>
      </c>
      <c r="W239" s="32">
        <f>VLOOKUP(A239,Sheet2!A:H,4,FALSE)</f>
        <v>0.55000000000000004</v>
      </c>
      <c r="X239" s="32">
        <f>VLOOKUP(A239,Sheet2!A:H,7,FALSE)</f>
        <v>97</v>
      </c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spans="1:37" x14ac:dyDescent="0.2">
      <c r="A240" s="4">
        <v>239</v>
      </c>
      <c r="B240" s="5">
        <v>40848</v>
      </c>
      <c r="C240" s="4">
        <v>1</v>
      </c>
      <c r="D240" s="4">
        <v>0</v>
      </c>
      <c r="E240" s="4">
        <v>1</v>
      </c>
      <c r="F240" s="4">
        <v>7</v>
      </c>
      <c r="G240" s="4" t="b">
        <v>0</v>
      </c>
      <c r="H240" s="4">
        <v>2</v>
      </c>
      <c r="I240" s="4">
        <v>2</v>
      </c>
      <c r="J240" s="4">
        <v>0.16</v>
      </c>
      <c r="K240" s="6" t="str">
        <f>IF(H240=0,"weekend",IF(H240=6,"weekend","weekend"))</f>
        <v>weekend</v>
      </c>
      <c r="L240" s="3" t="str">
        <f>IF(C240=1,"Spring",IF(C240=2,"Summer",IF(C240=3,"Fall","Winter")))</f>
        <v>Spring</v>
      </c>
      <c r="M240" s="3">
        <f>SUM(J240:J264)</f>
        <v>4.1400000000000015</v>
      </c>
      <c r="N240" s="3">
        <f>AVERAGE(J240:J849)</f>
        <v>0.1840322580645162</v>
      </c>
      <c r="O240" s="3">
        <f>COUNT(J240:J849)</f>
        <v>372</v>
      </c>
      <c r="P240" s="3" t="str">
        <f>TEXT(J240,"0.00")</f>
        <v>0.16</v>
      </c>
      <c r="Q240" s="3" t="str">
        <f>LEFT(L240,3)</f>
        <v>Spr</v>
      </c>
      <c r="R240" s="7" t="str">
        <f>RIGHT(L240,3)</f>
        <v>ing</v>
      </c>
      <c r="S240" s="8">
        <f>LEN(L240)</f>
        <v>6</v>
      </c>
      <c r="T240" s="36" t="str">
        <f>A240&amp;"|"&amp;B240&amp;"|"&amp;F240</f>
        <v>239|40848|7</v>
      </c>
      <c r="V240" s="32">
        <f>VLOOKUP(A240,Sheet2!A:H,3,FALSE)</f>
        <v>0.21210000000000001</v>
      </c>
      <c r="W240" s="32">
        <f>VLOOKUP(A240,Sheet2!A:H,4,FALSE)</f>
        <v>0.51</v>
      </c>
      <c r="X240" s="32">
        <f>VLOOKUP(A240,Sheet2!A:H,7,FALSE)</f>
        <v>214</v>
      </c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spans="1:37" x14ac:dyDescent="0.2">
      <c r="A241" s="4">
        <v>240</v>
      </c>
      <c r="B241" s="5">
        <v>40848</v>
      </c>
      <c r="C241" s="4">
        <v>1</v>
      </c>
      <c r="D241" s="4">
        <v>0</v>
      </c>
      <c r="E241" s="4">
        <v>1</v>
      </c>
      <c r="F241" s="4">
        <v>8</v>
      </c>
      <c r="G241" s="4" t="b">
        <v>0</v>
      </c>
      <c r="H241" s="4">
        <v>2</v>
      </c>
      <c r="I241" s="4">
        <v>2</v>
      </c>
      <c r="J241" s="4">
        <v>0.18</v>
      </c>
      <c r="K241" s="6" t="str">
        <f>IF(H241=0,"weekend",IF(H241=6,"weekend","weekend"))</f>
        <v>weekend</v>
      </c>
      <c r="L241" s="3" t="str">
        <f>IF(C241=1,"Spring",IF(C241=2,"Summer",IF(C241=3,"Fall","Winter")))</f>
        <v>Spring</v>
      </c>
      <c r="M241" s="3">
        <f>SUM(J241:J265)</f>
        <v>4.160000000000001</v>
      </c>
      <c r="N241" s="3">
        <f>AVERAGE(J241:J850)</f>
        <v>0.18409703504043137</v>
      </c>
      <c r="O241" s="3">
        <f>COUNT(J241:J850)</f>
        <v>371</v>
      </c>
      <c r="P241" s="3" t="str">
        <f>TEXT(J241,"0.00")</f>
        <v>0.18</v>
      </c>
      <c r="Q241" s="3" t="str">
        <f>LEFT(L241,3)</f>
        <v>Spr</v>
      </c>
      <c r="R241" s="7" t="str">
        <f>RIGHT(L241,3)</f>
        <v>ing</v>
      </c>
      <c r="S241" s="8">
        <f>LEN(L241)</f>
        <v>6</v>
      </c>
      <c r="T241" s="36" t="str">
        <f>A241&amp;"|"&amp;B241&amp;"|"&amp;F241</f>
        <v>240|40848|8</v>
      </c>
      <c r="V241" s="32">
        <f>VLOOKUP(A241,Sheet2!A:H,3,FALSE)</f>
        <v>0.19700000000000001</v>
      </c>
      <c r="W241" s="32">
        <f>VLOOKUP(A241,Sheet2!A:H,4,FALSE)</f>
        <v>0.51</v>
      </c>
      <c r="X241" s="32">
        <f>VLOOKUP(A241,Sheet2!A:H,7,FALSE)</f>
        <v>127</v>
      </c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spans="1:37" x14ac:dyDescent="0.2">
      <c r="A242" s="4">
        <v>241</v>
      </c>
      <c r="B242" s="5">
        <v>40848</v>
      </c>
      <c r="C242" s="4">
        <v>1</v>
      </c>
      <c r="D242" s="4">
        <v>0</v>
      </c>
      <c r="E242" s="4">
        <v>1</v>
      </c>
      <c r="F242" s="4">
        <v>9</v>
      </c>
      <c r="G242" s="4" t="b">
        <v>0</v>
      </c>
      <c r="H242" s="4">
        <v>2</v>
      </c>
      <c r="I242" s="4">
        <v>2</v>
      </c>
      <c r="J242" s="4">
        <v>0.18</v>
      </c>
      <c r="K242" s="6" t="str">
        <f>IF(H242=0,"weekend",IF(H242=6,"weekend","weekend"))</f>
        <v>weekend</v>
      </c>
      <c r="L242" s="3" t="str">
        <f>IF(C242=1,"Spring",IF(C242=2,"Summer",IF(C242=3,"Fall","Winter")))</f>
        <v>Spring</v>
      </c>
      <c r="M242" s="3">
        <f>SUM(J242:J266)</f>
        <v>4.1800000000000015</v>
      </c>
      <c r="N242" s="3">
        <f>AVERAGE(J242:J851)</f>
        <v>0.18410810810810821</v>
      </c>
      <c r="O242" s="3">
        <f>COUNT(J242:J851)</f>
        <v>370</v>
      </c>
      <c r="P242" s="3" t="str">
        <f>TEXT(J242,"0.00")</f>
        <v>0.18</v>
      </c>
      <c r="Q242" s="3" t="str">
        <f>LEFT(L242,3)</f>
        <v>Spr</v>
      </c>
      <c r="R242" s="7" t="str">
        <f>RIGHT(L242,3)</f>
        <v>ing</v>
      </c>
      <c r="S242" s="8">
        <f>LEN(L242)</f>
        <v>6</v>
      </c>
      <c r="T242" s="36" t="str">
        <f>A242&amp;"|"&amp;B242&amp;"|"&amp;F242</f>
        <v>241|40848|9</v>
      </c>
      <c r="V242" s="32">
        <f>VLOOKUP(A242,Sheet2!A:H,3,FALSE)</f>
        <v>0.21210000000000001</v>
      </c>
      <c r="W242" s="32">
        <f>VLOOKUP(A242,Sheet2!A:H,4,FALSE)</f>
        <v>0.51</v>
      </c>
      <c r="X242" s="32">
        <f>VLOOKUP(A242,Sheet2!A:H,7,FALSE)</f>
        <v>51</v>
      </c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spans="1:37" x14ac:dyDescent="0.2">
      <c r="A243" s="4">
        <v>242</v>
      </c>
      <c r="B243" s="5">
        <v>40848</v>
      </c>
      <c r="C243" s="4">
        <v>1</v>
      </c>
      <c r="D243" s="4">
        <v>0</v>
      </c>
      <c r="E243" s="4">
        <v>1</v>
      </c>
      <c r="F243" s="4">
        <v>10</v>
      </c>
      <c r="G243" s="4" t="b">
        <v>0</v>
      </c>
      <c r="H243" s="4">
        <v>2</v>
      </c>
      <c r="I243" s="4">
        <v>2</v>
      </c>
      <c r="J243" s="4">
        <v>0.2</v>
      </c>
      <c r="K243" s="6" t="str">
        <f>IF(H243=0,"weekend",IF(H243=6,"weekend","weekend"))</f>
        <v>weekend</v>
      </c>
      <c r="L243" s="3" t="str">
        <f>IF(C243=1,"Spring",IF(C243=2,"Summer",IF(C243=3,"Fall","Winter")))</f>
        <v>Spring</v>
      </c>
      <c r="M243" s="3">
        <f>SUM(J243:J267)</f>
        <v>4.2000000000000011</v>
      </c>
      <c r="N243" s="3">
        <f>AVERAGE(J243:J852)</f>
        <v>0.18411924119241202</v>
      </c>
      <c r="O243" s="3">
        <f>COUNT(J243:J852)</f>
        <v>369</v>
      </c>
      <c r="P243" s="3" t="str">
        <f>TEXT(J243,"0.00")</f>
        <v>0.20</v>
      </c>
      <c r="Q243" s="3" t="str">
        <f>LEFT(L243,3)</f>
        <v>Spr</v>
      </c>
      <c r="R243" s="7" t="str">
        <f>RIGHT(L243,3)</f>
        <v>ing</v>
      </c>
      <c r="S243" s="8">
        <f>LEN(L243)</f>
        <v>6</v>
      </c>
      <c r="T243" s="36" t="str">
        <f>A243&amp;"|"&amp;B243&amp;"|"&amp;F243</f>
        <v>242|40848|10</v>
      </c>
      <c r="V243" s="32">
        <f>VLOOKUP(A243,Sheet2!A:H,3,FALSE)</f>
        <v>0.21210000000000001</v>
      </c>
      <c r="W243" s="32">
        <f>VLOOKUP(A243,Sheet2!A:H,4,FALSE)</f>
        <v>0.47</v>
      </c>
      <c r="X243" s="32">
        <f>VLOOKUP(A243,Sheet2!A:H,7,FALSE)</f>
        <v>31</v>
      </c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spans="1:37" x14ac:dyDescent="0.2">
      <c r="A244" s="4">
        <v>243</v>
      </c>
      <c r="B244" s="5">
        <v>40848</v>
      </c>
      <c r="C244" s="4">
        <v>1</v>
      </c>
      <c r="D244" s="4">
        <v>0</v>
      </c>
      <c r="E244" s="4">
        <v>1</v>
      </c>
      <c r="F244" s="4">
        <v>11</v>
      </c>
      <c r="G244" s="4" t="b">
        <v>0</v>
      </c>
      <c r="H244" s="4">
        <v>2</v>
      </c>
      <c r="I244" s="4">
        <v>2</v>
      </c>
      <c r="J244" s="4">
        <v>0.2</v>
      </c>
      <c r="K244" s="6" t="str">
        <f>IF(H244=0,"weekend",IF(H244=6,"weekend","weekend"))</f>
        <v>weekend</v>
      </c>
      <c r="L244" s="3" t="str">
        <f>IF(C244=1,"Spring",IF(C244=2,"Summer",IF(C244=3,"Fall","Winter")))</f>
        <v>Spring</v>
      </c>
      <c r="M244" s="3">
        <f>SUM(J244:J268)</f>
        <v>4.2200000000000006</v>
      </c>
      <c r="N244" s="3">
        <f>AVERAGE(J244:J853)</f>
        <v>0.18407608695652181</v>
      </c>
      <c r="O244" s="3">
        <f>COUNT(J244:J853)</f>
        <v>368</v>
      </c>
      <c r="P244" s="3" t="str">
        <f>TEXT(J244,"0.00")</f>
        <v>0.20</v>
      </c>
      <c r="Q244" s="3" t="str">
        <f>LEFT(L244,3)</f>
        <v>Spr</v>
      </c>
      <c r="R244" s="7" t="str">
        <f>RIGHT(L244,3)</f>
        <v>ing</v>
      </c>
      <c r="S244" s="8">
        <f>LEN(L244)</f>
        <v>6</v>
      </c>
      <c r="T244" s="36" t="str">
        <f>A244&amp;"|"&amp;B244&amp;"|"&amp;F244</f>
        <v>243|40848|11</v>
      </c>
      <c r="V244" s="32">
        <f>VLOOKUP(A244,Sheet2!A:H,3,FALSE)</f>
        <v>0.2273</v>
      </c>
      <c r="W244" s="32">
        <f>VLOOKUP(A244,Sheet2!A:H,4,FALSE)</f>
        <v>0.51</v>
      </c>
      <c r="X244" s="32">
        <f>VLOOKUP(A244,Sheet2!A:H,7,FALSE)</f>
        <v>55</v>
      </c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spans="1:37" x14ac:dyDescent="0.2">
      <c r="A245" s="4">
        <v>244</v>
      </c>
      <c r="B245" s="5">
        <v>40848</v>
      </c>
      <c r="C245" s="4">
        <v>1</v>
      </c>
      <c r="D245" s="4">
        <v>0</v>
      </c>
      <c r="E245" s="4">
        <v>1</v>
      </c>
      <c r="F245" s="4">
        <v>12</v>
      </c>
      <c r="G245" s="4" t="b">
        <v>0</v>
      </c>
      <c r="H245" s="4">
        <v>2</v>
      </c>
      <c r="I245" s="4">
        <v>2</v>
      </c>
      <c r="J245" s="4">
        <v>0.2</v>
      </c>
      <c r="K245" s="6" t="str">
        <f>IF(H245=0,"weekend",IF(H245=6,"weekend","weekend"))</f>
        <v>weekend</v>
      </c>
      <c r="L245" s="3" t="str">
        <f>IF(C245=1,"Spring",IF(C245=2,"Summer",IF(C245=3,"Fall","Winter")))</f>
        <v>Spring</v>
      </c>
      <c r="M245" s="3">
        <f>SUM(J245:J269)</f>
        <v>4.2200000000000015</v>
      </c>
      <c r="N245" s="3">
        <f>AVERAGE(J245:J854)</f>
        <v>0.18403269754768398</v>
      </c>
      <c r="O245" s="3">
        <f>COUNT(J245:J854)</f>
        <v>367</v>
      </c>
      <c r="P245" s="3" t="str">
        <f>TEXT(J245,"0.00")</f>
        <v>0.20</v>
      </c>
      <c r="Q245" s="3" t="str">
        <f>LEFT(L245,3)</f>
        <v>Spr</v>
      </c>
      <c r="R245" s="7" t="str">
        <f>RIGHT(L245,3)</f>
        <v>ing</v>
      </c>
      <c r="S245" s="8">
        <f>LEN(L245)</f>
        <v>6</v>
      </c>
      <c r="T245" s="36" t="str">
        <f>A245&amp;"|"&amp;B245&amp;"|"&amp;F245</f>
        <v>244|40848|12</v>
      </c>
      <c r="V245" s="32">
        <f>VLOOKUP(A245,Sheet2!A:H,3,FALSE)</f>
        <v>0.2273</v>
      </c>
      <c r="W245" s="32">
        <f>VLOOKUP(A245,Sheet2!A:H,4,FALSE)</f>
        <v>0.59</v>
      </c>
      <c r="X245" s="32">
        <f>VLOOKUP(A245,Sheet2!A:H,7,FALSE)</f>
        <v>46</v>
      </c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spans="1:37" x14ac:dyDescent="0.2">
      <c r="A246" s="4">
        <v>245</v>
      </c>
      <c r="B246" s="5">
        <v>40848</v>
      </c>
      <c r="C246" s="4">
        <v>1</v>
      </c>
      <c r="D246" s="4">
        <v>0</v>
      </c>
      <c r="E246" s="4">
        <v>1</v>
      </c>
      <c r="F246" s="4">
        <v>13</v>
      </c>
      <c r="G246" s="4" t="b">
        <v>0</v>
      </c>
      <c r="H246" s="4">
        <v>2</v>
      </c>
      <c r="I246" s="4">
        <v>2</v>
      </c>
      <c r="J246" s="4">
        <v>0.2</v>
      </c>
      <c r="K246" s="6" t="str">
        <f>IF(H246=0,"weekend",IF(H246=6,"weekend","weekend"))</f>
        <v>weekend</v>
      </c>
      <c r="L246" s="3" t="str">
        <f>IF(C246=1,"Spring",IF(C246=2,"Summer",IF(C246=3,"Fall","Winter")))</f>
        <v>Spring</v>
      </c>
      <c r="M246" s="3">
        <f>SUM(J246:J270)</f>
        <v>4.2200000000000015</v>
      </c>
      <c r="N246" s="3">
        <f>AVERAGE(J246:J855)</f>
        <v>0.18398907103825141</v>
      </c>
      <c r="O246" s="3">
        <f>COUNT(J246:J855)</f>
        <v>366</v>
      </c>
      <c r="P246" s="3" t="str">
        <f>TEXT(J246,"0.00")</f>
        <v>0.20</v>
      </c>
      <c r="Q246" s="3" t="str">
        <f>LEFT(L246,3)</f>
        <v>Spr</v>
      </c>
      <c r="R246" s="7" t="str">
        <f>RIGHT(L246,3)</f>
        <v>ing</v>
      </c>
      <c r="S246" s="8">
        <f>LEN(L246)</f>
        <v>6</v>
      </c>
      <c r="T246" s="36" t="str">
        <f>A246&amp;"|"&amp;B246&amp;"|"&amp;F246</f>
        <v>245|40848|13</v>
      </c>
      <c r="V246" s="32">
        <f>VLOOKUP(A246,Sheet2!A:H,3,FALSE)</f>
        <v>0.2273</v>
      </c>
      <c r="W246" s="32">
        <f>VLOOKUP(A246,Sheet2!A:H,4,FALSE)</f>
        <v>0.59</v>
      </c>
      <c r="X246" s="32">
        <f>VLOOKUP(A246,Sheet2!A:H,7,FALSE)</f>
        <v>60</v>
      </c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spans="1:37" x14ac:dyDescent="0.2">
      <c r="A247" s="4">
        <v>246</v>
      </c>
      <c r="B247" s="5">
        <v>40848</v>
      </c>
      <c r="C247" s="4">
        <v>1</v>
      </c>
      <c r="D247" s="4">
        <v>0</v>
      </c>
      <c r="E247" s="4">
        <v>1</v>
      </c>
      <c r="F247" s="4">
        <v>14</v>
      </c>
      <c r="G247" s="4" t="b">
        <v>0</v>
      </c>
      <c r="H247" s="4">
        <v>2</v>
      </c>
      <c r="I247" s="4">
        <v>2</v>
      </c>
      <c r="J247" s="4">
        <v>0.2</v>
      </c>
      <c r="K247" s="6" t="str">
        <f>IF(H247=0,"weekend",IF(H247=6,"weekend","weekend"))</f>
        <v>weekend</v>
      </c>
      <c r="L247" s="3" t="str">
        <f>IF(C247=1,"Spring",IF(C247=2,"Summer",IF(C247=3,"Fall","Winter")))</f>
        <v>Spring</v>
      </c>
      <c r="M247" s="3">
        <f>SUM(J247:J271)</f>
        <v>4.2400000000000011</v>
      </c>
      <c r="N247" s="3">
        <f>AVERAGE(J247:J856)</f>
        <v>0.18394520547945209</v>
      </c>
      <c r="O247" s="3">
        <f>COUNT(J247:J856)</f>
        <v>365</v>
      </c>
      <c r="P247" s="3" t="str">
        <f>TEXT(J247,"0.00")</f>
        <v>0.20</v>
      </c>
      <c r="Q247" s="3" t="str">
        <f>LEFT(L247,3)</f>
        <v>Spr</v>
      </c>
      <c r="R247" s="7" t="str">
        <f>RIGHT(L247,3)</f>
        <v>ing</v>
      </c>
      <c r="S247" s="8">
        <f>LEN(L247)</f>
        <v>6</v>
      </c>
      <c r="T247" s="36" t="str">
        <f>A247&amp;"|"&amp;B247&amp;"|"&amp;F247</f>
        <v>246|40848|14</v>
      </c>
      <c r="V247" s="32">
        <f>VLOOKUP(A247,Sheet2!A:H,3,FALSE)</f>
        <v>0.19700000000000001</v>
      </c>
      <c r="W247" s="32">
        <f>VLOOKUP(A247,Sheet2!A:H,4,FALSE)</f>
        <v>0.8</v>
      </c>
      <c r="X247" s="32">
        <f>VLOOKUP(A247,Sheet2!A:H,7,FALSE)</f>
        <v>45</v>
      </c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spans="1:37" x14ac:dyDescent="0.2">
      <c r="A248" s="4">
        <v>247</v>
      </c>
      <c r="B248" s="5">
        <v>40848</v>
      </c>
      <c r="C248" s="4">
        <v>1</v>
      </c>
      <c r="D248" s="4">
        <v>0</v>
      </c>
      <c r="E248" s="4">
        <v>1</v>
      </c>
      <c r="F248" s="4">
        <v>15</v>
      </c>
      <c r="G248" s="4" t="b">
        <v>0</v>
      </c>
      <c r="H248" s="4">
        <v>2</v>
      </c>
      <c r="I248" s="4">
        <v>2</v>
      </c>
      <c r="J248" s="4">
        <v>0.16</v>
      </c>
      <c r="K248" s="6" t="str">
        <f>IF(H248=0,"weekend",IF(H248=6,"weekend","weekend"))</f>
        <v>weekend</v>
      </c>
      <c r="L248" s="3" t="str">
        <f>IF(C248=1,"Spring",IF(C248=2,"Summer",IF(C248=3,"Fall","Winter")))</f>
        <v>Spring</v>
      </c>
      <c r="M248" s="3">
        <f>SUM(J248:J272)</f>
        <v>4.240000000000002</v>
      </c>
      <c r="N248" s="3">
        <f>AVERAGE(J248:J857)</f>
        <v>0.18390109890109893</v>
      </c>
      <c r="O248" s="3">
        <f>COUNT(J248:J857)</f>
        <v>364</v>
      </c>
      <c r="P248" s="3" t="str">
        <f>TEXT(J248,"0.00")</f>
        <v>0.16</v>
      </c>
      <c r="Q248" s="3" t="str">
        <f>LEFT(L248,3)</f>
        <v>Spr</v>
      </c>
      <c r="R248" s="7" t="str">
        <f>RIGHT(L248,3)</f>
        <v>ing</v>
      </c>
      <c r="S248" s="8">
        <f>LEN(L248)</f>
        <v>6</v>
      </c>
      <c r="T248" s="36" t="str">
        <f>A248&amp;"|"&amp;B248&amp;"|"&amp;F248</f>
        <v>247|40848|15</v>
      </c>
      <c r="V248" s="32">
        <f>VLOOKUP(A248,Sheet2!A:H,3,FALSE)</f>
        <v>0.1515</v>
      </c>
      <c r="W248" s="32">
        <f>VLOOKUP(A248,Sheet2!A:H,4,FALSE)</f>
        <v>0.86</v>
      </c>
      <c r="X248" s="32">
        <f>VLOOKUP(A248,Sheet2!A:H,7,FALSE)</f>
        <v>72</v>
      </c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spans="1:37" x14ac:dyDescent="0.2">
      <c r="A249" s="4">
        <v>248</v>
      </c>
      <c r="B249" s="5">
        <v>40848</v>
      </c>
      <c r="C249" s="4">
        <v>1</v>
      </c>
      <c r="D249" s="4">
        <v>0</v>
      </c>
      <c r="E249" s="4">
        <v>1</v>
      </c>
      <c r="F249" s="4">
        <v>16</v>
      </c>
      <c r="G249" s="4" t="b">
        <v>0</v>
      </c>
      <c r="H249" s="4">
        <v>2</v>
      </c>
      <c r="I249" s="4">
        <v>2</v>
      </c>
      <c r="J249" s="4">
        <v>0.16</v>
      </c>
      <c r="K249" s="6" t="str">
        <f>IF(H249=0,"weekend",IF(H249=6,"weekend","weekend"))</f>
        <v>weekend</v>
      </c>
      <c r="L249" s="3" t="str">
        <f>IF(C249=1,"Spring",IF(C249=2,"Summer",IF(C249=3,"Fall","Winter")))</f>
        <v>Spring</v>
      </c>
      <c r="M249" s="3">
        <f>SUM(J249:J273)</f>
        <v>4.280000000000002</v>
      </c>
      <c r="N249" s="3">
        <f>AVERAGE(J249:J858)</f>
        <v>0.18396694214876033</v>
      </c>
      <c r="O249" s="3">
        <f>COUNT(J249:J858)</f>
        <v>363</v>
      </c>
      <c r="P249" s="3" t="str">
        <f>TEXT(J249,"0.00")</f>
        <v>0.16</v>
      </c>
      <c r="Q249" s="3" t="str">
        <f>LEFT(L249,3)</f>
        <v>Spr</v>
      </c>
      <c r="R249" s="7" t="str">
        <f>RIGHT(L249,3)</f>
        <v>ing</v>
      </c>
      <c r="S249" s="8">
        <f>LEN(L249)</f>
        <v>6</v>
      </c>
      <c r="T249" s="36" t="str">
        <f>A249&amp;"|"&amp;B249&amp;"|"&amp;F249</f>
        <v>248|40848|16</v>
      </c>
      <c r="V249" s="32">
        <f>VLOOKUP(A249,Sheet2!A:H,3,FALSE)</f>
        <v>0.1515</v>
      </c>
      <c r="W249" s="32">
        <f>VLOOKUP(A249,Sheet2!A:H,4,FALSE)</f>
        <v>0.86</v>
      </c>
      <c r="X249" s="32">
        <f>VLOOKUP(A249,Sheet2!A:H,7,FALSE)</f>
        <v>130</v>
      </c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spans="1:37" x14ac:dyDescent="0.2">
      <c r="A250" s="4">
        <v>249</v>
      </c>
      <c r="B250" s="5">
        <v>40848</v>
      </c>
      <c r="C250" s="4">
        <v>1</v>
      </c>
      <c r="D250" s="4">
        <v>0</v>
      </c>
      <c r="E250" s="4">
        <v>1</v>
      </c>
      <c r="F250" s="4">
        <v>17</v>
      </c>
      <c r="G250" s="4" t="b">
        <v>0</v>
      </c>
      <c r="H250" s="4">
        <v>2</v>
      </c>
      <c r="I250" s="4">
        <v>2</v>
      </c>
      <c r="J250" s="4">
        <v>0.16</v>
      </c>
      <c r="K250" s="6" t="str">
        <f>IF(H250=0,"weekend",IF(H250=6,"weekend","weekend"))</f>
        <v>weekend</v>
      </c>
      <c r="L250" s="3" t="str">
        <f>IF(C250=1,"Spring",IF(C250=2,"Summer",IF(C250=3,"Fall","Winter")))</f>
        <v>Spring</v>
      </c>
      <c r="M250" s="3">
        <f>SUM(J250:J274)</f>
        <v>4.3000000000000016</v>
      </c>
      <c r="N250" s="3">
        <f>AVERAGE(J250:J859)</f>
        <v>0.1840331491712707</v>
      </c>
      <c r="O250" s="3">
        <f>COUNT(J250:J859)</f>
        <v>362</v>
      </c>
      <c r="P250" s="3" t="str">
        <f>TEXT(J250,"0.00")</f>
        <v>0.16</v>
      </c>
      <c r="Q250" s="3" t="str">
        <f>LEFT(L250,3)</f>
        <v>Spr</v>
      </c>
      <c r="R250" s="7" t="str">
        <f>RIGHT(L250,3)</f>
        <v>ing</v>
      </c>
      <c r="S250" s="8">
        <f>LEN(L250)</f>
        <v>6</v>
      </c>
      <c r="T250" s="36" t="str">
        <f>A250&amp;"|"&amp;B250&amp;"|"&amp;F250</f>
        <v>249|40848|17</v>
      </c>
      <c r="V250" s="32">
        <f>VLOOKUP(A250,Sheet2!A:H,3,FALSE)</f>
        <v>0.18179999999999999</v>
      </c>
      <c r="W250" s="32">
        <f>VLOOKUP(A250,Sheet2!A:H,4,FALSE)</f>
        <v>0.93</v>
      </c>
      <c r="X250" s="32">
        <f>VLOOKUP(A250,Sheet2!A:H,7,FALSE)</f>
        <v>94</v>
      </c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spans="1:37" x14ac:dyDescent="0.2">
      <c r="A251" s="4">
        <v>250</v>
      </c>
      <c r="B251" s="5">
        <v>40848</v>
      </c>
      <c r="C251" s="4">
        <v>1</v>
      </c>
      <c r="D251" s="4">
        <v>0</v>
      </c>
      <c r="E251" s="4">
        <v>1</v>
      </c>
      <c r="F251" s="4">
        <v>18</v>
      </c>
      <c r="G251" s="4" t="b">
        <v>0</v>
      </c>
      <c r="H251" s="4">
        <v>2</v>
      </c>
      <c r="I251" s="4">
        <v>3</v>
      </c>
      <c r="J251" s="4">
        <v>0.16</v>
      </c>
      <c r="K251" s="6" t="str">
        <f>IF(H251=0,"weekend",IF(H251=6,"weekend","weekend"))</f>
        <v>weekend</v>
      </c>
      <c r="L251" s="3" t="str">
        <f>IF(C251=1,"Spring",IF(C251=2,"Summer",IF(C251=3,"Fall","Winter")))</f>
        <v>Spring</v>
      </c>
      <c r="M251" s="3">
        <f>SUM(J251:J275)</f>
        <v>4.3000000000000016</v>
      </c>
      <c r="N251" s="3">
        <f>AVERAGE(J251:J860)</f>
        <v>0.18409972299168972</v>
      </c>
      <c r="O251" s="3">
        <f>COUNT(J251:J860)</f>
        <v>361</v>
      </c>
      <c r="P251" s="3" t="str">
        <f>TEXT(J251,"0.00")</f>
        <v>0.16</v>
      </c>
      <c r="Q251" s="3" t="str">
        <f>LEFT(L251,3)</f>
        <v>Spr</v>
      </c>
      <c r="R251" s="7" t="str">
        <f>RIGHT(L251,3)</f>
        <v>ing</v>
      </c>
      <c r="S251" s="8">
        <f>LEN(L251)</f>
        <v>6</v>
      </c>
      <c r="T251" s="36" t="str">
        <f>A251&amp;"|"&amp;B251&amp;"|"&amp;F251</f>
        <v>250|40848|18</v>
      </c>
      <c r="V251" s="32">
        <f>VLOOKUP(A251,Sheet2!A:H,3,FALSE)</f>
        <v>0.2273</v>
      </c>
      <c r="W251" s="32">
        <f>VLOOKUP(A251,Sheet2!A:H,4,FALSE)</f>
        <v>0.93</v>
      </c>
      <c r="X251" s="32">
        <f>VLOOKUP(A251,Sheet2!A:H,7,FALSE)</f>
        <v>51</v>
      </c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spans="1:37" x14ac:dyDescent="0.2">
      <c r="A252" s="4">
        <v>251</v>
      </c>
      <c r="B252" s="5">
        <v>40848</v>
      </c>
      <c r="C252" s="4">
        <v>1</v>
      </c>
      <c r="D252" s="4">
        <v>0</v>
      </c>
      <c r="E252" s="4">
        <v>1</v>
      </c>
      <c r="F252" s="4">
        <v>19</v>
      </c>
      <c r="G252" s="4" t="b">
        <v>0</v>
      </c>
      <c r="H252" s="4">
        <v>2</v>
      </c>
      <c r="I252" s="4">
        <v>3</v>
      </c>
      <c r="J252" s="4">
        <v>0.16</v>
      </c>
      <c r="K252" s="6" t="str">
        <f>IF(H252=0,"weekend",IF(H252=6,"weekend","weekend"))</f>
        <v>weekend</v>
      </c>
      <c r="L252" s="3" t="str">
        <f>IF(C252=1,"Spring",IF(C252=2,"Summer",IF(C252=3,"Fall","Winter")))</f>
        <v>Spring</v>
      </c>
      <c r="M252" s="3">
        <f>SUM(J252:J276)</f>
        <v>4.3000000000000025</v>
      </c>
      <c r="N252" s="3">
        <f>AVERAGE(J252:J861)</f>
        <v>0.18416666666666665</v>
      </c>
      <c r="O252" s="3">
        <f>COUNT(J252:J861)</f>
        <v>360</v>
      </c>
      <c r="P252" s="3" t="str">
        <f>TEXT(J252,"0.00")</f>
        <v>0.16</v>
      </c>
      <c r="Q252" s="3" t="str">
        <f>LEFT(L252,3)</f>
        <v>Spr</v>
      </c>
      <c r="R252" s="7" t="str">
        <f>RIGHT(L252,3)</f>
        <v>ing</v>
      </c>
      <c r="S252" s="8">
        <f>LEN(L252)</f>
        <v>6</v>
      </c>
      <c r="T252" s="36" t="str">
        <f>A252&amp;"|"&amp;B252&amp;"|"&amp;F252</f>
        <v>251|40848|19</v>
      </c>
      <c r="V252" s="32">
        <f>VLOOKUP(A252,Sheet2!A:H,3,FALSE)</f>
        <v>0.1515</v>
      </c>
      <c r="W252" s="32">
        <f>VLOOKUP(A252,Sheet2!A:H,4,FALSE)</f>
        <v>0.93</v>
      </c>
      <c r="X252" s="32">
        <f>VLOOKUP(A252,Sheet2!A:H,7,FALSE)</f>
        <v>32</v>
      </c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spans="1:37" x14ac:dyDescent="0.2">
      <c r="A253" s="4">
        <v>252</v>
      </c>
      <c r="B253" s="5">
        <v>40848</v>
      </c>
      <c r="C253" s="4">
        <v>1</v>
      </c>
      <c r="D253" s="4">
        <v>0</v>
      </c>
      <c r="E253" s="4">
        <v>1</v>
      </c>
      <c r="F253" s="4">
        <v>20</v>
      </c>
      <c r="G253" s="4" t="b">
        <v>0</v>
      </c>
      <c r="H253" s="4">
        <v>2</v>
      </c>
      <c r="I253" s="4">
        <v>3</v>
      </c>
      <c r="J253" s="4">
        <v>0.16</v>
      </c>
      <c r="K253" s="6" t="str">
        <f>IF(H253=0,"weekend",IF(H253=6,"weekend","weekend"))</f>
        <v>weekend</v>
      </c>
      <c r="L253" s="3" t="str">
        <f>IF(C253=1,"Spring",IF(C253=2,"Summer",IF(C253=3,"Fall","Winter")))</f>
        <v>Spring</v>
      </c>
      <c r="M253" s="3">
        <f>SUM(J253:J277)</f>
        <v>4.3000000000000025</v>
      </c>
      <c r="N253" s="3">
        <f>AVERAGE(J253:J862)</f>
        <v>0.18423398328690804</v>
      </c>
      <c r="O253" s="3">
        <f>COUNT(J253:J862)</f>
        <v>359</v>
      </c>
      <c r="P253" s="3" t="str">
        <f>TEXT(J253,"0.00")</f>
        <v>0.16</v>
      </c>
      <c r="Q253" s="3" t="str">
        <f>LEFT(L253,3)</f>
        <v>Spr</v>
      </c>
      <c r="R253" s="7" t="str">
        <f>RIGHT(L253,3)</f>
        <v>ing</v>
      </c>
      <c r="S253" s="8">
        <f>LEN(L253)</f>
        <v>6</v>
      </c>
      <c r="T253" s="36" t="str">
        <f>A253&amp;"|"&amp;B253&amp;"|"&amp;F253</f>
        <v>252|40848|20</v>
      </c>
      <c r="V253" s="32">
        <f>VLOOKUP(A253,Sheet2!A:H,3,FALSE)</f>
        <v>0.19700000000000001</v>
      </c>
      <c r="W253" s="32">
        <f>VLOOKUP(A253,Sheet2!A:H,4,FALSE)</f>
        <v>0.86</v>
      </c>
      <c r="X253" s="32">
        <f>VLOOKUP(A253,Sheet2!A:H,7,FALSE)</f>
        <v>20</v>
      </c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spans="1:37" x14ac:dyDescent="0.2">
      <c r="A254" s="4">
        <v>253</v>
      </c>
      <c r="B254" s="5">
        <v>40848</v>
      </c>
      <c r="C254" s="4">
        <v>1</v>
      </c>
      <c r="D254" s="4">
        <v>0</v>
      </c>
      <c r="E254" s="4">
        <v>1</v>
      </c>
      <c r="F254" s="4">
        <v>21</v>
      </c>
      <c r="G254" s="4" t="b">
        <v>0</v>
      </c>
      <c r="H254" s="4">
        <v>2</v>
      </c>
      <c r="I254" s="4">
        <v>3</v>
      </c>
      <c r="J254" s="4">
        <v>0.16</v>
      </c>
      <c r="K254" s="6" t="str">
        <f>IF(H254=0,"weekend",IF(H254=6,"weekend","weekend"))</f>
        <v>weekend</v>
      </c>
      <c r="L254" s="3" t="str">
        <f>IF(C254=1,"Spring",IF(C254=2,"Summer",IF(C254=3,"Fall","Winter")))</f>
        <v>Spring</v>
      </c>
      <c r="M254" s="3">
        <f>SUM(J254:J278)</f>
        <v>4.2800000000000011</v>
      </c>
      <c r="N254" s="3">
        <f>AVERAGE(J254:J863)</f>
        <v>0.1843016759776536</v>
      </c>
      <c r="O254" s="3">
        <f>COUNT(J254:J863)</f>
        <v>358</v>
      </c>
      <c r="P254" s="3" t="str">
        <f>TEXT(J254,"0.00")</f>
        <v>0.16</v>
      </c>
      <c r="Q254" s="3" t="str">
        <f>LEFT(L254,3)</f>
        <v>Spr</v>
      </c>
      <c r="R254" s="7" t="str">
        <f>RIGHT(L254,3)</f>
        <v>ing</v>
      </c>
      <c r="S254" s="8">
        <f>LEN(L254)</f>
        <v>6</v>
      </c>
      <c r="T254" s="36" t="str">
        <f>A254&amp;"|"&amp;B254&amp;"|"&amp;F254</f>
        <v>253|40848|21</v>
      </c>
      <c r="V254" s="32">
        <f>VLOOKUP(A254,Sheet2!A:H,3,FALSE)</f>
        <v>0.18179999999999999</v>
      </c>
      <c r="W254" s="32">
        <f>VLOOKUP(A254,Sheet2!A:H,4,FALSE)</f>
        <v>0.93</v>
      </c>
      <c r="X254" s="32">
        <f>VLOOKUP(A254,Sheet2!A:H,7,FALSE)</f>
        <v>28</v>
      </c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spans="1:37" x14ac:dyDescent="0.2">
      <c r="A255" s="4">
        <v>254</v>
      </c>
      <c r="B255" s="5">
        <v>40848</v>
      </c>
      <c r="C255" s="4">
        <v>1</v>
      </c>
      <c r="D255" s="4">
        <v>0</v>
      </c>
      <c r="E255" s="4">
        <v>1</v>
      </c>
      <c r="F255" s="4">
        <v>22</v>
      </c>
      <c r="G255" s="4" t="b">
        <v>0</v>
      </c>
      <c r="H255" s="4">
        <v>2</v>
      </c>
      <c r="I255" s="4">
        <v>3</v>
      </c>
      <c r="J255" s="4">
        <v>0.16</v>
      </c>
      <c r="K255" s="6" t="str">
        <f>IF(H255=0,"weekend",IF(H255=6,"weekend","weekend"))</f>
        <v>weekend</v>
      </c>
      <c r="L255" s="3" t="str">
        <f>IF(C255=1,"Spring",IF(C255=2,"Summer",IF(C255=3,"Fall","Winter")))</f>
        <v>Spring</v>
      </c>
      <c r="M255" s="3">
        <f>SUM(J255:J279)</f>
        <v>4.2600000000000016</v>
      </c>
      <c r="N255" s="3">
        <f>AVERAGE(J255:J864)</f>
        <v>0.18436974789915961</v>
      </c>
      <c r="O255" s="3">
        <f>COUNT(J255:J864)</f>
        <v>357</v>
      </c>
      <c r="P255" s="3" t="str">
        <f>TEXT(J255,"0.00")</f>
        <v>0.16</v>
      </c>
      <c r="Q255" s="3" t="str">
        <f>LEFT(L255,3)</f>
        <v>Spr</v>
      </c>
      <c r="R255" s="7" t="str">
        <f>RIGHT(L255,3)</f>
        <v>ing</v>
      </c>
      <c r="S255" s="8">
        <f>LEN(L255)</f>
        <v>6</v>
      </c>
      <c r="T255" s="36" t="str">
        <f>A255&amp;"|"&amp;B255&amp;"|"&amp;F255</f>
        <v>254|40848|22</v>
      </c>
      <c r="V255" s="32">
        <f>VLOOKUP(A255,Sheet2!A:H,3,FALSE)</f>
        <v>0.19700000000000001</v>
      </c>
      <c r="W255" s="32">
        <f>VLOOKUP(A255,Sheet2!A:H,4,FALSE)</f>
        <v>0.93</v>
      </c>
      <c r="X255" s="32">
        <f>VLOOKUP(A255,Sheet2!A:H,7,FALSE)</f>
        <v>18</v>
      </c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spans="1:37" x14ac:dyDescent="0.2">
      <c r="A256" s="4">
        <v>255</v>
      </c>
      <c r="B256" s="5">
        <v>40848</v>
      </c>
      <c r="C256" s="4">
        <v>1</v>
      </c>
      <c r="D256" s="4">
        <v>0</v>
      </c>
      <c r="E256" s="4">
        <v>1</v>
      </c>
      <c r="F256" s="4">
        <v>23</v>
      </c>
      <c r="G256" s="4" t="b">
        <v>0</v>
      </c>
      <c r="H256" s="4">
        <v>2</v>
      </c>
      <c r="I256" s="4">
        <v>3</v>
      </c>
      <c r="J256" s="4">
        <v>0.16</v>
      </c>
      <c r="K256" s="6" t="str">
        <f>IF(H256=0,"weekend",IF(H256=6,"weekend","weekend"))</f>
        <v>weekend</v>
      </c>
      <c r="L256" s="3" t="str">
        <f>IF(C256=1,"Spring",IF(C256=2,"Summer",IF(C256=3,"Fall","Winter")))</f>
        <v>Spring</v>
      </c>
      <c r="M256" s="3">
        <f>SUM(J256:J280)</f>
        <v>4.2400000000000011</v>
      </c>
      <c r="N256" s="3">
        <f>AVERAGE(J256:J865)</f>
        <v>0.18443820224719096</v>
      </c>
      <c r="O256" s="3">
        <f>COUNT(J256:J865)</f>
        <v>356</v>
      </c>
      <c r="P256" s="3" t="str">
        <f>TEXT(J256,"0.00")</f>
        <v>0.16</v>
      </c>
      <c r="Q256" s="3" t="str">
        <f>LEFT(L256,3)</f>
        <v>Spr</v>
      </c>
      <c r="R256" s="7" t="str">
        <f>RIGHT(L256,3)</f>
        <v>ing</v>
      </c>
      <c r="S256" s="8">
        <f>LEN(L256)</f>
        <v>6</v>
      </c>
      <c r="T256" s="36" t="str">
        <f>A256&amp;"|"&amp;B256&amp;"|"&amp;F256</f>
        <v>255|40848|23</v>
      </c>
      <c r="V256" s="32">
        <f>VLOOKUP(A256,Sheet2!A:H,3,FALSE)</f>
        <v>0.19700000000000001</v>
      </c>
      <c r="W256" s="32">
        <f>VLOOKUP(A256,Sheet2!A:H,4,FALSE)</f>
        <v>0.86</v>
      </c>
      <c r="X256" s="32">
        <f>VLOOKUP(A256,Sheet2!A:H,7,FALSE)</f>
        <v>7</v>
      </c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spans="1:37" x14ac:dyDescent="0.2">
      <c r="A257" s="4">
        <v>256</v>
      </c>
      <c r="B257" s="5">
        <v>40878</v>
      </c>
      <c r="C257" s="4">
        <v>1</v>
      </c>
      <c r="D257" s="4">
        <v>0</v>
      </c>
      <c r="E257" s="4">
        <v>1</v>
      </c>
      <c r="F257" s="4">
        <v>0</v>
      </c>
      <c r="G257" s="4" t="b">
        <v>0</v>
      </c>
      <c r="H257" s="4">
        <v>3</v>
      </c>
      <c r="I257" s="4">
        <v>2</v>
      </c>
      <c r="J257" s="4">
        <v>0.16</v>
      </c>
      <c r="K257" s="6" t="str">
        <f>IF(H257=0,"weekend",IF(H257=6,"weekend","weekend"))</f>
        <v>weekend</v>
      </c>
      <c r="L257" s="3" t="str">
        <f>IF(C257=1,"Spring",IF(C257=2,"Summer",IF(C257=3,"Fall","Winter")))</f>
        <v>Spring</v>
      </c>
      <c r="M257" s="3">
        <f>SUM(J257:J281)</f>
        <v>4.2200000000000006</v>
      </c>
      <c r="N257" s="3">
        <f>AVERAGE(J257:J866)</f>
        <v>0.18450704225352108</v>
      </c>
      <c r="O257" s="3">
        <f>COUNT(J257:J866)</f>
        <v>355</v>
      </c>
      <c r="P257" s="3" t="str">
        <f>TEXT(J257,"0.00")</f>
        <v>0.16</v>
      </c>
      <c r="Q257" s="3" t="str">
        <f>LEFT(L257,3)</f>
        <v>Spr</v>
      </c>
      <c r="R257" s="7" t="str">
        <f>RIGHT(L257,3)</f>
        <v>ing</v>
      </c>
      <c r="S257" s="8">
        <f>LEN(L257)</f>
        <v>6</v>
      </c>
      <c r="T257" s="36" t="str">
        <f>A257&amp;"|"&amp;B257&amp;"|"&amp;F257</f>
        <v>256|40878|0</v>
      </c>
      <c r="V257" s="32">
        <f>VLOOKUP(A257,Sheet2!A:H,3,FALSE)</f>
        <v>0.18179999999999999</v>
      </c>
      <c r="W257" s="32">
        <f>VLOOKUP(A257,Sheet2!A:H,4,FALSE)</f>
        <v>0.86</v>
      </c>
      <c r="X257" s="32">
        <f>VLOOKUP(A257,Sheet2!A:H,7,FALSE)</f>
        <v>6</v>
      </c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spans="1:37" x14ac:dyDescent="0.2">
      <c r="A258" s="4">
        <v>257</v>
      </c>
      <c r="B258" s="5">
        <v>40878</v>
      </c>
      <c r="C258" s="4">
        <v>1</v>
      </c>
      <c r="D258" s="4">
        <v>0</v>
      </c>
      <c r="E258" s="4">
        <v>1</v>
      </c>
      <c r="F258" s="4">
        <v>1</v>
      </c>
      <c r="G258" s="4" t="b">
        <v>0</v>
      </c>
      <c r="H258" s="4">
        <v>3</v>
      </c>
      <c r="I258" s="4">
        <v>2</v>
      </c>
      <c r="J258" s="4">
        <v>0.16</v>
      </c>
      <c r="K258" s="6" t="str">
        <f>IF(H258=0,"weekend",IF(H258=6,"weekend","weekend"))</f>
        <v>weekend</v>
      </c>
      <c r="L258" s="3" t="str">
        <f>IF(C258=1,"Spring",IF(C258=2,"Summer",IF(C258=3,"Fall","Winter")))</f>
        <v>Spring</v>
      </c>
      <c r="M258" s="3">
        <f>SUM(J258:J282)</f>
        <v>4.2000000000000011</v>
      </c>
      <c r="N258" s="3">
        <f>AVERAGE(J258:J867)</f>
        <v>0.18457627118644065</v>
      </c>
      <c r="O258" s="3">
        <f>COUNT(J258:J867)</f>
        <v>354</v>
      </c>
      <c r="P258" s="3" t="str">
        <f>TEXT(J258,"0.00")</f>
        <v>0.16</v>
      </c>
      <c r="Q258" s="3" t="str">
        <f>LEFT(L258,3)</f>
        <v>Spr</v>
      </c>
      <c r="R258" s="7" t="str">
        <f>RIGHT(L258,3)</f>
        <v>ing</v>
      </c>
      <c r="S258" s="8">
        <f>LEN(L258)</f>
        <v>6</v>
      </c>
      <c r="T258" s="36" t="str">
        <f>A258&amp;"|"&amp;B258&amp;"|"&amp;F258</f>
        <v>257|40878|1</v>
      </c>
      <c r="V258" s="32">
        <f>VLOOKUP(A258,Sheet2!A:H,3,FALSE)</f>
        <v>0.1515</v>
      </c>
      <c r="W258" s="32">
        <f>VLOOKUP(A258,Sheet2!A:H,4,FALSE)</f>
        <v>0.86</v>
      </c>
      <c r="X258" s="32">
        <f>VLOOKUP(A258,Sheet2!A:H,7,FALSE)</f>
        <v>1</v>
      </c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spans="1:37" x14ac:dyDescent="0.2">
      <c r="A259" s="4">
        <v>258</v>
      </c>
      <c r="B259" s="5">
        <v>40878</v>
      </c>
      <c r="C259" s="4">
        <v>1</v>
      </c>
      <c r="D259" s="4">
        <v>0</v>
      </c>
      <c r="E259" s="4">
        <v>1</v>
      </c>
      <c r="F259" s="4">
        <v>2</v>
      </c>
      <c r="G259" s="4" t="b">
        <v>0</v>
      </c>
      <c r="H259" s="4">
        <v>3</v>
      </c>
      <c r="I259" s="4">
        <v>1</v>
      </c>
      <c r="J259" s="4">
        <v>0.14000000000000001</v>
      </c>
      <c r="K259" s="6" t="str">
        <f>IF(H259=0,"weekend",IF(H259=6,"weekend","weekend"))</f>
        <v>weekend</v>
      </c>
      <c r="L259" s="3" t="str">
        <f>IF(C259=1,"Spring",IF(C259=2,"Summer",IF(C259=3,"Fall","Winter")))</f>
        <v>Spring</v>
      </c>
      <c r="M259" s="3">
        <f>SUM(J259:J283)</f>
        <v>4.1800000000000015</v>
      </c>
      <c r="N259" s="3">
        <f>AVERAGE(J259:J868)</f>
        <v>0.18464589235127474</v>
      </c>
      <c r="O259" s="3">
        <f>COUNT(J259:J868)</f>
        <v>353</v>
      </c>
      <c r="P259" s="3" t="str">
        <f>TEXT(J259,"0.00")</f>
        <v>0.14</v>
      </c>
      <c r="Q259" s="3" t="str">
        <f>LEFT(L259,3)</f>
        <v>Spr</v>
      </c>
      <c r="R259" s="7" t="str">
        <f>RIGHT(L259,3)</f>
        <v>ing</v>
      </c>
      <c r="S259" s="8">
        <f>LEN(L259)</f>
        <v>6</v>
      </c>
      <c r="T259" s="36" t="str">
        <f>A259&amp;"|"&amp;B259&amp;"|"&amp;F259</f>
        <v>258|40878|2</v>
      </c>
      <c r="V259" s="32">
        <f>VLOOKUP(A259,Sheet2!A:H,3,FALSE)</f>
        <v>0.1515</v>
      </c>
      <c r="W259" s="32">
        <f>VLOOKUP(A259,Sheet2!A:H,4,FALSE)</f>
        <v>0.86</v>
      </c>
      <c r="X259" s="32">
        <f>VLOOKUP(A259,Sheet2!A:H,7,FALSE)</f>
        <v>5</v>
      </c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spans="1:37" x14ac:dyDescent="0.2">
      <c r="A260" s="4">
        <v>259</v>
      </c>
      <c r="B260" s="5">
        <v>40878</v>
      </c>
      <c r="C260" s="4">
        <v>1</v>
      </c>
      <c r="D260" s="4">
        <v>0</v>
      </c>
      <c r="E260" s="4">
        <v>1</v>
      </c>
      <c r="F260" s="4">
        <v>5</v>
      </c>
      <c r="G260" s="4" t="b">
        <v>0</v>
      </c>
      <c r="H260" s="4">
        <v>3</v>
      </c>
      <c r="I260" s="4">
        <v>1</v>
      </c>
      <c r="J260" s="4">
        <v>0.14000000000000001</v>
      </c>
      <c r="K260" s="6" t="str">
        <f>IF(H260=0,"weekend",IF(H260=6,"weekend","weekend"))</f>
        <v>weekend</v>
      </c>
      <c r="L260" s="3" t="str">
        <f>IF(C260=1,"Spring",IF(C260=2,"Summer",IF(C260=3,"Fall","Winter")))</f>
        <v>Spring</v>
      </c>
      <c r="M260" s="3">
        <f>SUM(J260:J284)</f>
        <v>4.1800000000000015</v>
      </c>
      <c r="N260" s="3">
        <f>AVERAGE(J260:J869)</f>
        <v>0.1847727272727272</v>
      </c>
      <c r="O260" s="3">
        <f>COUNT(J260:J869)</f>
        <v>352</v>
      </c>
      <c r="P260" s="3" t="str">
        <f>TEXT(J260,"0.00")</f>
        <v>0.14</v>
      </c>
      <c r="Q260" s="3" t="str">
        <f>LEFT(L260,3)</f>
        <v>Spr</v>
      </c>
      <c r="R260" s="7" t="str">
        <f>RIGHT(L260,3)</f>
        <v>ing</v>
      </c>
      <c r="S260" s="8">
        <f>LEN(L260)</f>
        <v>6</v>
      </c>
      <c r="T260" s="36" t="str">
        <f>A260&amp;"|"&amp;B260&amp;"|"&amp;F260</f>
        <v>259|40878|5</v>
      </c>
      <c r="V260" s="32">
        <f>VLOOKUP(A260,Sheet2!A:H,3,FALSE)</f>
        <v>0.1515</v>
      </c>
      <c r="W260" s="32">
        <f>VLOOKUP(A260,Sheet2!A:H,4,FALSE)</f>
        <v>0.93</v>
      </c>
      <c r="X260" s="32">
        <f>VLOOKUP(A260,Sheet2!A:H,7,FALSE)</f>
        <v>16</v>
      </c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spans="1:37" x14ac:dyDescent="0.2">
      <c r="A261" s="4">
        <v>260</v>
      </c>
      <c r="B261" s="5">
        <v>40878</v>
      </c>
      <c r="C261" s="4">
        <v>1</v>
      </c>
      <c r="D261" s="4">
        <v>0</v>
      </c>
      <c r="E261" s="4">
        <v>1</v>
      </c>
      <c r="F261" s="4">
        <v>6</v>
      </c>
      <c r="G261" s="4" t="b">
        <v>0</v>
      </c>
      <c r="H261" s="4">
        <v>3</v>
      </c>
      <c r="I261" s="4">
        <v>1</v>
      </c>
      <c r="J261" s="4">
        <v>0.12</v>
      </c>
      <c r="K261" s="6" t="str">
        <f>IF(H261=0,"weekend",IF(H261=6,"weekend","weekend"))</f>
        <v>weekend</v>
      </c>
      <c r="L261" s="3" t="str">
        <f>IF(C261=1,"Spring",IF(C261=2,"Summer",IF(C261=3,"Fall","Winter")))</f>
        <v>Spring</v>
      </c>
      <c r="M261" s="3">
        <f>SUM(J261:J285)</f>
        <v>4.160000000000001</v>
      </c>
      <c r="N261" s="3">
        <f>AVERAGE(J261:J870)</f>
        <v>0.18490028490028479</v>
      </c>
      <c r="O261" s="3">
        <f>COUNT(J261:J870)</f>
        <v>351</v>
      </c>
      <c r="P261" s="3" t="str">
        <f>TEXT(J261,"0.00")</f>
        <v>0.12</v>
      </c>
      <c r="Q261" s="3" t="str">
        <f>LEFT(L261,3)</f>
        <v>Spr</v>
      </c>
      <c r="R261" s="7" t="str">
        <f>RIGHT(L261,3)</f>
        <v>ing</v>
      </c>
      <c r="S261" s="8">
        <f>LEN(L261)</f>
        <v>6</v>
      </c>
      <c r="T261" s="36" t="str">
        <f>A261&amp;"|"&amp;B261&amp;"|"&amp;F261</f>
        <v>260|40878|6</v>
      </c>
      <c r="V261" s="32">
        <f>VLOOKUP(A261,Sheet2!A:H,3,FALSE)</f>
        <v>0.1515</v>
      </c>
      <c r="W261" s="32">
        <f>VLOOKUP(A261,Sheet2!A:H,4,FALSE)</f>
        <v>0.69</v>
      </c>
      <c r="X261" s="32">
        <f>VLOOKUP(A261,Sheet2!A:H,7,FALSE)</f>
        <v>54</v>
      </c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spans="1:37" x14ac:dyDescent="0.2">
      <c r="A262" s="4">
        <v>261</v>
      </c>
      <c r="B262" s="5">
        <v>40878</v>
      </c>
      <c r="C262" s="4">
        <v>1</v>
      </c>
      <c r="D262" s="4">
        <v>0</v>
      </c>
      <c r="E262" s="4">
        <v>1</v>
      </c>
      <c r="F262" s="4">
        <v>7</v>
      </c>
      <c r="G262" s="4" t="b">
        <v>0</v>
      </c>
      <c r="H262" s="4">
        <v>3</v>
      </c>
      <c r="I262" s="4">
        <v>1</v>
      </c>
      <c r="J262" s="4">
        <v>0.14000000000000001</v>
      </c>
      <c r="K262" s="6" t="str">
        <f>IF(H262=0,"weekend",IF(H262=6,"weekend","weekend"))</f>
        <v>weekend</v>
      </c>
      <c r="L262" s="3" t="str">
        <f>IF(C262=1,"Spring",IF(C262=2,"Summer",IF(C262=3,"Fall","Winter")))</f>
        <v>Spring</v>
      </c>
      <c r="M262" s="3">
        <f>SUM(J262:J286)</f>
        <v>4.1600000000000019</v>
      </c>
      <c r="N262" s="3">
        <f>AVERAGE(J262:J871)</f>
        <v>0.18508571428571416</v>
      </c>
      <c r="O262" s="3">
        <f>COUNT(J262:J871)</f>
        <v>350</v>
      </c>
      <c r="P262" s="3" t="str">
        <f>TEXT(J262,"0.00")</f>
        <v>0.14</v>
      </c>
      <c r="Q262" s="3" t="str">
        <f>LEFT(L262,3)</f>
        <v>Spr</v>
      </c>
      <c r="R262" s="7" t="str">
        <f>RIGHT(L262,3)</f>
        <v>ing</v>
      </c>
      <c r="S262" s="8">
        <f>LEN(L262)</f>
        <v>6</v>
      </c>
      <c r="T262" s="36" t="str">
        <f>A262&amp;"|"&amp;B262&amp;"|"&amp;F262</f>
        <v>261|40878|7</v>
      </c>
      <c r="V262" s="32">
        <f>VLOOKUP(A262,Sheet2!A:H,3,FALSE)</f>
        <v>0.16669999999999999</v>
      </c>
      <c r="W262" s="32">
        <f>VLOOKUP(A262,Sheet2!A:H,4,FALSE)</f>
        <v>0.59</v>
      </c>
      <c r="X262" s="32">
        <f>VLOOKUP(A262,Sheet2!A:H,7,FALSE)</f>
        <v>125</v>
      </c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spans="1:37" x14ac:dyDescent="0.2">
      <c r="A263" s="4">
        <v>262</v>
      </c>
      <c r="B263" s="5">
        <v>40878</v>
      </c>
      <c r="C263" s="4">
        <v>1</v>
      </c>
      <c r="D263" s="4">
        <v>0</v>
      </c>
      <c r="E263" s="4">
        <v>1</v>
      </c>
      <c r="F263" s="4">
        <v>8</v>
      </c>
      <c r="G263" s="4" t="b">
        <v>0</v>
      </c>
      <c r="H263" s="4">
        <v>3</v>
      </c>
      <c r="I263" s="4">
        <v>1</v>
      </c>
      <c r="J263" s="4">
        <v>0.16</v>
      </c>
      <c r="K263" s="6" t="str">
        <f>IF(H263=0,"weekend",IF(H263=6,"weekend","weekend"))</f>
        <v>weekend</v>
      </c>
      <c r="L263" s="3" t="str">
        <f>IF(C263=1,"Spring",IF(C263=2,"Summer",IF(C263=3,"Fall","Winter")))</f>
        <v>Spring</v>
      </c>
      <c r="M263" s="3">
        <f>SUM(J263:J287)</f>
        <v>4.160000000000001</v>
      </c>
      <c r="N263" s="3">
        <f>AVERAGE(J263:J872)</f>
        <v>0.18521489971346694</v>
      </c>
      <c r="O263" s="3">
        <f>COUNT(J263:J872)</f>
        <v>349</v>
      </c>
      <c r="P263" s="3" t="str">
        <f>TEXT(J263,"0.00")</f>
        <v>0.16</v>
      </c>
      <c r="Q263" s="3" t="str">
        <f>LEFT(L263,3)</f>
        <v>Spr</v>
      </c>
      <c r="R263" s="7" t="str">
        <f>RIGHT(L263,3)</f>
        <v>ing</v>
      </c>
      <c r="S263" s="8">
        <f>LEN(L263)</f>
        <v>6</v>
      </c>
      <c r="T263" s="36" t="str">
        <f>A263&amp;"|"&amp;B263&amp;"|"&amp;F263</f>
        <v>262|40878|8</v>
      </c>
      <c r="V263" s="32">
        <f>VLOOKUP(A263,Sheet2!A:H,3,FALSE)</f>
        <v>0.13639999999999999</v>
      </c>
      <c r="W263" s="32">
        <f>VLOOKUP(A263,Sheet2!A:H,4,FALSE)</f>
        <v>0.59</v>
      </c>
      <c r="X263" s="32">
        <f>VLOOKUP(A263,Sheet2!A:H,7,FALSE)</f>
        <v>78</v>
      </c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spans="1:37" x14ac:dyDescent="0.2">
      <c r="A264" s="4">
        <v>263</v>
      </c>
      <c r="B264" s="5">
        <v>40878</v>
      </c>
      <c r="C264" s="4">
        <v>1</v>
      </c>
      <c r="D264" s="4">
        <v>0</v>
      </c>
      <c r="E264" s="4">
        <v>1</v>
      </c>
      <c r="F264" s="4">
        <v>9</v>
      </c>
      <c r="G264" s="4" t="b">
        <v>0</v>
      </c>
      <c r="H264" s="4">
        <v>3</v>
      </c>
      <c r="I264" s="4">
        <v>1</v>
      </c>
      <c r="J264" s="4">
        <v>0.16</v>
      </c>
      <c r="K264" s="6" t="str">
        <f>IF(H264=0,"weekend",IF(H264=6,"weekend","weekend"))</f>
        <v>weekend</v>
      </c>
      <c r="L264" s="3" t="str">
        <f>IF(C264=1,"Spring",IF(C264=2,"Summer",IF(C264=3,"Fall","Winter")))</f>
        <v>Spring</v>
      </c>
      <c r="M264" s="3">
        <f>SUM(J264:J288)</f>
        <v>4.1400000000000006</v>
      </c>
      <c r="N264" s="3">
        <f>AVERAGE(J264:J873)</f>
        <v>0.18528735632183893</v>
      </c>
      <c r="O264" s="3">
        <f>COUNT(J264:J873)</f>
        <v>348</v>
      </c>
      <c r="P264" s="3" t="str">
        <f>TEXT(J264,"0.00")</f>
        <v>0.16</v>
      </c>
      <c r="Q264" s="3" t="str">
        <f>LEFT(L264,3)</f>
        <v>Spr</v>
      </c>
      <c r="R264" s="7" t="str">
        <f>RIGHT(L264,3)</f>
        <v>ing</v>
      </c>
      <c r="S264" s="8">
        <f>LEN(L264)</f>
        <v>6</v>
      </c>
      <c r="T264" s="36" t="str">
        <f>A264&amp;"|"&amp;B264&amp;"|"&amp;F264</f>
        <v>263|40878|9</v>
      </c>
      <c r="V264" s="32">
        <f>VLOOKUP(A264,Sheet2!A:H,3,FALSE)</f>
        <v>0.18179999999999999</v>
      </c>
      <c r="W264" s="32">
        <f>VLOOKUP(A264,Sheet2!A:H,4,FALSE)</f>
        <v>0.55000000000000004</v>
      </c>
      <c r="X264" s="32">
        <f>VLOOKUP(A264,Sheet2!A:H,7,FALSE)</f>
        <v>39</v>
      </c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spans="1:37" x14ac:dyDescent="0.2">
      <c r="A265" s="4">
        <v>264</v>
      </c>
      <c r="B265" s="5">
        <v>40878</v>
      </c>
      <c r="C265" s="4">
        <v>1</v>
      </c>
      <c r="D265" s="4">
        <v>0</v>
      </c>
      <c r="E265" s="4">
        <v>1</v>
      </c>
      <c r="F265" s="4">
        <v>10</v>
      </c>
      <c r="G265" s="4" t="b">
        <v>0</v>
      </c>
      <c r="H265" s="4">
        <v>3</v>
      </c>
      <c r="I265" s="4">
        <v>1</v>
      </c>
      <c r="J265" s="4">
        <v>0.18</v>
      </c>
      <c r="K265" s="6" t="str">
        <f>IF(H265=0,"weekend",IF(H265=6,"weekend","weekend"))</f>
        <v>weekend</v>
      </c>
      <c r="L265" s="3" t="str">
        <f>IF(C265=1,"Spring",IF(C265=2,"Summer",IF(C265=3,"Fall","Winter")))</f>
        <v>Spring</v>
      </c>
      <c r="M265" s="3">
        <f>SUM(J265:J289)</f>
        <v>4.1400000000000015</v>
      </c>
      <c r="N265" s="3">
        <f>AVERAGE(J265:J874)</f>
        <v>0.1853602305475503</v>
      </c>
      <c r="O265" s="3">
        <f>COUNT(J265:J874)</f>
        <v>347</v>
      </c>
      <c r="P265" s="3" t="str">
        <f>TEXT(J265,"0.00")</f>
        <v>0.18</v>
      </c>
      <c r="Q265" s="3" t="str">
        <f>LEFT(L265,3)</f>
        <v>Spr</v>
      </c>
      <c r="R265" s="7" t="str">
        <f>RIGHT(L265,3)</f>
        <v>ing</v>
      </c>
      <c r="S265" s="8">
        <f>LEN(L265)</f>
        <v>6</v>
      </c>
      <c r="T265" s="36" t="str">
        <f>A265&amp;"|"&amp;B265&amp;"|"&amp;F265</f>
        <v>264|40878|10</v>
      </c>
      <c r="V265" s="32">
        <f>VLOOKUP(A265,Sheet2!A:H,3,FALSE)</f>
        <v>0.18179999999999999</v>
      </c>
      <c r="W265" s="32">
        <f>VLOOKUP(A265,Sheet2!A:H,4,FALSE)</f>
        <v>0.51</v>
      </c>
      <c r="X265" s="32">
        <f>VLOOKUP(A265,Sheet2!A:H,7,FALSE)</f>
        <v>32</v>
      </c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spans="1:37" x14ac:dyDescent="0.2">
      <c r="A266" s="4">
        <v>265</v>
      </c>
      <c r="B266" s="5">
        <v>40878</v>
      </c>
      <c r="C266" s="4">
        <v>1</v>
      </c>
      <c r="D266" s="4">
        <v>0</v>
      </c>
      <c r="E266" s="4">
        <v>1</v>
      </c>
      <c r="F266" s="4">
        <v>11</v>
      </c>
      <c r="G266" s="4" t="b">
        <v>0</v>
      </c>
      <c r="H266" s="4">
        <v>3</v>
      </c>
      <c r="I266" s="4">
        <v>1</v>
      </c>
      <c r="J266" s="4">
        <v>0.2</v>
      </c>
      <c r="K266" s="6" t="str">
        <f>IF(H266=0,"weekend",IF(H266=6,"weekend","weekend"))</f>
        <v>weekend</v>
      </c>
      <c r="L266" s="3" t="str">
        <f>IF(C266=1,"Spring",IF(C266=2,"Summer",IF(C266=3,"Fall","Winter")))</f>
        <v>Spring</v>
      </c>
      <c r="M266" s="3">
        <f>SUM(J266:J290)</f>
        <v>4.160000000000001</v>
      </c>
      <c r="N266" s="3">
        <f>AVERAGE(J266:J875)</f>
        <v>0.18537572254335244</v>
      </c>
      <c r="O266" s="3">
        <f>COUNT(J266:J875)</f>
        <v>346</v>
      </c>
      <c r="P266" s="3" t="str">
        <f>TEXT(J266,"0.00")</f>
        <v>0.20</v>
      </c>
      <c r="Q266" s="3" t="str">
        <f>LEFT(L266,3)</f>
        <v>Spr</v>
      </c>
      <c r="R266" s="7" t="str">
        <f>RIGHT(L266,3)</f>
        <v>ing</v>
      </c>
      <c r="S266" s="8">
        <f>LEN(L266)</f>
        <v>6</v>
      </c>
      <c r="T266" s="36" t="str">
        <f>A266&amp;"|"&amp;B266&amp;"|"&amp;F266</f>
        <v>265|40878|11</v>
      </c>
      <c r="V266" s="32">
        <f>VLOOKUP(A266,Sheet2!A:H,3,FALSE)</f>
        <v>0.1515</v>
      </c>
      <c r="W266" s="32">
        <f>VLOOKUP(A266,Sheet2!A:H,4,FALSE)</f>
        <v>0.47</v>
      </c>
      <c r="X266" s="32">
        <f>VLOOKUP(A266,Sheet2!A:H,7,FALSE)</f>
        <v>52</v>
      </c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spans="1:37" x14ac:dyDescent="0.2">
      <c r="A267" s="4">
        <v>266</v>
      </c>
      <c r="B267" s="5">
        <v>40878</v>
      </c>
      <c r="C267" s="4">
        <v>1</v>
      </c>
      <c r="D267" s="4">
        <v>0</v>
      </c>
      <c r="E267" s="4">
        <v>1</v>
      </c>
      <c r="F267" s="4">
        <v>12</v>
      </c>
      <c r="G267" s="4" t="b">
        <v>0</v>
      </c>
      <c r="H267" s="4">
        <v>3</v>
      </c>
      <c r="I267" s="4">
        <v>1</v>
      </c>
      <c r="J267" s="4">
        <v>0.2</v>
      </c>
      <c r="K267" s="6" t="str">
        <f>IF(H267=0,"weekend",IF(H267=6,"weekend","weekend"))</f>
        <v>weekend</v>
      </c>
      <c r="L267" s="3" t="str">
        <f>IF(C267=1,"Spring",IF(C267=2,"Summer",IF(C267=3,"Fall","Winter")))</f>
        <v>Spring</v>
      </c>
      <c r="M267" s="3">
        <f>SUM(J267:J291)</f>
        <v>4.160000000000001</v>
      </c>
      <c r="N267" s="3">
        <f>AVERAGE(J267:J876)</f>
        <v>0.18533333333333316</v>
      </c>
      <c r="O267" s="3">
        <f>COUNT(J267:J876)</f>
        <v>345</v>
      </c>
      <c r="P267" s="3" t="str">
        <f>TEXT(J267,"0.00")</f>
        <v>0.20</v>
      </c>
      <c r="Q267" s="3" t="str">
        <f>LEFT(L267,3)</f>
        <v>Spr</v>
      </c>
      <c r="R267" s="7" t="str">
        <f>RIGHT(L267,3)</f>
        <v>ing</v>
      </c>
      <c r="S267" s="8">
        <f>LEN(L267)</f>
        <v>6</v>
      </c>
      <c r="T267" s="36" t="str">
        <f>A267&amp;"|"&amp;B267&amp;"|"&amp;F267</f>
        <v>266|40878|12</v>
      </c>
      <c r="V267" s="32">
        <f>VLOOKUP(A267,Sheet2!A:H,3,FALSE)</f>
        <v>0.19700000000000001</v>
      </c>
      <c r="W267" s="32">
        <f>VLOOKUP(A267,Sheet2!A:H,4,FALSE)</f>
        <v>0.44</v>
      </c>
      <c r="X267" s="32">
        <f>VLOOKUP(A267,Sheet2!A:H,7,FALSE)</f>
        <v>49</v>
      </c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spans="1:37" x14ac:dyDescent="0.2">
      <c r="A268" s="4">
        <v>267</v>
      </c>
      <c r="B268" s="5">
        <v>40878</v>
      </c>
      <c r="C268" s="4">
        <v>1</v>
      </c>
      <c r="D268" s="4">
        <v>0</v>
      </c>
      <c r="E268" s="4">
        <v>1</v>
      </c>
      <c r="F268" s="4">
        <v>13</v>
      </c>
      <c r="G268" s="4" t="b">
        <v>0</v>
      </c>
      <c r="H268" s="4">
        <v>3</v>
      </c>
      <c r="I268" s="4">
        <v>1</v>
      </c>
      <c r="J268" s="4">
        <v>0.22</v>
      </c>
      <c r="K268" s="6" t="str">
        <f>IF(H268=0,"weekend",IF(H268=6,"weekend","weekend"))</f>
        <v>weekend</v>
      </c>
      <c r="L268" s="3" t="str">
        <f>IF(C268=1,"Spring",IF(C268=2,"Summer",IF(C268=3,"Fall","Winter")))</f>
        <v>Spring</v>
      </c>
      <c r="M268" s="3">
        <f>SUM(J268:J292)</f>
        <v>4.1800000000000015</v>
      </c>
      <c r="N268" s="3">
        <f>AVERAGE(J268:J877)</f>
        <v>0.18529069767441844</v>
      </c>
      <c r="O268" s="3">
        <f>COUNT(J268:J877)</f>
        <v>344</v>
      </c>
      <c r="P268" s="3" t="str">
        <f>TEXT(J268,"0.00")</f>
        <v>0.22</v>
      </c>
      <c r="Q268" s="3" t="str">
        <f>LEFT(L268,3)</f>
        <v>Spr</v>
      </c>
      <c r="R268" s="7" t="str">
        <f>RIGHT(L268,3)</f>
        <v>ing</v>
      </c>
      <c r="S268" s="8">
        <f>LEN(L268)</f>
        <v>6</v>
      </c>
      <c r="T268" s="36" t="str">
        <f>A268&amp;"|"&amp;B268&amp;"|"&amp;F268</f>
        <v>267|40878|13</v>
      </c>
      <c r="V268" s="32">
        <f>VLOOKUP(A268,Sheet2!A:H,3,FALSE)</f>
        <v>0.18179999999999999</v>
      </c>
      <c r="W268" s="32">
        <f>VLOOKUP(A268,Sheet2!A:H,4,FALSE)</f>
        <v>0.47</v>
      </c>
      <c r="X268" s="32">
        <f>VLOOKUP(A268,Sheet2!A:H,7,FALSE)</f>
        <v>44</v>
      </c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spans="1:37" x14ac:dyDescent="0.2">
      <c r="A269" s="4">
        <v>268</v>
      </c>
      <c r="B269" s="5">
        <v>40878</v>
      </c>
      <c r="C269" s="4">
        <v>1</v>
      </c>
      <c r="D269" s="4">
        <v>0</v>
      </c>
      <c r="E269" s="4">
        <v>1</v>
      </c>
      <c r="F269" s="4">
        <v>14</v>
      </c>
      <c r="G269" s="4" t="b">
        <v>0</v>
      </c>
      <c r="H269" s="4">
        <v>3</v>
      </c>
      <c r="I269" s="4">
        <v>1</v>
      </c>
      <c r="J269" s="4">
        <v>0.2</v>
      </c>
      <c r="K269" s="6" t="str">
        <f>IF(H269=0,"weekend",IF(H269=6,"weekend","weekend"))</f>
        <v>weekend</v>
      </c>
      <c r="L269" s="3" t="str">
        <f>IF(C269=1,"Spring",IF(C269=2,"Summer",IF(C269=3,"Fall","Winter")))</f>
        <v>Spring</v>
      </c>
      <c r="M269" s="3">
        <f>SUM(J269:J293)</f>
        <v>4.1800000000000015</v>
      </c>
      <c r="N269" s="3">
        <f>AVERAGE(J269:J878)</f>
        <v>0.18518950437317766</v>
      </c>
      <c r="O269" s="3">
        <f>COUNT(J269:J878)</f>
        <v>343</v>
      </c>
      <c r="P269" s="3" t="str">
        <f>TEXT(J269,"0.00")</f>
        <v>0.20</v>
      </c>
      <c r="Q269" s="3" t="str">
        <f>LEFT(L269,3)</f>
        <v>Spr</v>
      </c>
      <c r="R269" s="7" t="str">
        <f>RIGHT(L269,3)</f>
        <v>ing</v>
      </c>
      <c r="S269" s="8">
        <f>LEN(L269)</f>
        <v>6</v>
      </c>
      <c r="T269" s="36" t="str">
        <f>A269&amp;"|"&amp;B269&amp;"|"&amp;F269</f>
        <v>268|40878|14</v>
      </c>
      <c r="V269" s="32">
        <f>VLOOKUP(A269,Sheet2!A:H,3,FALSE)</f>
        <v>0.16669999999999999</v>
      </c>
      <c r="W269" s="32">
        <f>VLOOKUP(A269,Sheet2!A:H,4,FALSE)</f>
        <v>0.47</v>
      </c>
      <c r="X269" s="32">
        <f>VLOOKUP(A269,Sheet2!A:H,7,FALSE)</f>
        <v>48</v>
      </c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spans="1:37" x14ac:dyDescent="0.2">
      <c r="A270" s="4">
        <v>269</v>
      </c>
      <c r="B270" s="5">
        <v>40878</v>
      </c>
      <c r="C270" s="4">
        <v>1</v>
      </c>
      <c r="D270" s="4">
        <v>0</v>
      </c>
      <c r="E270" s="4">
        <v>1</v>
      </c>
      <c r="F270" s="4">
        <v>15</v>
      </c>
      <c r="G270" s="4" t="b">
        <v>0</v>
      </c>
      <c r="H270" s="4">
        <v>3</v>
      </c>
      <c r="I270" s="4">
        <v>1</v>
      </c>
      <c r="J270" s="4">
        <v>0.2</v>
      </c>
      <c r="K270" s="6" t="str">
        <f>IF(H270=0,"weekend",IF(H270=6,"weekend","weekend"))</f>
        <v>weekend</v>
      </c>
      <c r="L270" s="3" t="str">
        <f>IF(C270=1,"Spring",IF(C270=2,"Summer",IF(C270=3,"Fall","Winter")))</f>
        <v>Spring</v>
      </c>
      <c r="M270" s="3">
        <f>SUM(J270:J294)</f>
        <v>4.2200000000000015</v>
      </c>
      <c r="N270" s="3">
        <f>AVERAGE(J270:J879)</f>
        <v>0.1851461988304092</v>
      </c>
      <c r="O270" s="3">
        <f>COUNT(J270:J879)</f>
        <v>342</v>
      </c>
      <c r="P270" s="3" t="str">
        <f>TEXT(J270,"0.00")</f>
        <v>0.20</v>
      </c>
      <c r="Q270" s="3" t="str">
        <f>LEFT(L270,3)</f>
        <v>Spr</v>
      </c>
      <c r="R270" s="7" t="str">
        <f>RIGHT(L270,3)</f>
        <v>ing</v>
      </c>
      <c r="S270" s="8">
        <f>LEN(L270)</f>
        <v>6</v>
      </c>
      <c r="T270" s="36" t="str">
        <f>A270&amp;"|"&amp;B270&amp;"|"&amp;F270</f>
        <v>269|40878|15</v>
      </c>
      <c r="V270" s="32">
        <f>VLOOKUP(A270,Sheet2!A:H,3,FALSE)</f>
        <v>0.19700000000000001</v>
      </c>
      <c r="W270" s="32">
        <f>VLOOKUP(A270,Sheet2!A:H,4,FALSE)</f>
        <v>0.44</v>
      </c>
      <c r="X270" s="32">
        <f>VLOOKUP(A270,Sheet2!A:H,7,FALSE)</f>
        <v>63</v>
      </c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spans="1:37" x14ac:dyDescent="0.2">
      <c r="A271" s="4">
        <v>270</v>
      </c>
      <c r="B271" s="5">
        <v>40878</v>
      </c>
      <c r="C271" s="4">
        <v>1</v>
      </c>
      <c r="D271" s="4">
        <v>0</v>
      </c>
      <c r="E271" s="4">
        <v>1</v>
      </c>
      <c r="F271" s="4">
        <v>16</v>
      </c>
      <c r="G271" s="4" t="b">
        <v>0</v>
      </c>
      <c r="H271" s="4">
        <v>3</v>
      </c>
      <c r="I271" s="4">
        <v>1</v>
      </c>
      <c r="J271" s="4">
        <v>0.22</v>
      </c>
      <c r="K271" s="6" t="str">
        <f>IF(H271=0,"weekend",IF(H271=6,"weekend","weekend"))</f>
        <v>weekend</v>
      </c>
      <c r="L271" s="3" t="str">
        <f>IF(C271=1,"Spring",IF(C271=2,"Summer",IF(C271=3,"Fall","Winter")))</f>
        <v>Spring</v>
      </c>
      <c r="M271" s="3">
        <f>SUM(J271:J295)</f>
        <v>4.2600000000000025</v>
      </c>
      <c r="N271" s="3">
        <f>AVERAGE(J271:J880)</f>
        <v>0.18510263929618748</v>
      </c>
      <c r="O271" s="3">
        <f>COUNT(J271:J880)</f>
        <v>341</v>
      </c>
      <c r="P271" s="3" t="str">
        <f>TEXT(J271,"0.00")</f>
        <v>0.22</v>
      </c>
      <c r="Q271" s="3" t="str">
        <f>LEFT(L271,3)</f>
        <v>Spr</v>
      </c>
      <c r="R271" s="7" t="str">
        <f>RIGHT(L271,3)</f>
        <v>ing</v>
      </c>
      <c r="S271" s="8">
        <f>LEN(L271)</f>
        <v>6</v>
      </c>
      <c r="T271" s="36" t="str">
        <f>A271&amp;"|"&amp;B271&amp;"|"&amp;F271</f>
        <v>270|40878|16</v>
      </c>
      <c r="V271" s="32">
        <f>VLOOKUP(A271,Sheet2!A:H,3,FALSE)</f>
        <v>0.18179999999999999</v>
      </c>
      <c r="W271" s="32">
        <f>VLOOKUP(A271,Sheet2!A:H,4,FALSE)</f>
        <v>0.47</v>
      </c>
      <c r="X271" s="32">
        <f>VLOOKUP(A271,Sheet2!A:H,7,FALSE)</f>
        <v>139</v>
      </c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spans="1:37" x14ac:dyDescent="0.2">
      <c r="A272" s="4">
        <v>271</v>
      </c>
      <c r="B272" s="5">
        <v>40878</v>
      </c>
      <c r="C272" s="4">
        <v>1</v>
      </c>
      <c r="D272" s="4">
        <v>0</v>
      </c>
      <c r="E272" s="4">
        <v>1</v>
      </c>
      <c r="F272" s="4">
        <v>17</v>
      </c>
      <c r="G272" s="4" t="b">
        <v>0</v>
      </c>
      <c r="H272" s="4">
        <v>3</v>
      </c>
      <c r="I272" s="4">
        <v>1</v>
      </c>
      <c r="J272" s="4">
        <v>0.2</v>
      </c>
      <c r="K272" s="6" t="str">
        <f>IF(H272=0,"weekend",IF(H272=6,"weekend","weekend"))</f>
        <v>weekend</v>
      </c>
      <c r="L272" s="3" t="str">
        <f>IF(C272=1,"Spring",IF(C272=2,"Summer",IF(C272=3,"Fall","Winter")))</f>
        <v>Spring</v>
      </c>
      <c r="M272" s="3">
        <f>SUM(J272:J296)</f>
        <v>4.2400000000000029</v>
      </c>
      <c r="N272" s="3">
        <f>AVERAGE(J272:J881)</f>
        <v>0.1849999999999998</v>
      </c>
      <c r="O272" s="3">
        <f>COUNT(J272:J881)</f>
        <v>340</v>
      </c>
      <c r="P272" s="3" t="str">
        <f>TEXT(J272,"0.00")</f>
        <v>0.20</v>
      </c>
      <c r="Q272" s="3" t="str">
        <f>LEFT(L272,3)</f>
        <v>Spr</v>
      </c>
      <c r="R272" s="7" t="str">
        <f>RIGHT(L272,3)</f>
        <v>ing</v>
      </c>
      <c r="S272" s="8">
        <f>LEN(L272)</f>
        <v>6</v>
      </c>
      <c r="T272" s="36" t="str">
        <f>A272&amp;"|"&amp;B272&amp;"|"&amp;F272</f>
        <v>271|40878|17</v>
      </c>
      <c r="V272" s="32">
        <f>VLOOKUP(A272,Sheet2!A:H,3,FALSE)</f>
        <v>0.1515</v>
      </c>
      <c r="W272" s="32">
        <f>VLOOKUP(A272,Sheet2!A:H,4,FALSE)</f>
        <v>0.47</v>
      </c>
      <c r="X272" s="32">
        <f>VLOOKUP(A272,Sheet2!A:H,7,FALSE)</f>
        <v>135</v>
      </c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spans="1:37" x14ac:dyDescent="0.2">
      <c r="A273" s="4">
        <v>272</v>
      </c>
      <c r="B273" s="5">
        <v>40878</v>
      </c>
      <c r="C273" s="4">
        <v>1</v>
      </c>
      <c r="D273" s="4">
        <v>0</v>
      </c>
      <c r="E273" s="4">
        <v>1</v>
      </c>
      <c r="F273" s="4">
        <v>18</v>
      </c>
      <c r="G273" s="4" t="b">
        <v>0</v>
      </c>
      <c r="H273" s="4">
        <v>3</v>
      </c>
      <c r="I273" s="4">
        <v>1</v>
      </c>
      <c r="J273" s="4">
        <v>0.2</v>
      </c>
      <c r="K273" s="6" t="str">
        <f>IF(H273=0,"weekend",IF(H273=6,"weekend","weekend"))</f>
        <v>weekend</v>
      </c>
      <c r="L273" s="3" t="str">
        <f>IF(C273=1,"Spring",IF(C273=2,"Summer",IF(C273=3,"Fall","Winter")))</f>
        <v>Spring</v>
      </c>
      <c r="M273" s="3">
        <f>SUM(J273:J297)</f>
        <v>4.2400000000000029</v>
      </c>
      <c r="N273" s="3">
        <f>AVERAGE(J273:J882)</f>
        <v>0.18495575221238919</v>
      </c>
      <c r="O273" s="3">
        <f>COUNT(J273:J882)</f>
        <v>339</v>
      </c>
      <c r="P273" s="3" t="str">
        <f>TEXT(J273,"0.00")</f>
        <v>0.20</v>
      </c>
      <c r="Q273" s="3" t="str">
        <f>LEFT(L273,3)</f>
        <v>Spr</v>
      </c>
      <c r="R273" s="7" t="str">
        <f>RIGHT(L273,3)</f>
        <v>ing</v>
      </c>
      <c r="S273" s="8">
        <f>LEN(L273)</f>
        <v>6</v>
      </c>
      <c r="T273" s="36" t="str">
        <f>A273&amp;"|"&amp;B273&amp;"|"&amp;F273</f>
        <v>272|40878|18</v>
      </c>
      <c r="V273" s="32">
        <f>VLOOKUP(A273,Sheet2!A:H,3,FALSE)</f>
        <v>0.1515</v>
      </c>
      <c r="W273" s="32">
        <f>VLOOKUP(A273,Sheet2!A:H,4,FALSE)</f>
        <v>0.47</v>
      </c>
      <c r="X273" s="32">
        <f>VLOOKUP(A273,Sheet2!A:H,7,FALSE)</f>
        <v>82</v>
      </c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spans="1:37" x14ac:dyDescent="0.2">
      <c r="A274" s="4">
        <v>273</v>
      </c>
      <c r="B274" s="5">
        <v>40878</v>
      </c>
      <c r="C274" s="4">
        <v>1</v>
      </c>
      <c r="D274" s="4">
        <v>0</v>
      </c>
      <c r="E274" s="4">
        <v>1</v>
      </c>
      <c r="F274" s="4">
        <v>19</v>
      </c>
      <c r="G274" s="4" t="b">
        <v>0</v>
      </c>
      <c r="H274" s="4">
        <v>3</v>
      </c>
      <c r="I274" s="4">
        <v>1</v>
      </c>
      <c r="J274" s="4">
        <v>0.18</v>
      </c>
      <c r="K274" s="6" t="str">
        <f>IF(H274=0,"weekend",IF(H274=6,"weekend","weekend"))</f>
        <v>weekend</v>
      </c>
      <c r="L274" s="3" t="str">
        <f>IF(C274=1,"Spring",IF(C274=2,"Summer",IF(C274=3,"Fall","Winter")))</f>
        <v>Spring</v>
      </c>
      <c r="M274" s="3">
        <f>SUM(J274:J298)</f>
        <v>4.2000000000000028</v>
      </c>
      <c r="N274" s="3">
        <f>AVERAGE(J274:J883)</f>
        <v>0.18491124260355007</v>
      </c>
      <c r="O274" s="3">
        <f>COUNT(J274:J883)</f>
        <v>338</v>
      </c>
      <c r="P274" s="3" t="str">
        <f>TEXT(J274,"0.00")</f>
        <v>0.18</v>
      </c>
      <c r="Q274" s="3" t="str">
        <f>LEFT(L274,3)</f>
        <v>Spr</v>
      </c>
      <c r="R274" s="7" t="str">
        <f>RIGHT(L274,3)</f>
        <v>ing</v>
      </c>
      <c r="S274" s="8">
        <f>LEN(L274)</f>
        <v>6</v>
      </c>
      <c r="T274" s="36" t="str">
        <f>A274&amp;"|"&amp;B274&amp;"|"&amp;F274</f>
        <v>273|40878|19</v>
      </c>
      <c r="V274" s="32">
        <f>VLOOKUP(A274,Sheet2!A:H,3,FALSE)</f>
        <v>0.13639999999999999</v>
      </c>
      <c r="W274" s="32">
        <f>VLOOKUP(A274,Sheet2!A:H,4,FALSE)</f>
        <v>0.5</v>
      </c>
      <c r="X274" s="32">
        <f>VLOOKUP(A274,Sheet2!A:H,7,FALSE)</f>
        <v>54</v>
      </c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spans="1:37" x14ac:dyDescent="0.2">
      <c r="A275" s="4">
        <v>274</v>
      </c>
      <c r="B275" s="5">
        <v>40878</v>
      </c>
      <c r="C275" s="4">
        <v>1</v>
      </c>
      <c r="D275" s="4">
        <v>0</v>
      </c>
      <c r="E275" s="4">
        <v>1</v>
      </c>
      <c r="F275" s="4">
        <v>20</v>
      </c>
      <c r="G275" s="4" t="b">
        <v>0</v>
      </c>
      <c r="H275" s="4">
        <v>3</v>
      </c>
      <c r="I275" s="4">
        <v>1</v>
      </c>
      <c r="J275" s="4">
        <v>0.16</v>
      </c>
      <c r="K275" s="6" t="str">
        <f>IF(H275=0,"weekend",IF(H275=6,"weekend","weekend"))</f>
        <v>weekend</v>
      </c>
      <c r="L275" s="3" t="str">
        <f>IF(C275=1,"Spring",IF(C275=2,"Summer",IF(C275=3,"Fall","Winter")))</f>
        <v>Spring</v>
      </c>
      <c r="M275" s="3">
        <f>SUM(J275:J299)</f>
        <v>4.1800000000000024</v>
      </c>
      <c r="N275" s="3">
        <f>AVERAGE(J275:J884)</f>
        <v>0.18492581602373867</v>
      </c>
      <c r="O275" s="3">
        <f>COUNT(J275:J884)</f>
        <v>337</v>
      </c>
      <c r="P275" s="3" t="str">
        <f>TEXT(J275,"0.00")</f>
        <v>0.16</v>
      </c>
      <c r="Q275" s="3" t="str">
        <f>LEFT(L275,3)</f>
        <v>Spr</v>
      </c>
      <c r="R275" s="7" t="str">
        <f>RIGHT(L275,3)</f>
        <v>ing</v>
      </c>
      <c r="S275" s="8">
        <f>LEN(L275)</f>
        <v>6</v>
      </c>
      <c r="T275" s="36" t="str">
        <f>A275&amp;"|"&amp;B275&amp;"|"&amp;F275</f>
        <v>274|40878|20</v>
      </c>
      <c r="V275" s="32">
        <f>VLOOKUP(A275,Sheet2!A:H,3,FALSE)</f>
        <v>0.13639999999999999</v>
      </c>
      <c r="W275" s="32">
        <f>VLOOKUP(A275,Sheet2!A:H,4,FALSE)</f>
        <v>0.55000000000000004</v>
      </c>
      <c r="X275" s="32">
        <f>VLOOKUP(A275,Sheet2!A:H,7,FALSE)</f>
        <v>57</v>
      </c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spans="1:37" x14ac:dyDescent="0.2">
      <c r="A276" s="4">
        <v>275</v>
      </c>
      <c r="B276" s="5">
        <v>40878</v>
      </c>
      <c r="C276" s="4">
        <v>1</v>
      </c>
      <c r="D276" s="4">
        <v>0</v>
      </c>
      <c r="E276" s="4">
        <v>1</v>
      </c>
      <c r="F276" s="4">
        <v>21</v>
      </c>
      <c r="G276" s="4" t="b">
        <v>0</v>
      </c>
      <c r="H276" s="4">
        <v>3</v>
      </c>
      <c r="I276" s="4">
        <v>1</v>
      </c>
      <c r="J276" s="4">
        <v>0.16</v>
      </c>
      <c r="K276" s="6" t="str">
        <f>IF(H276=0,"weekend",IF(H276=6,"weekend","weekend"))</f>
        <v>weekend</v>
      </c>
      <c r="L276" s="3" t="str">
        <f>IF(C276=1,"Spring",IF(C276=2,"Summer",IF(C276=3,"Fall","Winter")))</f>
        <v>Spring</v>
      </c>
      <c r="M276" s="3">
        <f>SUM(J276:J300)</f>
        <v>4.1600000000000019</v>
      </c>
      <c r="N276" s="3">
        <f>AVERAGE(J276:J885)</f>
        <v>0.1849999999999998</v>
      </c>
      <c r="O276" s="3">
        <f>COUNT(J276:J885)</f>
        <v>336</v>
      </c>
      <c r="P276" s="3" t="str">
        <f>TEXT(J276,"0.00")</f>
        <v>0.16</v>
      </c>
      <c r="Q276" s="3" t="str">
        <f>LEFT(L276,3)</f>
        <v>Spr</v>
      </c>
      <c r="R276" s="7" t="str">
        <f>RIGHT(L276,3)</f>
        <v>ing</v>
      </c>
      <c r="S276" s="8">
        <f>LEN(L276)</f>
        <v>6</v>
      </c>
      <c r="T276" s="36" t="str">
        <f>A276&amp;"|"&amp;B276&amp;"|"&amp;F276</f>
        <v>275|40878|21</v>
      </c>
      <c r="V276" s="32">
        <f>VLOOKUP(A276,Sheet2!A:H,3,FALSE)</f>
        <v>0.1212</v>
      </c>
      <c r="W276" s="32">
        <f>VLOOKUP(A276,Sheet2!A:H,4,FALSE)</f>
        <v>0.55000000000000004</v>
      </c>
      <c r="X276" s="32">
        <f>VLOOKUP(A276,Sheet2!A:H,7,FALSE)</f>
        <v>32</v>
      </c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spans="1:37" x14ac:dyDescent="0.2">
      <c r="A277" s="4">
        <v>276</v>
      </c>
      <c r="B277" s="5">
        <v>40878</v>
      </c>
      <c r="C277" s="4">
        <v>1</v>
      </c>
      <c r="D277" s="4">
        <v>0</v>
      </c>
      <c r="E277" s="4">
        <v>1</v>
      </c>
      <c r="F277" s="4">
        <v>22</v>
      </c>
      <c r="G277" s="4" t="b">
        <v>0</v>
      </c>
      <c r="H277" s="4">
        <v>3</v>
      </c>
      <c r="I277" s="4">
        <v>1</v>
      </c>
      <c r="J277" s="4">
        <v>0.16</v>
      </c>
      <c r="K277" s="6" t="str">
        <f>IF(H277=0,"weekend",IF(H277=6,"weekend","weekend"))</f>
        <v>weekend</v>
      </c>
      <c r="L277" s="3" t="str">
        <f>IF(C277=1,"Spring",IF(C277=2,"Summer",IF(C277=3,"Fall","Winter")))</f>
        <v>Spring</v>
      </c>
      <c r="M277" s="3">
        <f>SUM(J277:J301)</f>
        <v>4.1400000000000015</v>
      </c>
      <c r="N277" s="3">
        <f>AVERAGE(J277:J886)</f>
        <v>0.18507462686567144</v>
      </c>
      <c r="O277" s="3">
        <f>COUNT(J277:J886)</f>
        <v>335</v>
      </c>
      <c r="P277" s="3" t="str">
        <f>TEXT(J277,"0.00")</f>
        <v>0.16</v>
      </c>
      <c r="Q277" s="3" t="str">
        <f>LEFT(L277,3)</f>
        <v>Spr</v>
      </c>
      <c r="R277" s="7" t="str">
        <f>RIGHT(L277,3)</f>
        <v>ing</v>
      </c>
      <c r="S277" s="8">
        <f>LEN(L277)</f>
        <v>6</v>
      </c>
      <c r="T277" s="36" t="str">
        <f>A277&amp;"|"&amp;B277&amp;"|"&amp;F277</f>
        <v>276|40878|22</v>
      </c>
      <c r="V277" s="32">
        <f>VLOOKUP(A277,Sheet2!A:H,3,FALSE)</f>
        <v>0.1061</v>
      </c>
      <c r="W277" s="32">
        <f>VLOOKUP(A277,Sheet2!A:H,4,FALSE)</f>
        <v>0.59</v>
      </c>
      <c r="X277" s="32">
        <f>VLOOKUP(A277,Sheet2!A:H,7,FALSE)</f>
        <v>19</v>
      </c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spans="1:37" x14ac:dyDescent="0.2">
      <c r="A278" s="4">
        <v>277</v>
      </c>
      <c r="B278" s="5">
        <v>40878</v>
      </c>
      <c r="C278" s="4">
        <v>1</v>
      </c>
      <c r="D278" s="4">
        <v>0</v>
      </c>
      <c r="E278" s="4">
        <v>1</v>
      </c>
      <c r="F278" s="4">
        <v>23</v>
      </c>
      <c r="G278" s="4" t="b">
        <v>0</v>
      </c>
      <c r="H278" s="4">
        <v>3</v>
      </c>
      <c r="I278" s="4">
        <v>1</v>
      </c>
      <c r="J278" s="4">
        <v>0.14000000000000001</v>
      </c>
      <c r="K278" s="6" t="str">
        <f>IF(H278=0,"weekend",IF(H278=6,"weekend","weekend"))</f>
        <v>weekend</v>
      </c>
      <c r="L278" s="3" t="str">
        <f>IF(C278=1,"Spring",IF(C278=2,"Summer",IF(C278=3,"Fall","Winter")))</f>
        <v>Spring</v>
      </c>
      <c r="M278" s="3">
        <f>SUM(J278:J302)</f>
        <v>4.1000000000000023</v>
      </c>
      <c r="N278" s="3">
        <f>AVERAGE(J278:J887)</f>
        <v>0.1851497005988022</v>
      </c>
      <c r="O278" s="3">
        <f>COUNT(J278:J887)</f>
        <v>334</v>
      </c>
      <c r="P278" s="3" t="str">
        <f>TEXT(J278,"0.00")</f>
        <v>0.14</v>
      </c>
      <c r="Q278" s="3" t="str">
        <f>LEFT(L278,3)</f>
        <v>Spr</v>
      </c>
      <c r="R278" s="7" t="str">
        <f>RIGHT(L278,3)</f>
        <v>ing</v>
      </c>
      <c r="S278" s="8">
        <f>LEN(L278)</f>
        <v>6</v>
      </c>
      <c r="T278" s="36" t="str">
        <f>A278&amp;"|"&amp;B278&amp;"|"&amp;F278</f>
        <v>277|40878|23</v>
      </c>
      <c r="V278" s="32">
        <f>VLOOKUP(A278,Sheet2!A:H,3,FALSE)</f>
        <v>0.1212</v>
      </c>
      <c r="W278" s="32">
        <f>VLOOKUP(A278,Sheet2!A:H,4,FALSE)</f>
        <v>0.59</v>
      </c>
      <c r="X278" s="32">
        <f>VLOOKUP(A278,Sheet2!A:H,7,FALSE)</f>
        <v>6</v>
      </c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spans="1:37" x14ac:dyDescent="0.2">
      <c r="A279" s="4">
        <v>278</v>
      </c>
      <c r="B279" s="4" t="s">
        <v>27</v>
      </c>
      <c r="C279" s="4">
        <v>1</v>
      </c>
      <c r="D279" s="4">
        <v>0</v>
      </c>
      <c r="E279" s="4">
        <v>1</v>
      </c>
      <c r="F279" s="4">
        <v>0</v>
      </c>
      <c r="G279" s="4" t="b">
        <v>0</v>
      </c>
      <c r="H279" s="4">
        <v>4</v>
      </c>
      <c r="I279" s="4">
        <v>1</v>
      </c>
      <c r="J279" s="4">
        <v>0.14000000000000001</v>
      </c>
      <c r="K279" s="6" t="str">
        <f>IF(H279=0,"weekend",IF(H279=6,"weekend","weekend"))</f>
        <v>weekend</v>
      </c>
      <c r="L279" s="3" t="str">
        <f>IF(C279=1,"Spring",IF(C279=2,"Summer",IF(C279=3,"Fall","Winter")))</f>
        <v>Spring</v>
      </c>
      <c r="M279" s="3">
        <f>SUM(J279:J303)</f>
        <v>4.0800000000000018</v>
      </c>
      <c r="N279" s="3">
        <f>AVERAGE(J279:J888)</f>
        <v>0.1852852852852851</v>
      </c>
      <c r="O279" s="3">
        <f>COUNT(J279:J888)</f>
        <v>333</v>
      </c>
      <c r="P279" s="3" t="str">
        <f>TEXT(J279,"0.00")</f>
        <v>0.14</v>
      </c>
      <c r="Q279" s="3" t="str">
        <f>LEFT(L279,3)</f>
        <v>Spr</v>
      </c>
      <c r="R279" s="7" t="str">
        <f>RIGHT(L279,3)</f>
        <v>ing</v>
      </c>
      <c r="S279" s="8">
        <f>LEN(L279)</f>
        <v>6</v>
      </c>
      <c r="T279" s="36" t="str">
        <f>A279&amp;"|"&amp;B279&amp;"|"&amp;F279</f>
        <v>278|13-01-2011|0</v>
      </c>
      <c r="V279" s="32">
        <f>VLOOKUP(A279,Sheet2!A:H,3,FALSE)</f>
        <v>0.1212</v>
      </c>
      <c r="W279" s="32">
        <f>VLOOKUP(A279,Sheet2!A:H,4,FALSE)</f>
        <v>0.5</v>
      </c>
      <c r="X279" s="32">
        <f>VLOOKUP(A279,Sheet2!A:H,7,FALSE)</f>
        <v>2</v>
      </c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spans="1:37" x14ac:dyDescent="0.2">
      <c r="A280" s="4">
        <v>279</v>
      </c>
      <c r="B280" s="4" t="s">
        <v>27</v>
      </c>
      <c r="C280" s="4">
        <v>1</v>
      </c>
      <c r="D280" s="4">
        <v>0</v>
      </c>
      <c r="E280" s="4">
        <v>1</v>
      </c>
      <c r="F280" s="4">
        <v>1</v>
      </c>
      <c r="G280" s="4" t="b">
        <v>0</v>
      </c>
      <c r="H280" s="4">
        <v>4</v>
      </c>
      <c r="I280" s="4">
        <v>1</v>
      </c>
      <c r="J280" s="4">
        <v>0.14000000000000001</v>
      </c>
      <c r="K280" s="6" t="str">
        <f>IF(H280=0,"weekend",IF(H280=6,"weekend","weekend"))</f>
        <v>weekend</v>
      </c>
      <c r="L280" s="3" t="str">
        <f>IF(C280=1,"Spring",IF(C280=2,"Summer",IF(C280=3,"Fall","Winter")))</f>
        <v>Spring</v>
      </c>
      <c r="M280" s="3">
        <f>SUM(J280:J304)</f>
        <v>4.0400000000000009</v>
      </c>
      <c r="N280" s="3">
        <f>AVERAGE(J280:J889)</f>
        <v>0.18542168674698778</v>
      </c>
      <c r="O280" s="3">
        <f>COUNT(J280:J889)</f>
        <v>332</v>
      </c>
      <c r="P280" s="3" t="str">
        <f>TEXT(J280,"0.00")</f>
        <v>0.14</v>
      </c>
      <c r="Q280" s="3" t="str">
        <f>LEFT(L280,3)</f>
        <v>Spr</v>
      </c>
      <c r="R280" s="7" t="str">
        <f>RIGHT(L280,3)</f>
        <v>ing</v>
      </c>
      <c r="S280" s="8">
        <f>LEN(L280)</f>
        <v>6</v>
      </c>
      <c r="T280" s="36" t="str">
        <f>A280&amp;"|"&amp;B280&amp;"|"&amp;F280</f>
        <v>279|13-01-2011|1</v>
      </c>
      <c r="V280" s="32">
        <f>VLOOKUP(A280,Sheet2!A:H,3,FALSE)</f>
        <v>0.1212</v>
      </c>
      <c r="W280" s="32">
        <f>VLOOKUP(A280,Sheet2!A:H,4,FALSE)</f>
        <v>0.5</v>
      </c>
      <c r="X280" s="32">
        <f>VLOOKUP(A280,Sheet2!A:H,7,FALSE)</f>
        <v>2</v>
      </c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spans="1:37" x14ac:dyDescent="0.2">
      <c r="A281" s="4">
        <v>280</v>
      </c>
      <c r="B281" s="4" t="s">
        <v>27</v>
      </c>
      <c r="C281" s="4">
        <v>1</v>
      </c>
      <c r="D281" s="4">
        <v>0</v>
      </c>
      <c r="E281" s="4">
        <v>1</v>
      </c>
      <c r="F281" s="4">
        <v>2</v>
      </c>
      <c r="G281" s="4" t="b">
        <v>0</v>
      </c>
      <c r="H281" s="4">
        <v>4</v>
      </c>
      <c r="I281" s="4">
        <v>1</v>
      </c>
      <c r="J281" s="4">
        <v>0.14000000000000001</v>
      </c>
      <c r="K281" s="6" t="str">
        <f>IF(H281=0,"weekend",IF(H281=6,"weekend","weekend"))</f>
        <v>weekend</v>
      </c>
      <c r="L281" s="3" t="str">
        <f>IF(C281=1,"Spring",IF(C281=2,"Summer",IF(C281=3,"Fall","Winter")))</f>
        <v>Spring</v>
      </c>
      <c r="M281" s="3">
        <f>SUM(J281:J305)</f>
        <v>4.0000000000000018</v>
      </c>
      <c r="N281" s="3">
        <f>AVERAGE(J281:J890)</f>
        <v>0.18555891238670677</v>
      </c>
      <c r="O281" s="3">
        <f>COUNT(J281:J890)</f>
        <v>331</v>
      </c>
      <c r="P281" s="3" t="str">
        <f>TEXT(J281,"0.00")</f>
        <v>0.14</v>
      </c>
      <c r="Q281" s="3" t="str">
        <f>LEFT(L281,3)</f>
        <v>Spr</v>
      </c>
      <c r="R281" s="7" t="str">
        <f>RIGHT(L281,3)</f>
        <v>ing</v>
      </c>
      <c r="S281" s="8">
        <f>LEN(L281)</f>
        <v>6</v>
      </c>
      <c r="T281" s="36" t="str">
        <f>A281&amp;"|"&amp;B281&amp;"|"&amp;F281</f>
        <v>280|13-01-2011|2</v>
      </c>
      <c r="V281" s="32">
        <f>VLOOKUP(A281,Sheet2!A:H,3,FALSE)</f>
        <v>0.1212</v>
      </c>
      <c r="W281" s="32">
        <f>VLOOKUP(A281,Sheet2!A:H,4,FALSE)</f>
        <v>0.5</v>
      </c>
      <c r="X281" s="32">
        <f>VLOOKUP(A281,Sheet2!A:H,7,FALSE)</f>
        <v>3</v>
      </c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spans="1:37" x14ac:dyDescent="0.2">
      <c r="A282" s="4">
        <v>281</v>
      </c>
      <c r="B282" s="4" t="s">
        <v>27</v>
      </c>
      <c r="C282" s="4">
        <v>1</v>
      </c>
      <c r="D282" s="4">
        <v>0</v>
      </c>
      <c r="E282" s="4">
        <v>1</v>
      </c>
      <c r="F282" s="4">
        <v>3</v>
      </c>
      <c r="G282" s="4" t="b">
        <v>0</v>
      </c>
      <c r="H282" s="4">
        <v>4</v>
      </c>
      <c r="I282" s="4">
        <v>1</v>
      </c>
      <c r="J282" s="4">
        <v>0.14000000000000001</v>
      </c>
      <c r="K282" s="6" t="str">
        <f>IF(H282=0,"weekend",IF(H282=6,"weekend","weekend"))</f>
        <v>weekend</v>
      </c>
      <c r="L282" s="3" t="str">
        <f>IF(C282=1,"Spring",IF(C282=2,"Summer",IF(C282=3,"Fall","Winter")))</f>
        <v>Spring</v>
      </c>
      <c r="M282" s="3">
        <f>SUM(J282:J306)</f>
        <v>3.9600000000000013</v>
      </c>
      <c r="N282" s="3">
        <f>AVERAGE(J282:J891)</f>
        <v>0.18569696969696955</v>
      </c>
      <c r="O282" s="3">
        <f>COUNT(J282:J891)</f>
        <v>330</v>
      </c>
      <c r="P282" s="3" t="str">
        <f>TEXT(J282,"0.00")</f>
        <v>0.14</v>
      </c>
      <c r="Q282" s="3" t="str">
        <f>LEFT(L282,3)</f>
        <v>Spr</v>
      </c>
      <c r="R282" s="7" t="str">
        <f>RIGHT(L282,3)</f>
        <v>ing</v>
      </c>
      <c r="S282" s="8">
        <f>LEN(L282)</f>
        <v>6</v>
      </c>
      <c r="T282" s="36" t="str">
        <f>A282&amp;"|"&amp;B282&amp;"|"&amp;F282</f>
        <v>281|13-01-2011|3</v>
      </c>
      <c r="V282" s="32">
        <f>VLOOKUP(A282,Sheet2!A:H,3,FALSE)</f>
        <v>0.1212</v>
      </c>
      <c r="W282" s="32">
        <f>VLOOKUP(A282,Sheet2!A:H,4,FALSE)</f>
        <v>0.5</v>
      </c>
      <c r="X282" s="32">
        <f>VLOOKUP(A282,Sheet2!A:H,7,FALSE)</f>
        <v>4</v>
      </c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spans="1:37" x14ac:dyDescent="0.2">
      <c r="A283" s="4">
        <v>282</v>
      </c>
      <c r="B283" s="4" t="s">
        <v>27</v>
      </c>
      <c r="C283" s="4">
        <v>1</v>
      </c>
      <c r="D283" s="4">
        <v>0</v>
      </c>
      <c r="E283" s="4">
        <v>1</v>
      </c>
      <c r="F283" s="4">
        <v>4</v>
      </c>
      <c r="G283" s="4" t="b">
        <v>0</v>
      </c>
      <c r="H283" s="4">
        <v>4</v>
      </c>
      <c r="I283" s="4">
        <v>1</v>
      </c>
      <c r="J283" s="4">
        <v>0.14000000000000001</v>
      </c>
      <c r="K283" s="6" t="str">
        <f>IF(H283=0,"weekend",IF(H283=6,"weekend","weekend"))</f>
        <v>weekend</v>
      </c>
      <c r="L283" s="3" t="str">
        <f>IF(C283=1,"Spring",IF(C283=2,"Summer",IF(C283=3,"Fall","Winter")))</f>
        <v>Spring</v>
      </c>
      <c r="M283" s="3">
        <f>SUM(J283:J307)</f>
        <v>3.9200000000000017</v>
      </c>
      <c r="N283" s="3">
        <f>AVERAGE(J283:J892)</f>
        <v>0.18583586626139803</v>
      </c>
      <c r="O283" s="3">
        <f>COUNT(J283:J892)</f>
        <v>329</v>
      </c>
      <c r="P283" s="3" t="str">
        <f>TEXT(J283,"0.00")</f>
        <v>0.14</v>
      </c>
      <c r="Q283" s="3" t="str">
        <f>LEFT(L283,3)</f>
        <v>Spr</v>
      </c>
      <c r="R283" s="7" t="str">
        <f>RIGHT(L283,3)</f>
        <v>ing</v>
      </c>
      <c r="S283" s="8">
        <f>LEN(L283)</f>
        <v>6</v>
      </c>
      <c r="T283" s="36" t="str">
        <f>A283&amp;"|"&amp;B283&amp;"|"&amp;F283</f>
        <v>282|13-01-2011|4</v>
      </c>
      <c r="V283" s="32">
        <f>VLOOKUP(A283,Sheet2!A:H,3,FALSE)</f>
        <v>0.1212</v>
      </c>
      <c r="W283" s="32">
        <f>VLOOKUP(A283,Sheet2!A:H,4,FALSE)</f>
        <v>0.5</v>
      </c>
      <c r="X283" s="32">
        <f>VLOOKUP(A283,Sheet2!A:H,7,FALSE)</f>
        <v>3</v>
      </c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spans="1:37" x14ac:dyDescent="0.2">
      <c r="A284" s="4">
        <v>283</v>
      </c>
      <c r="B284" s="4" t="s">
        <v>27</v>
      </c>
      <c r="C284" s="4">
        <v>1</v>
      </c>
      <c r="D284" s="4">
        <v>0</v>
      </c>
      <c r="E284" s="4">
        <v>1</v>
      </c>
      <c r="F284" s="4">
        <v>5</v>
      </c>
      <c r="G284" s="4" t="b">
        <v>0</v>
      </c>
      <c r="H284" s="4">
        <v>4</v>
      </c>
      <c r="I284" s="4">
        <v>1</v>
      </c>
      <c r="J284" s="4">
        <v>0.14000000000000001</v>
      </c>
      <c r="K284" s="6" t="str">
        <f>IF(H284=0,"weekend",IF(H284=6,"weekend","weekend"))</f>
        <v>weekend</v>
      </c>
      <c r="L284" s="3" t="str">
        <f>IF(C284=1,"Spring",IF(C284=2,"Summer",IF(C284=3,"Fall","Winter")))</f>
        <v>Spring</v>
      </c>
      <c r="M284" s="3">
        <f>SUM(J284:J308)</f>
        <v>3.8800000000000012</v>
      </c>
      <c r="N284" s="3">
        <f>AVERAGE(J284:J893)</f>
        <v>0.18597560975609742</v>
      </c>
      <c r="O284" s="3">
        <f>COUNT(J284:J893)</f>
        <v>328</v>
      </c>
      <c r="P284" s="3" t="str">
        <f>TEXT(J284,"0.00")</f>
        <v>0.14</v>
      </c>
      <c r="Q284" s="3" t="str">
        <f>LEFT(L284,3)</f>
        <v>Spr</v>
      </c>
      <c r="R284" s="7" t="str">
        <f>RIGHT(L284,3)</f>
        <v>ing</v>
      </c>
      <c r="S284" s="8">
        <f>LEN(L284)</f>
        <v>6</v>
      </c>
      <c r="T284" s="36" t="str">
        <f>A284&amp;"|"&amp;B284&amp;"|"&amp;F284</f>
        <v>283|13-01-2011|5</v>
      </c>
      <c r="V284" s="32">
        <f>VLOOKUP(A284,Sheet2!A:H,3,FALSE)</f>
        <v>0.1515</v>
      </c>
      <c r="W284" s="32">
        <f>VLOOKUP(A284,Sheet2!A:H,4,FALSE)</f>
        <v>0.54</v>
      </c>
      <c r="X284" s="32">
        <f>VLOOKUP(A284,Sheet2!A:H,7,FALSE)</f>
        <v>28</v>
      </c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spans="1:37" x14ac:dyDescent="0.2">
      <c r="A285" s="4">
        <v>284</v>
      </c>
      <c r="B285" s="4" t="s">
        <v>27</v>
      </c>
      <c r="C285" s="4">
        <v>1</v>
      </c>
      <c r="D285" s="4">
        <v>0</v>
      </c>
      <c r="E285" s="4">
        <v>1</v>
      </c>
      <c r="F285" s="4">
        <v>6</v>
      </c>
      <c r="G285" s="4" t="b">
        <v>0</v>
      </c>
      <c r="H285" s="4">
        <v>4</v>
      </c>
      <c r="I285" s="4">
        <v>1</v>
      </c>
      <c r="J285" s="4">
        <v>0.12</v>
      </c>
      <c r="K285" s="6" t="str">
        <f>IF(H285=0,"weekend",IF(H285=6,"weekend","weekend"))</f>
        <v>weekend</v>
      </c>
      <c r="L285" s="3" t="str">
        <f>IF(C285=1,"Spring",IF(C285=2,"Summer",IF(C285=3,"Fall","Winter")))</f>
        <v>Spring</v>
      </c>
      <c r="M285" s="3">
        <f>SUM(J285:J309)</f>
        <v>3.8400000000000016</v>
      </c>
      <c r="N285" s="3">
        <f>AVERAGE(J285:J894)</f>
        <v>0.18611620795107017</v>
      </c>
      <c r="O285" s="3">
        <f>COUNT(J285:J894)</f>
        <v>327</v>
      </c>
      <c r="P285" s="3" t="str">
        <f>TEXT(J285,"0.00")</f>
        <v>0.12</v>
      </c>
      <c r="Q285" s="3" t="str">
        <f>LEFT(L285,3)</f>
        <v>Spr</v>
      </c>
      <c r="R285" s="7" t="str">
        <f>RIGHT(L285,3)</f>
        <v>ing</v>
      </c>
      <c r="S285" s="8">
        <f>LEN(L285)</f>
        <v>6</v>
      </c>
      <c r="T285" s="36" t="str">
        <f>A285&amp;"|"&amp;B285&amp;"|"&amp;F285</f>
        <v>284|13-01-2011|6</v>
      </c>
      <c r="V285" s="32">
        <f>VLOOKUP(A285,Sheet2!A:H,3,FALSE)</f>
        <v>0.1515</v>
      </c>
      <c r="W285" s="32">
        <f>VLOOKUP(A285,Sheet2!A:H,4,FALSE)</f>
        <v>0.54</v>
      </c>
      <c r="X285" s="32">
        <f>VLOOKUP(A285,Sheet2!A:H,7,FALSE)</f>
        <v>72</v>
      </c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spans="1:37" x14ac:dyDescent="0.2">
      <c r="A286" s="4">
        <v>285</v>
      </c>
      <c r="B286" s="4" t="s">
        <v>27</v>
      </c>
      <c r="C286" s="4">
        <v>1</v>
      </c>
      <c r="D286" s="4">
        <v>0</v>
      </c>
      <c r="E286" s="4">
        <v>1</v>
      </c>
      <c r="F286" s="4">
        <v>7</v>
      </c>
      <c r="G286" s="4" t="b">
        <v>0</v>
      </c>
      <c r="H286" s="4">
        <v>4</v>
      </c>
      <c r="I286" s="4">
        <v>1</v>
      </c>
      <c r="J286" s="4">
        <v>0.12</v>
      </c>
      <c r="K286" s="6" t="str">
        <f>IF(H286=0,"weekend",IF(H286=6,"weekend","weekend"))</f>
        <v>weekend</v>
      </c>
      <c r="L286" s="3" t="str">
        <f>IF(C286=1,"Spring",IF(C286=2,"Summer",IF(C286=3,"Fall","Winter")))</f>
        <v>Spring</v>
      </c>
      <c r="M286" s="3">
        <f>SUM(J286:J310)</f>
        <v>3.8400000000000016</v>
      </c>
      <c r="N286" s="3">
        <f>AVERAGE(J286:J895)</f>
        <v>0.18631901840490786</v>
      </c>
      <c r="O286" s="3">
        <f>COUNT(J286:J895)</f>
        <v>326</v>
      </c>
      <c r="P286" s="3" t="str">
        <f>TEXT(J286,"0.00")</f>
        <v>0.12</v>
      </c>
      <c r="Q286" s="3" t="str">
        <f>LEFT(L286,3)</f>
        <v>Spr</v>
      </c>
      <c r="R286" s="7" t="str">
        <f>RIGHT(L286,3)</f>
        <v>ing</v>
      </c>
      <c r="S286" s="8">
        <f>LEN(L286)</f>
        <v>6</v>
      </c>
      <c r="T286" s="36" t="str">
        <f>A286&amp;"|"&amp;B286&amp;"|"&amp;F286</f>
        <v>285|13-01-2011|7</v>
      </c>
      <c r="V286" s="32">
        <f>VLOOKUP(A286,Sheet2!A:H,3,FALSE)</f>
        <v>0.13639999999999999</v>
      </c>
      <c r="W286" s="32">
        <f>VLOOKUP(A286,Sheet2!A:H,4,FALSE)</f>
        <v>0.5</v>
      </c>
      <c r="X286" s="32">
        <f>VLOOKUP(A286,Sheet2!A:H,7,FALSE)</f>
        <v>197</v>
      </c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spans="1:37" x14ac:dyDescent="0.2">
      <c r="A287" s="4">
        <v>286</v>
      </c>
      <c r="B287" s="4" t="s">
        <v>27</v>
      </c>
      <c r="C287" s="4">
        <v>1</v>
      </c>
      <c r="D287" s="4">
        <v>0</v>
      </c>
      <c r="E287" s="4">
        <v>1</v>
      </c>
      <c r="F287" s="4">
        <v>8</v>
      </c>
      <c r="G287" s="4" t="b">
        <v>0</v>
      </c>
      <c r="H287" s="4">
        <v>4</v>
      </c>
      <c r="I287" s="4">
        <v>1</v>
      </c>
      <c r="J287" s="4">
        <v>0.14000000000000001</v>
      </c>
      <c r="K287" s="6" t="str">
        <f>IF(H287=0,"weekend",IF(H287=6,"weekend","weekend"))</f>
        <v>weekend</v>
      </c>
      <c r="L287" s="3" t="str">
        <f>IF(C287=1,"Spring",IF(C287=2,"Summer",IF(C287=3,"Fall","Winter")))</f>
        <v>Spring</v>
      </c>
      <c r="M287" s="3">
        <f>SUM(J287:J311)</f>
        <v>3.8600000000000017</v>
      </c>
      <c r="N287" s="3">
        <f>AVERAGE(J287:J896)</f>
        <v>0.18652307692307679</v>
      </c>
      <c r="O287" s="3">
        <f>COUNT(J287:J896)</f>
        <v>325</v>
      </c>
      <c r="P287" s="3" t="str">
        <f>TEXT(J287,"0.00")</f>
        <v>0.14</v>
      </c>
      <c r="Q287" s="3" t="str">
        <f>LEFT(L287,3)</f>
        <v>Spr</v>
      </c>
      <c r="R287" s="7" t="str">
        <f>RIGHT(L287,3)</f>
        <v>ing</v>
      </c>
      <c r="S287" s="8">
        <f>LEN(L287)</f>
        <v>6</v>
      </c>
      <c r="T287" s="36" t="str">
        <f>A287&amp;"|"&amp;B287&amp;"|"&amp;F287</f>
        <v>286|13-01-2011|8</v>
      </c>
      <c r="V287" s="32">
        <f>VLOOKUP(A287,Sheet2!A:H,3,FALSE)</f>
        <v>0.1212</v>
      </c>
      <c r="W287" s="32">
        <f>VLOOKUP(A287,Sheet2!A:H,4,FALSE)</f>
        <v>0.5</v>
      </c>
      <c r="X287" s="32">
        <f>VLOOKUP(A287,Sheet2!A:H,7,FALSE)</f>
        <v>137</v>
      </c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spans="1:37" x14ac:dyDescent="0.2">
      <c r="A288" s="4">
        <v>287</v>
      </c>
      <c r="B288" s="4" t="s">
        <v>27</v>
      </c>
      <c r="C288" s="4">
        <v>1</v>
      </c>
      <c r="D288" s="4">
        <v>0</v>
      </c>
      <c r="E288" s="4">
        <v>1</v>
      </c>
      <c r="F288" s="4">
        <v>9</v>
      </c>
      <c r="G288" s="4" t="b">
        <v>0</v>
      </c>
      <c r="H288" s="4">
        <v>4</v>
      </c>
      <c r="I288" s="4">
        <v>1</v>
      </c>
      <c r="J288" s="4">
        <v>0.14000000000000001</v>
      </c>
      <c r="K288" s="6" t="str">
        <f>IF(H288=0,"weekend",IF(H288=6,"weekend","weekend"))</f>
        <v>weekend</v>
      </c>
      <c r="L288" s="3" t="str">
        <f>IF(C288=1,"Spring",IF(C288=2,"Summer",IF(C288=3,"Fall","Winter")))</f>
        <v>Spring</v>
      </c>
      <c r="M288" s="3">
        <f>SUM(J288:J312)</f>
        <v>3.9000000000000017</v>
      </c>
      <c r="N288" s="3">
        <f>AVERAGE(J288:J897)</f>
        <v>0.18666666666666654</v>
      </c>
      <c r="O288" s="3">
        <f>COUNT(J288:J897)</f>
        <v>324</v>
      </c>
      <c r="P288" s="3" t="str">
        <f>TEXT(J288,"0.00")</f>
        <v>0.14</v>
      </c>
      <c r="Q288" s="3" t="str">
        <f>LEFT(L288,3)</f>
        <v>Spr</v>
      </c>
      <c r="R288" s="7" t="str">
        <f>RIGHT(L288,3)</f>
        <v>ing</v>
      </c>
      <c r="S288" s="8">
        <f>LEN(L288)</f>
        <v>6</v>
      </c>
      <c r="T288" s="36" t="str">
        <f>A288&amp;"|"&amp;B288&amp;"|"&amp;F288</f>
        <v>287|13-01-2011|9</v>
      </c>
      <c r="V288" s="32">
        <f>VLOOKUP(A288,Sheet2!A:H,3,FALSE)</f>
        <v>0.13639999999999999</v>
      </c>
      <c r="W288" s="32">
        <f>VLOOKUP(A288,Sheet2!A:H,4,FALSE)</f>
        <v>0.5</v>
      </c>
      <c r="X288" s="32">
        <f>VLOOKUP(A288,Sheet2!A:H,7,FALSE)</f>
        <v>36</v>
      </c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spans="1:37" x14ac:dyDescent="0.2">
      <c r="A289" s="4">
        <v>288</v>
      </c>
      <c r="B289" s="4" t="s">
        <v>27</v>
      </c>
      <c r="C289" s="4">
        <v>1</v>
      </c>
      <c r="D289" s="4">
        <v>0</v>
      </c>
      <c r="E289" s="4">
        <v>1</v>
      </c>
      <c r="F289" s="4">
        <v>10</v>
      </c>
      <c r="G289" s="4" t="b">
        <v>0</v>
      </c>
      <c r="H289" s="4">
        <v>4</v>
      </c>
      <c r="I289" s="4">
        <v>2</v>
      </c>
      <c r="J289" s="4">
        <v>0.16</v>
      </c>
      <c r="K289" s="6" t="str">
        <f>IF(H289=0,"weekend",IF(H289=6,"weekend","weekend"))</f>
        <v>weekend</v>
      </c>
      <c r="L289" s="3" t="str">
        <f>IF(C289=1,"Spring",IF(C289=2,"Summer",IF(C289=3,"Fall","Winter")))</f>
        <v>Spring</v>
      </c>
      <c r="M289" s="3">
        <f>SUM(J289:J313)</f>
        <v>3.9400000000000017</v>
      </c>
      <c r="N289" s="3">
        <f>AVERAGE(J289:J898)</f>
        <v>0.1868111455108358</v>
      </c>
      <c r="O289" s="3">
        <f>COUNT(J289:J898)</f>
        <v>323</v>
      </c>
      <c r="P289" s="3" t="str">
        <f>TEXT(J289,"0.00")</f>
        <v>0.16</v>
      </c>
      <c r="Q289" s="3" t="str">
        <f>LEFT(L289,3)</f>
        <v>Spr</v>
      </c>
      <c r="R289" s="7" t="str">
        <f>RIGHT(L289,3)</f>
        <v>ing</v>
      </c>
      <c r="S289" s="8">
        <f>LEN(L289)</f>
        <v>6</v>
      </c>
      <c r="T289" s="36" t="str">
        <f>A289&amp;"|"&amp;B289&amp;"|"&amp;F289</f>
        <v>288|13-01-2011|10</v>
      </c>
      <c r="V289" s="32">
        <f>VLOOKUP(A289,Sheet2!A:H,3,FALSE)</f>
        <v>0.16669999999999999</v>
      </c>
      <c r="W289" s="32">
        <f>VLOOKUP(A289,Sheet2!A:H,4,FALSE)</f>
        <v>0.44</v>
      </c>
      <c r="X289" s="32">
        <f>VLOOKUP(A289,Sheet2!A:H,7,FALSE)</f>
        <v>33</v>
      </c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spans="1:37" x14ac:dyDescent="0.2">
      <c r="A290" s="4">
        <v>289</v>
      </c>
      <c r="B290" s="4" t="s">
        <v>27</v>
      </c>
      <c r="C290" s="4">
        <v>1</v>
      </c>
      <c r="D290" s="4">
        <v>0</v>
      </c>
      <c r="E290" s="4">
        <v>1</v>
      </c>
      <c r="F290" s="4">
        <v>11</v>
      </c>
      <c r="G290" s="4" t="b">
        <v>0</v>
      </c>
      <c r="H290" s="4">
        <v>4</v>
      </c>
      <c r="I290" s="4">
        <v>2</v>
      </c>
      <c r="J290" s="4">
        <v>0.2</v>
      </c>
      <c r="K290" s="6" t="str">
        <f>IF(H290=0,"weekend",IF(H290=6,"weekend","weekend"))</f>
        <v>weekend</v>
      </c>
      <c r="L290" s="3" t="str">
        <f>IF(C290=1,"Spring",IF(C290=2,"Summer",IF(C290=3,"Fall","Winter")))</f>
        <v>Spring</v>
      </c>
      <c r="M290" s="3">
        <f>SUM(J290:J314)</f>
        <v>3.9800000000000018</v>
      </c>
      <c r="N290" s="3">
        <f>AVERAGE(J290:J899)</f>
        <v>0.18689440993788808</v>
      </c>
      <c r="O290" s="3">
        <f>COUNT(J290:J899)</f>
        <v>322</v>
      </c>
      <c r="P290" s="3" t="str">
        <f>TEXT(J290,"0.00")</f>
        <v>0.20</v>
      </c>
      <c r="Q290" s="3" t="str">
        <f>LEFT(L290,3)</f>
        <v>Spr</v>
      </c>
      <c r="R290" s="7" t="str">
        <f>RIGHT(L290,3)</f>
        <v>ing</v>
      </c>
      <c r="S290" s="8">
        <f>LEN(L290)</f>
        <v>6</v>
      </c>
      <c r="T290" s="36" t="str">
        <f>A290&amp;"|"&amp;B290&amp;"|"&amp;F290</f>
        <v>289|13-01-2011|11</v>
      </c>
      <c r="V290" s="32">
        <f>VLOOKUP(A290,Sheet2!A:H,3,FALSE)</f>
        <v>0.16669999999999999</v>
      </c>
      <c r="W290" s="32">
        <f>VLOOKUP(A290,Sheet2!A:H,4,FALSE)</f>
        <v>0.44</v>
      </c>
      <c r="X290" s="32">
        <f>VLOOKUP(A290,Sheet2!A:H,7,FALSE)</f>
        <v>49</v>
      </c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spans="1:37" x14ac:dyDescent="0.2">
      <c r="A291" s="4">
        <v>290</v>
      </c>
      <c r="B291" s="4" t="s">
        <v>27</v>
      </c>
      <c r="C291" s="4">
        <v>1</v>
      </c>
      <c r="D291" s="4">
        <v>0</v>
      </c>
      <c r="E291" s="4">
        <v>1</v>
      </c>
      <c r="F291" s="4">
        <v>12</v>
      </c>
      <c r="G291" s="4" t="b">
        <v>0</v>
      </c>
      <c r="H291" s="4">
        <v>4</v>
      </c>
      <c r="I291" s="4">
        <v>1</v>
      </c>
      <c r="J291" s="4">
        <v>0.2</v>
      </c>
      <c r="K291" s="6" t="str">
        <f>IF(H291=0,"weekend",IF(H291=6,"weekend","weekend"))</f>
        <v>weekend</v>
      </c>
      <c r="L291" s="3" t="str">
        <f>IF(C291=1,"Spring",IF(C291=2,"Summer",IF(C291=3,"Fall","Winter")))</f>
        <v>Spring</v>
      </c>
      <c r="M291" s="3">
        <f>SUM(J291:J315)</f>
        <v>4.0000000000000018</v>
      </c>
      <c r="N291" s="3">
        <f>AVERAGE(J291:J900)</f>
        <v>0.18685358255451703</v>
      </c>
      <c r="O291" s="3">
        <f>COUNT(J291:J900)</f>
        <v>321</v>
      </c>
      <c r="P291" s="3" t="str">
        <f>TEXT(J291,"0.00")</f>
        <v>0.20</v>
      </c>
      <c r="Q291" s="3" t="str">
        <f>LEFT(L291,3)</f>
        <v>Spr</v>
      </c>
      <c r="R291" s="7" t="str">
        <f>RIGHT(L291,3)</f>
        <v>ing</v>
      </c>
      <c r="S291" s="8">
        <f>LEN(L291)</f>
        <v>6</v>
      </c>
      <c r="T291" s="36" t="str">
        <f>A291&amp;"|"&amp;B291&amp;"|"&amp;F291</f>
        <v>290|13-01-2011|12</v>
      </c>
      <c r="V291" s="32">
        <f>VLOOKUP(A291,Sheet2!A:H,3,FALSE)</f>
        <v>0.19700000000000001</v>
      </c>
      <c r="W291" s="32">
        <f>VLOOKUP(A291,Sheet2!A:H,4,FALSE)</f>
        <v>0.41</v>
      </c>
      <c r="X291" s="32">
        <f>VLOOKUP(A291,Sheet2!A:H,7,FALSE)</f>
        <v>81</v>
      </c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spans="1:37" x14ac:dyDescent="0.2">
      <c r="A292" s="4">
        <v>291</v>
      </c>
      <c r="B292" s="4" t="s">
        <v>27</v>
      </c>
      <c r="C292" s="4">
        <v>1</v>
      </c>
      <c r="D292" s="4">
        <v>0</v>
      </c>
      <c r="E292" s="4">
        <v>1</v>
      </c>
      <c r="F292" s="4">
        <v>13</v>
      </c>
      <c r="G292" s="4" t="b">
        <v>0</v>
      </c>
      <c r="H292" s="4">
        <v>4</v>
      </c>
      <c r="I292" s="4">
        <v>1</v>
      </c>
      <c r="J292" s="4">
        <v>0.22</v>
      </c>
      <c r="K292" s="6" t="str">
        <f>IF(H292=0,"weekend",IF(H292=6,"weekend","weekend"))</f>
        <v>weekend</v>
      </c>
      <c r="L292" s="3" t="str">
        <f>IF(C292=1,"Spring",IF(C292=2,"Summer",IF(C292=3,"Fall","Winter")))</f>
        <v>Spring</v>
      </c>
      <c r="M292" s="3">
        <f>SUM(J292:J316)</f>
        <v>4.0200000000000014</v>
      </c>
      <c r="N292" s="3">
        <f>AVERAGE(J292:J901)</f>
        <v>0.18681249999999988</v>
      </c>
      <c r="O292" s="3">
        <f>COUNT(J292:J901)</f>
        <v>320</v>
      </c>
      <c r="P292" s="3" t="str">
        <f>TEXT(J292,"0.00")</f>
        <v>0.22</v>
      </c>
      <c r="Q292" s="3" t="str">
        <f>LEFT(L292,3)</f>
        <v>Spr</v>
      </c>
      <c r="R292" s="7" t="str">
        <f>RIGHT(L292,3)</f>
        <v>ing</v>
      </c>
      <c r="S292" s="8">
        <f>LEN(L292)</f>
        <v>6</v>
      </c>
      <c r="T292" s="36" t="str">
        <f>A292&amp;"|"&amp;B292&amp;"|"&amp;F292</f>
        <v>291|13-01-2011|13</v>
      </c>
      <c r="V292" s="32">
        <f>VLOOKUP(A292,Sheet2!A:H,3,FALSE)</f>
        <v>0.19700000000000001</v>
      </c>
      <c r="W292" s="32">
        <f>VLOOKUP(A292,Sheet2!A:H,4,FALSE)</f>
        <v>0.41</v>
      </c>
      <c r="X292" s="32">
        <f>VLOOKUP(A292,Sheet2!A:H,7,FALSE)</f>
        <v>39</v>
      </c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spans="1:37" x14ac:dyDescent="0.2">
      <c r="A293" s="4">
        <v>292</v>
      </c>
      <c r="B293" s="4" t="s">
        <v>27</v>
      </c>
      <c r="C293" s="4">
        <v>1</v>
      </c>
      <c r="D293" s="4">
        <v>0</v>
      </c>
      <c r="E293" s="4">
        <v>1</v>
      </c>
      <c r="F293" s="4">
        <v>14</v>
      </c>
      <c r="G293" s="4" t="b">
        <v>0</v>
      </c>
      <c r="H293" s="4">
        <v>4</v>
      </c>
      <c r="I293" s="4">
        <v>1</v>
      </c>
      <c r="J293" s="4">
        <v>0.22</v>
      </c>
      <c r="K293" s="6" t="str">
        <f>IF(H293=0,"weekend",IF(H293=6,"weekend","weekend"))</f>
        <v>weekend</v>
      </c>
      <c r="L293" s="3" t="str">
        <f>IF(C293=1,"Spring",IF(C293=2,"Summer",IF(C293=3,"Fall","Winter")))</f>
        <v>Spring</v>
      </c>
      <c r="M293" s="3">
        <f>SUM(J293:J317)</f>
        <v>4.0400000000000018</v>
      </c>
      <c r="N293" s="3">
        <f>AVERAGE(J293:J902)</f>
        <v>0.18670846394984317</v>
      </c>
      <c r="O293" s="3">
        <f>COUNT(J293:J902)</f>
        <v>319</v>
      </c>
      <c r="P293" s="3" t="str">
        <f>TEXT(J293,"0.00")</f>
        <v>0.22</v>
      </c>
      <c r="Q293" s="3" t="str">
        <f>LEFT(L293,3)</f>
        <v>Spr</v>
      </c>
      <c r="R293" s="7" t="str">
        <f>RIGHT(L293,3)</f>
        <v>ing</v>
      </c>
      <c r="S293" s="8">
        <f>LEN(L293)</f>
        <v>6</v>
      </c>
      <c r="T293" s="36" t="str">
        <f>A293&amp;"|"&amp;B293&amp;"|"&amp;F293</f>
        <v>292|13-01-2011|14</v>
      </c>
      <c r="V293" s="32">
        <f>VLOOKUP(A293,Sheet2!A:H,3,FALSE)</f>
        <v>0.21210000000000001</v>
      </c>
      <c r="W293" s="32">
        <f>VLOOKUP(A293,Sheet2!A:H,4,FALSE)</f>
        <v>0.38</v>
      </c>
      <c r="X293" s="32">
        <f>VLOOKUP(A293,Sheet2!A:H,7,FALSE)</f>
        <v>55</v>
      </c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spans="1:37" x14ac:dyDescent="0.2">
      <c r="A294" s="4">
        <v>293</v>
      </c>
      <c r="B294" s="4" t="s">
        <v>27</v>
      </c>
      <c r="C294" s="4">
        <v>1</v>
      </c>
      <c r="D294" s="4">
        <v>0</v>
      </c>
      <c r="E294" s="4">
        <v>1</v>
      </c>
      <c r="F294" s="4">
        <v>15</v>
      </c>
      <c r="G294" s="4" t="b">
        <v>0</v>
      </c>
      <c r="H294" s="4">
        <v>4</v>
      </c>
      <c r="I294" s="4">
        <v>1</v>
      </c>
      <c r="J294" s="4">
        <v>0.24</v>
      </c>
      <c r="K294" s="6" t="str">
        <f>IF(H294=0,"weekend",IF(H294=6,"weekend","weekend"))</f>
        <v>weekend</v>
      </c>
      <c r="L294" s="3" t="str">
        <f>IF(C294=1,"Spring",IF(C294=2,"Summer",IF(C294=3,"Fall","Winter")))</f>
        <v>Spring</v>
      </c>
      <c r="M294" s="3">
        <f>SUM(J294:J318)</f>
        <v>4.0400000000000018</v>
      </c>
      <c r="N294" s="3">
        <f>AVERAGE(J294:J903)</f>
        <v>0.18660377358490557</v>
      </c>
      <c r="O294" s="3">
        <f>COUNT(J294:J903)</f>
        <v>318</v>
      </c>
      <c r="P294" s="3" t="str">
        <f>TEXT(J294,"0.00")</f>
        <v>0.24</v>
      </c>
      <c r="Q294" s="3" t="str">
        <f>LEFT(L294,3)</f>
        <v>Spr</v>
      </c>
      <c r="R294" s="7" t="str">
        <f>RIGHT(L294,3)</f>
        <v>ing</v>
      </c>
      <c r="S294" s="8">
        <f>LEN(L294)</f>
        <v>6</v>
      </c>
      <c r="T294" s="36" t="str">
        <f>A294&amp;"|"&amp;B294&amp;"|"&amp;F294</f>
        <v>293|13-01-2011|15</v>
      </c>
      <c r="V294" s="32">
        <f>VLOOKUP(A294,Sheet2!A:H,3,FALSE)</f>
        <v>0.21210000000000001</v>
      </c>
      <c r="W294" s="32">
        <f>VLOOKUP(A294,Sheet2!A:H,4,FALSE)</f>
        <v>0.38</v>
      </c>
      <c r="X294" s="32">
        <f>VLOOKUP(A294,Sheet2!A:H,7,FALSE)</f>
        <v>76</v>
      </c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spans="1:37" x14ac:dyDescent="0.2">
      <c r="A295" s="4">
        <v>294</v>
      </c>
      <c r="B295" s="4" t="s">
        <v>27</v>
      </c>
      <c r="C295" s="4">
        <v>1</v>
      </c>
      <c r="D295" s="4">
        <v>0</v>
      </c>
      <c r="E295" s="4">
        <v>1</v>
      </c>
      <c r="F295" s="4">
        <v>16</v>
      </c>
      <c r="G295" s="4" t="b">
        <v>0</v>
      </c>
      <c r="H295" s="4">
        <v>4</v>
      </c>
      <c r="I295" s="4">
        <v>1</v>
      </c>
      <c r="J295" s="4">
        <v>0.24</v>
      </c>
      <c r="K295" s="6" t="str">
        <f>IF(H295=0,"weekend",IF(H295=6,"weekend","weekend"))</f>
        <v>weekend</v>
      </c>
      <c r="L295" s="3" t="str">
        <f>IF(C295=1,"Spring",IF(C295=2,"Summer",IF(C295=3,"Fall","Winter")))</f>
        <v>Spring</v>
      </c>
      <c r="M295" s="3">
        <f>SUM(J295:J319)</f>
        <v>4.0200000000000022</v>
      </c>
      <c r="N295" s="3">
        <f>AVERAGE(J295:J904)</f>
        <v>0.1864353312302838</v>
      </c>
      <c r="O295" s="3">
        <f>COUNT(J295:J904)</f>
        <v>317</v>
      </c>
      <c r="P295" s="3" t="str">
        <f>TEXT(J295,"0.00")</f>
        <v>0.24</v>
      </c>
      <c r="Q295" s="3" t="str">
        <f>LEFT(L295,3)</f>
        <v>Spr</v>
      </c>
      <c r="R295" s="7" t="str">
        <f>RIGHT(L295,3)</f>
        <v>ing</v>
      </c>
      <c r="S295" s="8">
        <f>LEN(L295)</f>
        <v>6</v>
      </c>
      <c r="T295" s="36" t="str">
        <f>A295&amp;"|"&amp;B295&amp;"|"&amp;F295</f>
        <v>294|13-01-2011|16</v>
      </c>
      <c r="V295" s="32">
        <f>VLOOKUP(A295,Sheet2!A:H,3,FALSE)</f>
        <v>0.18179999999999999</v>
      </c>
      <c r="W295" s="32">
        <f>VLOOKUP(A295,Sheet2!A:H,4,FALSE)</f>
        <v>0.4</v>
      </c>
      <c r="X295" s="32">
        <f>VLOOKUP(A295,Sheet2!A:H,7,FALSE)</f>
        <v>158</v>
      </c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spans="1:37" x14ac:dyDescent="0.2">
      <c r="A296" s="4">
        <v>295</v>
      </c>
      <c r="B296" s="4" t="s">
        <v>27</v>
      </c>
      <c r="C296" s="4">
        <v>1</v>
      </c>
      <c r="D296" s="4">
        <v>0</v>
      </c>
      <c r="E296" s="4">
        <v>1</v>
      </c>
      <c r="F296" s="4">
        <v>17</v>
      </c>
      <c r="G296" s="4" t="b">
        <v>0</v>
      </c>
      <c r="H296" s="4">
        <v>4</v>
      </c>
      <c r="I296" s="4">
        <v>1</v>
      </c>
      <c r="J296" s="4">
        <v>0.2</v>
      </c>
      <c r="K296" s="6" t="str">
        <f>IF(H296=0,"weekend",IF(H296=6,"weekend","weekend"))</f>
        <v>weekend</v>
      </c>
      <c r="L296" s="3" t="str">
        <f>IF(C296=1,"Spring",IF(C296=2,"Summer",IF(C296=3,"Fall","Winter")))</f>
        <v>Spring</v>
      </c>
      <c r="M296" s="3">
        <f>SUM(J296:J320)</f>
        <v>3.9800000000000022</v>
      </c>
      <c r="N296" s="3">
        <f>AVERAGE(J296:J905)</f>
        <v>0.18626582278481002</v>
      </c>
      <c r="O296" s="3">
        <f>COUNT(J296:J905)</f>
        <v>316</v>
      </c>
      <c r="P296" s="3" t="str">
        <f>TEXT(J296,"0.00")</f>
        <v>0.20</v>
      </c>
      <c r="Q296" s="3" t="str">
        <f>LEFT(L296,3)</f>
        <v>Spr</v>
      </c>
      <c r="R296" s="7" t="str">
        <f>RIGHT(L296,3)</f>
        <v>ing</v>
      </c>
      <c r="S296" s="8">
        <f>LEN(L296)</f>
        <v>6</v>
      </c>
      <c r="T296" s="36" t="str">
        <f>A296&amp;"|"&amp;B296&amp;"|"&amp;F296</f>
        <v>295|13-01-2011|17</v>
      </c>
      <c r="V296" s="32">
        <f>VLOOKUP(A296,Sheet2!A:H,3,FALSE)</f>
        <v>0.18179999999999999</v>
      </c>
      <c r="W296" s="32">
        <f>VLOOKUP(A296,Sheet2!A:H,4,FALSE)</f>
        <v>0.4</v>
      </c>
      <c r="X296" s="32">
        <f>VLOOKUP(A296,Sheet2!A:H,7,FALSE)</f>
        <v>141</v>
      </c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spans="1:37" x14ac:dyDescent="0.2">
      <c r="A297" s="4">
        <v>296</v>
      </c>
      <c r="B297" s="4" t="s">
        <v>27</v>
      </c>
      <c r="C297" s="4">
        <v>1</v>
      </c>
      <c r="D297" s="4">
        <v>0</v>
      </c>
      <c r="E297" s="4">
        <v>1</v>
      </c>
      <c r="F297" s="4">
        <v>18</v>
      </c>
      <c r="G297" s="4" t="b">
        <v>0</v>
      </c>
      <c r="H297" s="4">
        <v>4</v>
      </c>
      <c r="I297" s="4">
        <v>1</v>
      </c>
      <c r="J297" s="4">
        <v>0.2</v>
      </c>
      <c r="K297" s="6" t="str">
        <f>IF(H297=0,"weekend",IF(H297=6,"weekend","weekend"))</f>
        <v>weekend</v>
      </c>
      <c r="L297" s="3" t="str">
        <f>IF(C297=1,"Spring",IF(C297=2,"Summer",IF(C297=3,"Fall","Winter")))</f>
        <v>Spring</v>
      </c>
      <c r="M297" s="3">
        <f>SUM(J297:J321)</f>
        <v>3.9400000000000022</v>
      </c>
      <c r="N297" s="3">
        <f>AVERAGE(J297:J906)</f>
        <v>0.18622222222222209</v>
      </c>
      <c r="O297" s="3">
        <f>COUNT(J297:J906)</f>
        <v>315</v>
      </c>
      <c r="P297" s="3" t="str">
        <f>TEXT(J297,"0.00")</f>
        <v>0.20</v>
      </c>
      <c r="Q297" s="3" t="str">
        <f>LEFT(L297,3)</f>
        <v>Spr</v>
      </c>
      <c r="R297" s="7" t="str">
        <f>RIGHT(L297,3)</f>
        <v>ing</v>
      </c>
      <c r="S297" s="8">
        <f>LEN(L297)</f>
        <v>6</v>
      </c>
      <c r="T297" s="36" t="str">
        <f>A297&amp;"|"&amp;B297&amp;"|"&amp;F297</f>
        <v>296|13-01-2011|18</v>
      </c>
      <c r="V297" s="32">
        <f>VLOOKUP(A297,Sheet2!A:H,3,FALSE)</f>
        <v>0.1515</v>
      </c>
      <c r="W297" s="32">
        <f>VLOOKUP(A297,Sheet2!A:H,4,FALSE)</f>
        <v>0.47</v>
      </c>
      <c r="X297" s="32">
        <f>VLOOKUP(A297,Sheet2!A:H,7,FALSE)</f>
        <v>98</v>
      </c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spans="1:37" x14ac:dyDescent="0.2">
      <c r="A298" s="4">
        <v>297</v>
      </c>
      <c r="B298" s="4" t="s">
        <v>27</v>
      </c>
      <c r="C298" s="4">
        <v>1</v>
      </c>
      <c r="D298" s="4">
        <v>0</v>
      </c>
      <c r="E298" s="4">
        <v>1</v>
      </c>
      <c r="F298" s="4">
        <v>19</v>
      </c>
      <c r="G298" s="4" t="b">
        <v>0</v>
      </c>
      <c r="H298" s="4">
        <v>4</v>
      </c>
      <c r="I298" s="4">
        <v>1</v>
      </c>
      <c r="J298" s="4">
        <v>0.16</v>
      </c>
      <c r="K298" s="6" t="str">
        <f>IF(H298=0,"weekend",IF(H298=6,"weekend","weekend"))</f>
        <v>weekend</v>
      </c>
      <c r="L298" s="3" t="str">
        <f>IF(C298=1,"Spring",IF(C298=2,"Summer",IF(C298=3,"Fall","Winter")))</f>
        <v>Spring</v>
      </c>
      <c r="M298" s="3">
        <f>SUM(J298:J322)</f>
        <v>3.9200000000000021</v>
      </c>
      <c r="N298" s="3">
        <f>AVERAGE(J298:J907)</f>
        <v>0.18617834394904448</v>
      </c>
      <c r="O298" s="3">
        <f>COUNT(J298:J907)</f>
        <v>314</v>
      </c>
      <c r="P298" s="3" t="str">
        <f>TEXT(J298,"0.00")</f>
        <v>0.16</v>
      </c>
      <c r="Q298" s="3" t="str">
        <f>LEFT(L298,3)</f>
        <v>Spr</v>
      </c>
      <c r="R298" s="7" t="str">
        <f>RIGHT(L298,3)</f>
        <v>ing</v>
      </c>
      <c r="S298" s="8">
        <f>LEN(L298)</f>
        <v>6</v>
      </c>
      <c r="T298" s="36" t="str">
        <f>A298&amp;"|"&amp;B298&amp;"|"&amp;F298</f>
        <v>297|13-01-2011|19</v>
      </c>
      <c r="V298" s="32">
        <f>VLOOKUP(A298,Sheet2!A:H,3,FALSE)</f>
        <v>0.1515</v>
      </c>
      <c r="W298" s="32">
        <f>VLOOKUP(A298,Sheet2!A:H,4,FALSE)</f>
        <v>0.47</v>
      </c>
      <c r="X298" s="32">
        <f>VLOOKUP(A298,Sheet2!A:H,7,FALSE)</f>
        <v>64</v>
      </c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spans="1:37" x14ac:dyDescent="0.2">
      <c r="A299" s="4">
        <v>298</v>
      </c>
      <c r="B299" s="4" t="s">
        <v>27</v>
      </c>
      <c r="C299" s="4">
        <v>1</v>
      </c>
      <c r="D299" s="4">
        <v>0</v>
      </c>
      <c r="E299" s="4">
        <v>1</v>
      </c>
      <c r="F299" s="4">
        <v>20</v>
      </c>
      <c r="G299" s="4" t="b">
        <v>0</v>
      </c>
      <c r="H299" s="4">
        <v>4</v>
      </c>
      <c r="I299" s="4">
        <v>1</v>
      </c>
      <c r="J299" s="4">
        <v>0.16</v>
      </c>
      <c r="K299" s="6" t="str">
        <f>IF(H299=0,"weekend",IF(H299=6,"weekend","weekend"))</f>
        <v>weekend</v>
      </c>
      <c r="L299" s="3" t="str">
        <f>IF(C299=1,"Spring",IF(C299=2,"Summer",IF(C299=3,"Fall","Winter")))</f>
        <v>Spring</v>
      </c>
      <c r="M299" s="3">
        <f>SUM(J299:J323)</f>
        <v>3.9200000000000021</v>
      </c>
      <c r="N299" s="3">
        <f>AVERAGE(J299:J908)</f>
        <v>0.18626198083067083</v>
      </c>
      <c r="O299" s="3">
        <f>COUNT(J299:J908)</f>
        <v>313</v>
      </c>
      <c r="P299" s="3" t="str">
        <f>TEXT(J299,"0.00")</f>
        <v>0.16</v>
      </c>
      <c r="Q299" s="3" t="str">
        <f>LEFT(L299,3)</f>
        <v>Spr</v>
      </c>
      <c r="R299" s="7" t="str">
        <f>RIGHT(L299,3)</f>
        <v>ing</v>
      </c>
      <c r="S299" s="8">
        <f>LEN(L299)</f>
        <v>6</v>
      </c>
      <c r="T299" s="36" t="str">
        <f>A299&amp;"|"&amp;B299&amp;"|"&amp;F299</f>
        <v>298|13-01-2011|20</v>
      </c>
      <c r="V299" s="32">
        <f>VLOOKUP(A299,Sheet2!A:H,3,FALSE)</f>
        <v>0.1212</v>
      </c>
      <c r="W299" s="32">
        <f>VLOOKUP(A299,Sheet2!A:H,4,FALSE)</f>
        <v>0.46</v>
      </c>
      <c r="X299" s="32">
        <f>VLOOKUP(A299,Sheet2!A:H,7,FALSE)</f>
        <v>40</v>
      </c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spans="1:37" x14ac:dyDescent="0.2">
      <c r="A300" s="4">
        <v>299</v>
      </c>
      <c r="B300" s="4" t="s">
        <v>27</v>
      </c>
      <c r="C300" s="4">
        <v>1</v>
      </c>
      <c r="D300" s="4">
        <v>0</v>
      </c>
      <c r="E300" s="4">
        <v>1</v>
      </c>
      <c r="F300" s="4">
        <v>21</v>
      </c>
      <c r="G300" s="4" t="b">
        <v>0</v>
      </c>
      <c r="H300" s="4">
        <v>4</v>
      </c>
      <c r="I300" s="4">
        <v>1</v>
      </c>
      <c r="J300" s="4">
        <v>0.14000000000000001</v>
      </c>
      <c r="K300" s="6" t="str">
        <f>IF(H300=0,"weekend",IF(H300=6,"weekend","weekend"))</f>
        <v>weekend</v>
      </c>
      <c r="L300" s="3" t="str">
        <f>IF(C300=1,"Spring",IF(C300=2,"Summer",IF(C300=3,"Fall","Winter")))</f>
        <v>Spring</v>
      </c>
      <c r="M300" s="3">
        <f>SUM(J300:J324)</f>
        <v>3.9200000000000013</v>
      </c>
      <c r="N300" s="3">
        <f>AVERAGE(J300:J909)</f>
        <v>0.18634615384615374</v>
      </c>
      <c r="O300" s="3">
        <f>COUNT(J300:J909)</f>
        <v>312</v>
      </c>
      <c r="P300" s="3" t="str">
        <f>TEXT(J300,"0.00")</f>
        <v>0.14</v>
      </c>
      <c r="Q300" s="3" t="str">
        <f>LEFT(L300,3)</f>
        <v>Spr</v>
      </c>
      <c r="R300" s="7" t="str">
        <f>RIGHT(L300,3)</f>
        <v>ing</v>
      </c>
      <c r="S300" s="8">
        <f>LEN(L300)</f>
        <v>6</v>
      </c>
      <c r="T300" s="36" t="str">
        <f>A300&amp;"|"&amp;B300&amp;"|"&amp;F300</f>
        <v>299|13-01-2011|21</v>
      </c>
      <c r="V300" s="32">
        <f>VLOOKUP(A300,Sheet2!A:H,3,FALSE)</f>
        <v>0.1212</v>
      </c>
      <c r="W300" s="32">
        <f>VLOOKUP(A300,Sheet2!A:H,4,FALSE)</f>
        <v>0.46</v>
      </c>
      <c r="X300" s="32">
        <f>VLOOKUP(A300,Sheet2!A:H,7,FALSE)</f>
        <v>30</v>
      </c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spans="1:37" x14ac:dyDescent="0.2">
      <c r="A301" s="4">
        <v>300</v>
      </c>
      <c r="B301" s="4" t="s">
        <v>27</v>
      </c>
      <c r="C301" s="4">
        <v>1</v>
      </c>
      <c r="D301" s="4">
        <v>0</v>
      </c>
      <c r="E301" s="4">
        <v>1</v>
      </c>
      <c r="F301" s="4">
        <v>22</v>
      </c>
      <c r="G301" s="4" t="b">
        <v>0</v>
      </c>
      <c r="H301" s="4">
        <v>4</v>
      </c>
      <c r="I301" s="4">
        <v>1</v>
      </c>
      <c r="J301" s="4">
        <v>0.14000000000000001</v>
      </c>
      <c r="K301" s="6" t="str">
        <f>IF(H301=0,"weekend",IF(H301=6,"weekend","weekend"))</f>
        <v>weekend</v>
      </c>
      <c r="L301" s="3" t="str">
        <f>IF(C301=1,"Spring",IF(C301=2,"Summer",IF(C301=3,"Fall","Winter")))</f>
        <v>Spring</v>
      </c>
      <c r="M301" s="3">
        <f>SUM(J301:J325)</f>
        <v>3.9600000000000009</v>
      </c>
      <c r="N301" s="3">
        <f>AVERAGE(J301:J910)</f>
        <v>0.18649517684887448</v>
      </c>
      <c r="O301" s="3">
        <f>COUNT(J301:J910)</f>
        <v>311</v>
      </c>
      <c r="P301" s="3" t="str">
        <f>TEXT(J301,"0.00")</f>
        <v>0.14</v>
      </c>
      <c r="Q301" s="3" t="str">
        <f>LEFT(L301,3)</f>
        <v>Spr</v>
      </c>
      <c r="R301" s="7" t="str">
        <f>RIGHT(L301,3)</f>
        <v>ing</v>
      </c>
      <c r="S301" s="8">
        <f>LEN(L301)</f>
        <v>6</v>
      </c>
      <c r="T301" s="36" t="str">
        <f>A301&amp;"|"&amp;B301&amp;"|"&amp;F301</f>
        <v>300|13-01-2011|22</v>
      </c>
      <c r="V301" s="32">
        <f>VLOOKUP(A301,Sheet2!A:H,3,FALSE)</f>
        <v>0.13639999999999999</v>
      </c>
      <c r="W301" s="32">
        <f>VLOOKUP(A301,Sheet2!A:H,4,FALSE)</f>
        <v>0.5</v>
      </c>
      <c r="X301" s="32">
        <f>VLOOKUP(A301,Sheet2!A:H,7,FALSE)</f>
        <v>14</v>
      </c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spans="1:37" x14ac:dyDescent="0.2">
      <c r="A302" s="4">
        <v>301</v>
      </c>
      <c r="B302" s="4" t="s">
        <v>27</v>
      </c>
      <c r="C302" s="4">
        <v>1</v>
      </c>
      <c r="D302" s="4">
        <v>0</v>
      </c>
      <c r="E302" s="4">
        <v>1</v>
      </c>
      <c r="F302" s="4">
        <v>23</v>
      </c>
      <c r="G302" s="4" t="b">
        <v>0</v>
      </c>
      <c r="H302" s="4">
        <v>4</v>
      </c>
      <c r="I302" s="4">
        <v>1</v>
      </c>
      <c r="J302" s="4">
        <v>0.12</v>
      </c>
      <c r="K302" s="6" t="str">
        <f>IF(H302=0,"weekend",IF(H302=6,"weekend","weekend"))</f>
        <v>weekend</v>
      </c>
      <c r="L302" s="3" t="str">
        <f>IF(C302=1,"Spring",IF(C302=2,"Summer",IF(C302=3,"Fall","Winter")))</f>
        <v>Spring</v>
      </c>
      <c r="M302" s="3">
        <f>SUM(J302:J326)</f>
        <v>4.0000000000000009</v>
      </c>
      <c r="N302" s="3">
        <f>AVERAGE(J302:J911)</f>
        <v>0.18664516129032246</v>
      </c>
      <c r="O302" s="3">
        <f>COUNT(J302:J911)</f>
        <v>310</v>
      </c>
      <c r="P302" s="3" t="str">
        <f>TEXT(J302,"0.00")</f>
        <v>0.12</v>
      </c>
      <c r="Q302" s="3" t="str">
        <f>LEFT(L302,3)</f>
        <v>Spr</v>
      </c>
      <c r="R302" s="7" t="str">
        <f>RIGHT(L302,3)</f>
        <v>ing</v>
      </c>
      <c r="S302" s="8">
        <f>LEN(L302)</f>
        <v>6</v>
      </c>
      <c r="T302" s="36" t="str">
        <f>A302&amp;"|"&amp;B302&amp;"|"&amp;F302</f>
        <v>301|13-01-2011|23</v>
      </c>
      <c r="V302" s="32">
        <f>VLOOKUP(A302,Sheet2!A:H,3,FALSE)</f>
        <v>0.13639999999999999</v>
      </c>
      <c r="W302" s="32">
        <f>VLOOKUP(A302,Sheet2!A:H,4,FALSE)</f>
        <v>0.5</v>
      </c>
      <c r="X302" s="32">
        <f>VLOOKUP(A302,Sheet2!A:H,7,FALSE)</f>
        <v>14</v>
      </c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spans="1:37" x14ac:dyDescent="0.2">
      <c r="A303" s="4">
        <v>302</v>
      </c>
      <c r="B303" s="4" t="s">
        <v>28</v>
      </c>
      <c r="C303" s="4">
        <v>1</v>
      </c>
      <c r="D303" s="4">
        <v>0</v>
      </c>
      <c r="E303" s="4">
        <v>1</v>
      </c>
      <c r="F303" s="4">
        <v>0</v>
      </c>
      <c r="G303" s="4" t="b">
        <v>0</v>
      </c>
      <c r="H303" s="4">
        <v>5</v>
      </c>
      <c r="I303" s="4">
        <v>1</v>
      </c>
      <c r="J303" s="4">
        <v>0.12</v>
      </c>
      <c r="K303" s="6" t="str">
        <f>IF(H303=0,"weekend",IF(H303=6,"weekend","weekend"))</f>
        <v>weekend</v>
      </c>
      <c r="L303" s="3" t="str">
        <f>IF(C303=1,"Spring",IF(C303=2,"Summer",IF(C303=3,"Fall","Winter")))</f>
        <v>Spring</v>
      </c>
      <c r="M303" s="3">
        <f>SUM(J303:J327)</f>
        <v>4.0400000000000009</v>
      </c>
      <c r="N303" s="3">
        <f>AVERAGE(J303:J912)</f>
        <v>0.1868608414239481</v>
      </c>
      <c r="O303" s="3">
        <f>COUNT(J303:J912)</f>
        <v>309</v>
      </c>
      <c r="P303" s="3" t="str">
        <f>TEXT(J303,"0.00")</f>
        <v>0.12</v>
      </c>
      <c r="Q303" s="3" t="str">
        <f>LEFT(L303,3)</f>
        <v>Spr</v>
      </c>
      <c r="R303" s="7" t="str">
        <f>RIGHT(L303,3)</f>
        <v>ing</v>
      </c>
      <c r="S303" s="8">
        <f>LEN(L303)</f>
        <v>6</v>
      </c>
      <c r="T303" s="36" t="str">
        <f>A303&amp;"|"&amp;B303&amp;"|"&amp;F303</f>
        <v>302|14-01-2011|0</v>
      </c>
      <c r="V303" s="32">
        <f>VLOOKUP(A303,Sheet2!A:H,3,FALSE)</f>
        <v>0.1212</v>
      </c>
      <c r="W303" s="32">
        <f>VLOOKUP(A303,Sheet2!A:H,4,FALSE)</f>
        <v>0.54</v>
      </c>
      <c r="X303" s="32">
        <f>VLOOKUP(A303,Sheet2!A:H,7,FALSE)</f>
        <v>5</v>
      </c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spans="1:37" x14ac:dyDescent="0.2">
      <c r="A304" s="4">
        <v>303</v>
      </c>
      <c r="B304" s="4" t="s">
        <v>28</v>
      </c>
      <c r="C304" s="4">
        <v>1</v>
      </c>
      <c r="D304" s="4">
        <v>0</v>
      </c>
      <c r="E304" s="4">
        <v>1</v>
      </c>
      <c r="F304" s="4">
        <v>1</v>
      </c>
      <c r="G304" s="4" t="b">
        <v>0</v>
      </c>
      <c r="H304" s="4">
        <v>5</v>
      </c>
      <c r="I304" s="4">
        <v>1</v>
      </c>
      <c r="J304" s="4">
        <v>0.1</v>
      </c>
      <c r="K304" s="6" t="str">
        <f>IF(H304=0,"weekend",IF(H304=6,"weekend","weekend"))</f>
        <v>weekend</v>
      </c>
      <c r="L304" s="3" t="str">
        <f>IF(C304=1,"Spring",IF(C304=2,"Summer",IF(C304=3,"Fall","Winter")))</f>
        <v>Spring</v>
      </c>
      <c r="M304" s="3">
        <f>SUM(J304:J328)</f>
        <v>4.080000000000001</v>
      </c>
      <c r="N304" s="3">
        <f>AVERAGE(J304:J913)</f>
        <v>0.18707792207792198</v>
      </c>
      <c r="O304" s="3">
        <f>COUNT(J304:J913)</f>
        <v>308</v>
      </c>
      <c r="P304" s="3" t="str">
        <f>TEXT(J304,"0.00")</f>
        <v>0.10</v>
      </c>
      <c r="Q304" s="3" t="str">
        <f>LEFT(L304,3)</f>
        <v>Spr</v>
      </c>
      <c r="R304" s="7" t="str">
        <f>RIGHT(L304,3)</f>
        <v>ing</v>
      </c>
      <c r="S304" s="8">
        <f>LEN(L304)</f>
        <v>6</v>
      </c>
      <c r="T304" s="36" t="str">
        <f>A304&amp;"|"&amp;B304&amp;"|"&amp;F304</f>
        <v>303|14-01-2011|1</v>
      </c>
      <c r="V304" s="32">
        <f>VLOOKUP(A304,Sheet2!A:H,3,FALSE)</f>
        <v>0.1212</v>
      </c>
      <c r="W304" s="32">
        <f>VLOOKUP(A304,Sheet2!A:H,4,FALSE)</f>
        <v>0.54</v>
      </c>
      <c r="X304" s="32">
        <f>VLOOKUP(A304,Sheet2!A:H,7,FALSE)</f>
        <v>1</v>
      </c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spans="1:37" x14ac:dyDescent="0.2">
      <c r="A305" s="4">
        <v>304</v>
      </c>
      <c r="B305" s="4" t="s">
        <v>28</v>
      </c>
      <c r="C305" s="4">
        <v>1</v>
      </c>
      <c r="D305" s="4">
        <v>0</v>
      </c>
      <c r="E305" s="4">
        <v>1</v>
      </c>
      <c r="F305" s="4">
        <v>2</v>
      </c>
      <c r="G305" s="4" t="b">
        <v>0</v>
      </c>
      <c r="H305" s="4">
        <v>5</v>
      </c>
      <c r="I305" s="4">
        <v>1</v>
      </c>
      <c r="J305" s="4">
        <v>0.1</v>
      </c>
      <c r="K305" s="6" t="str">
        <f>IF(H305=0,"weekend",IF(H305=6,"weekend","weekend"))</f>
        <v>weekend</v>
      </c>
      <c r="L305" s="3" t="str">
        <f>IF(C305=1,"Spring",IF(C305=2,"Summer",IF(C305=3,"Fall","Winter")))</f>
        <v>Spring</v>
      </c>
      <c r="M305" s="3">
        <f>SUM(J305:J329)</f>
        <v>4.1400000000000015</v>
      </c>
      <c r="N305" s="3">
        <f>AVERAGE(J305:J914)</f>
        <v>0.18736156351791519</v>
      </c>
      <c r="O305" s="3">
        <f>COUNT(J305:J914)</f>
        <v>307</v>
      </c>
      <c r="P305" s="3" t="str">
        <f>TEXT(J305,"0.00")</f>
        <v>0.10</v>
      </c>
      <c r="Q305" s="3" t="str">
        <f>LEFT(L305,3)</f>
        <v>Spr</v>
      </c>
      <c r="R305" s="7" t="str">
        <f>RIGHT(L305,3)</f>
        <v>ing</v>
      </c>
      <c r="S305" s="8">
        <f>LEN(L305)</f>
        <v>6</v>
      </c>
      <c r="T305" s="36" t="str">
        <f>A305&amp;"|"&amp;B305&amp;"|"&amp;F305</f>
        <v>304|14-01-2011|2</v>
      </c>
      <c r="V305" s="32">
        <f>VLOOKUP(A305,Sheet2!A:H,3,FALSE)</f>
        <v>0.13639999999999999</v>
      </c>
      <c r="W305" s="32">
        <f>VLOOKUP(A305,Sheet2!A:H,4,FALSE)</f>
        <v>0.54</v>
      </c>
      <c r="X305" s="32">
        <f>VLOOKUP(A305,Sheet2!A:H,7,FALSE)</f>
        <v>1</v>
      </c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spans="1:37" x14ac:dyDescent="0.2">
      <c r="A306" s="4">
        <v>305</v>
      </c>
      <c r="B306" s="4" t="s">
        <v>28</v>
      </c>
      <c r="C306" s="4">
        <v>1</v>
      </c>
      <c r="D306" s="4">
        <v>0</v>
      </c>
      <c r="E306" s="4">
        <v>1</v>
      </c>
      <c r="F306" s="4">
        <v>3</v>
      </c>
      <c r="G306" s="4" t="b">
        <v>0</v>
      </c>
      <c r="H306" s="4">
        <v>5</v>
      </c>
      <c r="I306" s="4">
        <v>1</v>
      </c>
      <c r="J306" s="4">
        <v>0.1</v>
      </c>
      <c r="K306" s="6" t="str">
        <f>IF(H306=0,"weekend",IF(H306=6,"weekend","weekend"))</f>
        <v>weekend</v>
      </c>
      <c r="L306" s="3" t="str">
        <f>IF(C306=1,"Spring",IF(C306=2,"Summer",IF(C306=3,"Fall","Winter")))</f>
        <v>Spring</v>
      </c>
      <c r="M306" s="3">
        <f>SUM(J306:J330)</f>
        <v>4.200000000000002</v>
      </c>
      <c r="N306" s="3">
        <f>AVERAGE(J306:J915)</f>
        <v>0.18764705882352931</v>
      </c>
      <c r="O306" s="3">
        <f>COUNT(J306:J915)</f>
        <v>306</v>
      </c>
      <c r="P306" s="3" t="str">
        <f>TEXT(J306,"0.00")</f>
        <v>0.10</v>
      </c>
      <c r="Q306" s="3" t="str">
        <f>LEFT(L306,3)</f>
        <v>Spr</v>
      </c>
      <c r="R306" s="7" t="str">
        <f>RIGHT(L306,3)</f>
        <v>ing</v>
      </c>
      <c r="S306" s="8">
        <f>LEN(L306)</f>
        <v>6</v>
      </c>
      <c r="T306" s="36" t="str">
        <f>A306&amp;"|"&amp;B306&amp;"|"&amp;F306</f>
        <v>305|14-01-2011|3</v>
      </c>
      <c r="V306" s="32">
        <f>VLOOKUP(A306,Sheet2!A:H,3,FALSE)</f>
        <v>0.13639999999999999</v>
      </c>
      <c r="W306" s="32">
        <f>VLOOKUP(A306,Sheet2!A:H,4,FALSE)</f>
        <v>0.54</v>
      </c>
      <c r="X306" s="32">
        <f>VLOOKUP(A306,Sheet2!A:H,7,FALSE)</f>
        <v>8</v>
      </c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spans="1:37" x14ac:dyDescent="0.2">
      <c r="A307" s="4">
        <v>306</v>
      </c>
      <c r="B307" s="4" t="s">
        <v>28</v>
      </c>
      <c r="C307" s="4">
        <v>1</v>
      </c>
      <c r="D307" s="4">
        <v>0</v>
      </c>
      <c r="E307" s="4">
        <v>1</v>
      </c>
      <c r="F307" s="4">
        <v>5</v>
      </c>
      <c r="G307" s="4" t="b">
        <v>0</v>
      </c>
      <c r="H307" s="4">
        <v>5</v>
      </c>
      <c r="I307" s="4">
        <v>1</v>
      </c>
      <c r="J307" s="4">
        <v>0.1</v>
      </c>
      <c r="K307" s="6" t="str">
        <f>IF(H307=0,"weekend",IF(H307=6,"weekend","weekend"))</f>
        <v>weekend</v>
      </c>
      <c r="L307" s="3" t="str">
        <f>IF(C307=1,"Spring",IF(C307=2,"Summer",IF(C307=3,"Fall","Winter")))</f>
        <v>Spring</v>
      </c>
      <c r="M307" s="3">
        <f>SUM(J307:J331)</f>
        <v>4.2600000000000016</v>
      </c>
      <c r="N307" s="3">
        <f>AVERAGE(J307:J916)</f>
        <v>0.18793442622950809</v>
      </c>
      <c r="O307" s="3">
        <f>COUNT(J307:J916)</f>
        <v>305</v>
      </c>
      <c r="P307" s="3" t="str">
        <f>TEXT(J307,"0.00")</f>
        <v>0.10</v>
      </c>
      <c r="Q307" s="3" t="str">
        <f>LEFT(L307,3)</f>
        <v>Spr</v>
      </c>
      <c r="R307" s="7" t="str">
        <f>RIGHT(L307,3)</f>
        <v>ing</v>
      </c>
      <c r="S307" s="8">
        <f>LEN(L307)</f>
        <v>6</v>
      </c>
      <c r="T307" s="36" t="str">
        <f>A307&amp;"|"&amp;B307&amp;"|"&amp;F307</f>
        <v>306|14-01-2011|5</v>
      </c>
      <c r="V307" s="32">
        <f>VLOOKUP(A307,Sheet2!A:H,3,FALSE)</f>
        <v>0.18179999999999999</v>
      </c>
      <c r="W307" s="32">
        <f>VLOOKUP(A307,Sheet2!A:H,4,FALSE)</f>
        <v>0.54</v>
      </c>
      <c r="X307" s="32">
        <f>VLOOKUP(A307,Sheet2!A:H,7,FALSE)</f>
        <v>17</v>
      </c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spans="1:37" x14ac:dyDescent="0.2">
      <c r="A308" s="4">
        <v>307</v>
      </c>
      <c r="B308" s="4" t="s">
        <v>28</v>
      </c>
      <c r="C308" s="4">
        <v>1</v>
      </c>
      <c r="D308" s="4">
        <v>0</v>
      </c>
      <c r="E308" s="4">
        <v>1</v>
      </c>
      <c r="F308" s="4">
        <v>6</v>
      </c>
      <c r="G308" s="4" t="b">
        <v>0</v>
      </c>
      <c r="H308" s="4">
        <v>5</v>
      </c>
      <c r="I308" s="4">
        <v>1</v>
      </c>
      <c r="J308" s="4">
        <v>0.1</v>
      </c>
      <c r="K308" s="6" t="str">
        <f>IF(H308=0,"weekend",IF(H308=6,"weekend","weekend"))</f>
        <v>weekend</v>
      </c>
      <c r="L308" s="3" t="str">
        <f>IF(C308=1,"Spring",IF(C308=2,"Summer",IF(C308=3,"Fall","Winter")))</f>
        <v>Spring</v>
      </c>
      <c r="M308" s="3">
        <f>SUM(J308:J332)</f>
        <v>4.3000000000000016</v>
      </c>
      <c r="N308" s="3">
        <f>AVERAGE(J308:J917)</f>
        <v>0.18822368421052618</v>
      </c>
      <c r="O308" s="3">
        <f>COUNT(J308:J917)</f>
        <v>304</v>
      </c>
      <c r="P308" s="3" t="str">
        <f>TEXT(J308,"0.00")</f>
        <v>0.10</v>
      </c>
      <c r="Q308" s="3" t="str">
        <f>LEFT(L308,3)</f>
        <v>Spr</v>
      </c>
      <c r="R308" s="7" t="str">
        <f>RIGHT(L308,3)</f>
        <v>ing</v>
      </c>
      <c r="S308" s="8">
        <f>LEN(L308)</f>
        <v>6</v>
      </c>
      <c r="T308" s="36" t="str">
        <f>A308&amp;"|"&amp;B308&amp;"|"&amp;F308</f>
        <v>307|14-01-2011|6</v>
      </c>
      <c r="V308" s="32">
        <f>VLOOKUP(A308,Sheet2!A:H,3,FALSE)</f>
        <v>0.1212</v>
      </c>
      <c r="W308" s="32">
        <f>VLOOKUP(A308,Sheet2!A:H,4,FALSE)</f>
        <v>0.74</v>
      </c>
      <c r="X308" s="32">
        <f>VLOOKUP(A308,Sheet2!A:H,7,FALSE)</f>
        <v>70</v>
      </c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spans="1:37" x14ac:dyDescent="0.2">
      <c r="A309" s="4">
        <v>308</v>
      </c>
      <c r="B309" s="4" t="s">
        <v>28</v>
      </c>
      <c r="C309" s="4">
        <v>1</v>
      </c>
      <c r="D309" s="4">
        <v>0</v>
      </c>
      <c r="E309" s="4">
        <v>1</v>
      </c>
      <c r="F309" s="4">
        <v>7</v>
      </c>
      <c r="G309" s="4" t="b">
        <v>0</v>
      </c>
      <c r="H309" s="4">
        <v>5</v>
      </c>
      <c r="I309" s="4">
        <v>1</v>
      </c>
      <c r="J309" s="4">
        <v>0.1</v>
      </c>
      <c r="K309" s="6" t="str">
        <f>IF(H309=0,"weekend",IF(H309=6,"weekend","weekend"))</f>
        <v>weekend</v>
      </c>
      <c r="L309" s="3" t="str">
        <f>IF(C309=1,"Spring",IF(C309=2,"Summer",IF(C309=3,"Fall","Winter")))</f>
        <v>Spring</v>
      </c>
      <c r="M309" s="3">
        <f>SUM(J309:J333)</f>
        <v>4.3400000000000007</v>
      </c>
      <c r="N309" s="3">
        <f>AVERAGE(J309:J918)</f>
        <v>0.1885148514851484</v>
      </c>
      <c r="O309" s="3">
        <f>COUNT(J309:J918)</f>
        <v>303</v>
      </c>
      <c r="P309" s="3" t="str">
        <f>TEXT(J309,"0.00")</f>
        <v>0.10</v>
      </c>
      <c r="Q309" s="3" t="str">
        <f>LEFT(L309,3)</f>
        <v>Spr</v>
      </c>
      <c r="R309" s="7" t="str">
        <f>RIGHT(L309,3)</f>
        <v>ing</v>
      </c>
      <c r="S309" s="8">
        <f>LEN(L309)</f>
        <v>6</v>
      </c>
      <c r="T309" s="36" t="str">
        <f>A309&amp;"|"&amp;B309&amp;"|"&amp;F309</f>
        <v>308|14-01-2011|7</v>
      </c>
      <c r="V309" s="32">
        <f>VLOOKUP(A309,Sheet2!A:H,3,FALSE)</f>
        <v>0.16669999999999999</v>
      </c>
      <c r="W309" s="32">
        <f>VLOOKUP(A309,Sheet2!A:H,4,FALSE)</f>
        <v>0.68</v>
      </c>
      <c r="X309" s="32">
        <f>VLOOKUP(A309,Sheet2!A:H,7,FALSE)</f>
        <v>156</v>
      </c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spans="1:37" x14ac:dyDescent="0.2">
      <c r="A310" s="4">
        <v>309</v>
      </c>
      <c r="B310" s="4" t="s">
        <v>28</v>
      </c>
      <c r="C310" s="4">
        <v>1</v>
      </c>
      <c r="D310" s="4">
        <v>0</v>
      </c>
      <c r="E310" s="4">
        <v>1</v>
      </c>
      <c r="F310" s="4">
        <v>8</v>
      </c>
      <c r="G310" s="4" t="b">
        <v>0</v>
      </c>
      <c r="H310" s="4">
        <v>5</v>
      </c>
      <c r="I310" s="4">
        <v>1</v>
      </c>
      <c r="J310" s="4">
        <v>0.12</v>
      </c>
      <c r="K310" s="6" t="str">
        <f>IF(H310=0,"weekend",IF(H310=6,"weekend","weekend"))</f>
        <v>weekend</v>
      </c>
      <c r="L310" s="3" t="str">
        <f>IF(C310=1,"Spring",IF(C310=2,"Summer",IF(C310=3,"Fall","Winter")))</f>
        <v>Spring</v>
      </c>
      <c r="M310" s="3">
        <f>SUM(J310:J334)</f>
        <v>4.3800000000000008</v>
      </c>
      <c r="N310" s="3">
        <f>AVERAGE(J310:J919)</f>
        <v>0.18880794701986744</v>
      </c>
      <c r="O310" s="3">
        <f>COUNT(J310:J919)</f>
        <v>302</v>
      </c>
      <c r="P310" s="3" t="str">
        <f>TEXT(J310,"0.00")</f>
        <v>0.12</v>
      </c>
      <c r="Q310" s="3" t="str">
        <f>LEFT(L310,3)</f>
        <v>Spr</v>
      </c>
      <c r="R310" s="7" t="str">
        <f>RIGHT(L310,3)</f>
        <v>ing</v>
      </c>
      <c r="S310" s="8">
        <f>LEN(L310)</f>
        <v>6</v>
      </c>
      <c r="T310" s="36" t="str">
        <f>A310&amp;"|"&amp;B310&amp;"|"&amp;F310</f>
        <v>309|14-01-2011|8</v>
      </c>
      <c r="V310" s="32">
        <f>VLOOKUP(A310,Sheet2!A:H,3,FALSE)</f>
        <v>0.1515</v>
      </c>
      <c r="W310" s="32">
        <f>VLOOKUP(A310,Sheet2!A:H,4,FALSE)</f>
        <v>0.69</v>
      </c>
      <c r="X310" s="32">
        <f>VLOOKUP(A310,Sheet2!A:H,7,FALSE)</f>
        <v>117</v>
      </c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spans="1:37" x14ac:dyDescent="0.2">
      <c r="A311" s="4">
        <v>310</v>
      </c>
      <c r="B311" s="4" t="s">
        <v>28</v>
      </c>
      <c r="C311" s="4">
        <v>1</v>
      </c>
      <c r="D311" s="4">
        <v>0</v>
      </c>
      <c r="E311" s="4">
        <v>1</v>
      </c>
      <c r="F311" s="4">
        <v>9</v>
      </c>
      <c r="G311" s="4" t="b">
        <v>0</v>
      </c>
      <c r="H311" s="4">
        <v>5</v>
      </c>
      <c r="I311" s="4">
        <v>1</v>
      </c>
      <c r="J311" s="4">
        <v>0.14000000000000001</v>
      </c>
      <c r="K311" s="6" t="str">
        <f>IF(H311=0,"weekend",IF(H311=6,"weekend","weekend"))</f>
        <v>weekend</v>
      </c>
      <c r="L311" s="3" t="str">
        <f>IF(C311=1,"Spring",IF(C311=2,"Summer",IF(C311=3,"Fall","Winter")))</f>
        <v>Spring</v>
      </c>
      <c r="M311" s="3">
        <f>SUM(J311:J335)</f>
        <v>4.4200000000000017</v>
      </c>
      <c r="N311" s="3">
        <f>AVERAGE(J311:J920)</f>
        <v>0.18903654485049823</v>
      </c>
      <c r="O311" s="3">
        <f>COUNT(J311:J920)</f>
        <v>301</v>
      </c>
      <c r="P311" s="3" t="str">
        <f>TEXT(J311,"0.00")</f>
        <v>0.14</v>
      </c>
      <c r="Q311" s="3" t="str">
        <f>LEFT(L311,3)</f>
        <v>Spr</v>
      </c>
      <c r="R311" s="7" t="str">
        <f>RIGHT(L311,3)</f>
        <v>ing</v>
      </c>
      <c r="S311" s="8">
        <f>LEN(L311)</f>
        <v>6</v>
      </c>
      <c r="T311" s="36" t="str">
        <f>A311&amp;"|"&amp;B311&amp;"|"&amp;F311</f>
        <v>310|14-01-2011|9</v>
      </c>
      <c r="V311" s="32">
        <f>VLOOKUP(A311,Sheet2!A:H,3,FALSE)</f>
        <v>0.18179999999999999</v>
      </c>
      <c r="W311" s="32">
        <f>VLOOKUP(A311,Sheet2!A:H,4,FALSE)</f>
        <v>0.55000000000000004</v>
      </c>
      <c r="X311" s="32">
        <f>VLOOKUP(A311,Sheet2!A:H,7,FALSE)</f>
        <v>40</v>
      </c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spans="1:37" x14ac:dyDescent="0.2">
      <c r="A312" s="4">
        <v>311</v>
      </c>
      <c r="B312" s="4" t="s">
        <v>28</v>
      </c>
      <c r="C312" s="4">
        <v>1</v>
      </c>
      <c r="D312" s="4">
        <v>0</v>
      </c>
      <c r="E312" s="4">
        <v>1</v>
      </c>
      <c r="F312" s="4">
        <v>10</v>
      </c>
      <c r="G312" s="4" t="b">
        <v>0</v>
      </c>
      <c r="H312" s="4">
        <v>5</v>
      </c>
      <c r="I312" s="4">
        <v>1</v>
      </c>
      <c r="J312" s="4">
        <v>0.18</v>
      </c>
      <c r="K312" s="6" t="str">
        <f>IF(H312=0,"weekend",IF(H312=6,"weekend","weekend"))</f>
        <v>weekend</v>
      </c>
      <c r="L312" s="3" t="str">
        <f>IF(C312=1,"Spring",IF(C312=2,"Summer",IF(C312=3,"Fall","Winter")))</f>
        <v>Spring</v>
      </c>
      <c r="M312" s="3">
        <f>SUM(J312:J336)</f>
        <v>4.4600000000000017</v>
      </c>
      <c r="N312" s="3">
        <f>AVERAGE(J312:J921)</f>
        <v>0.18919999999999992</v>
      </c>
      <c r="O312" s="3">
        <f>COUNT(J312:J921)</f>
        <v>300</v>
      </c>
      <c r="P312" s="3" t="str">
        <f>TEXT(J312,"0.00")</f>
        <v>0.18</v>
      </c>
      <c r="Q312" s="3" t="str">
        <f>LEFT(L312,3)</f>
        <v>Spr</v>
      </c>
      <c r="R312" s="7" t="str">
        <f>RIGHT(L312,3)</f>
        <v>ing</v>
      </c>
      <c r="S312" s="8">
        <f>LEN(L312)</f>
        <v>6</v>
      </c>
      <c r="T312" s="36" t="str">
        <f>A312&amp;"|"&amp;B312&amp;"|"&amp;F312</f>
        <v>311|14-01-2011|10</v>
      </c>
      <c r="V312" s="32">
        <f>VLOOKUP(A312,Sheet2!A:H,3,FALSE)</f>
        <v>0.16669999999999999</v>
      </c>
      <c r="W312" s="32">
        <f>VLOOKUP(A312,Sheet2!A:H,4,FALSE)</f>
        <v>0.51</v>
      </c>
      <c r="X312" s="32">
        <f>VLOOKUP(A312,Sheet2!A:H,7,FALSE)</f>
        <v>47</v>
      </c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spans="1:37" x14ac:dyDescent="0.2">
      <c r="A313" s="4">
        <v>312</v>
      </c>
      <c r="B313" s="4" t="s">
        <v>28</v>
      </c>
      <c r="C313" s="4">
        <v>1</v>
      </c>
      <c r="D313" s="4">
        <v>0</v>
      </c>
      <c r="E313" s="4">
        <v>1</v>
      </c>
      <c r="F313" s="4">
        <v>11</v>
      </c>
      <c r="G313" s="4" t="b">
        <v>0</v>
      </c>
      <c r="H313" s="4">
        <v>5</v>
      </c>
      <c r="I313" s="4">
        <v>1</v>
      </c>
      <c r="J313" s="4">
        <v>0.18</v>
      </c>
      <c r="K313" s="6" t="str">
        <f>IF(H313=0,"weekend",IF(H313=6,"weekend","weekend"))</f>
        <v>weekend</v>
      </c>
      <c r="L313" s="3" t="str">
        <f>IF(C313=1,"Spring",IF(C313=2,"Summer",IF(C313=3,"Fall","Winter")))</f>
        <v>Spring</v>
      </c>
      <c r="M313" s="3">
        <f>SUM(J313:J337)</f>
        <v>4.4800000000000013</v>
      </c>
      <c r="N313" s="3">
        <f>AVERAGE(J313:J922)</f>
        <v>0.18923076923076915</v>
      </c>
      <c r="O313" s="3">
        <f>COUNT(J313:J922)</f>
        <v>299</v>
      </c>
      <c r="P313" s="3" t="str">
        <f>TEXT(J313,"0.00")</f>
        <v>0.18</v>
      </c>
      <c r="Q313" s="3" t="str">
        <f>LEFT(L313,3)</f>
        <v>Spr</v>
      </c>
      <c r="R313" s="7" t="str">
        <f>RIGHT(L313,3)</f>
        <v>ing</v>
      </c>
      <c r="S313" s="8">
        <f>LEN(L313)</f>
        <v>6</v>
      </c>
      <c r="T313" s="36" t="str">
        <f>A313&amp;"|"&amp;B313&amp;"|"&amp;F313</f>
        <v>312|14-01-2011|11</v>
      </c>
      <c r="V313" s="32">
        <f>VLOOKUP(A313,Sheet2!A:H,3,FALSE)</f>
        <v>0.19700000000000001</v>
      </c>
      <c r="W313" s="32">
        <f>VLOOKUP(A313,Sheet2!A:H,4,FALSE)</f>
        <v>0.44</v>
      </c>
      <c r="X313" s="32">
        <f>VLOOKUP(A313,Sheet2!A:H,7,FALSE)</f>
        <v>59</v>
      </c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spans="1:37" x14ac:dyDescent="0.2">
      <c r="A314" s="4">
        <v>313</v>
      </c>
      <c r="B314" s="4" t="s">
        <v>28</v>
      </c>
      <c r="C314" s="4">
        <v>1</v>
      </c>
      <c r="D314" s="4">
        <v>0</v>
      </c>
      <c r="E314" s="4">
        <v>1</v>
      </c>
      <c r="F314" s="4">
        <v>12</v>
      </c>
      <c r="G314" s="4" t="b">
        <v>0</v>
      </c>
      <c r="H314" s="4">
        <v>5</v>
      </c>
      <c r="I314" s="4">
        <v>1</v>
      </c>
      <c r="J314" s="4">
        <v>0.2</v>
      </c>
      <c r="K314" s="6" t="str">
        <f>IF(H314=0,"weekend",IF(H314=6,"weekend","weekend"))</f>
        <v>weekend</v>
      </c>
      <c r="L314" s="3" t="str">
        <f>IF(C314=1,"Spring",IF(C314=2,"Summer",IF(C314=3,"Fall","Winter")))</f>
        <v>Spring</v>
      </c>
      <c r="M314" s="3">
        <f>SUM(J314:J338)</f>
        <v>4.5400000000000018</v>
      </c>
      <c r="N314" s="3">
        <f>AVERAGE(J314:J923)</f>
        <v>0.18926174496644288</v>
      </c>
      <c r="O314" s="3">
        <f>COUNT(J314:J923)</f>
        <v>298</v>
      </c>
      <c r="P314" s="3" t="str">
        <f>TEXT(J314,"0.00")</f>
        <v>0.20</v>
      </c>
      <c r="Q314" s="3" t="str">
        <f>LEFT(L314,3)</f>
        <v>Spr</v>
      </c>
      <c r="R314" s="7" t="str">
        <f>RIGHT(L314,3)</f>
        <v>ing</v>
      </c>
      <c r="S314" s="8">
        <f>LEN(L314)</f>
        <v>6</v>
      </c>
      <c r="T314" s="36" t="str">
        <f>A314&amp;"|"&amp;B314&amp;"|"&amp;F314</f>
        <v>313|14-01-2011|12</v>
      </c>
      <c r="V314" s="32">
        <f>VLOOKUP(A314,Sheet2!A:H,3,FALSE)</f>
        <v>0.19700000000000001</v>
      </c>
      <c r="W314" s="32">
        <f>VLOOKUP(A314,Sheet2!A:H,4,FALSE)</f>
        <v>0.37</v>
      </c>
      <c r="X314" s="32">
        <f>VLOOKUP(A314,Sheet2!A:H,7,FALSE)</f>
        <v>73</v>
      </c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spans="1:37" x14ac:dyDescent="0.2">
      <c r="A315" s="4">
        <v>314</v>
      </c>
      <c r="B315" s="4" t="s">
        <v>28</v>
      </c>
      <c r="C315" s="4">
        <v>1</v>
      </c>
      <c r="D315" s="4">
        <v>0</v>
      </c>
      <c r="E315" s="4">
        <v>1</v>
      </c>
      <c r="F315" s="4">
        <v>13</v>
      </c>
      <c r="G315" s="4" t="b">
        <v>0</v>
      </c>
      <c r="H315" s="4">
        <v>5</v>
      </c>
      <c r="I315" s="4">
        <v>1</v>
      </c>
      <c r="J315" s="4">
        <v>0.22</v>
      </c>
      <c r="K315" s="6" t="str">
        <f>IF(H315=0,"weekend",IF(H315=6,"weekend","weekend"))</f>
        <v>weekend</v>
      </c>
      <c r="L315" s="3" t="str">
        <f>IF(C315=1,"Spring",IF(C315=2,"Summer",IF(C315=3,"Fall","Winter")))</f>
        <v>Spring</v>
      </c>
      <c r="M315" s="3">
        <f>SUM(J315:J339)</f>
        <v>4.6200000000000019</v>
      </c>
      <c r="N315" s="3">
        <f>AVERAGE(J315:J924)</f>
        <v>0.18922558922558916</v>
      </c>
      <c r="O315" s="3">
        <f>COUNT(J315:J924)</f>
        <v>297</v>
      </c>
      <c r="P315" s="3" t="str">
        <f>TEXT(J315,"0.00")</f>
        <v>0.22</v>
      </c>
      <c r="Q315" s="3" t="str">
        <f>LEFT(L315,3)</f>
        <v>Spr</v>
      </c>
      <c r="R315" s="7" t="str">
        <f>RIGHT(L315,3)</f>
        <v>ing</v>
      </c>
      <c r="S315" s="8">
        <f>LEN(L315)</f>
        <v>6</v>
      </c>
      <c r="T315" s="36" t="str">
        <f>A315&amp;"|"&amp;B315&amp;"|"&amp;F315</f>
        <v>314|14-01-2011|13</v>
      </c>
      <c r="V315" s="32">
        <f>VLOOKUP(A315,Sheet2!A:H,3,FALSE)</f>
        <v>0.21210000000000001</v>
      </c>
      <c r="W315" s="32">
        <f>VLOOKUP(A315,Sheet2!A:H,4,FALSE)</f>
        <v>0.41</v>
      </c>
      <c r="X315" s="32">
        <f>VLOOKUP(A315,Sheet2!A:H,7,FALSE)</f>
        <v>59</v>
      </c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spans="1:37" x14ac:dyDescent="0.2">
      <c r="A316" s="4">
        <v>315</v>
      </c>
      <c r="B316" s="4" t="s">
        <v>28</v>
      </c>
      <c r="C316" s="4">
        <v>1</v>
      </c>
      <c r="D316" s="4">
        <v>0</v>
      </c>
      <c r="E316" s="4">
        <v>1</v>
      </c>
      <c r="F316" s="4">
        <v>14</v>
      </c>
      <c r="G316" s="4" t="b">
        <v>0</v>
      </c>
      <c r="H316" s="4">
        <v>5</v>
      </c>
      <c r="I316" s="4">
        <v>1</v>
      </c>
      <c r="J316" s="4">
        <v>0.22</v>
      </c>
      <c r="K316" s="6" t="str">
        <f>IF(H316=0,"weekend",IF(H316=6,"weekend","weekend"))</f>
        <v>weekend</v>
      </c>
      <c r="L316" s="3" t="str">
        <f>IF(C316=1,"Spring",IF(C316=2,"Summer",IF(C316=3,"Fall","Winter")))</f>
        <v>Spring</v>
      </c>
      <c r="M316" s="3">
        <f>SUM(J316:J340)</f>
        <v>4.7000000000000011</v>
      </c>
      <c r="N316" s="3">
        <f>AVERAGE(J316:J925)</f>
        <v>0.18912162162162155</v>
      </c>
      <c r="O316" s="3">
        <f>COUNT(J316:J925)</f>
        <v>296</v>
      </c>
      <c r="P316" s="3" t="str">
        <f>TEXT(J316,"0.00")</f>
        <v>0.22</v>
      </c>
      <c r="Q316" s="3" t="str">
        <f>LEFT(L316,3)</f>
        <v>Spr</v>
      </c>
      <c r="R316" s="7" t="str">
        <f>RIGHT(L316,3)</f>
        <v>ing</v>
      </c>
      <c r="S316" s="8">
        <f>LEN(L316)</f>
        <v>6</v>
      </c>
      <c r="T316" s="36" t="str">
        <f>A316&amp;"|"&amp;B316&amp;"|"&amp;F316</f>
        <v>315|14-01-2011|14</v>
      </c>
      <c r="V316" s="32">
        <f>VLOOKUP(A316,Sheet2!A:H,3,FALSE)</f>
        <v>0.2424</v>
      </c>
      <c r="W316" s="32">
        <f>VLOOKUP(A316,Sheet2!A:H,4,FALSE)</f>
        <v>0.38</v>
      </c>
      <c r="X316" s="32">
        <f>VLOOKUP(A316,Sheet2!A:H,7,FALSE)</f>
        <v>59</v>
      </c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spans="1:37" x14ac:dyDescent="0.2">
      <c r="A317" s="4">
        <v>316</v>
      </c>
      <c r="B317" s="4" t="s">
        <v>28</v>
      </c>
      <c r="C317" s="4">
        <v>1</v>
      </c>
      <c r="D317" s="4">
        <v>0</v>
      </c>
      <c r="E317" s="4">
        <v>1</v>
      </c>
      <c r="F317" s="4">
        <v>15</v>
      </c>
      <c r="G317" s="4" t="b">
        <v>0</v>
      </c>
      <c r="H317" s="4">
        <v>5</v>
      </c>
      <c r="I317" s="4">
        <v>1</v>
      </c>
      <c r="J317" s="4">
        <v>0.24</v>
      </c>
      <c r="K317" s="6" t="str">
        <f>IF(H317=0,"weekend",IF(H317=6,"weekend","weekend"))</f>
        <v>weekend</v>
      </c>
      <c r="L317" s="3" t="str">
        <f>IF(C317=1,"Spring",IF(C317=2,"Summer",IF(C317=3,"Fall","Winter")))</f>
        <v>Spring</v>
      </c>
      <c r="M317" s="3">
        <f>SUM(J317:J341)</f>
        <v>4.8000000000000016</v>
      </c>
      <c r="N317" s="3">
        <f>AVERAGE(J317:J926)</f>
        <v>0.18901694915254233</v>
      </c>
      <c r="O317" s="3">
        <f>COUNT(J317:J926)</f>
        <v>295</v>
      </c>
      <c r="P317" s="3" t="str">
        <f>TEXT(J317,"0.00")</f>
        <v>0.24</v>
      </c>
      <c r="Q317" s="3" t="str">
        <f>LEFT(L317,3)</f>
        <v>Spr</v>
      </c>
      <c r="R317" s="7" t="str">
        <f>RIGHT(L317,3)</f>
        <v>ing</v>
      </c>
      <c r="S317" s="8">
        <f>LEN(L317)</f>
        <v>6</v>
      </c>
      <c r="T317" s="36" t="str">
        <f>A317&amp;"|"&amp;B317&amp;"|"&amp;F317</f>
        <v>316|14-01-2011|15</v>
      </c>
      <c r="V317" s="32">
        <f>VLOOKUP(A317,Sheet2!A:H,3,FALSE)</f>
        <v>0.2424</v>
      </c>
      <c r="W317" s="32">
        <f>VLOOKUP(A317,Sheet2!A:H,4,FALSE)</f>
        <v>0.41</v>
      </c>
      <c r="X317" s="32">
        <f>VLOOKUP(A317,Sheet2!A:H,7,FALSE)</f>
        <v>87</v>
      </c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spans="1:37" x14ac:dyDescent="0.2">
      <c r="A318" s="4">
        <v>317</v>
      </c>
      <c r="B318" s="4" t="s">
        <v>28</v>
      </c>
      <c r="C318" s="4">
        <v>1</v>
      </c>
      <c r="D318" s="4">
        <v>0</v>
      </c>
      <c r="E318" s="4">
        <v>1</v>
      </c>
      <c r="F318" s="4">
        <v>16</v>
      </c>
      <c r="G318" s="4" t="b">
        <v>0</v>
      </c>
      <c r="H318" s="4">
        <v>5</v>
      </c>
      <c r="I318" s="4">
        <v>1</v>
      </c>
      <c r="J318" s="4">
        <v>0.22</v>
      </c>
      <c r="K318" s="6" t="str">
        <f>IF(H318=0,"weekend",IF(H318=6,"weekend","weekend"))</f>
        <v>weekend</v>
      </c>
      <c r="L318" s="3" t="str">
        <f>IF(C318=1,"Spring",IF(C318=2,"Summer",IF(C318=3,"Fall","Winter")))</f>
        <v>Spring</v>
      </c>
      <c r="M318" s="3">
        <f>SUM(J318:J342)</f>
        <v>4.9000000000000012</v>
      </c>
      <c r="N318" s="3">
        <f>AVERAGE(J318:J927)</f>
        <v>0.18884353741496593</v>
      </c>
      <c r="O318" s="3">
        <f>COUNT(J318:J927)</f>
        <v>294</v>
      </c>
      <c r="P318" s="3" t="str">
        <f>TEXT(J318,"0.00")</f>
        <v>0.22</v>
      </c>
      <c r="Q318" s="3" t="str">
        <f>LEFT(L318,3)</f>
        <v>Spr</v>
      </c>
      <c r="R318" s="7" t="str">
        <f>RIGHT(L318,3)</f>
        <v>ing</v>
      </c>
      <c r="S318" s="8">
        <f>LEN(L318)</f>
        <v>6</v>
      </c>
      <c r="T318" s="36" t="str">
        <f>A318&amp;"|"&amp;B318&amp;"|"&amp;F318</f>
        <v>317|14-01-2011|16</v>
      </c>
      <c r="V318" s="32">
        <f>VLOOKUP(A318,Sheet2!A:H,3,FALSE)</f>
        <v>0.2273</v>
      </c>
      <c r="W318" s="32">
        <f>VLOOKUP(A318,Sheet2!A:H,4,FALSE)</f>
        <v>0.41</v>
      </c>
      <c r="X318" s="32">
        <f>VLOOKUP(A318,Sheet2!A:H,7,FALSE)</f>
        <v>155</v>
      </c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spans="1:37" x14ac:dyDescent="0.2">
      <c r="A319" s="4">
        <v>318</v>
      </c>
      <c r="B319" s="4" t="s">
        <v>28</v>
      </c>
      <c r="C319" s="4">
        <v>1</v>
      </c>
      <c r="D319" s="4">
        <v>0</v>
      </c>
      <c r="E319" s="4">
        <v>1</v>
      </c>
      <c r="F319" s="4">
        <v>17</v>
      </c>
      <c r="G319" s="4" t="b">
        <v>0</v>
      </c>
      <c r="H319" s="4">
        <v>5</v>
      </c>
      <c r="I319" s="4">
        <v>1</v>
      </c>
      <c r="J319" s="4">
        <v>0.22</v>
      </c>
      <c r="K319" s="6" t="str">
        <f>IF(H319=0,"weekend",IF(H319=6,"weekend","weekend"))</f>
        <v>weekend</v>
      </c>
      <c r="L319" s="3" t="str">
        <f>IF(C319=1,"Spring",IF(C319=2,"Summer",IF(C319=3,"Fall","Winter")))</f>
        <v>Spring</v>
      </c>
      <c r="M319" s="3">
        <f>SUM(J319:J343)</f>
        <v>5.0000000000000009</v>
      </c>
      <c r="N319" s="3">
        <f>AVERAGE(J319:J928)</f>
        <v>0.18873720136518762</v>
      </c>
      <c r="O319" s="3">
        <f>COUNT(J319:J928)</f>
        <v>293</v>
      </c>
      <c r="P319" s="3" t="str">
        <f>TEXT(J319,"0.00")</f>
        <v>0.22</v>
      </c>
      <c r="Q319" s="3" t="str">
        <f>LEFT(L319,3)</f>
        <v>Spr</v>
      </c>
      <c r="R319" s="7" t="str">
        <f>RIGHT(L319,3)</f>
        <v>ing</v>
      </c>
      <c r="S319" s="8">
        <f>LEN(L319)</f>
        <v>6</v>
      </c>
      <c r="T319" s="36" t="str">
        <f>A319&amp;"|"&amp;B319&amp;"|"&amp;F319</f>
        <v>318|14-01-2011|17</v>
      </c>
      <c r="V319" s="32">
        <f>VLOOKUP(A319,Sheet2!A:H,3,FALSE)</f>
        <v>0.2576</v>
      </c>
      <c r="W319" s="32">
        <f>VLOOKUP(A319,Sheet2!A:H,4,FALSE)</f>
        <v>0.47</v>
      </c>
      <c r="X319" s="32">
        <f>VLOOKUP(A319,Sheet2!A:H,7,FALSE)</f>
        <v>134</v>
      </c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spans="1:37" x14ac:dyDescent="0.2">
      <c r="A320" s="4">
        <v>319</v>
      </c>
      <c r="B320" s="4" t="s">
        <v>28</v>
      </c>
      <c r="C320" s="4">
        <v>1</v>
      </c>
      <c r="D320" s="4">
        <v>0</v>
      </c>
      <c r="E320" s="4">
        <v>1</v>
      </c>
      <c r="F320" s="4">
        <v>18</v>
      </c>
      <c r="G320" s="4" t="b">
        <v>0</v>
      </c>
      <c r="H320" s="4">
        <v>5</v>
      </c>
      <c r="I320" s="4">
        <v>1</v>
      </c>
      <c r="J320" s="4">
        <v>0.2</v>
      </c>
      <c r="K320" s="6" t="str">
        <f>IF(H320=0,"weekend",IF(H320=6,"weekend","weekend"))</f>
        <v>weekend</v>
      </c>
      <c r="L320" s="3" t="str">
        <f>IF(C320=1,"Spring",IF(C320=2,"Summer",IF(C320=3,"Fall","Winter")))</f>
        <v>Spring</v>
      </c>
      <c r="M320" s="3">
        <f>SUM(J320:J344)</f>
        <v>5.080000000000001</v>
      </c>
      <c r="N320" s="3">
        <f>AVERAGE(J320:J929)</f>
        <v>0.18863013698630129</v>
      </c>
      <c r="O320" s="3">
        <f>COUNT(J320:J929)</f>
        <v>292</v>
      </c>
      <c r="P320" s="3" t="str">
        <f>TEXT(J320,"0.00")</f>
        <v>0.20</v>
      </c>
      <c r="Q320" s="3" t="str">
        <f>LEFT(L320,3)</f>
        <v>Spr</v>
      </c>
      <c r="R320" s="7" t="str">
        <f>RIGHT(L320,3)</f>
        <v>ing</v>
      </c>
      <c r="S320" s="8">
        <f>LEN(L320)</f>
        <v>6</v>
      </c>
      <c r="T320" s="36" t="str">
        <f>A320&amp;"|"&amp;B320&amp;"|"&amp;F320</f>
        <v>319|14-01-2011|18</v>
      </c>
      <c r="V320" s="32">
        <f>VLOOKUP(A320,Sheet2!A:H,3,FALSE)</f>
        <v>0.19700000000000001</v>
      </c>
      <c r="W320" s="32">
        <f>VLOOKUP(A320,Sheet2!A:H,4,FALSE)</f>
        <v>0.59</v>
      </c>
      <c r="X320" s="32">
        <f>VLOOKUP(A320,Sheet2!A:H,7,FALSE)</f>
        <v>89</v>
      </c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spans="1:37" x14ac:dyDescent="0.2">
      <c r="A321" s="4">
        <v>320</v>
      </c>
      <c r="B321" s="4" t="s">
        <v>28</v>
      </c>
      <c r="C321" s="4">
        <v>1</v>
      </c>
      <c r="D321" s="4">
        <v>0</v>
      </c>
      <c r="E321" s="4">
        <v>1</v>
      </c>
      <c r="F321" s="4">
        <v>19</v>
      </c>
      <c r="G321" s="4" t="b">
        <v>0</v>
      </c>
      <c r="H321" s="4">
        <v>5</v>
      </c>
      <c r="I321" s="4">
        <v>1</v>
      </c>
      <c r="J321" s="4">
        <v>0.16</v>
      </c>
      <c r="K321" s="6" t="str">
        <f>IF(H321=0,"weekend",IF(H321=6,"weekend","weekend"))</f>
        <v>weekend</v>
      </c>
      <c r="L321" s="3" t="str">
        <f>IF(C321=1,"Spring",IF(C321=2,"Summer",IF(C321=3,"Fall","Winter")))</f>
        <v>Spring</v>
      </c>
      <c r="M321" s="3">
        <f>SUM(J321:J345)</f>
        <v>5.2000000000000011</v>
      </c>
      <c r="N321" s="3">
        <f>AVERAGE(J321:J930)</f>
        <v>0.18859106529209613</v>
      </c>
      <c r="O321" s="3">
        <f>COUNT(J321:J930)</f>
        <v>291</v>
      </c>
      <c r="P321" s="3" t="str">
        <f>TEXT(J321,"0.00")</f>
        <v>0.16</v>
      </c>
      <c r="Q321" s="3" t="str">
        <f>LEFT(L321,3)</f>
        <v>Spr</v>
      </c>
      <c r="R321" s="7" t="str">
        <f>RIGHT(L321,3)</f>
        <v>ing</v>
      </c>
      <c r="S321" s="8">
        <f>LEN(L321)</f>
        <v>6</v>
      </c>
      <c r="T321" s="36" t="str">
        <f>A321&amp;"|"&amp;B321&amp;"|"&amp;F321</f>
        <v>320|14-01-2011|19</v>
      </c>
      <c r="V321" s="32">
        <f>VLOOKUP(A321,Sheet2!A:H,3,FALSE)</f>
        <v>0.2424</v>
      </c>
      <c r="W321" s="32">
        <f>VLOOKUP(A321,Sheet2!A:H,4,FALSE)</f>
        <v>0.59</v>
      </c>
      <c r="X321" s="32">
        <f>VLOOKUP(A321,Sheet2!A:H,7,FALSE)</f>
        <v>68</v>
      </c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spans="1:37" x14ac:dyDescent="0.2">
      <c r="A322" s="4">
        <v>321</v>
      </c>
      <c r="B322" s="4" t="s">
        <v>28</v>
      </c>
      <c r="C322" s="4">
        <v>1</v>
      </c>
      <c r="D322" s="4">
        <v>0</v>
      </c>
      <c r="E322" s="4">
        <v>1</v>
      </c>
      <c r="F322" s="4">
        <v>20</v>
      </c>
      <c r="G322" s="4" t="b">
        <v>0</v>
      </c>
      <c r="H322" s="4">
        <v>5</v>
      </c>
      <c r="I322" s="4">
        <v>1</v>
      </c>
      <c r="J322" s="4">
        <v>0.18</v>
      </c>
      <c r="K322" s="6" t="str">
        <f>IF(H322=0,"weekend",IF(H322=6,"weekend","weekend"))</f>
        <v>weekend</v>
      </c>
      <c r="L322" s="3" t="str">
        <f>IF(C322=1,"Spring",IF(C322=2,"Summer",IF(C322=3,"Fall","Winter")))</f>
        <v>Spring</v>
      </c>
      <c r="M322" s="3">
        <f>SUM(J322:J346)</f>
        <v>5.3600000000000012</v>
      </c>
      <c r="N322" s="3">
        <f>AVERAGE(J322:J931)</f>
        <v>0.18868965517241368</v>
      </c>
      <c r="O322" s="3">
        <f>COUNT(J322:J931)</f>
        <v>290</v>
      </c>
      <c r="P322" s="3" t="str">
        <f>TEXT(J322,"0.00")</f>
        <v>0.18</v>
      </c>
      <c r="Q322" s="3" t="str">
        <f>LEFT(L322,3)</f>
        <v>Spr</v>
      </c>
      <c r="R322" s="7" t="str">
        <f>RIGHT(L322,3)</f>
        <v>ing</v>
      </c>
      <c r="S322" s="8">
        <f>LEN(L322)</f>
        <v>6</v>
      </c>
      <c r="T322" s="36" t="str">
        <f>A322&amp;"|"&amp;B322&amp;"|"&amp;F322</f>
        <v>321|14-01-2011|20</v>
      </c>
      <c r="V322" s="32">
        <f>VLOOKUP(A322,Sheet2!A:H,3,FALSE)</f>
        <v>0.2273</v>
      </c>
      <c r="W322" s="32">
        <f>VLOOKUP(A322,Sheet2!A:H,4,FALSE)</f>
        <v>0.69</v>
      </c>
      <c r="X322" s="32">
        <f>VLOOKUP(A322,Sheet2!A:H,7,FALSE)</f>
        <v>48</v>
      </c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spans="1:37" x14ac:dyDescent="0.2">
      <c r="A323" s="4">
        <v>322</v>
      </c>
      <c r="B323" s="4" t="s">
        <v>28</v>
      </c>
      <c r="C323" s="4">
        <v>1</v>
      </c>
      <c r="D323" s="4">
        <v>0</v>
      </c>
      <c r="E323" s="4">
        <v>1</v>
      </c>
      <c r="F323" s="4">
        <v>21</v>
      </c>
      <c r="G323" s="4" t="b">
        <v>0</v>
      </c>
      <c r="H323" s="4">
        <v>5</v>
      </c>
      <c r="I323" s="4">
        <v>1</v>
      </c>
      <c r="J323" s="4">
        <v>0.16</v>
      </c>
      <c r="K323" s="6" t="str">
        <f>IF(H323=0,"weekend",IF(H323=6,"weekend","weekend"))</f>
        <v>weekend</v>
      </c>
      <c r="L323" s="3" t="str">
        <f>IF(C323=1,"Spring",IF(C323=2,"Summer",IF(C323=3,"Fall","Winter")))</f>
        <v>Spring</v>
      </c>
      <c r="M323" s="3">
        <f>SUM(J323:J347)</f>
        <v>5.5000000000000009</v>
      </c>
      <c r="N323" s="3">
        <f>AVERAGE(J323:J932)</f>
        <v>0.18871972318339086</v>
      </c>
      <c r="O323" s="3">
        <f>COUNT(J323:J932)</f>
        <v>289</v>
      </c>
      <c r="P323" s="3" t="str">
        <f>TEXT(J323,"0.00")</f>
        <v>0.16</v>
      </c>
      <c r="Q323" s="3" t="str">
        <f>LEFT(L323,3)</f>
        <v>Spr</v>
      </c>
      <c r="R323" s="7" t="str">
        <f>RIGHT(L323,3)</f>
        <v>ing</v>
      </c>
      <c r="S323" s="8">
        <f>LEN(L323)</f>
        <v>6</v>
      </c>
      <c r="T323" s="36" t="str">
        <f>A323&amp;"|"&amp;B323&amp;"|"&amp;F323</f>
        <v>322|14-01-2011|21</v>
      </c>
      <c r="V323" s="32">
        <f>VLOOKUP(A323,Sheet2!A:H,3,FALSE)</f>
        <v>0.2273</v>
      </c>
      <c r="W323" s="32">
        <f>VLOOKUP(A323,Sheet2!A:H,4,FALSE)</f>
        <v>0.69</v>
      </c>
      <c r="X323" s="32">
        <f>VLOOKUP(A323,Sheet2!A:H,7,FALSE)</f>
        <v>34</v>
      </c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spans="1:37" x14ac:dyDescent="0.2">
      <c r="A324" s="4">
        <v>323</v>
      </c>
      <c r="B324" s="4" t="s">
        <v>28</v>
      </c>
      <c r="C324" s="4">
        <v>1</v>
      </c>
      <c r="D324" s="4">
        <v>0</v>
      </c>
      <c r="E324" s="4">
        <v>1</v>
      </c>
      <c r="F324" s="4">
        <v>22</v>
      </c>
      <c r="G324" s="4" t="b">
        <v>0</v>
      </c>
      <c r="H324" s="4">
        <v>5</v>
      </c>
      <c r="I324" s="4">
        <v>2</v>
      </c>
      <c r="J324" s="4">
        <v>0.16</v>
      </c>
      <c r="K324" s="6" t="str">
        <f>IF(H324=0,"weekend",IF(H324=6,"weekend","weekend"))</f>
        <v>weekend</v>
      </c>
      <c r="L324" s="3" t="str">
        <f>IF(C324=1,"Spring",IF(C324=2,"Summer",IF(C324=3,"Fall","Winter")))</f>
        <v>Spring</v>
      </c>
      <c r="M324" s="3">
        <f>SUM(J324:J348)</f>
        <v>5.6400000000000006</v>
      </c>
      <c r="N324" s="3">
        <f>AVERAGE(J324:J933)</f>
        <v>0.18881944444444432</v>
      </c>
      <c r="O324" s="3">
        <f>COUNT(J324:J933)</f>
        <v>288</v>
      </c>
      <c r="P324" s="3" t="str">
        <f>TEXT(J324,"0.00")</f>
        <v>0.16</v>
      </c>
      <c r="Q324" s="3" t="str">
        <f>LEFT(L324,3)</f>
        <v>Spr</v>
      </c>
      <c r="R324" s="7" t="str">
        <f>RIGHT(L324,3)</f>
        <v>ing</v>
      </c>
      <c r="S324" s="8">
        <f>LEN(L324)</f>
        <v>6</v>
      </c>
      <c r="T324" s="36" t="str">
        <f>A324&amp;"|"&amp;B324&amp;"|"&amp;F324</f>
        <v>323|14-01-2011|22</v>
      </c>
      <c r="V324" s="32">
        <f>VLOOKUP(A324,Sheet2!A:H,3,FALSE)</f>
        <v>0.2424</v>
      </c>
      <c r="W324" s="32">
        <f>VLOOKUP(A324,Sheet2!A:H,4,FALSE)</f>
        <v>0.55000000000000004</v>
      </c>
      <c r="X324" s="32">
        <f>VLOOKUP(A324,Sheet2!A:H,7,FALSE)</f>
        <v>26</v>
      </c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spans="1:37" x14ac:dyDescent="0.2">
      <c r="A325" s="4">
        <v>324</v>
      </c>
      <c r="B325" s="4" t="s">
        <v>28</v>
      </c>
      <c r="C325" s="4">
        <v>1</v>
      </c>
      <c r="D325" s="4">
        <v>0</v>
      </c>
      <c r="E325" s="4">
        <v>1</v>
      </c>
      <c r="F325" s="4">
        <v>23</v>
      </c>
      <c r="G325" s="4" t="b">
        <v>0</v>
      </c>
      <c r="H325" s="4">
        <v>5</v>
      </c>
      <c r="I325" s="4">
        <v>2</v>
      </c>
      <c r="J325" s="4">
        <v>0.18</v>
      </c>
      <c r="K325" s="6" t="str">
        <f>IF(H325=0,"weekend",IF(H325=6,"weekend","weekend"))</f>
        <v>weekend</v>
      </c>
      <c r="L325" s="3" t="str">
        <f>IF(C325=1,"Spring",IF(C325=2,"Summer",IF(C325=3,"Fall","Winter")))</f>
        <v>Spring</v>
      </c>
      <c r="M325" s="3">
        <f>SUM(J325:J349)</f>
        <v>5.78</v>
      </c>
      <c r="N325" s="3">
        <f>AVERAGE(J325:J934)</f>
        <v>0.18891986062717758</v>
      </c>
      <c r="O325" s="3">
        <f>COUNT(J325:J934)</f>
        <v>287</v>
      </c>
      <c r="P325" s="3" t="str">
        <f>TEXT(J325,"0.00")</f>
        <v>0.18</v>
      </c>
      <c r="Q325" s="3" t="str">
        <f>LEFT(L325,3)</f>
        <v>Spr</v>
      </c>
      <c r="R325" s="7" t="str">
        <f>RIGHT(L325,3)</f>
        <v>ing</v>
      </c>
      <c r="S325" s="8">
        <f>LEN(L325)</f>
        <v>6</v>
      </c>
      <c r="T325" s="36" t="str">
        <f>A325&amp;"|"&amp;B325&amp;"|"&amp;F325</f>
        <v>324|14-01-2011|23</v>
      </c>
      <c r="V325" s="32">
        <f>VLOOKUP(A325,Sheet2!A:H,3,FALSE)</f>
        <v>0.2424</v>
      </c>
      <c r="W325" s="32">
        <f>VLOOKUP(A325,Sheet2!A:H,4,FALSE)</f>
        <v>0.55000000000000004</v>
      </c>
      <c r="X325" s="32">
        <f>VLOOKUP(A325,Sheet2!A:H,7,FALSE)</f>
        <v>25</v>
      </c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spans="1:37" x14ac:dyDescent="0.2">
      <c r="A326" s="4">
        <v>325</v>
      </c>
      <c r="B326" s="4" t="s">
        <v>29</v>
      </c>
      <c r="C326" s="4">
        <v>1</v>
      </c>
      <c r="D326" s="4">
        <v>0</v>
      </c>
      <c r="E326" s="4">
        <v>1</v>
      </c>
      <c r="F326" s="4">
        <v>0</v>
      </c>
      <c r="G326" s="4" t="b">
        <v>0</v>
      </c>
      <c r="H326" s="4">
        <v>6</v>
      </c>
      <c r="I326" s="4">
        <v>1</v>
      </c>
      <c r="J326" s="4">
        <v>0.18</v>
      </c>
      <c r="K326" s="6" t="str">
        <f>IF(H326=0,"weekend",IF(H326=6,"weekend","weekend"))</f>
        <v>weekend</v>
      </c>
      <c r="L326" s="3" t="str">
        <f>IF(C326=1,"Spring",IF(C326=2,"Summer",IF(C326=3,"Fall","Winter")))</f>
        <v>Spring</v>
      </c>
      <c r="M326" s="3">
        <f>SUM(J326:J350)</f>
        <v>5.8599999999999994</v>
      </c>
      <c r="N326" s="3">
        <f>AVERAGE(J326:J935)</f>
        <v>0.18895104895104883</v>
      </c>
      <c r="O326" s="3">
        <f>COUNT(J326:J935)</f>
        <v>286</v>
      </c>
      <c r="P326" s="3" t="str">
        <f>TEXT(J326,"0.00")</f>
        <v>0.18</v>
      </c>
      <c r="Q326" s="3" t="str">
        <f>LEFT(L326,3)</f>
        <v>Spr</v>
      </c>
      <c r="R326" s="7" t="str">
        <f>RIGHT(L326,3)</f>
        <v>ing</v>
      </c>
      <c r="S326" s="8">
        <f>LEN(L326)</f>
        <v>6</v>
      </c>
      <c r="T326" s="36" t="str">
        <f>A326&amp;"|"&amp;B326&amp;"|"&amp;F326</f>
        <v>325|15-01-2011|0</v>
      </c>
      <c r="V326" s="32">
        <f>VLOOKUP(A326,Sheet2!A:H,3,FALSE)</f>
        <v>0.19700000000000001</v>
      </c>
      <c r="W326" s="32">
        <f>VLOOKUP(A326,Sheet2!A:H,4,FALSE)</f>
        <v>0.59</v>
      </c>
      <c r="X326" s="32">
        <f>VLOOKUP(A326,Sheet2!A:H,7,FALSE)</f>
        <v>18</v>
      </c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spans="1:37" x14ac:dyDescent="0.2">
      <c r="A327" s="4">
        <v>326</v>
      </c>
      <c r="B327" s="4" t="s">
        <v>29</v>
      </c>
      <c r="C327" s="4">
        <v>1</v>
      </c>
      <c r="D327" s="4">
        <v>0</v>
      </c>
      <c r="E327" s="4">
        <v>1</v>
      </c>
      <c r="F327" s="4">
        <v>1</v>
      </c>
      <c r="G327" s="4" t="b">
        <v>0</v>
      </c>
      <c r="H327" s="4">
        <v>6</v>
      </c>
      <c r="I327" s="4">
        <v>2</v>
      </c>
      <c r="J327" s="4">
        <v>0.16</v>
      </c>
      <c r="K327" s="6" t="str">
        <f>IF(H327=0,"weekend",IF(H327=6,"weekend","weekend"))</f>
        <v>weekend</v>
      </c>
      <c r="L327" s="3" t="str">
        <f>IF(C327=1,"Spring",IF(C327=2,"Summer",IF(C327=3,"Fall","Winter")))</f>
        <v>Spring</v>
      </c>
      <c r="M327" s="3">
        <f>SUM(J327:J351)</f>
        <v>5.9399999999999995</v>
      </c>
      <c r="N327" s="3">
        <f>AVERAGE(J327:J936)</f>
        <v>0.18898245614035072</v>
      </c>
      <c r="O327" s="3">
        <f>COUNT(J327:J936)</f>
        <v>285</v>
      </c>
      <c r="P327" s="3" t="str">
        <f>TEXT(J327,"0.00")</f>
        <v>0.16</v>
      </c>
      <c r="Q327" s="3" t="str">
        <f>LEFT(L327,3)</f>
        <v>Spr</v>
      </c>
      <c r="R327" s="7" t="str">
        <f>RIGHT(L327,3)</f>
        <v>ing</v>
      </c>
      <c r="S327" s="8">
        <f>LEN(L327)</f>
        <v>6</v>
      </c>
      <c r="T327" s="36" t="str">
        <f>A327&amp;"|"&amp;B327&amp;"|"&amp;F327</f>
        <v>326|15-01-2011|1</v>
      </c>
      <c r="V327" s="32">
        <f>VLOOKUP(A327,Sheet2!A:H,3,FALSE)</f>
        <v>0.19700000000000001</v>
      </c>
      <c r="W327" s="32">
        <f>VLOOKUP(A327,Sheet2!A:H,4,FALSE)</f>
        <v>0.59</v>
      </c>
      <c r="X327" s="32">
        <f>VLOOKUP(A327,Sheet2!A:H,7,FALSE)</f>
        <v>12</v>
      </c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spans="1:37" x14ac:dyDescent="0.2">
      <c r="A328" s="4">
        <v>327</v>
      </c>
      <c r="B328" s="4" t="s">
        <v>29</v>
      </c>
      <c r="C328" s="4">
        <v>1</v>
      </c>
      <c r="D328" s="4">
        <v>0</v>
      </c>
      <c r="E328" s="4">
        <v>1</v>
      </c>
      <c r="F328" s="4">
        <v>2</v>
      </c>
      <c r="G328" s="4" t="b">
        <v>0</v>
      </c>
      <c r="H328" s="4">
        <v>6</v>
      </c>
      <c r="I328" s="4">
        <v>2</v>
      </c>
      <c r="J328" s="4">
        <v>0.16</v>
      </c>
      <c r="K328" s="6" t="str">
        <f>IF(H328=0,"weekend",IF(H328=6,"weekend","weekend"))</f>
        <v>weekend</v>
      </c>
      <c r="L328" s="3" t="str">
        <f>IF(C328=1,"Spring",IF(C328=2,"Summer",IF(C328=3,"Fall","Winter")))</f>
        <v>Spring</v>
      </c>
      <c r="M328" s="3">
        <f>SUM(J328:J352)</f>
        <v>6.0399999999999991</v>
      </c>
      <c r="N328" s="3">
        <f>AVERAGE(J328:J937)</f>
        <v>0.18908450704225338</v>
      </c>
      <c r="O328" s="3">
        <f>COUNT(J328:J937)</f>
        <v>284</v>
      </c>
      <c r="P328" s="3" t="str">
        <f>TEXT(J328,"0.00")</f>
        <v>0.16</v>
      </c>
      <c r="Q328" s="3" t="str">
        <f>LEFT(L328,3)</f>
        <v>Spr</v>
      </c>
      <c r="R328" s="7" t="str">
        <f>RIGHT(L328,3)</f>
        <v>ing</v>
      </c>
      <c r="S328" s="8">
        <f>LEN(L328)</f>
        <v>6</v>
      </c>
      <c r="T328" s="36" t="str">
        <f>A328&amp;"|"&amp;B328&amp;"|"&amp;F328</f>
        <v>327|15-01-2011|2</v>
      </c>
      <c r="V328" s="32">
        <f>VLOOKUP(A328,Sheet2!A:H,3,FALSE)</f>
        <v>0.2273</v>
      </c>
      <c r="W328" s="32">
        <f>VLOOKUP(A328,Sheet2!A:H,4,FALSE)</f>
        <v>0.59</v>
      </c>
      <c r="X328" s="32">
        <f>VLOOKUP(A328,Sheet2!A:H,7,FALSE)</f>
        <v>7</v>
      </c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spans="1:37" x14ac:dyDescent="0.2">
      <c r="A329" s="4">
        <v>328</v>
      </c>
      <c r="B329" s="4" t="s">
        <v>29</v>
      </c>
      <c r="C329" s="4">
        <v>1</v>
      </c>
      <c r="D329" s="4">
        <v>0</v>
      </c>
      <c r="E329" s="4">
        <v>1</v>
      </c>
      <c r="F329" s="4">
        <v>3</v>
      </c>
      <c r="G329" s="4" t="b">
        <v>0</v>
      </c>
      <c r="H329" s="4">
        <v>6</v>
      </c>
      <c r="I329" s="4">
        <v>2</v>
      </c>
      <c r="J329" s="4">
        <v>0.16</v>
      </c>
      <c r="K329" s="6" t="str">
        <f>IF(H329=0,"weekend",IF(H329=6,"weekend","weekend"))</f>
        <v>weekend</v>
      </c>
      <c r="L329" s="3" t="str">
        <f>IF(C329=1,"Spring",IF(C329=2,"Summer",IF(C329=3,"Fall","Winter")))</f>
        <v>Spring</v>
      </c>
      <c r="M329" s="3">
        <f>SUM(J329:J353)</f>
        <v>6.0999999999999979</v>
      </c>
      <c r="N329" s="3">
        <f>AVERAGE(J329:J938)</f>
        <v>0.18918727915194333</v>
      </c>
      <c r="O329" s="3">
        <f>COUNT(J329:J938)</f>
        <v>283</v>
      </c>
      <c r="P329" s="3" t="str">
        <f>TEXT(J329,"0.00")</f>
        <v>0.16</v>
      </c>
      <c r="Q329" s="3" t="str">
        <f>LEFT(L329,3)</f>
        <v>Spr</v>
      </c>
      <c r="R329" s="7" t="str">
        <f>RIGHT(L329,3)</f>
        <v>ing</v>
      </c>
      <c r="S329" s="8">
        <f>LEN(L329)</f>
        <v>6</v>
      </c>
      <c r="T329" s="36" t="str">
        <f>A329&amp;"|"&amp;B329&amp;"|"&amp;F329</f>
        <v>328|15-01-2011|3</v>
      </c>
      <c r="V329" s="32">
        <f>VLOOKUP(A329,Sheet2!A:H,3,FALSE)</f>
        <v>0.2273</v>
      </c>
      <c r="W329" s="32">
        <f>VLOOKUP(A329,Sheet2!A:H,4,FALSE)</f>
        <v>0.59</v>
      </c>
      <c r="X329" s="32">
        <f>VLOOKUP(A329,Sheet2!A:H,7,FALSE)</f>
        <v>5</v>
      </c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spans="1:37" x14ac:dyDescent="0.2">
      <c r="A330" s="4">
        <v>329</v>
      </c>
      <c r="B330" s="4" t="s">
        <v>29</v>
      </c>
      <c r="C330" s="4">
        <v>1</v>
      </c>
      <c r="D330" s="4">
        <v>0</v>
      </c>
      <c r="E330" s="4">
        <v>1</v>
      </c>
      <c r="F330" s="4">
        <v>4</v>
      </c>
      <c r="G330" s="4" t="b">
        <v>0</v>
      </c>
      <c r="H330" s="4">
        <v>6</v>
      </c>
      <c r="I330" s="4">
        <v>2</v>
      </c>
      <c r="J330" s="4">
        <v>0.16</v>
      </c>
      <c r="K330" s="6" t="str">
        <f>IF(H330=0,"weekend",IF(H330=6,"weekend","weekend"))</f>
        <v>weekend</v>
      </c>
      <c r="L330" s="3" t="str">
        <f>IF(C330=1,"Spring",IF(C330=2,"Summer",IF(C330=3,"Fall","Winter")))</f>
        <v>Spring</v>
      </c>
      <c r="M330" s="3">
        <f>SUM(J330:J354)</f>
        <v>6.1999999999999984</v>
      </c>
      <c r="N330" s="3">
        <f>AVERAGE(J330:J939)</f>
        <v>0.18929078014184383</v>
      </c>
      <c r="O330" s="3">
        <f>COUNT(J330:J939)</f>
        <v>282</v>
      </c>
      <c r="P330" s="3" t="str">
        <f>TEXT(J330,"0.00")</f>
        <v>0.16</v>
      </c>
      <c r="Q330" s="3" t="str">
        <f>LEFT(L330,3)</f>
        <v>Spr</v>
      </c>
      <c r="R330" s="7" t="str">
        <f>RIGHT(L330,3)</f>
        <v>ing</v>
      </c>
      <c r="S330" s="8">
        <f>LEN(L330)</f>
        <v>6</v>
      </c>
      <c r="T330" s="36" t="str">
        <f>A330&amp;"|"&amp;B330&amp;"|"&amp;F330</f>
        <v>329|15-01-2011|4</v>
      </c>
      <c r="V330" s="32">
        <f>VLOOKUP(A330,Sheet2!A:H,3,FALSE)</f>
        <v>0.2273</v>
      </c>
      <c r="W330" s="32">
        <f>VLOOKUP(A330,Sheet2!A:H,4,FALSE)</f>
        <v>0.59</v>
      </c>
      <c r="X330" s="32">
        <f>VLOOKUP(A330,Sheet2!A:H,7,FALSE)</f>
        <v>1</v>
      </c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spans="1:37" x14ac:dyDescent="0.2">
      <c r="A331" s="4">
        <v>330</v>
      </c>
      <c r="B331" s="4" t="s">
        <v>29</v>
      </c>
      <c r="C331" s="4">
        <v>1</v>
      </c>
      <c r="D331" s="4">
        <v>0</v>
      </c>
      <c r="E331" s="4">
        <v>1</v>
      </c>
      <c r="F331" s="4">
        <v>5</v>
      </c>
      <c r="G331" s="4" t="b">
        <v>0</v>
      </c>
      <c r="H331" s="4">
        <v>6</v>
      </c>
      <c r="I331" s="4">
        <v>1</v>
      </c>
      <c r="J331" s="4">
        <v>0.16</v>
      </c>
      <c r="K331" s="6" t="str">
        <f>IF(H331=0,"weekend",IF(H331=6,"weekend","weekend"))</f>
        <v>weekend</v>
      </c>
      <c r="L331" s="3" t="str">
        <f>IF(C331=1,"Spring",IF(C331=2,"Summer",IF(C331=3,"Fall","Winter")))</f>
        <v>Spring</v>
      </c>
      <c r="M331" s="3">
        <f>SUM(J331:J355)</f>
        <v>6.299999999999998</v>
      </c>
      <c r="N331" s="3">
        <f>AVERAGE(J331:J940)</f>
        <v>0.18939501779359416</v>
      </c>
      <c r="O331" s="3">
        <f>COUNT(J331:J940)</f>
        <v>281</v>
      </c>
      <c r="P331" s="3" t="str">
        <f>TEXT(J331,"0.00")</f>
        <v>0.16</v>
      </c>
      <c r="Q331" s="3" t="str">
        <f>LEFT(L331,3)</f>
        <v>Spr</v>
      </c>
      <c r="R331" s="7" t="str">
        <f>RIGHT(L331,3)</f>
        <v>ing</v>
      </c>
      <c r="S331" s="8">
        <f>LEN(L331)</f>
        <v>6</v>
      </c>
      <c r="T331" s="36" t="str">
        <f>A331&amp;"|"&amp;B331&amp;"|"&amp;F331</f>
        <v>330|15-01-2011|5</v>
      </c>
      <c r="V331" s="32">
        <f>VLOOKUP(A331,Sheet2!A:H,3,FALSE)</f>
        <v>0.16669999999999999</v>
      </c>
      <c r="W331" s="32">
        <f>VLOOKUP(A331,Sheet2!A:H,4,FALSE)</f>
        <v>0.63</v>
      </c>
      <c r="X331" s="32">
        <f>VLOOKUP(A331,Sheet2!A:H,7,FALSE)</f>
        <v>2</v>
      </c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spans="1:37" x14ac:dyDescent="0.2">
      <c r="A332" s="4">
        <v>331</v>
      </c>
      <c r="B332" s="4" t="s">
        <v>29</v>
      </c>
      <c r="C332" s="4">
        <v>1</v>
      </c>
      <c r="D332" s="4">
        <v>0</v>
      </c>
      <c r="E332" s="4">
        <v>1</v>
      </c>
      <c r="F332" s="4">
        <v>6</v>
      </c>
      <c r="G332" s="4" t="b">
        <v>0</v>
      </c>
      <c r="H332" s="4">
        <v>6</v>
      </c>
      <c r="I332" s="4">
        <v>1</v>
      </c>
      <c r="J332" s="4">
        <v>0.14000000000000001</v>
      </c>
      <c r="K332" s="6" t="str">
        <f>IF(H332=0,"weekend",IF(H332=6,"weekend","weekend"))</f>
        <v>weekend</v>
      </c>
      <c r="L332" s="3" t="str">
        <f>IF(C332=1,"Spring",IF(C332=2,"Summer",IF(C332=3,"Fall","Winter")))</f>
        <v>Spring</v>
      </c>
      <c r="M332" s="3">
        <f>SUM(J332:J356)</f>
        <v>6.3999999999999977</v>
      </c>
      <c r="N332" s="3">
        <f>AVERAGE(J332:J941)</f>
        <v>0.18949999999999986</v>
      </c>
      <c r="O332" s="3">
        <f>COUNT(J332:J941)</f>
        <v>280</v>
      </c>
      <c r="P332" s="3" t="str">
        <f>TEXT(J332,"0.00")</f>
        <v>0.14</v>
      </c>
      <c r="Q332" s="3" t="str">
        <f>LEFT(L332,3)</f>
        <v>Spr</v>
      </c>
      <c r="R332" s="7" t="str">
        <f>RIGHT(L332,3)</f>
        <v>ing</v>
      </c>
      <c r="S332" s="8">
        <f>LEN(L332)</f>
        <v>6</v>
      </c>
      <c r="T332" s="36" t="str">
        <f>A332&amp;"|"&amp;B332&amp;"|"&amp;F332</f>
        <v>331|15-01-2011|6</v>
      </c>
      <c r="V332" s="32">
        <f>VLOOKUP(A332,Sheet2!A:H,3,FALSE)</f>
        <v>0.21210000000000001</v>
      </c>
      <c r="W332" s="32">
        <f>VLOOKUP(A332,Sheet2!A:H,4,FALSE)</f>
        <v>0.63</v>
      </c>
      <c r="X332" s="32">
        <f>VLOOKUP(A332,Sheet2!A:H,7,FALSE)</f>
        <v>9</v>
      </c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spans="1:37" x14ac:dyDescent="0.2">
      <c r="A333" s="4">
        <v>332</v>
      </c>
      <c r="B333" s="4" t="s">
        <v>29</v>
      </c>
      <c r="C333" s="4">
        <v>1</v>
      </c>
      <c r="D333" s="4">
        <v>0</v>
      </c>
      <c r="E333" s="4">
        <v>1</v>
      </c>
      <c r="F333" s="4">
        <v>7</v>
      </c>
      <c r="G333" s="4" t="b">
        <v>0</v>
      </c>
      <c r="H333" s="4">
        <v>6</v>
      </c>
      <c r="I333" s="4">
        <v>1</v>
      </c>
      <c r="J333" s="4">
        <v>0.14000000000000001</v>
      </c>
      <c r="K333" s="6" t="str">
        <f>IF(H333=0,"weekend",IF(H333=6,"weekend","weekend"))</f>
        <v>weekend</v>
      </c>
      <c r="L333" s="3" t="str">
        <f>IF(C333=1,"Spring",IF(C333=2,"Summer",IF(C333=3,"Fall","Winter")))</f>
        <v>Spring</v>
      </c>
      <c r="M333" s="3">
        <f>SUM(J333:J357)</f>
        <v>6.4999999999999982</v>
      </c>
      <c r="N333" s="3">
        <f>AVERAGE(J333:J942)</f>
        <v>0.18967741935483856</v>
      </c>
      <c r="O333" s="3">
        <f>COUNT(J333:J942)</f>
        <v>279</v>
      </c>
      <c r="P333" s="3" t="str">
        <f>TEXT(J333,"0.00")</f>
        <v>0.14</v>
      </c>
      <c r="Q333" s="3" t="str">
        <f>LEFT(L333,3)</f>
        <v>Spr</v>
      </c>
      <c r="R333" s="7" t="str">
        <f>RIGHT(L333,3)</f>
        <v>ing</v>
      </c>
      <c r="S333" s="8">
        <f>LEN(L333)</f>
        <v>6</v>
      </c>
      <c r="T333" s="36" t="str">
        <f>A333&amp;"|"&amp;B333&amp;"|"&amp;F333</f>
        <v>332|15-01-2011|7</v>
      </c>
      <c r="V333" s="32">
        <f>VLOOKUP(A333,Sheet2!A:H,3,FALSE)</f>
        <v>0.1515</v>
      </c>
      <c r="W333" s="32">
        <f>VLOOKUP(A333,Sheet2!A:H,4,FALSE)</f>
        <v>0.63</v>
      </c>
      <c r="X333" s="32">
        <f>VLOOKUP(A333,Sheet2!A:H,7,FALSE)</f>
        <v>22</v>
      </c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spans="1:37" x14ac:dyDescent="0.2">
      <c r="A334" s="4">
        <v>333</v>
      </c>
      <c r="B334" s="4" t="s">
        <v>29</v>
      </c>
      <c r="C334" s="4">
        <v>1</v>
      </c>
      <c r="D334" s="4">
        <v>0</v>
      </c>
      <c r="E334" s="4">
        <v>1</v>
      </c>
      <c r="F334" s="4">
        <v>8</v>
      </c>
      <c r="G334" s="4" t="b">
        <v>0</v>
      </c>
      <c r="H334" s="4">
        <v>6</v>
      </c>
      <c r="I334" s="4">
        <v>1</v>
      </c>
      <c r="J334" s="4">
        <v>0.14000000000000001</v>
      </c>
      <c r="K334" s="6" t="str">
        <f>IF(H334=0,"weekend",IF(H334=6,"weekend","weekend"))</f>
        <v>weekend</v>
      </c>
      <c r="L334" s="3" t="str">
        <f>IF(C334=1,"Spring",IF(C334=2,"Summer",IF(C334=3,"Fall","Winter")))</f>
        <v>Spring</v>
      </c>
      <c r="M334" s="3">
        <f>SUM(J334:J358)</f>
        <v>6.5799999999999974</v>
      </c>
      <c r="N334" s="3">
        <f>AVERAGE(J334:J943)</f>
        <v>0.1898561151079135</v>
      </c>
      <c r="O334" s="3">
        <f>COUNT(J334:J943)</f>
        <v>278</v>
      </c>
      <c r="P334" s="3" t="str">
        <f>TEXT(J334,"0.00")</f>
        <v>0.14</v>
      </c>
      <c r="Q334" s="3" t="str">
        <f>LEFT(L334,3)</f>
        <v>Spr</v>
      </c>
      <c r="R334" s="7" t="str">
        <f>RIGHT(L334,3)</f>
        <v>ing</v>
      </c>
      <c r="S334" s="8">
        <f>LEN(L334)</f>
        <v>6</v>
      </c>
      <c r="T334" s="36" t="str">
        <f>A334&amp;"|"&amp;B334&amp;"|"&amp;F334</f>
        <v>333|15-01-2011|8</v>
      </c>
      <c r="V334" s="32">
        <f>VLOOKUP(A334,Sheet2!A:H,3,FALSE)</f>
        <v>0.18179999999999999</v>
      </c>
      <c r="W334" s="32">
        <f>VLOOKUP(A334,Sheet2!A:H,4,FALSE)</f>
        <v>0.64</v>
      </c>
      <c r="X334" s="32">
        <f>VLOOKUP(A334,Sheet2!A:H,7,FALSE)</f>
        <v>31</v>
      </c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spans="1:37" x14ac:dyDescent="0.2">
      <c r="A335" s="4">
        <v>334</v>
      </c>
      <c r="B335" s="4" t="s">
        <v>29</v>
      </c>
      <c r="C335" s="4">
        <v>1</v>
      </c>
      <c r="D335" s="4">
        <v>0</v>
      </c>
      <c r="E335" s="4">
        <v>1</v>
      </c>
      <c r="F335" s="4">
        <v>9</v>
      </c>
      <c r="G335" s="4" t="b">
        <v>0</v>
      </c>
      <c r="H335" s="4">
        <v>6</v>
      </c>
      <c r="I335" s="4">
        <v>1</v>
      </c>
      <c r="J335" s="4">
        <v>0.16</v>
      </c>
      <c r="K335" s="6" t="str">
        <f>IF(H335=0,"weekend",IF(H335=6,"weekend","weekend"))</f>
        <v>weekend</v>
      </c>
      <c r="L335" s="3" t="str">
        <f>IF(C335=1,"Spring",IF(C335=2,"Summer",IF(C335=3,"Fall","Winter")))</f>
        <v>Spring</v>
      </c>
      <c r="M335" s="3">
        <f>SUM(J335:J359)</f>
        <v>6.6599999999999975</v>
      </c>
      <c r="N335" s="3">
        <f>AVERAGE(J335:J944)</f>
        <v>0.19003610108303234</v>
      </c>
      <c r="O335" s="3">
        <f>COUNT(J335:J944)</f>
        <v>277</v>
      </c>
      <c r="P335" s="3" t="str">
        <f>TEXT(J335,"0.00")</f>
        <v>0.16</v>
      </c>
      <c r="Q335" s="3" t="str">
        <f>LEFT(L335,3)</f>
        <v>Spr</v>
      </c>
      <c r="R335" s="7" t="str">
        <f>RIGHT(L335,3)</f>
        <v>ing</v>
      </c>
      <c r="S335" s="8">
        <f>LEN(L335)</f>
        <v>6</v>
      </c>
      <c r="T335" s="36" t="str">
        <f>A335&amp;"|"&amp;B335&amp;"|"&amp;F335</f>
        <v>334|15-01-2011|9</v>
      </c>
      <c r="V335" s="32">
        <f>VLOOKUP(A335,Sheet2!A:H,3,FALSE)</f>
        <v>0.19700000000000001</v>
      </c>
      <c r="W335" s="32">
        <f>VLOOKUP(A335,Sheet2!A:H,4,FALSE)</f>
        <v>0.59</v>
      </c>
      <c r="X335" s="32">
        <f>VLOOKUP(A335,Sheet2!A:H,7,FALSE)</f>
        <v>57</v>
      </c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spans="1:37" x14ac:dyDescent="0.2">
      <c r="A336" s="4">
        <v>335</v>
      </c>
      <c r="B336" s="4" t="s">
        <v>29</v>
      </c>
      <c r="C336" s="4">
        <v>1</v>
      </c>
      <c r="D336" s="4">
        <v>0</v>
      </c>
      <c r="E336" s="4">
        <v>1</v>
      </c>
      <c r="F336" s="4">
        <v>10</v>
      </c>
      <c r="G336" s="4" t="b">
        <v>0</v>
      </c>
      <c r="H336" s="4">
        <v>6</v>
      </c>
      <c r="I336" s="4">
        <v>1</v>
      </c>
      <c r="J336" s="4">
        <v>0.18</v>
      </c>
      <c r="K336" s="6" t="str">
        <f>IF(H336=0,"weekend",IF(H336=6,"weekend","weekend"))</f>
        <v>weekend</v>
      </c>
      <c r="L336" s="3" t="str">
        <f>IF(C336=1,"Spring",IF(C336=2,"Summer",IF(C336=3,"Fall","Winter")))</f>
        <v>Spring</v>
      </c>
      <c r="M336" s="3">
        <f>SUM(J336:J360)</f>
        <v>6.7199999999999971</v>
      </c>
      <c r="N336" s="3">
        <f>AVERAGE(J336:J945)</f>
        <v>0.19014492753623172</v>
      </c>
      <c r="O336" s="3">
        <f>COUNT(J336:J945)</f>
        <v>276</v>
      </c>
      <c r="P336" s="3" t="str">
        <f>TEXT(J336,"0.00")</f>
        <v>0.18</v>
      </c>
      <c r="Q336" s="3" t="str">
        <f>LEFT(L336,3)</f>
        <v>Spr</v>
      </c>
      <c r="R336" s="7" t="str">
        <f>RIGHT(L336,3)</f>
        <v>ing</v>
      </c>
      <c r="S336" s="8">
        <f>LEN(L336)</f>
        <v>6</v>
      </c>
      <c r="T336" s="36" t="str">
        <f>A336&amp;"|"&amp;B336&amp;"|"&amp;F336</f>
        <v>335|15-01-2011|10</v>
      </c>
      <c r="V336" s="32">
        <f>VLOOKUP(A336,Sheet2!A:H,3,FALSE)</f>
        <v>0.19700000000000001</v>
      </c>
      <c r="W336" s="32">
        <f>VLOOKUP(A336,Sheet2!A:H,4,FALSE)</f>
        <v>0.55000000000000004</v>
      </c>
      <c r="X336" s="32">
        <f>VLOOKUP(A336,Sheet2!A:H,7,FALSE)</f>
        <v>54</v>
      </c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spans="1:37" x14ac:dyDescent="0.2">
      <c r="A337" s="4">
        <v>336</v>
      </c>
      <c r="B337" s="4" t="s">
        <v>29</v>
      </c>
      <c r="C337" s="4">
        <v>1</v>
      </c>
      <c r="D337" s="4">
        <v>0</v>
      </c>
      <c r="E337" s="4">
        <v>1</v>
      </c>
      <c r="F337" s="4">
        <v>11</v>
      </c>
      <c r="G337" s="4" t="b">
        <v>0</v>
      </c>
      <c r="H337" s="4">
        <v>6</v>
      </c>
      <c r="I337" s="4">
        <v>1</v>
      </c>
      <c r="J337" s="4">
        <v>0.2</v>
      </c>
      <c r="K337" s="6" t="str">
        <f>IF(H337=0,"weekend",IF(H337=6,"weekend","weekend"))</f>
        <v>weekend</v>
      </c>
      <c r="L337" s="3" t="str">
        <f>IF(C337=1,"Spring",IF(C337=2,"Summer",IF(C337=3,"Fall","Winter")))</f>
        <v>Spring</v>
      </c>
      <c r="M337" s="3">
        <f>SUM(J337:J361)</f>
        <v>6.7799999999999976</v>
      </c>
      <c r="N337" s="3">
        <f>AVERAGE(J337:J946)</f>
        <v>0.19018181818181801</v>
      </c>
      <c r="O337" s="3">
        <f>COUNT(J337:J946)</f>
        <v>275</v>
      </c>
      <c r="P337" s="3" t="str">
        <f>TEXT(J337,"0.00")</f>
        <v>0.20</v>
      </c>
      <c r="Q337" s="3" t="str">
        <f>LEFT(L337,3)</f>
        <v>Spr</v>
      </c>
      <c r="R337" s="7" t="str">
        <f>RIGHT(L337,3)</f>
        <v>ing</v>
      </c>
      <c r="S337" s="8">
        <f>LEN(L337)</f>
        <v>6</v>
      </c>
      <c r="T337" s="36" t="str">
        <f>A337&amp;"|"&amp;B337&amp;"|"&amp;F337</f>
        <v>336|15-01-2011|11</v>
      </c>
      <c r="V337" s="32">
        <f>VLOOKUP(A337,Sheet2!A:H,3,FALSE)</f>
        <v>0.2273</v>
      </c>
      <c r="W337" s="32">
        <f>VLOOKUP(A337,Sheet2!A:H,4,FALSE)</f>
        <v>0.48</v>
      </c>
      <c r="X337" s="32">
        <f>VLOOKUP(A337,Sheet2!A:H,7,FALSE)</f>
        <v>74</v>
      </c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spans="1:37" x14ac:dyDescent="0.2">
      <c r="A338" s="4">
        <v>337</v>
      </c>
      <c r="B338" s="4" t="s">
        <v>29</v>
      </c>
      <c r="C338" s="4">
        <v>1</v>
      </c>
      <c r="D338" s="4">
        <v>0</v>
      </c>
      <c r="E338" s="4">
        <v>1</v>
      </c>
      <c r="F338" s="4">
        <v>12</v>
      </c>
      <c r="G338" s="4" t="b">
        <v>0</v>
      </c>
      <c r="H338" s="4">
        <v>6</v>
      </c>
      <c r="I338" s="4">
        <v>1</v>
      </c>
      <c r="J338" s="4">
        <v>0.24</v>
      </c>
      <c r="K338" s="6" t="str">
        <f>IF(H338=0,"weekend",IF(H338=6,"weekend","weekend"))</f>
        <v>weekend</v>
      </c>
      <c r="L338" s="3" t="str">
        <f>IF(C338=1,"Spring",IF(C338=2,"Summer",IF(C338=3,"Fall","Winter")))</f>
        <v>Spring</v>
      </c>
      <c r="M338" s="3">
        <f>SUM(J338:J362)</f>
        <v>6.8199999999999976</v>
      </c>
      <c r="N338" s="3">
        <f>AVERAGE(J338:J947)</f>
        <v>0.19014598540145972</v>
      </c>
      <c r="O338" s="3">
        <f>COUNT(J338:J947)</f>
        <v>274</v>
      </c>
      <c r="P338" s="3" t="str">
        <f>TEXT(J338,"0.00")</f>
        <v>0.24</v>
      </c>
      <c r="Q338" s="3" t="str">
        <f>LEFT(L338,3)</f>
        <v>Spr</v>
      </c>
      <c r="R338" s="7" t="str">
        <f>RIGHT(L338,3)</f>
        <v>ing</v>
      </c>
      <c r="S338" s="8">
        <f>LEN(L338)</f>
        <v>6</v>
      </c>
      <c r="T338" s="36" t="str">
        <f>A338&amp;"|"&amp;B338&amp;"|"&amp;F338</f>
        <v>337|15-01-2011|12</v>
      </c>
      <c r="V338" s="32">
        <f>VLOOKUP(A338,Sheet2!A:H,3,FALSE)</f>
        <v>0.2576</v>
      </c>
      <c r="W338" s="32">
        <f>VLOOKUP(A338,Sheet2!A:H,4,FALSE)</f>
        <v>0.38</v>
      </c>
      <c r="X338" s="32">
        <f>VLOOKUP(A338,Sheet2!A:H,7,FALSE)</f>
        <v>80</v>
      </c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spans="1:37" x14ac:dyDescent="0.2">
      <c r="A339" s="4">
        <v>338</v>
      </c>
      <c r="B339" s="4" t="s">
        <v>29</v>
      </c>
      <c r="C339" s="4">
        <v>1</v>
      </c>
      <c r="D339" s="4">
        <v>0</v>
      </c>
      <c r="E339" s="4">
        <v>1</v>
      </c>
      <c r="F339" s="4">
        <v>13</v>
      </c>
      <c r="G339" s="4" t="b">
        <v>0</v>
      </c>
      <c r="H339" s="4">
        <v>6</v>
      </c>
      <c r="I339" s="4">
        <v>1</v>
      </c>
      <c r="J339" s="4">
        <v>0.28000000000000003</v>
      </c>
      <c r="K339" s="6" t="str">
        <f>IF(H339=0,"weekend",IF(H339=6,"weekend","weekend"))</f>
        <v>weekend</v>
      </c>
      <c r="L339" s="3" t="str">
        <f>IF(C339=1,"Spring",IF(C339=2,"Summer",IF(C339=3,"Fall","Winter")))</f>
        <v>Spring</v>
      </c>
      <c r="M339" s="3">
        <f>SUM(J339:J363)</f>
        <v>6.8399999999999981</v>
      </c>
      <c r="N339" s="3">
        <f>AVERAGE(J339:J948)</f>
        <v>0.18996336996336979</v>
      </c>
      <c r="O339" s="3">
        <f>COUNT(J339:J948)</f>
        <v>273</v>
      </c>
      <c r="P339" s="3" t="str">
        <f>TEXT(J339,"0.00")</f>
        <v>0.28</v>
      </c>
      <c r="Q339" s="3" t="str">
        <f>LEFT(L339,3)</f>
        <v>Spr</v>
      </c>
      <c r="R339" s="7" t="str">
        <f>RIGHT(L339,3)</f>
        <v>ing</v>
      </c>
      <c r="S339" s="8">
        <f>LEN(L339)</f>
        <v>6</v>
      </c>
      <c r="T339" s="36" t="str">
        <f>A339&amp;"|"&amp;B339&amp;"|"&amp;F339</f>
        <v>338|15-01-2011|13</v>
      </c>
      <c r="V339" s="32">
        <f>VLOOKUP(A339,Sheet2!A:H,3,FALSE)</f>
        <v>0.28789999999999999</v>
      </c>
      <c r="W339" s="32">
        <f>VLOOKUP(A339,Sheet2!A:H,4,FALSE)</f>
        <v>0.39</v>
      </c>
      <c r="X339" s="32">
        <f>VLOOKUP(A339,Sheet2!A:H,7,FALSE)</f>
        <v>92</v>
      </c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spans="1:37" x14ac:dyDescent="0.2">
      <c r="A340" s="4">
        <v>339</v>
      </c>
      <c r="B340" s="4" t="s">
        <v>29</v>
      </c>
      <c r="C340" s="4">
        <v>1</v>
      </c>
      <c r="D340" s="4">
        <v>0</v>
      </c>
      <c r="E340" s="4">
        <v>1</v>
      </c>
      <c r="F340" s="4">
        <v>14</v>
      </c>
      <c r="G340" s="4" t="b">
        <v>0</v>
      </c>
      <c r="H340" s="4">
        <v>6</v>
      </c>
      <c r="I340" s="4">
        <v>1</v>
      </c>
      <c r="J340" s="4">
        <v>0.3</v>
      </c>
      <c r="K340" s="6" t="str">
        <f>IF(H340=0,"weekend",IF(H340=6,"weekend","weekend"))</f>
        <v>weekend</v>
      </c>
      <c r="L340" s="3" t="str">
        <f>IF(C340=1,"Spring",IF(C340=2,"Summer",IF(C340=3,"Fall","Winter")))</f>
        <v>Spring</v>
      </c>
      <c r="M340" s="3">
        <f>SUM(J340:J364)</f>
        <v>6.8399999999999981</v>
      </c>
      <c r="N340" s="3">
        <f>AVERAGE(J340:J949)</f>
        <v>0.18963235294117634</v>
      </c>
      <c r="O340" s="3">
        <f>COUNT(J340:J949)</f>
        <v>272</v>
      </c>
      <c r="P340" s="3" t="str">
        <f>TEXT(J340,"0.00")</f>
        <v>0.30</v>
      </c>
      <c r="Q340" s="3" t="str">
        <f>LEFT(L340,3)</f>
        <v>Spr</v>
      </c>
      <c r="R340" s="7" t="str">
        <f>RIGHT(L340,3)</f>
        <v>ing</v>
      </c>
      <c r="S340" s="8">
        <f>LEN(L340)</f>
        <v>6</v>
      </c>
      <c r="T340" s="36" t="str">
        <f>A340&amp;"|"&amp;B340&amp;"|"&amp;F340</f>
        <v>339|15-01-2011|14</v>
      </c>
      <c r="V340" s="32">
        <f>VLOOKUP(A340,Sheet2!A:H,3,FALSE)</f>
        <v>0.31819999999999998</v>
      </c>
      <c r="W340" s="32">
        <f>VLOOKUP(A340,Sheet2!A:H,4,FALSE)</f>
        <v>0.36</v>
      </c>
      <c r="X340" s="32">
        <f>VLOOKUP(A340,Sheet2!A:H,7,FALSE)</f>
        <v>108</v>
      </c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spans="1:37" x14ac:dyDescent="0.2">
      <c r="A341" s="4">
        <v>340</v>
      </c>
      <c r="B341" s="4" t="s">
        <v>29</v>
      </c>
      <c r="C341" s="4">
        <v>1</v>
      </c>
      <c r="D341" s="4">
        <v>0</v>
      </c>
      <c r="E341" s="4">
        <v>1</v>
      </c>
      <c r="F341" s="4">
        <v>15</v>
      </c>
      <c r="G341" s="4" t="b">
        <v>0</v>
      </c>
      <c r="H341" s="4">
        <v>6</v>
      </c>
      <c r="I341" s="4">
        <v>2</v>
      </c>
      <c r="J341" s="4">
        <v>0.32</v>
      </c>
      <c r="K341" s="6" t="str">
        <f>IF(H341=0,"weekend",IF(H341=6,"weekend","weekend"))</f>
        <v>weekend</v>
      </c>
      <c r="L341" s="3" t="str">
        <f>IF(C341=1,"Spring",IF(C341=2,"Summer",IF(C341=3,"Fall","Winter")))</f>
        <v>Spring</v>
      </c>
      <c r="M341" s="3">
        <f>SUM(J341:J365)</f>
        <v>6.7999999999999989</v>
      </c>
      <c r="N341" s="3">
        <f>AVERAGE(J341:J950)</f>
        <v>0.18922509225092238</v>
      </c>
      <c r="O341" s="3">
        <f>COUNT(J341:J950)</f>
        <v>271</v>
      </c>
      <c r="P341" s="3" t="str">
        <f>TEXT(J341,"0.00")</f>
        <v>0.32</v>
      </c>
      <c r="Q341" s="3" t="str">
        <f>LEFT(L341,3)</f>
        <v>Spr</v>
      </c>
      <c r="R341" s="7" t="str">
        <f>RIGHT(L341,3)</f>
        <v>ing</v>
      </c>
      <c r="S341" s="8">
        <f>LEN(L341)</f>
        <v>6</v>
      </c>
      <c r="T341" s="36" t="str">
        <f>A341&amp;"|"&amp;B341&amp;"|"&amp;F341</f>
        <v>340|15-01-2011|15</v>
      </c>
      <c r="V341" s="32">
        <f>VLOOKUP(A341,Sheet2!A:H,3,FALSE)</f>
        <v>0.33329999999999999</v>
      </c>
      <c r="W341" s="32">
        <f>VLOOKUP(A341,Sheet2!A:H,4,FALSE)</f>
        <v>0.34</v>
      </c>
      <c r="X341" s="32">
        <f>VLOOKUP(A341,Sheet2!A:H,7,FALSE)</f>
        <v>95</v>
      </c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spans="1:37" x14ac:dyDescent="0.2">
      <c r="A342" s="4">
        <v>341</v>
      </c>
      <c r="B342" s="4" t="s">
        <v>29</v>
      </c>
      <c r="C342" s="4">
        <v>1</v>
      </c>
      <c r="D342" s="4">
        <v>0</v>
      </c>
      <c r="E342" s="4">
        <v>1</v>
      </c>
      <c r="F342" s="4">
        <v>16</v>
      </c>
      <c r="G342" s="4" t="b">
        <v>0</v>
      </c>
      <c r="H342" s="4">
        <v>6</v>
      </c>
      <c r="I342" s="4">
        <v>2</v>
      </c>
      <c r="J342" s="4">
        <v>0.34</v>
      </c>
      <c r="K342" s="6" t="str">
        <f>IF(H342=0,"weekend",IF(H342=6,"weekend","weekend"))</f>
        <v>weekend</v>
      </c>
      <c r="L342" s="3" t="str">
        <f>IF(C342=1,"Spring",IF(C342=2,"Summer",IF(C342=3,"Fall","Winter")))</f>
        <v>Spring</v>
      </c>
      <c r="M342" s="3">
        <f>SUM(J342:J366)</f>
        <v>6.72</v>
      </c>
      <c r="N342" s="3">
        <f>AVERAGE(J342:J951)</f>
        <v>0.18874074074074065</v>
      </c>
      <c r="O342" s="3">
        <f>COUNT(J342:J951)</f>
        <v>270</v>
      </c>
      <c r="P342" s="3" t="str">
        <f>TEXT(J342,"0.00")</f>
        <v>0.34</v>
      </c>
      <c r="Q342" s="3" t="str">
        <f>LEFT(L342,3)</f>
        <v>Spr</v>
      </c>
      <c r="R342" s="7" t="str">
        <f>RIGHT(L342,3)</f>
        <v>ing</v>
      </c>
      <c r="S342" s="8">
        <f>LEN(L342)</f>
        <v>6</v>
      </c>
      <c r="T342" s="36" t="str">
        <f>A342&amp;"|"&amp;B342&amp;"|"&amp;F342</f>
        <v>341|15-01-2011|16</v>
      </c>
      <c r="V342" s="32">
        <f>VLOOKUP(A342,Sheet2!A:H,3,FALSE)</f>
        <v>0.30299999999999999</v>
      </c>
      <c r="W342" s="32">
        <f>VLOOKUP(A342,Sheet2!A:H,4,FALSE)</f>
        <v>0.36</v>
      </c>
      <c r="X342" s="32">
        <f>VLOOKUP(A342,Sheet2!A:H,7,FALSE)</f>
        <v>54</v>
      </c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spans="1:37" x14ac:dyDescent="0.2">
      <c r="A343" s="4">
        <v>342</v>
      </c>
      <c r="B343" s="4" t="s">
        <v>29</v>
      </c>
      <c r="C343" s="4">
        <v>1</v>
      </c>
      <c r="D343" s="4">
        <v>0</v>
      </c>
      <c r="E343" s="4">
        <v>1</v>
      </c>
      <c r="F343" s="4">
        <v>17</v>
      </c>
      <c r="G343" s="4" t="b">
        <v>0</v>
      </c>
      <c r="H343" s="4">
        <v>6</v>
      </c>
      <c r="I343" s="4">
        <v>2</v>
      </c>
      <c r="J343" s="4">
        <v>0.32</v>
      </c>
      <c r="K343" s="6" t="str">
        <f>IF(H343=0,"weekend",IF(H343=6,"weekend","weekend"))</f>
        <v>weekend</v>
      </c>
      <c r="L343" s="3" t="str">
        <f>IF(C343=1,"Spring",IF(C343=2,"Summer",IF(C343=3,"Fall","Winter")))</f>
        <v>Spring</v>
      </c>
      <c r="M343" s="3">
        <f>SUM(J343:J367)</f>
        <v>6.6</v>
      </c>
      <c r="N343" s="3">
        <f>AVERAGE(J343:J952)</f>
        <v>0.18817843866170991</v>
      </c>
      <c r="O343" s="3">
        <f>COUNT(J343:J952)</f>
        <v>269</v>
      </c>
      <c r="P343" s="3" t="str">
        <f>TEXT(J343,"0.00")</f>
        <v>0.32</v>
      </c>
      <c r="Q343" s="3" t="str">
        <f>LEFT(L343,3)</f>
        <v>Spr</v>
      </c>
      <c r="R343" s="7" t="str">
        <f>RIGHT(L343,3)</f>
        <v>ing</v>
      </c>
      <c r="S343" s="8">
        <f>LEN(L343)</f>
        <v>6</v>
      </c>
      <c r="T343" s="36" t="str">
        <f>A343&amp;"|"&amp;B343&amp;"|"&amp;F343</f>
        <v>342|15-01-2011|17</v>
      </c>
      <c r="V343" s="32">
        <f>VLOOKUP(A343,Sheet2!A:H,3,FALSE)</f>
        <v>0.28789999999999999</v>
      </c>
      <c r="W343" s="32">
        <f>VLOOKUP(A343,Sheet2!A:H,4,FALSE)</f>
        <v>0.45</v>
      </c>
      <c r="X343" s="32">
        <f>VLOOKUP(A343,Sheet2!A:H,7,FALSE)</f>
        <v>69</v>
      </c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spans="1:37" x14ac:dyDescent="0.2">
      <c r="A344" s="4">
        <v>343</v>
      </c>
      <c r="B344" s="4" t="s">
        <v>29</v>
      </c>
      <c r="C344" s="4">
        <v>1</v>
      </c>
      <c r="D344" s="4">
        <v>0</v>
      </c>
      <c r="E344" s="4">
        <v>1</v>
      </c>
      <c r="F344" s="4">
        <v>18</v>
      </c>
      <c r="G344" s="4" t="b">
        <v>0</v>
      </c>
      <c r="H344" s="4">
        <v>6</v>
      </c>
      <c r="I344" s="4">
        <v>2</v>
      </c>
      <c r="J344" s="4">
        <v>0.3</v>
      </c>
      <c r="K344" s="6" t="str">
        <f>IF(H344=0,"weekend",IF(H344=6,"weekend","weekend"))</f>
        <v>weekend</v>
      </c>
      <c r="L344" s="3" t="str">
        <f>IF(C344=1,"Spring",IF(C344=2,"Summer",IF(C344=3,"Fall","Winter")))</f>
        <v>Spring</v>
      </c>
      <c r="M344" s="3">
        <f>SUM(J344:J368)</f>
        <v>6.4799999999999995</v>
      </c>
      <c r="N344" s="3">
        <f>AVERAGE(J344:J953)</f>
        <v>0.18768656716417897</v>
      </c>
      <c r="O344" s="3">
        <f>COUNT(J344:J953)</f>
        <v>268</v>
      </c>
      <c r="P344" s="3" t="str">
        <f>TEXT(J344,"0.00")</f>
        <v>0.30</v>
      </c>
      <c r="Q344" s="3" t="str">
        <f>LEFT(L344,3)</f>
        <v>Spr</v>
      </c>
      <c r="R344" s="7" t="str">
        <f>RIGHT(L344,3)</f>
        <v>ing</v>
      </c>
      <c r="S344" s="8">
        <f>LEN(L344)</f>
        <v>6</v>
      </c>
      <c r="T344" s="36" t="str">
        <f>A344&amp;"|"&amp;B344&amp;"|"&amp;F344</f>
        <v>343|15-01-2011|18</v>
      </c>
      <c r="V344" s="32">
        <f>VLOOKUP(A344,Sheet2!A:H,3,FALSE)</f>
        <v>0.30299999999999999</v>
      </c>
      <c r="W344" s="32">
        <f>VLOOKUP(A344,Sheet2!A:H,4,FALSE)</f>
        <v>0.39</v>
      </c>
      <c r="X344" s="32">
        <f>VLOOKUP(A344,Sheet2!A:H,7,FALSE)</f>
        <v>60</v>
      </c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spans="1:37" x14ac:dyDescent="0.2">
      <c r="A345" s="4">
        <v>344</v>
      </c>
      <c r="B345" s="4" t="s">
        <v>29</v>
      </c>
      <c r="C345" s="4">
        <v>1</v>
      </c>
      <c r="D345" s="4">
        <v>0</v>
      </c>
      <c r="E345" s="4">
        <v>1</v>
      </c>
      <c r="F345" s="4">
        <v>19</v>
      </c>
      <c r="G345" s="4" t="b">
        <v>0</v>
      </c>
      <c r="H345" s="4">
        <v>6</v>
      </c>
      <c r="I345" s="4">
        <v>2</v>
      </c>
      <c r="J345" s="4">
        <v>0.32</v>
      </c>
      <c r="K345" s="6" t="str">
        <f>IF(H345=0,"weekend",IF(H345=6,"weekend","weekend"))</f>
        <v>weekend</v>
      </c>
      <c r="L345" s="3" t="str">
        <f>IF(C345=1,"Spring",IF(C345=2,"Summer",IF(C345=3,"Fall","Winter")))</f>
        <v>Spring</v>
      </c>
      <c r="M345" s="3">
        <f>SUM(J345:J369)</f>
        <v>6.36</v>
      </c>
      <c r="N345" s="3">
        <f>AVERAGE(J345:J954)</f>
        <v>0.18726591760299613</v>
      </c>
      <c r="O345" s="3">
        <f>COUNT(J345:J954)</f>
        <v>267</v>
      </c>
      <c r="P345" s="3" t="str">
        <f>TEXT(J345,"0.00")</f>
        <v>0.32</v>
      </c>
      <c r="Q345" s="3" t="str">
        <f>LEFT(L345,3)</f>
        <v>Spr</v>
      </c>
      <c r="R345" s="7" t="str">
        <f>RIGHT(L345,3)</f>
        <v>ing</v>
      </c>
      <c r="S345" s="8">
        <f>LEN(L345)</f>
        <v>6</v>
      </c>
      <c r="T345" s="36" t="str">
        <f>A345&amp;"|"&amp;B345&amp;"|"&amp;F345</f>
        <v>344|15-01-2011|19</v>
      </c>
      <c r="V345" s="32">
        <f>VLOOKUP(A345,Sheet2!A:H,3,FALSE)</f>
        <v>0.30299999999999999</v>
      </c>
      <c r="W345" s="32">
        <f>VLOOKUP(A345,Sheet2!A:H,4,FALSE)</f>
        <v>0.39</v>
      </c>
      <c r="X345" s="32">
        <f>VLOOKUP(A345,Sheet2!A:H,7,FALSE)</f>
        <v>35</v>
      </c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spans="1:37" x14ac:dyDescent="0.2">
      <c r="A346" s="4">
        <v>345</v>
      </c>
      <c r="B346" s="4" t="s">
        <v>29</v>
      </c>
      <c r="C346" s="4">
        <v>1</v>
      </c>
      <c r="D346" s="4">
        <v>0</v>
      </c>
      <c r="E346" s="4">
        <v>1</v>
      </c>
      <c r="F346" s="4">
        <v>20</v>
      </c>
      <c r="G346" s="4" t="b">
        <v>0</v>
      </c>
      <c r="H346" s="4">
        <v>6</v>
      </c>
      <c r="I346" s="4">
        <v>2</v>
      </c>
      <c r="J346" s="4">
        <v>0.32</v>
      </c>
      <c r="K346" s="6" t="str">
        <f>IF(H346=0,"weekend",IF(H346=6,"weekend","weekend"))</f>
        <v>weekend</v>
      </c>
      <c r="L346" s="3" t="str">
        <f>IF(C346=1,"Spring",IF(C346=2,"Summer",IF(C346=3,"Fall","Winter")))</f>
        <v>Spring</v>
      </c>
      <c r="M346" s="3">
        <f>SUM(J346:J370)</f>
        <v>6.22</v>
      </c>
      <c r="N346" s="3">
        <f>AVERAGE(J346:J955)</f>
        <v>0.18676691729323297</v>
      </c>
      <c r="O346" s="3">
        <f>COUNT(J346:J955)</f>
        <v>266</v>
      </c>
      <c r="P346" s="3" t="str">
        <f>TEXT(J346,"0.00")</f>
        <v>0.32</v>
      </c>
      <c r="Q346" s="3" t="str">
        <f>LEFT(L346,3)</f>
        <v>Spr</v>
      </c>
      <c r="R346" s="7" t="str">
        <f>RIGHT(L346,3)</f>
        <v>ing</v>
      </c>
      <c r="S346" s="8">
        <f>LEN(L346)</f>
        <v>6</v>
      </c>
      <c r="T346" s="36" t="str">
        <f>A346&amp;"|"&amp;B346&amp;"|"&amp;F346</f>
        <v>345|15-01-2011|20</v>
      </c>
      <c r="V346" s="32">
        <f>VLOOKUP(A346,Sheet2!A:H,3,FALSE)</f>
        <v>0.30299999999999999</v>
      </c>
      <c r="W346" s="32">
        <f>VLOOKUP(A346,Sheet2!A:H,4,FALSE)</f>
        <v>0.39</v>
      </c>
      <c r="X346" s="32">
        <f>VLOOKUP(A346,Sheet2!A:H,7,FALSE)</f>
        <v>51</v>
      </c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">
        <v>346</v>
      </c>
      <c r="B347" s="4" t="s">
        <v>29</v>
      </c>
      <c r="C347" s="4">
        <v>1</v>
      </c>
      <c r="D347" s="4">
        <v>0</v>
      </c>
      <c r="E347" s="4">
        <v>1</v>
      </c>
      <c r="F347" s="4">
        <v>21</v>
      </c>
      <c r="G347" s="4" t="b">
        <v>0</v>
      </c>
      <c r="H347" s="4">
        <v>6</v>
      </c>
      <c r="I347" s="4">
        <v>2</v>
      </c>
      <c r="J347" s="4">
        <v>0.32</v>
      </c>
      <c r="K347" s="6" t="str">
        <f>IF(H347=0,"weekend",IF(H347=6,"weekend","weekend"))</f>
        <v>weekend</v>
      </c>
      <c r="L347" s="3" t="str">
        <f>IF(C347=1,"Spring",IF(C347=2,"Summer",IF(C347=3,"Fall","Winter")))</f>
        <v>Spring</v>
      </c>
      <c r="M347" s="3">
        <f>SUM(J347:J371)</f>
        <v>6.0799999999999992</v>
      </c>
      <c r="N347" s="3">
        <f>AVERAGE(J347:J956)</f>
        <v>0.18626415094339605</v>
      </c>
      <c r="O347" s="3">
        <f>COUNT(J347:J956)</f>
        <v>265</v>
      </c>
      <c r="P347" s="3" t="str">
        <f>TEXT(J347,"0.00")</f>
        <v>0.32</v>
      </c>
      <c r="Q347" s="3" t="str">
        <f>LEFT(L347,3)</f>
        <v>Spr</v>
      </c>
      <c r="R347" s="7" t="str">
        <f>RIGHT(L347,3)</f>
        <v>ing</v>
      </c>
      <c r="S347" s="8">
        <f>LEN(L347)</f>
        <v>6</v>
      </c>
      <c r="T347" s="36" t="str">
        <f>A347&amp;"|"&amp;B347&amp;"|"&amp;F347</f>
        <v>346|15-01-2011|21</v>
      </c>
      <c r="V347" s="32">
        <f>VLOOKUP(A347,Sheet2!A:H,3,FALSE)</f>
        <v>0.31819999999999998</v>
      </c>
      <c r="W347" s="32">
        <f>VLOOKUP(A347,Sheet2!A:H,4,FALSE)</f>
        <v>0.42</v>
      </c>
      <c r="X347" s="32">
        <f>VLOOKUP(A347,Sheet2!A:H,7,FALSE)</f>
        <v>26</v>
      </c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">
        <v>347</v>
      </c>
      <c r="B348" s="4" t="s">
        <v>29</v>
      </c>
      <c r="C348" s="4">
        <v>1</v>
      </c>
      <c r="D348" s="4">
        <v>0</v>
      </c>
      <c r="E348" s="4">
        <v>1</v>
      </c>
      <c r="F348" s="4">
        <v>22</v>
      </c>
      <c r="G348" s="4" t="b">
        <v>0</v>
      </c>
      <c r="H348" s="4">
        <v>6</v>
      </c>
      <c r="I348" s="4">
        <v>2</v>
      </c>
      <c r="J348" s="4">
        <v>0.3</v>
      </c>
      <c r="K348" s="6" t="str">
        <f>IF(H348=0,"weekend",IF(H348=6,"weekend","weekend"))</f>
        <v>weekend</v>
      </c>
      <c r="L348" s="3" t="str">
        <f>IF(C348=1,"Spring",IF(C348=2,"Summer",IF(C348=3,"Fall","Winter")))</f>
        <v>Spring</v>
      </c>
      <c r="M348" s="3">
        <f>SUM(J348:J372)</f>
        <v>5.96</v>
      </c>
      <c r="N348" s="3">
        <f>AVERAGE(J348:J957)</f>
        <v>0.18575757575757554</v>
      </c>
      <c r="O348" s="3">
        <f>COUNT(J348:J957)</f>
        <v>264</v>
      </c>
      <c r="P348" s="3" t="str">
        <f>TEXT(J348,"0.00")</f>
        <v>0.30</v>
      </c>
      <c r="Q348" s="3" t="str">
        <f>LEFT(L348,3)</f>
        <v>Spr</v>
      </c>
      <c r="R348" s="7" t="str">
        <f>RIGHT(L348,3)</f>
        <v>ing</v>
      </c>
      <c r="S348" s="8">
        <f>LEN(L348)</f>
        <v>6</v>
      </c>
      <c r="T348" s="36" t="str">
        <f>A348&amp;"|"&amp;B348&amp;"|"&amp;F348</f>
        <v>347|15-01-2011|22</v>
      </c>
      <c r="V348" s="32">
        <f>VLOOKUP(A348,Sheet2!A:H,3,FALSE)</f>
        <v>0.28789999999999999</v>
      </c>
      <c r="W348" s="32">
        <f>VLOOKUP(A348,Sheet2!A:H,4,FALSE)</f>
        <v>0.45</v>
      </c>
      <c r="X348" s="32">
        <f>VLOOKUP(A348,Sheet2!A:H,7,FALSE)</f>
        <v>39</v>
      </c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">
        <v>348</v>
      </c>
      <c r="B349" s="4" t="s">
        <v>29</v>
      </c>
      <c r="C349" s="4">
        <v>1</v>
      </c>
      <c r="D349" s="4">
        <v>0</v>
      </c>
      <c r="E349" s="4">
        <v>1</v>
      </c>
      <c r="F349" s="4">
        <v>23</v>
      </c>
      <c r="G349" s="4" t="b">
        <v>0</v>
      </c>
      <c r="H349" s="4">
        <v>6</v>
      </c>
      <c r="I349" s="4">
        <v>1</v>
      </c>
      <c r="J349" s="4">
        <v>0.3</v>
      </c>
      <c r="K349" s="6" t="str">
        <f>IF(H349=0,"weekend",IF(H349=6,"weekend","weekend"))</f>
        <v>weekend</v>
      </c>
      <c r="L349" s="3" t="str">
        <f>IF(C349=1,"Spring",IF(C349=2,"Summer",IF(C349=3,"Fall","Winter")))</f>
        <v>Spring</v>
      </c>
      <c r="M349" s="3">
        <f>SUM(J349:J373)</f>
        <v>5.86</v>
      </c>
      <c r="N349" s="3">
        <f>AVERAGE(J349:J958)</f>
        <v>0.1853231939163496</v>
      </c>
      <c r="O349" s="3">
        <f>COUNT(J349:J958)</f>
        <v>263</v>
      </c>
      <c r="P349" s="3" t="str">
        <f>TEXT(J349,"0.00")</f>
        <v>0.30</v>
      </c>
      <c r="Q349" s="3" t="str">
        <f>LEFT(L349,3)</f>
        <v>Spr</v>
      </c>
      <c r="R349" s="7" t="str">
        <f>RIGHT(L349,3)</f>
        <v>ing</v>
      </c>
      <c r="S349" s="8">
        <f>LEN(L349)</f>
        <v>6</v>
      </c>
      <c r="T349" s="36" t="str">
        <f>A349&amp;"|"&amp;B349&amp;"|"&amp;F349</f>
        <v>348|15-01-2011|23</v>
      </c>
      <c r="V349" s="32">
        <f>VLOOKUP(A349,Sheet2!A:H,3,FALSE)</f>
        <v>0.30299999999999999</v>
      </c>
      <c r="W349" s="32">
        <f>VLOOKUP(A349,Sheet2!A:H,4,FALSE)</f>
        <v>0.56000000000000005</v>
      </c>
      <c r="X349" s="32">
        <f>VLOOKUP(A349,Sheet2!A:H,7,FALSE)</f>
        <v>33</v>
      </c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">
        <v>349</v>
      </c>
      <c r="B350" s="4" t="s">
        <v>30</v>
      </c>
      <c r="C350" s="4">
        <v>1</v>
      </c>
      <c r="D350" s="4">
        <v>0</v>
      </c>
      <c r="E350" s="4">
        <v>1</v>
      </c>
      <c r="F350" s="4">
        <v>0</v>
      </c>
      <c r="G350" s="4" t="b">
        <v>0</v>
      </c>
      <c r="H350" s="4">
        <v>0</v>
      </c>
      <c r="I350" s="4">
        <v>1</v>
      </c>
      <c r="J350" s="4">
        <v>0.26</v>
      </c>
      <c r="K350" s="6" t="str">
        <f>IF(H350=0,"weekend",IF(H350=6,"weekend","weekend"))</f>
        <v>weekend</v>
      </c>
      <c r="L350" s="3" t="str">
        <f>IF(C350=1,"Spring",IF(C350=2,"Summer",IF(C350=3,"Fall","Winter")))</f>
        <v>Spring</v>
      </c>
      <c r="M350" s="3">
        <f>SUM(J350:J374)</f>
        <v>5.7600000000000007</v>
      </c>
      <c r="N350" s="3">
        <f>AVERAGE(J350:J959)</f>
        <v>0.18488549618320591</v>
      </c>
      <c r="O350" s="3">
        <f>COUNT(J350:J959)</f>
        <v>262</v>
      </c>
      <c r="P350" s="3" t="str">
        <f>TEXT(J350,"0.00")</f>
        <v>0.26</v>
      </c>
      <c r="Q350" s="3" t="str">
        <f>LEFT(L350,3)</f>
        <v>Spr</v>
      </c>
      <c r="R350" s="7" t="str">
        <f>RIGHT(L350,3)</f>
        <v>ing</v>
      </c>
      <c r="S350" s="8">
        <f>LEN(L350)</f>
        <v>6</v>
      </c>
      <c r="T350" s="36" t="str">
        <f>A350&amp;"|"&amp;B350&amp;"|"&amp;F350</f>
        <v>349|16-01-2011|0</v>
      </c>
      <c r="V350" s="32">
        <f>VLOOKUP(A350,Sheet2!A:H,3,FALSE)</f>
        <v>0.2727</v>
      </c>
      <c r="W350" s="32">
        <f>VLOOKUP(A350,Sheet2!A:H,4,FALSE)</f>
        <v>0.56000000000000005</v>
      </c>
      <c r="X350" s="32">
        <f>VLOOKUP(A350,Sheet2!A:H,7,FALSE)</f>
        <v>19</v>
      </c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">
        <v>350</v>
      </c>
      <c r="B351" s="4" t="s">
        <v>30</v>
      </c>
      <c r="C351" s="4">
        <v>1</v>
      </c>
      <c r="D351" s="4">
        <v>0</v>
      </c>
      <c r="E351" s="4">
        <v>1</v>
      </c>
      <c r="F351" s="4">
        <v>1</v>
      </c>
      <c r="G351" s="4" t="b">
        <v>0</v>
      </c>
      <c r="H351" s="4">
        <v>0</v>
      </c>
      <c r="I351" s="4">
        <v>1</v>
      </c>
      <c r="J351" s="4">
        <v>0.26</v>
      </c>
      <c r="K351" s="6" t="str">
        <f>IF(H351=0,"weekend",IF(H351=6,"weekend","weekend"))</f>
        <v>weekend</v>
      </c>
      <c r="L351" s="3" t="str">
        <f>IF(C351=1,"Spring",IF(C351=2,"Summer",IF(C351=3,"Fall","Winter")))</f>
        <v>Spring</v>
      </c>
      <c r="M351" s="3">
        <f>SUM(J351:J375)</f>
        <v>5.7</v>
      </c>
      <c r="N351" s="3">
        <f>AVERAGE(J351:J960)</f>
        <v>0.18459770114942511</v>
      </c>
      <c r="O351" s="3">
        <f>COUNT(J351:J960)</f>
        <v>261</v>
      </c>
      <c r="P351" s="3" t="str">
        <f>TEXT(J351,"0.00")</f>
        <v>0.26</v>
      </c>
      <c r="Q351" s="3" t="str">
        <f>LEFT(L351,3)</f>
        <v>Spr</v>
      </c>
      <c r="R351" s="7" t="str">
        <f>RIGHT(L351,3)</f>
        <v>ing</v>
      </c>
      <c r="S351" s="8">
        <f>LEN(L351)</f>
        <v>6</v>
      </c>
      <c r="T351" s="36" t="str">
        <f>A351&amp;"|"&amp;B351&amp;"|"&amp;F351</f>
        <v>350|16-01-2011|1</v>
      </c>
      <c r="V351" s="32">
        <f>VLOOKUP(A351,Sheet2!A:H,3,FALSE)</f>
        <v>0.28789999999999999</v>
      </c>
      <c r="W351" s="32">
        <f>VLOOKUP(A351,Sheet2!A:H,4,FALSE)</f>
        <v>0.56000000000000005</v>
      </c>
      <c r="X351" s="32">
        <f>VLOOKUP(A351,Sheet2!A:H,7,FALSE)</f>
        <v>13</v>
      </c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">
        <v>351</v>
      </c>
      <c r="B352" s="4" t="s">
        <v>30</v>
      </c>
      <c r="C352" s="4">
        <v>1</v>
      </c>
      <c r="D352" s="4">
        <v>0</v>
      </c>
      <c r="E352" s="4">
        <v>1</v>
      </c>
      <c r="F352" s="4">
        <v>2</v>
      </c>
      <c r="G352" s="4" t="b">
        <v>0</v>
      </c>
      <c r="H352" s="4">
        <v>0</v>
      </c>
      <c r="I352" s="4">
        <v>1</v>
      </c>
      <c r="J352" s="4">
        <v>0.26</v>
      </c>
      <c r="K352" s="6" t="str">
        <f>IF(H352=0,"weekend",IF(H352=6,"weekend","weekend"))</f>
        <v>weekend</v>
      </c>
      <c r="L352" s="3" t="str">
        <f>IF(C352=1,"Spring",IF(C352=2,"Summer",IF(C352=3,"Fall","Winter")))</f>
        <v>Spring</v>
      </c>
      <c r="M352" s="3">
        <f>SUM(J352:J376)</f>
        <v>5.62</v>
      </c>
      <c r="N352" s="3">
        <f>AVERAGE(J352:J961)</f>
        <v>0.18430769230769217</v>
      </c>
      <c r="O352" s="3">
        <f>COUNT(J352:J961)</f>
        <v>260</v>
      </c>
      <c r="P352" s="3" t="str">
        <f>TEXT(J352,"0.00")</f>
        <v>0.26</v>
      </c>
      <c r="Q352" s="3" t="str">
        <f>LEFT(L352,3)</f>
        <v>Spr</v>
      </c>
      <c r="R352" s="7" t="str">
        <f>RIGHT(L352,3)</f>
        <v>ing</v>
      </c>
      <c r="S352" s="8">
        <f>LEN(L352)</f>
        <v>6</v>
      </c>
      <c r="T352" s="36" t="str">
        <f>A352&amp;"|"&amp;B352&amp;"|"&amp;F352</f>
        <v>351|16-01-2011|2</v>
      </c>
      <c r="V352" s="32">
        <f>VLOOKUP(A352,Sheet2!A:H,3,FALSE)</f>
        <v>0.2727</v>
      </c>
      <c r="W352" s="32">
        <f>VLOOKUP(A352,Sheet2!A:H,4,FALSE)</f>
        <v>0.69</v>
      </c>
      <c r="X352" s="32">
        <f>VLOOKUP(A352,Sheet2!A:H,7,FALSE)</f>
        <v>6</v>
      </c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">
        <v>352</v>
      </c>
      <c r="B353" s="4" t="s">
        <v>30</v>
      </c>
      <c r="C353" s="4">
        <v>1</v>
      </c>
      <c r="D353" s="4">
        <v>0</v>
      </c>
      <c r="E353" s="4">
        <v>1</v>
      </c>
      <c r="F353" s="4">
        <v>3</v>
      </c>
      <c r="G353" s="4" t="b">
        <v>0</v>
      </c>
      <c r="H353" s="4">
        <v>0</v>
      </c>
      <c r="I353" s="4">
        <v>1</v>
      </c>
      <c r="J353" s="4">
        <v>0.22</v>
      </c>
      <c r="K353" s="6" t="str">
        <f>IF(H353=0,"weekend",IF(H353=6,"weekend","weekend"))</f>
        <v>weekend</v>
      </c>
      <c r="L353" s="3" t="str">
        <f>IF(C353=1,"Spring",IF(C353=2,"Summer",IF(C353=3,"Fall","Winter")))</f>
        <v>Spring</v>
      </c>
      <c r="M353" s="3">
        <f>SUM(J353:J377)</f>
        <v>5.54</v>
      </c>
      <c r="N353" s="3">
        <f>AVERAGE(J353:J962)</f>
        <v>0.18401544401544392</v>
      </c>
      <c r="O353" s="3">
        <f>COUNT(J353:J962)</f>
        <v>259</v>
      </c>
      <c r="P353" s="3" t="str">
        <f>TEXT(J353,"0.00")</f>
        <v>0.22</v>
      </c>
      <c r="Q353" s="3" t="str">
        <f>LEFT(L353,3)</f>
        <v>Spr</v>
      </c>
      <c r="R353" s="7" t="str">
        <f>RIGHT(L353,3)</f>
        <v>ing</v>
      </c>
      <c r="S353" s="8">
        <f>LEN(L353)</f>
        <v>6</v>
      </c>
      <c r="T353" s="36" t="str">
        <f>A353&amp;"|"&amp;B353&amp;"|"&amp;F353</f>
        <v>352|16-01-2011|3</v>
      </c>
      <c r="V353" s="32">
        <f>VLOOKUP(A353,Sheet2!A:H,3,FALSE)</f>
        <v>0.2576</v>
      </c>
      <c r="W353" s="32">
        <f>VLOOKUP(A353,Sheet2!A:H,4,FALSE)</f>
        <v>0.56000000000000005</v>
      </c>
      <c r="X353" s="32">
        <f>VLOOKUP(A353,Sheet2!A:H,7,FALSE)</f>
        <v>1</v>
      </c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">
        <v>353</v>
      </c>
      <c r="B354" s="4" t="s">
        <v>30</v>
      </c>
      <c r="C354" s="4">
        <v>1</v>
      </c>
      <c r="D354" s="4">
        <v>0</v>
      </c>
      <c r="E354" s="4">
        <v>1</v>
      </c>
      <c r="F354" s="4">
        <v>4</v>
      </c>
      <c r="G354" s="4" t="b">
        <v>0</v>
      </c>
      <c r="H354" s="4">
        <v>0</v>
      </c>
      <c r="I354" s="4">
        <v>1</v>
      </c>
      <c r="J354" s="4">
        <v>0.26</v>
      </c>
      <c r="K354" s="6" t="str">
        <f>IF(H354=0,"weekend",IF(H354=6,"weekend","weekend"))</f>
        <v>weekend</v>
      </c>
      <c r="L354" s="3" t="str">
        <f>IF(C354=1,"Spring",IF(C354=2,"Summer",IF(C354=3,"Fall","Winter")))</f>
        <v>Spring</v>
      </c>
      <c r="M354" s="3">
        <f>SUM(J354:J378)</f>
        <v>5.5000000000000009</v>
      </c>
      <c r="N354" s="3">
        <f>AVERAGE(J354:J963)</f>
        <v>0.18387596899224798</v>
      </c>
      <c r="O354" s="3">
        <f>COUNT(J354:J963)</f>
        <v>258</v>
      </c>
      <c r="P354" s="3" t="str">
        <f>TEXT(J354,"0.00")</f>
        <v>0.26</v>
      </c>
      <c r="Q354" s="3" t="str">
        <f>LEFT(L354,3)</f>
        <v>Spr</v>
      </c>
      <c r="R354" s="7" t="str">
        <f>RIGHT(L354,3)</f>
        <v>ing</v>
      </c>
      <c r="S354" s="8">
        <f>LEN(L354)</f>
        <v>6</v>
      </c>
      <c r="T354" s="36" t="str">
        <f>A354&amp;"|"&amp;B354&amp;"|"&amp;F354</f>
        <v>353|16-01-2011|4</v>
      </c>
      <c r="V354" s="32">
        <f>VLOOKUP(A354,Sheet2!A:H,3,FALSE)</f>
        <v>0.2576</v>
      </c>
      <c r="W354" s="32">
        <f>VLOOKUP(A354,Sheet2!A:H,4,FALSE)</f>
        <v>0.56000000000000005</v>
      </c>
      <c r="X354" s="32">
        <f>VLOOKUP(A354,Sheet2!A:H,7,FALSE)</f>
        <v>1</v>
      </c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">
        <v>354</v>
      </c>
      <c r="B355" s="4" t="s">
        <v>30</v>
      </c>
      <c r="C355" s="4">
        <v>1</v>
      </c>
      <c r="D355" s="4">
        <v>0</v>
      </c>
      <c r="E355" s="4">
        <v>1</v>
      </c>
      <c r="F355" s="4">
        <v>5</v>
      </c>
      <c r="G355" s="4" t="b">
        <v>0</v>
      </c>
      <c r="H355" s="4">
        <v>0</v>
      </c>
      <c r="I355" s="4">
        <v>2</v>
      </c>
      <c r="J355" s="4">
        <v>0.26</v>
      </c>
      <c r="K355" s="6" t="str">
        <f>IF(H355=0,"weekend",IF(H355=6,"weekend","weekend"))</f>
        <v>weekend</v>
      </c>
      <c r="L355" s="3" t="str">
        <f>IF(C355=1,"Spring",IF(C355=2,"Summer",IF(C355=3,"Fall","Winter")))</f>
        <v>Spring</v>
      </c>
      <c r="M355" s="3">
        <f>SUM(J355:J379)</f>
        <v>5.4200000000000008</v>
      </c>
      <c r="N355" s="3">
        <f>AVERAGE(J355:J964)</f>
        <v>0.18357976653696487</v>
      </c>
      <c r="O355" s="3">
        <f>COUNT(J355:J964)</f>
        <v>257</v>
      </c>
      <c r="P355" s="3" t="str">
        <f>TEXT(J355,"0.00")</f>
        <v>0.26</v>
      </c>
      <c r="Q355" s="3" t="str">
        <f>LEFT(L355,3)</f>
        <v>Spr</v>
      </c>
      <c r="R355" s="7" t="str">
        <f>RIGHT(L355,3)</f>
        <v>ing</v>
      </c>
      <c r="S355" s="8">
        <f>LEN(L355)</f>
        <v>6</v>
      </c>
      <c r="T355" s="36" t="str">
        <f>A355&amp;"|"&amp;B355&amp;"|"&amp;F355</f>
        <v>354|16-01-2011|5</v>
      </c>
      <c r="V355" s="32">
        <f>VLOOKUP(A355,Sheet2!A:H,3,FALSE)</f>
        <v>0.2576</v>
      </c>
      <c r="W355" s="32">
        <f>VLOOKUP(A355,Sheet2!A:H,4,FALSE)</f>
        <v>0.56000000000000005</v>
      </c>
      <c r="X355" s="32">
        <f>VLOOKUP(A355,Sheet2!A:H,7,FALSE)</f>
        <v>1</v>
      </c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">
        <v>355</v>
      </c>
      <c r="B356" s="4" t="s">
        <v>30</v>
      </c>
      <c r="C356" s="4">
        <v>1</v>
      </c>
      <c r="D356" s="4">
        <v>0</v>
      </c>
      <c r="E356" s="4">
        <v>1</v>
      </c>
      <c r="F356" s="4">
        <v>6</v>
      </c>
      <c r="G356" s="4" t="b">
        <v>0</v>
      </c>
      <c r="H356" s="4">
        <v>0</v>
      </c>
      <c r="I356" s="4">
        <v>2</v>
      </c>
      <c r="J356" s="4">
        <v>0.26</v>
      </c>
      <c r="K356" s="6" t="str">
        <f>IF(H356=0,"weekend",IF(H356=6,"weekend","weekend"))</f>
        <v>weekend</v>
      </c>
      <c r="L356" s="3" t="str">
        <f>IF(C356=1,"Spring",IF(C356=2,"Summer",IF(C356=3,"Fall","Winter")))</f>
        <v>Spring</v>
      </c>
      <c r="M356" s="3">
        <f>SUM(J356:J380)</f>
        <v>5.34</v>
      </c>
      <c r="N356" s="3">
        <f>AVERAGE(J356:J965)</f>
        <v>0.18328124999999981</v>
      </c>
      <c r="O356" s="3">
        <f>COUNT(J356:J965)</f>
        <v>256</v>
      </c>
      <c r="P356" s="3" t="str">
        <f>TEXT(J356,"0.00")</f>
        <v>0.26</v>
      </c>
      <c r="Q356" s="3" t="str">
        <f>LEFT(L356,3)</f>
        <v>Spr</v>
      </c>
      <c r="R356" s="7" t="str">
        <f>RIGHT(L356,3)</f>
        <v>ing</v>
      </c>
      <c r="S356" s="8">
        <f>LEN(L356)</f>
        <v>6</v>
      </c>
      <c r="T356" s="36" t="str">
        <f>A356&amp;"|"&amp;B356&amp;"|"&amp;F356</f>
        <v>355|16-01-2011|6</v>
      </c>
      <c r="V356" s="32">
        <f>VLOOKUP(A356,Sheet2!A:H,3,FALSE)</f>
        <v>0.21210000000000001</v>
      </c>
      <c r="W356" s="32">
        <f>VLOOKUP(A356,Sheet2!A:H,4,FALSE)</f>
        <v>0.56000000000000005</v>
      </c>
      <c r="X356" s="32">
        <f>VLOOKUP(A356,Sheet2!A:H,7,FALSE)</f>
        <v>3</v>
      </c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">
        <v>356</v>
      </c>
      <c r="B357" s="4" t="s">
        <v>30</v>
      </c>
      <c r="C357" s="4">
        <v>1</v>
      </c>
      <c r="D357" s="4">
        <v>0</v>
      </c>
      <c r="E357" s="4">
        <v>1</v>
      </c>
      <c r="F357" s="4">
        <v>7</v>
      </c>
      <c r="G357" s="4" t="b">
        <v>0</v>
      </c>
      <c r="H357" s="4">
        <v>0</v>
      </c>
      <c r="I357" s="4">
        <v>2</v>
      </c>
      <c r="J357" s="4">
        <v>0.24</v>
      </c>
      <c r="K357" s="6" t="str">
        <f>IF(H357=0,"weekend",IF(H357=6,"weekend","weekend"))</f>
        <v>weekend</v>
      </c>
      <c r="L357" s="3" t="str">
        <f>IF(C357=1,"Spring",IF(C357=2,"Summer",IF(C357=3,"Fall","Winter")))</f>
        <v>Spring</v>
      </c>
      <c r="M357" s="3">
        <f>SUM(J357:J381)</f>
        <v>5.24</v>
      </c>
      <c r="N357" s="3">
        <f>AVERAGE(J357:J966)</f>
        <v>0.18298039215686257</v>
      </c>
      <c r="O357" s="3">
        <f>COUNT(J357:J966)</f>
        <v>255</v>
      </c>
      <c r="P357" s="3" t="str">
        <f>TEXT(J357,"0.00")</f>
        <v>0.24</v>
      </c>
      <c r="Q357" s="3" t="str">
        <f>LEFT(L357,3)</f>
        <v>Spr</v>
      </c>
      <c r="R357" s="7" t="str">
        <f>RIGHT(L357,3)</f>
        <v>ing</v>
      </c>
      <c r="S357" s="8">
        <f>LEN(L357)</f>
        <v>6</v>
      </c>
      <c r="T357" s="36" t="str">
        <f>A357&amp;"|"&amp;B357&amp;"|"&amp;F357</f>
        <v>356|16-01-2011|7</v>
      </c>
      <c r="V357" s="32">
        <f>VLOOKUP(A357,Sheet2!A:H,3,FALSE)</f>
        <v>0.21210000000000001</v>
      </c>
      <c r="W357" s="32">
        <f>VLOOKUP(A357,Sheet2!A:H,4,FALSE)</f>
        <v>0.55000000000000004</v>
      </c>
      <c r="X357" s="32">
        <f>VLOOKUP(A357,Sheet2!A:H,7,FALSE)</f>
        <v>18</v>
      </c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">
        <v>357</v>
      </c>
      <c r="B358" s="4" t="s">
        <v>30</v>
      </c>
      <c r="C358" s="4">
        <v>1</v>
      </c>
      <c r="D358" s="4">
        <v>0</v>
      </c>
      <c r="E358" s="4">
        <v>1</v>
      </c>
      <c r="F358" s="4">
        <v>8</v>
      </c>
      <c r="G358" s="4" t="b">
        <v>0</v>
      </c>
      <c r="H358" s="4">
        <v>0</v>
      </c>
      <c r="I358" s="4">
        <v>1</v>
      </c>
      <c r="J358" s="4">
        <v>0.22</v>
      </c>
      <c r="K358" s="6" t="str">
        <f>IF(H358=0,"weekend",IF(H358=6,"weekend","weekend"))</f>
        <v>weekend</v>
      </c>
      <c r="L358" s="3" t="str">
        <f>IF(C358=1,"Spring",IF(C358=2,"Summer",IF(C358=3,"Fall","Winter")))</f>
        <v>Spring</v>
      </c>
      <c r="M358" s="3">
        <f>SUM(J358:J382)</f>
        <v>5.160000000000001</v>
      </c>
      <c r="N358" s="3">
        <f>AVERAGE(J358:J967)</f>
        <v>0.18275590551181084</v>
      </c>
      <c r="O358" s="3">
        <f>COUNT(J358:J967)</f>
        <v>254</v>
      </c>
      <c r="P358" s="3" t="str">
        <f>TEXT(J358,"0.00")</f>
        <v>0.22</v>
      </c>
      <c r="Q358" s="3" t="str">
        <f>LEFT(L358,3)</f>
        <v>Spr</v>
      </c>
      <c r="R358" s="7" t="str">
        <f>RIGHT(L358,3)</f>
        <v>ing</v>
      </c>
      <c r="S358" s="8">
        <f>LEN(L358)</f>
        <v>6</v>
      </c>
      <c r="T358" s="36" t="str">
        <f>A358&amp;"|"&amp;B358&amp;"|"&amp;F358</f>
        <v>357|16-01-2011|8</v>
      </c>
      <c r="V358" s="32">
        <f>VLOOKUP(A358,Sheet2!A:H,3,FALSE)</f>
        <v>0.21210000000000001</v>
      </c>
      <c r="W358" s="32">
        <f>VLOOKUP(A358,Sheet2!A:H,4,FALSE)</f>
        <v>0.51</v>
      </c>
      <c r="X358" s="32">
        <f>VLOOKUP(A358,Sheet2!A:H,7,FALSE)</f>
        <v>29</v>
      </c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">
        <v>358</v>
      </c>
      <c r="B359" s="4" t="s">
        <v>30</v>
      </c>
      <c r="C359" s="4">
        <v>1</v>
      </c>
      <c r="D359" s="4">
        <v>0</v>
      </c>
      <c r="E359" s="4">
        <v>1</v>
      </c>
      <c r="F359" s="4">
        <v>9</v>
      </c>
      <c r="G359" s="4" t="b">
        <v>0</v>
      </c>
      <c r="H359" s="4">
        <v>0</v>
      </c>
      <c r="I359" s="4">
        <v>1</v>
      </c>
      <c r="J359" s="4">
        <v>0.22</v>
      </c>
      <c r="K359" s="6" t="str">
        <f>IF(H359=0,"weekend",IF(H359=6,"weekend","weekend"))</f>
        <v>weekend</v>
      </c>
      <c r="L359" s="3" t="str">
        <f>IF(C359=1,"Spring",IF(C359=2,"Summer",IF(C359=3,"Fall","Winter")))</f>
        <v>Spring</v>
      </c>
      <c r="M359" s="3">
        <f>SUM(J359:J383)</f>
        <v>5.1000000000000014</v>
      </c>
      <c r="N359" s="3">
        <f>AVERAGE(J359:J968)</f>
        <v>0.18260869565217375</v>
      </c>
      <c r="O359" s="3">
        <f>COUNT(J359:J968)</f>
        <v>253</v>
      </c>
      <c r="P359" s="3" t="str">
        <f>TEXT(J359,"0.00")</f>
        <v>0.22</v>
      </c>
      <c r="Q359" s="3" t="str">
        <f>LEFT(L359,3)</f>
        <v>Spr</v>
      </c>
      <c r="R359" s="7" t="str">
        <f>RIGHT(L359,3)</f>
        <v>ing</v>
      </c>
      <c r="S359" s="8">
        <f>LEN(L359)</f>
        <v>6</v>
      </c>
      <c r="T359" s="36" t="str">
        <f>A359&amp;"|"&amp;B359&amp;"|"&amp;F359</f>
        <v>358|16-01-2011|9</v>
      </c>
      <c r="V359" s="32">
        <f>VLOOKUP(A359,Sheet2!A:H,3,FALSE)</f>
        <v>0.21210000000000001</v>
      </c>
      <c r="W359" s="32">
        <f>VLOOKUP(A359,Sheet2!A:H,4,FALSE)</f>
        <v>0.51</v>
      </c>
      <c r="X359" s="32">
        <f>VLOOKUP(A359,Sheet2!A:H,7,FALSE)</f>
        <v>71</v>
      </c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">
        <v>359</v>
      </c>
      <c r="B360" s="4" t="s">
        <v>30</v>
      </c>
      <c r="C360" s="4">
        <v>1</v>
      </c>
      <c r="D360" s="4">
        <v>0</v>
      </c>
      <c r="E360" s="4">
        <v>1</v>
      </c>
      <c r="F360" s="4">
        <v>10</v>
      </c>
      <c r="G360" s="4" t="b">
        <v>0</v>
      </c>
      <c r="H360" s="4">
        <v>0</v>
      </c>
      <c r="I360" s="4">
        <v>1</v>
      </c>
      <c r="J360" s="4">
        <v>0.22</v>
      </c>
      <c r="K360" s="6" t="str">
        <f>IF(H360=0,"weekend",IF(H360=6,"weekend","weekend"))</f>
        <v>weekend</v>
      </c>
      <c r="L360" s="3" t="str">
        <f>IF(C360=1,"Spring",IF(C360=2,"Summer",IF(C360=3,"Fall","Winter")))</f>
        <v>Spring</v>
      </c>
      <c r="M360" s="3">
        <f>SUM(J360:J384)</f>
        <v>5.0400000000000018</v>
      </c>
      <c r="N360" s="3">
        <f>AVERAGE(J360:J969)</f>
        <v>0.1824603174603173</v>
      </c>
      <c r="O360" s="3">
        <f>COUNT(J360:J969)</f>
        <v>252</v>
      </c>
      <c r="P360" s="3" t="str">
        <f>TEXT(J360,"0.00")</f>
        <v>0.22</v>
      </c>
      <c r="Q360" s="3" t="str">
        <f>LEFT(L360,3)</f>
        <v>Spr</v>
      </c>
      <c r="R360" s="7" t="str">
        <f>RIGHT(L360,3)</f>
        <v>ing</v>
      </c>
      <c r="S360" s="8">
        <f>LEN(L360)</f>
        <v>6</v>
      </c>
      <c r="T360" s="36" t="str">
        <f>A360&amp;"|"&amp;B360&amp;"|"&amp;F360</f>
        <v>359|16-01-2011|10</v>
      </c>
      <c r="V360" s="32">
        <f>VLOOKUP(A360,Sheet2!A:H,3,FALSE)</f>
        <v>0.2273</v>
      </c>
      <c r="W360" s="32">
        <f>VLOOKUP(A360,Sheet2!A:H,4,FALSE)</f>
        <v>0.44</v>
      </c>
      <c r="X360" s="32">
        <f>VLOOKUP(A360,Sheet2!A:H,7,FALSE)</f>
        <v>70</v>
      </c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">
        <v>360</v>
      </c>
      <c r="B361" s="4" t="s">
        <v>30</v>
      </c>
      <c r="C361" s="4">
        <v>1</v>
      </c>
      <c r="D361" s="4">
        <v>0</v>
      </c>
      <c r="E361" s="4">
        <v>1</v>
      </c>
      <c r="F361" s="4">
        <v>11</v>
      </c>
      <c r="G361" s="4" t="b">
        <v>0</v>
      </c>
      <c r="H361" s="4">
        <v>0</v>
      </c>
      <c r="I361" s="4">
        <v>1</v>
      </c>
      <c r="J361" s="4">
        <v>0.24</v>
      </c>
      <c r="K361" s="6" t="str">
        <f>IF(H361=0,"weekend",IF(H361=6,"weekend","weekend"))</f>
        <v>weekend</v>
      </c>
      <c r="L361" s="3" t="str">
        <f>IF(C361=1,"Spring",IF(C361=2,"Summer",IF(C361=3,"Fall","Winter")))</f>
        <v>Spring</v>
      </c>
      <c r="M361" s="3">
        <f>SUM(J361:J385)</f>
        <v>4.9800000000000022</v>
      </c>
      <c r="N361" s="3">
        <f>AVERAGE(J361:J970)</f>
        <v>0.18231075697211141</v>
      </c>
      <c r="O361" s="3">
        <f>COUNT(J361:J970)</f>
        <v>251</v>
      </c>
      <c r="P361" s="3" t="str">
        <f>TEXT(J361,"0.00")</f>
        <v>0.24</v>
      </c>
      <c r="Q361" s="3" t="str">
        <f>LEFT(L361,3)</f>
        <v>Spr</v>
      </c>
      <c r="R361" s="7" t="str">
        <f>RIGHT(L361,3)</f>
        <v>ing</v>
      </c>
      <c r="S361" s="8">
        <f>LEN(L361)</f>
        <v>6</v>
      </c>
      <c r="T361" s="36" t="str">
        <f>A361&amp;"|"&amp;B361&amp;"|"&amp;F361</f>
        <v>360|16-01-2011|11</v>
      </c>
      <c r="V361" s="32">
        <f>VLOOKUP(A361,Sheet2!A:H,3,FALSE)</f>
        <v>0.21210000000000001</v>
      </c>
      <c r="W361" s="32">
        <f>VLOOKUP(A361,Sheet2!A:H,4,FALSE)</f>
        <v>0.41</v>
      </c>
      <c r="X361" s="32">
        <f>VLOOKUP(A361,Sheet2!A:H,7,FALSE)</f>
        <v>75</v>
      </c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">
        <v>361</v>
      </c>
      <c r="B362" s="4" t="s">
        <v>30</v>
      </c>
      <c r="C362" s="4">
        <v>1</v>
      </c>
      <c r="D362" s="4">
        <v>0</v>
      </c>
      <c r="E362" s="4">
        <v>1</v>
      </c>
      <c r="F362" s="4">
        <v>12</v>
      </c>
      <c r="G362" s="4" t="b">
        <v>0</v>
      </c>
      <c r="H362" s="4">
        <v>0</v>
      </c>
      <c r="I362" s="4">
        <v>1</v>
      </c>
      <c r="J362" s="4">
        <v>0.24</v>
      </c>
      <c r="K362" s="6" t="str">
        <f>IF(H362=0,"weekend",IF(H362=6,"weekend","weekend"))</f>
        <v>weekend</v>
      </c>
      <c r="L362" s="3" t="str">
        <f>IF(C362=1,"Spring",IF(C362=2,"Summer",IF(C362=3,"Fall","Winter")))</f>
        <v>Spring</v>
      </c>
      <c r="M362" s="3">
        <f>SUM(J362:J386)</f>
        <v>4.9200000000000017</v>
      </c>
      <c r="N362" s="3">
        <f>AVERAGE(J362:J971)</f>
        <v>0.18207999999999985</v>
      </c>
      <c r="O362" s="3">
        <f>COUNT(J362:J971)</f>
        <v>250</v>
      </c>
      <c r="P362" s="3" t="str">
        <f>TEXT(J362,"0.00")</f>
        <v>0.24</v>
      </c>
      <c r="Q362" s="3" t="str">
        <f>LEFT(L362,3)</f>
        <v>Spr</v>
      </c>
      <c r="R362" s="7" t="str">
        <f>RIGHT(L362,3)</f>
        <v>ing</v>
      </c>
      <c r="S362" s="8">
        <f>LEN(L362)</f>
        <v>6</v>
      </c>
      <c r="T362" s="36" t="str">
        <f>A362&amp;"|"&amp;B362&amp;"|"&amp;F362</f>
        <v>361|16-01-2011|12</v>
      </c>
      <c r="V362" s="32">
        <f>VLOOKUP(A362,Sheet2!A:H,3,FALSE)</f>
        <v>0.2273</v>
      </c>
      <c r="W362" s="32">
        <f>VLOOKUP(A362,Sheet2!A:H,4,FALSE)</f>
        <v>0.35</v>
      </c>
      <c r="X362" s="32">
        <f>VLOOKUP(A362,Sheet2!A:H,7,FALSE)</f>
        <v>95</v>
      </c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">
        <v>362</v>
      </c>
      <c r="B363" s="4" t="s">
        <v>30</v>
      </c>
      <c r="C363" s="4">
        <v>1</v>
      </c>
      <c r="D363" s="4">
        <v>0</v>
      </c>
      <c r="E363" s="4">
        <v>1</v>
      </c>
      <c r="F363" s="4">
        <v>13</v>
      </c>
      <c r="G363" s="4" t="b">
        <v>0</v>
      </c>
      <c r="H363" s="4">
        <v>0</v>
      </c>
      <c r="I363" s="4">
        <v>1</v>
      </c>
      <c r="J363" s="4">
        <v>0.26</v>
      </c>
      <c r="K363" s="6" t="str">
        <f>IF(H363=0,"weekend",IF(H363=6,"weekend","weekend"))</f>
        <v>weekend</v>
      </c>
      <c r="L363" s="3" t="str">
        <f>IF(C363=1,"Spring",IF(C363=2,"Summer",IF(C363=3,"Fall","Winter")))</f>
        <v>Spring</v>
      </c>
      <c r="M363" s="3">
        <f>SUM(J363:J387)</f>
        <v>4.8600000000000012</v>
      </c>
      <c r="N363" s="3">
        <f>AVERAGE(J363:J972)</f>
        <v>0.18184738955823276</v>
      </c>
      <c r="O363" s="3">
        <f>COUNT(J363:J972)</f>
        <v>249</v>
      </c>
      <c r="P363" s="3" t="str">
        <f>TEXT(J363,"0.00")</f>
        <v>0.26</v>
      </c>
      <c r="Q363" s="3" t="str">
        <f>LEFT(L363,3)</f>
        <v>Spr</v>
      </c>
      <c r="R363" s="7" t="str">
        <f>RIGHT(L363,3)</f>
        <v>ing</v>
      </c>
      <c r="S363" s="8">
        <f>LEN(L363)</f>
        <v>6</v>
      </c>
      <c r="T363" s="36" t="str">
        <f>A363&amp;"|"&amp;B363&amp;"|"&amp;F363</f>
        <v>362|16-01-2011|13</v>
      </c>
      <c r="V363" s="32">
        <f>VLOOKUP(A363,Sheet2!A:H,3,FALSE)</f>
        <v>0.2727</v>
      </c>
      <c r="W363" s="32">
        <f>VLOOKUP(A363,Sheet2!A:H,4,FALSE)</f>
        <v>0.36</v>
      </c>
      <c r="X363" s="32">
        <f>VLOOKUP(A363,Sheet2!A:H,7,FALSE)</f>
        <v>69</v>
      </c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">
        <v>363</v>
      </c>
      <c r="B364" s="4" t="s">
        <v>30</v>
      </c>
      <c r="C364" s="4">
        <v>1</v>
      </c>
      <c r="D364" s="4">
        <v>0</v>
      </c>
      <c r="E364" s="4">
        <v>1</v>
      </c>
      <c r="F364" s="4">
        <v>14</v>
      </c>
      <c r="G364" s="4" t="b">
        <v>0</v>
      </c>
      <c r="H364" s="4">
        <v>0</v>
      </c>
      <c r="I364" s="4">
        <v>1</v>
      </c>
      <c r="J364" s="4">
        <v>0.28000000000000003</v>
      </c>
      <c r="K364" s="6" t="str">
        <f>IF(H364=0,"weekend",IF(H364=6,"weekend","weekend"))</f>
        <v>weekend</v>
      </c>
      <c r="L364" s="3" t="str">
        <f>IF(C364=1,"Spring",IF(C364=2,"Summer",IF(C364=3,"Fall","Winter")))</f>
        <v>Spring</v>
      </c>
      <c r="M364" s="3">
        <f>SUM(J364:J388)</f>
        <v>4.78</v>
      </c>
      <c r="N364" s="3">
        <f>AVERAGE(J364:J973)</f>
        <v>0.18153225806451598</v>
      </c>
      <c r="O364" s="3">
        <f>COUNT(J364:J973)</f>
        <v>248</v>
      </c>
      <c r="P364" s="3" t="str">
        <f>TEXT(J364,"0.00")</f>
        <v>0.28</v>
      </c>
      <c r="Q364" s="3" t="str">
        <f>LEFT(L364,3)</f>
        <v>Spr</v>
      </c>
      <c r="R364" s="7" t="str">
        <f>RIGHT(L364,3)</f>
        <v>ing</v>
      </c>
      <c r="S364" s="8">
        <f>LEN(L364)</f>
        <v>6</v>
      </c>
      <c r="T364" s="36" t="str">
        <f>A364&amp;"|"&amp;B364&amp;"|"&amp;F364</f>
        <v>363|16-01-2011|14</v>
      </c>
      <c r="V364" s="32">
        <f>VLOOKUP(A364,Sheet2!A:H,3,FALSE)</f>
        <v>0.2424</v>
      </c>
      <c r="W364" s="32">
        <f>VLOOKUP(A364,Sheet2!A:H,4,FALSE)</f>
        <v>0.38</v>
      </c>
      <c r="X364" s="32">
        <f>VLOOKUP(A364,Sheet2!A:H,7,FALSE)</f>
        <v>78</v>
      </c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">
        <v>364</v>
      </c>
      <c r="B365" s="4" t="s">
        <v>30</v>
      </c>
      <c r="C365" s="4">
        <v>1</v>
      </c>
      <c r="D365" s="4">
        <v>0</v>
      </c>
      <c r="E365" s="4">
        <v>1</v>
      </c>
      <c r="F365" s="4">
        <v>15</v>
      </c>
      <c r="G365" s="4" t="b">
        <v>0</v>
      </c>
      <c r="H365" s="4">
        <v>0</v>
      </c>
      <c r="I365" s="4">
        <v>1</v>
      </c>
      <c r="J365" s="4">
        <v>0.26</v>
      </c>
      <c r="K365" s="6" t="str">
        <f>IF(H365=0,"weekend",IF(H365=6,"weekend","weekend"))</f>
        <v>weekend</v>
      </c>
      <c r="L365" s="3" t="str">
        <f>IF(C365=1,"Spring",IF(C365=2,"Summer",IF(C365=3,"Fall","Winter")))</f>
        <v>Spring</v>
      </c>
      <c r="M365" s="3">
        <f>SUM(J365:J389)</f>
        <v>4.7000000000000011</v>
      </c>
      <c r="N365" s="3">
        <f>AVERAGE(J365:J974)</f>
        <v>0.18113360323886626</v>
      </c>
      <c r="O365" s="3">
        <f>COUNT(J365:J974)</f>
        <v>247</v>
      </c>
      <c r="P365" s="3" t="str">
        <f>TEXT(J365,"0.00")</f>
        <v>0.26</v>
      </c>
      <c r="Q365" s="3" t="str">
        <f>LEFT(L365,3)</f>
        <v>Spr</v>
      </c>
      <c r="R365" s="7" t="str">
        <f>RIGHT(L365,3)</f>
        <v>ing</v>
      </c>
      <c r="S365" s="8">
        <f>LEN(L365)</f>
        <v>6</v>
      </c>
      <c r="T365" s="36" t="str">
        <f>A365&amp;"|"&amp;B365&amp;"|"&amp;F365</f>
        <v>364|16-01-2011|15</v>
      </c>
      <c r="V365" s="32">
        <f>VLOOKUP(A365,Sheet2!A:H,3,FALSE)</f>
        <v>0.2273</v>
      </c>
      <c r="W365" s="32">
        <f>VLOOKUP(A365,Sheet2!A:H,4,FALSE)</f>
        <v>0.38</v>
      </c>
      <c r="X365" s="32">
        <f>VLOOKUP(A365,Sheet2!A:H,7,FALSE)</f>
        <v>77</v>
      </c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">
        <v>365</v>
      </c>
      <c r="B366" s="4" t="s">
        <v>30</v>
      </c>
      <c r="C366" s="4">
        <v>1</v>
      </c>
      <c r="D366" s="4">
        <v>0</v>
      </c>
      <c r="E366" s="4">
        <v>1</v>
      </c>
      <c r="F366" s="4">
        <v>16</v>
      </c>
      <c r="G366" s="4" t="b">
        <v>0</v>
      </c>
      <c r="H366" s="4">
        <v>0</v>
      </c>
      <c r="I366" s="4">
        <v>1</v>
      </c>
      <c r="J366" s="4">
        <v>0.24</v>
      </c>
      <c r="K366" s="6" t="str">
        <f>IF(H366=0,"weekend",IF(H366=6,"weekend","weekend"))</f>
        <v>weekend</v>
      </c>
      <c r="L366" s="3" t="str">
        <f>IF(C366=1,"Spring",IF(C366=2,"Summer",IF(C366=3,"Fall","Winter")))</f>
        <v>Spring</v>
      </c>
      <c r="M366" s="3">
        <f>SUM(J366:J390)</f>
        <v>4.6400000000000015</v>
      </c>
      <c r="N366" s="3">
        <f>AVERAGE(J366:J975)</f>
        <v>0.18081300813008114</v>
      </c>
      <c r="O366" s="3">
        <f>COUNT(J366:J975)</f>
        <v>246</v>
      </c>
      <c r="P366" s="3" t="str">
        <f>TEXT(J366,"0.00")</f>
        <v>0.24</v>
      </c>
      <c r="Q366" s="3" t="str">
        <f>LEFT(L366,3)</f>
        <v>Spr</v>
      </c>
      <c r="R366" s="7" t="str">
        <f>RIGHT(L366,3)</f>
        <v>ing</v>
      </c>
      <c r="S366" s="8">
        <f>LEN(L366)</f>
        <v>6</v>
      </c>
      <c r="T366" s="36" t="str">
        <f>A366&amp;"|"&amp;B366&amp;"|"&amp;F366</f>
        <v>365|16-01-2011|16</v>
      </c>
      <c r="V366" s="32">
        <f>VLOOKUP(A366,Sheet2!A:H,3,FALSE)</f>
        <v>0.21210000000000001</v>
      </c>
      <c r="W366" s="32">
        <f>VLOOKUP(A366,Sheet2!A:H,4,FALSE)</f>
        <v>0.37</v>
      </c>
      <c r="X366" s="32">
        <f>VLOOKUP(A366,Sheet2!A:H,7,FALSE)</f>
        <v>82</v>
      </c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">
        <v>366</v>
      </c>
      <c r="B367" s="4" t="s">
        <v>30</v>
      </c>
      <c r="C367" s="4">
        <v>1</v>
      </c>
      <c r="D367" s="4">
        <v>0</v>
      </c>
      <c r="E367" s="4">
        <v>1</v>
      </c>
      <c r="F367" s="4">
        <v>17</v>
      </c>
      <c r="G367" s="4" t="b">
        <v>0</v>
      </c>
      <c r="H367" s="4">
        <v>0</v>
      </c>
      <c r="I367" s="4">
        <v>1</v>
      </c>
      <c r="J367" s="4">
        <v>0.22</v>
      </c>
      <c r="K367" s="6" t="str">
        <f>IF(H367=0,"weekend",IF(H367=6,"weekend","weekend"))</f>
        <v>weekend</v>
      </c>
      <c r="L367" s="3" t="str">
        <f>IF(C367=1,"Spring",IF(C367=2,"Summer",IF(C367=3,"Fall","Winter")))</f>
        <v>Spring</v>
      </c>
      <c r="M367" s="3">
        <f>SUM(J367:J391)</f>
        <v>4.6000000000000014</v>
      </c>
      <c r="N367" s="3">
        <f>AVERAGE(J367:J976)</f>
        <v>0.18057142857142841</v>
      </c>
      <c r="O367" s="3">
        <f>COUNT(J367:J976)</f>
        <v>245</v>
      </c>
      <c r="P367" s="3" t="str">
        <f>TEXT(J367,"0.00")</f>
        <v>0.22</v>
      </c>
      <c r="Q367" s="3" t="str">
        <f>LEFT(L367,3)</f>
        <v>Spr</v>
      </c>
      <c r="R367" s="7" t="str">
        <f>RIGHT(L367,3)</f>
        <v>ing</v>
      </c>
      <c r="S367" s="8">
        <f>LEN(L367)</f>
        <v>6</v>
      </c>
      <c r="T367" s="36" t="str">
        <f>A367&amp;"|"&amp;B367&amp;"|"&amp;F367</f>
        <v>366|16-01-2011|17</v>
      </c>
      <c r="V367" s="32">
        <f>VLOOKUP(A367,Sheet2!A:H,3,FALSE)</f>
        <v>0.21210000000000001</v>
      </c>
      <c r="W367" s="32">
        <f>VLOOKUP(A367,Sheet2!A:H,4,FALSE)</f>
        <v>0.4</v>
      </c>
      <c r="X367" s="32">
        <f>VLOOKUP(A367,Sheet2!A:H,7,FALSE)</f>
        <v>56</v>
      </c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">
        <v>367</v>
      </c>
      <c r="B368" s="4" t="s">
        <v>30</v>
      </c>
      <c r="C368" s="4">
        <v>1</v>
      </c>
      <c r="D368" s="4">
        <v>0</v>
      </c>
      <c r="E368" s="4">
        <v>1</v>
      </c>
      <c r="F368" s="4">
        <v>18</v>
      </c>
      <c r="G368" s="4" t="b">
        <v>0</v>
      </c>
      <c r="H368" s="4">
        <v>0</v>
      </c>
      <c r="I368" s="4">
        <v>1</v>
      </c>
      <c r="J368" s="4">
        <v>0.2</v>
      </c>
      <c r="K368" s="6" t="str">
        <f>IF(H368=0,"weekend",IF(H368=6,"weekend","weekend"))</f>
        <v>weekend</v>
      </c>
      <c r="L368" s="3" t="str">
        <f>IF(C368=1,"Spring",IF(C368=2,"Summer",IF(C368=3,"Fall","Winter")))</f>
        <v>Spring</v>
      </c>
      <c r="M368" s="3">
        <f>SUM(J368:J392)</f>
        <v>4.5600000000000014</v>
      </c>
      <c r="N368" s="3">
        <f>AVERAGE(J368:J977)</f>
        <v>0.18040983606557365</v>
      </c>
      <c r="O368" s="3">
        <f>COUNT(J368:J977)</f>
        <v>244</v>
      </c>
      <c r="P368" s="3" t="str">
        <f>TEXT(J368,"0.00")</f>
        <v>0.20</v>
      </c>
      <c r="Q368" s="3" t="str">
        <f>LEFT(L368,3)</f>
        <v>Spr</v>
      </c>
      <c r="R368" s="7" t="str">
        <f>RIGHT(L368,3)</f>
        <v>ing</v>
      </c>
      <c r="S368" s="8">
        <f>LEN(L368)</f>
        <v>6</v>
      </c>
      <c r="T368" s="36" t="str">
        <f>A368&amp;"|"&amp;B368&amp;"|"&amp;F368</f>
        <v>367|16-01-2011|18</v>
      </c>
      <c r="V368" s="32">
        <f>VLOOKUP(A368,Sheet2!A:H,3,FALSE)</f>
        <v>0.19700000000000001</v>
      </c>
      <c r="W368" s="32">
        <f>VLOOKUP(A368,Sheet2!A:H,4,FALSE)</f>
        <v>0.47</v>
      </c>
      <c r="X368" s="32">
        <f>VLOOKUP(A368,Sheet2!A:H,7,FALSE)</f>
        <v>47</v>
      </c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">
        <v>368</v>
      </c>
      <c r="B369" s="4" t="s">
        <v>30</v>
      </c>
      <c r="C369" s="4">
        <v>1</v>
      </c>
      <c r="D369" s="4">
        <v>0</v>
      </c>
      <c r="E369" s="4">
        <v>1</v>
      </c>
      <c r="F369" s="4">
        <v>19</v>
      </c>
      <c r="G369" s="4" t="b">
        <v>0</v>
      </c>
      <c r="H369" s="4">
        <v>0</v>
      </c>
      <c r="I369" s="4">
        <v>1</v>
      </c>
      <c r="J369" s="4">
        <v>0.18</v>
      </c>
      <c r="K369" s="6" t="str">
        <f>IF(H369=0,"weekend",IF(H369=6,"weekend","weekend"))</f>
        <v>weekend</v>
      </c>
      <c r="L369" s="3" t="str">
        <f>IF(C369=1,"Spring",IF(C369=2,"Summer",IF(C369=3,"Fall","Winter")))</f>
        <v>Spring</v>
      </c>
      <c r="M369" s="3">
        <f>SUM(J369:J393)</f>
        <v>4.5400000000000009</v>
      </c>
      <c r="N369" s="3">
        <f>AVERAGE(J369:J978)</f>
        <v>0.18032921810699576</v>
      </c>
      <c r="O369" s="3">
        <f>COUNT(J369:J978)</f>
        <v>243</v>
      </c>
      <c r="P369" s="3" t="str">
        <f>TEXT(J369,"0.00")</f>
        <v>0.18</v>
      </c>
      <c r="Q369" s="3" t="str">
        <f>LEFT(L369,3)</f>
        <v>Spr</v>
      </c>
      <c r="R369" s="7" t="str">
        <f>RIGHT(L369,3)</f>
        <v>ing</v>
      </c>
      <c r="S369" s="8">
        <f>LEN(L369)</f>
        <v>6</v>
      </c>
      <c r="T369" s="36" t="str">
        <f>A369&amp;"|"&amp;B369&amp;"|"&amp;F369</f>
        <v>368|16-01-2011|19</v>
      </c>
      <c r="V369" s="32">
        <f>VLOOKUP(A369,Sheet2!A:H,3,FALSE)</f>
        <v>0.19700000000000001</v>
      </c>
      <c r="W369" s="32">
        <f>VLOOKUP(A369,Sheet2!A:H,4,FALSE)</f>
        <v>0.47</v>
      </c>
      <c r="X369" s="32">
        <f>VLOOKUP(A369,Sheet2!A:H,7,FALSE)</f>
        <v>50</v>
      </c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">
        <v>369</v>
      </c>
      <c r="B370" s="4" t="s">
        <v>30</v>
      </c>
      <c r="C370" s="4">
        <v>1</v>
      </c>
      <c r="D370" s="4">
        <v>0</v>
      </c>
      <c r="E370" s="4">
        <v>1</v>
      </c>
      <c r="F370" s="4">
        <v>20</v>
      </c>
      <c r="G370" s="4" t="b">
        <v>0</v>
      </c>
      <c r="H370" s="4">
        <v>0</v>
      </c>
      <c r="I370" s="4">
        <v>1</v>
      </c>
      <c r="J370" s="4">
        <v>0.18</v>
      </c>
      <c r="K370" s="6" t="str">
        <f>IF(H370=0,"weekend",IF(H370=6,"weekend","weekend"))</f>
        <v>weekend</v>
      </c>
      <c r="L370" s="3" t="str">
        <f>IF(C370=1,"Spring",IF(C370=2,"Summer",IF(C370=3,"Fall","Winter")))</f>
        <v>Spring</v>
      </c>
      <c r="M370" s="3">
        <f>SUM(J370:J394)</f>
        <v>4.5200000000000005</v>
      </c>
      <c r="N370" s="3">
        <f>AVERAGE(J370:J979)</f>
        <v>0.18033057851239659</v>
      </c>
      <c r="O370" s="3">
        <f>COUNT(J370:J979)</f>
        <v>242</v>
      </c>
      <c r="P370" s="3" t="str">
        <f>TEXT(J370,"0.00")</f>
        <v>0.18</v>
      </c>
      <c r="Q370" s="3" t="str">
        <f>LEFT(L370,3)</f>
        <v>Spr</v>
      </c>
      <c r="R370" s="7" t="str">
        <f>RIGHT(L370,3)</f>
        <v>ing</v>
      </c>
      <c r="S370" s="8">
        <f>LEN(L370)</f>
        <v>6</v>
      </c>
      <c r="T370" s="36" t="str">
        <f>A370&amp;"|"&amp;B370&amp;"|"&amp;F370</f>
        <v>369|16-01-2011|20</v>
      </c>
      <c r="V370" s="32">
        <f>VLOOKUP(A370,Sheet2!A:H,3,FALSE)</f>
        <v>0.19700000000000001</v>
      </c>
      <c r="W370" s="32">
        <f>VLOOKUP(A370,Sheet2!A:H,4,FALSE)</f>
        <v>0.51</v>
      </c>
      <c r="X370" s="32">
        <f>VLOOKUP(A370,Sheet2!A:H,7,FALSE)</f>
        <v>22</v>
      </c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">
        <v>370</v>
      </c>
      <c r="B371" s="4" t="s">
        <v>30</v>
      </c>
      <c r="C371" s="4">
        <v>1</v>
      </c>
      <c r="D371" s="4">
        <v>0</v>
      </c>
      <c r="E371" s="4">
        <v>1</v>
      </c>
      <c r="F371" s="4">
        <v>21</v>
      </c>
      <c r="G371" s="4" t="b">
        <v>0</v>
      </c>
      <c r="H371" s="4">
        <v>0</v>
      </c>
      <c r="I371" s="4">
        <v>1</v>
      </c>
      <c r="J371" s="4">
        <v>0.18</v>
      </c>
      <c r="K371" s="6" t="str">
        <f>IF(H371=0,"weekend",IF(H371=6,"weekend","weekend"))</f>
        <v>weekend</v>
      </c>
      <c r="L371" s="3" t="str">
        <f>IF(C371=1,"Spring",IF(C371=2,"Summer",IF(C371=3,"Fall","Winter")))</f>
        <v>Spring</v>
      </c>
      <c r="M371" s="3">
        <f>SUM(J371:J395)</f>
        <v>4.5000000000000009</v>
      </c>
      <c r="N371" s="3">
        <f>AVERAGE(J371:J980)</f>
        <v>0.18033195020746876</v>
      </c>
      <c r="O371" s="3">
        <f>COUNT(J371:J980)</f>
        <v>241</v>
      </c>
      <c r="P371" s="3" t="str">
        <f>TEXT(J371,"0.00")</f>
        <v>0.18</v>
      </c>
      <c r="Q371" s="3" t="str">
        <f>LEFT(L371,3)</f>
        <v>Spr</v>
      </c>
      <c r="R371" s="7" t="str">
        <f>RIGHT(L371,3)</f>
        <v>ing</v>
      </c>
      <c r="S371" s="8">
        <f>LEN(L371)</f>
        <v>6</v>
      </c>
      <c r="T371" s="36" t="str">
        <f>A371&amp;"|"&amp;B371&amp;"|"&amp;F371</f>
        <v>370|16-01-2011|21</v>
      </c>
      <c r="V371" s="32">
        <f>VLOOKUP(A371,Sheet2!A:H,3,FALSE)</f>
        <v>0.21210000000000001</v>
      </c>
      <c r="W371" s="32">
        <f>VLOOKUP(A371,Sheet2!A:H,4,FALSE)</f>
        <v>0.49</v>
      </c>
      <c r="X371" s="32">
        <f>VLOOKUP(A371,Sheet2!A:H,7,FALSE)</f>
        <v>19</v>
      </c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">
        <v>371</v>
      </c>
      <c r="B372" s="4" t="s">
        <v>30</v>
      </c>
      <c r="C372" s="4">
        <v>1</v>
      </c>
      <c r="D372" s="4">
        <v>0</v>
      </c>
      <c r="E372" s="4">
        <v>1</v>
      </c>
      <c r="F372" s="4">
        <v>22</v>
      </c>
      <c r="G372" s="4" t="b">
        <v>0</v>
      </c>
      <c r="H372" s="4">
        <v>0</v>
      </c>
      <c r="I372" s="4">
        <v>2</v>
      </c>
      <c r="J372" s="4">
        <v>0.2</v>
      </c>
      <c r="K372" s="6" t="str">
        <f>IF(H372=0,"weekend",IF(H372=6,"weekend","weekend"))</f>
        <v>weekend</v>
      </c>
      <c r="L372" s="3" t="str">
        <f>IF(C372=1,"Spring",IF(C372=2,"Summer",IF(C372=3,"Fall","Winter")))</f>
        <v>Spring</v>
      </c>
      <c r="M372" s="3">
        <f>SUM(J372:J396)</f>
        <v>4.4600000000000009</v>
      </c>
      <c r="N372" s="3">
        <f>AVERAGE(J372:J981)</f>
        <v>0.18033333333333321</v>
      </c>
      <c r="O372" s="3">
        <f>COUNT(J372:J981)</f>
        <v>240</v>
      </c>
      <c r="P372" s="3" t="str">
        <f>TEXT(J372,"0.00")</f>
        <v>0.20</v>
      </c>
      <c r="Q372" s="3" t="str">
        <f>LEFT(L372,3)</f>
        <v>Spr</v>
      </c>
      <c r="R372" s="7" t="str">
        <f>RIGHT(L372,3)</f>
        <v>ing</v>
      </c>
      <c r="S372" s="8">
        <f>LEN(L372)</f>
        <v>6</v>
      </c>
      <c r="T372" s="36" t="str">
        <f>A372&amp;"|"&amp;B372&amp;"|"&amp;F372</f>
        <v>371|16-01-2011|22</v>
      </c>
      <c r="V372" s="32">
        <f>VLOOKUP(A372,Sheet2!A:H,3,FALSE)</f>
        <v>0.2273</v>
      </c>
      <c r="W372" s="32">
        <f>VLOOKUP(A372,Sheet2!A:H,4,FALSE)</f>
        <v>0.4</v>
      </c>
      <c r="X372" s="32">
        <f>VLOOKUP(A372,Sheet2!A:H,7,FALSE)</f>
        <v>18</v>
      </c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">
        <v>372</v>
      </c>
      <c r="B373" s="4" t="s">
        <v>30</v>
      </c>
      <c r="C373" s="4">
        <v>1</v>
      </c>
      <c r="D373" s="4">
        <v>0</v>
      </c>
      <c r="E373" s="4">
        <v>1</v>
      </c>
      <c r="F373" s="4">
        <v>23</v>
      </c>
      <c r="G373" s="4" t="b">
        <v>0</v>
      </c>
      <c r="H373" s="4">
        <v>0</v>
      </c>
      <c r="I373" s="4">
        <v>2</v>
      </c>
      <c r="J373" s="4">
        <v>0.2</v>
      </c>
      <c r="K373" s="6" t="str">
        <f>IF(H373=0,"weekend",IF(H373=6,"weekend","weekend"))</f>
        <v>weekend</v>
      </c>
      <c r="L373" s="3" t="str">
        <f>IF(C373=1,"Spring",IF(C373=2,"Summer",IF(C373=3,"Fall","Winter")))</f>
        <v>Spring</v>
      </c>
      <c r="M373" s="3">
        <f>SUM(J373:J397)</f>
        <v>4.4200000000000008</v>
      </c>
      <c r="N373" s="3">
        <f>AVERAGE(J373:J982)</f>
        <v>0.18025104602510447</v>
      </c>
      <c r="O373" s="3">
        <f>COUNT(J373:J982)</f>
        <v>239</v>
      </c>
      <c r="P373" s="3" t="str">
        <f>TEXT(J373,"0.00")</f>
        <v>0.20</v>
      </c>
      <c r="Q373" s="3" t="str">
        <f>LEFT(L373,3)</f>
        <v>Spr</v>
      </c>
      <c r="R373" s="7" t="str">
        <f>RIGHT(L373,3)</f>
        <v>ing</v>
      </c>
      <c r="S373" s="8">
        <f>LEN(L373)</f>
        <v>6</v>
      </c>
      <c r="T373" s="36" t="str">
        <f>A373&amp;"|"&amp;B373&amp;"|"&amp;F373</f>
        <v>372|16-01-2011|23</v>
      </c>
      <c r="V373" s="32">
        <f>VLOOKUP(A373,Sheet2!A:H,3,FALSE)</f>
        <v>0.19700000000000001</v>
      </c>
      <c r="W373" s="32">
        <f>VLOOKUP(A373,Sheet2!A:H,4,FALSE)</f>
        <v>0.47</v>
      </c>
      <c r="X373" s="32">
        <f>VLOOKUP(A373,Sheet2!A:H,7,FALSE)</f>
        <v>16</v>
      </c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">
        <v>373</v>
      </c>
      <c r="B374" s="4" t="s">
        <v>31</v>
      </c>
      <c r="C374" s="4">
        <v>1</v>
      </c>
      <c r="D374" s="4">
        <v>0</v>
      </c>
      <c r="E374" s="4">
        <v>1</v>
      </c>
      <c r="F374" s="4">
        <v>0</v>
      </c>
      <c r="G374" s="4" t="b">
        <v>1</v>
      </c>
      <c r="H374" s="4">
        <v>1</v>
      </c>
      <c r="I374" s="4">
        <v>2</v>
      </c>
      <c r="J374" s="4">
        <v>0.2</v>
      </c>
      <c r="K374" s="6" t="str">
        <f>IF(H374=0,"weekend",IF(H374=6,"weekend","weekend"))</f>
        <v>weekend</v>
      </c>
      <c r="L374" s="3" t="str">
        <f>IF(C374=1,"Spring",IF(C374=2,"Summer",IF(C374=3,"Fall","Winter")))</f>
        <v>Spring</v>
      </c>
      <c r="M374" s="3">
        <f>SUM(J374:J398)</f>
        <v>4.4200000000000017</v>
      </c>
      <c r="N374" s="3">
        <f>AVERAGE(J374:J983)</f>
        <v>0.18016806722689066</v>
      </c>
      <c r="O374" s="3">
        <f>COUNT(J374:J983)</f>
        <v>238</v>
      </c>
      <c r="P374" s="3" t="str">
        <f>TEXT(J374,"0.00")</f>
        <v>0.20</v>
      </c>
      <c r="Q374" s="3" t="str">
        <f>LEFT(L374,3)</f>
        <v>Spr</v>
      </c>
      <c r="R374" s="7" t="str">
        <f>RIGHT(L374,3)</f>
        <v>ing</v>
      </c>
      <c r="S374" s="8">
        <f>LEN(L374)</f>
        <v>6</v>
      </c>
      <c r="T374" s="36" t="str">
        <f>A374&amp;"|"&amp;B374&amp;"|"&amp;F374</f>
        <v>373|17-01-2011|0</v>
      </c>
      <c r="V374" s="32">
        <f>VLOOKUP(A374,Sheet2!A:H,3,FALSE)</f>
        <v>0.19700000000000001</v>
      </c>
      <c r="W374" s="32">
        <f>VLOOKUP(A374,Sheet2!A:H,4,FALSE)</f>
        <v>0.44</v>
      </c>
      <c r="X374" s="32">
        <f>VLOOKUP(A374,Sheet2!A:H,7,FALSE)</f>
        <v>15</v>
      </c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">
        <v>374</v>
      </c>
      <c r="B375" s="4" t="s">
        <v>31</v>
      </c>
      <c r="C375" s="4">
        <v>1</v>
      </c>
      <c r="D375" s="4">
        <v>0</v>
      </c>
      <c r="E375" s="4">
        <v>1</v>
      </c>
      <c r="F375" s="4">
        <v>1</v>
      </c>
      <c r="G375" s="4" t="b">
        <v>1</v>
      </c>
      <c r="H375" s="4">
        <v>1</v>
      </c>
      <c r="I375" s="4">
        <v>2</v>
      </c>
      <c r="J375" s="4">
        <v>0.2</v>
      </c>
      <c r="K375" s="6" t="str">
        <f>IF(H375=0,"weekend",IF(H375=6,"weekend","weekend"))</f>
        <v>weekend</v>
      </c>
      <c r="L375" s="3" t="str">
        <f>IF(C375=1,"Spring",IF(C375=2,"Summer",IF(C375=3,"Fall","Winter")))</f>
        <v>Spring</v>
      </c>
      <c r="M375" s="3">
        <f>SUM(J375:J399)</f>
        <v>4.4200000000000017</v>
      </c>
      <c r="N375" s="3">
        <f>AVERAGE(J375:J984)</f>
        <v>0.18008438818565389</v>
      </c>
      <c r="O375" s="3">
        <f>COUNT(J375:J984)</f>
        <v>237</v>
      </c>
      <c r="P375" s="3" t="str">
        <f>TEXT(J375,"0.00")</f>
        <v>0.20</v>
      </c>
      <c r="Q375" s="3" t="str">
        <f>LEFT(L375,3)</f>
        <v>Spr</v>
      </c>
      <c r="R375" s="7" t="str">
        <f>RIGHT(L375,3)</f>
        <v>ing</v>
      </c>
      <c r="S375" s="8">
        <f>LEN(L375)</f>
        <v>6</v>
      </c>
      <c r="T375" s="36" t="str">
        <f>A375&amp;"|"&amp;B375&amp;"|"&amp;F375</f>
        <v>374|17-01-2011|1</v>
      </c>
      <c r="V375" s="32">
        <f>VLOOKUP(A375,Sheet2!A:H,3,FALSE)</f>
        <v>0.16669999999999999</v>
      </c>
      <c r="W375" s="32">
        <f>VLOOKUP(A375,Sheet2!A:H,4,FALSE)</f>
        <v>0.43</v>
      </c>
      <c r="X375" s="32">
        <f>VLOOKUP(A375,Sheet2!A:H,7,FALSE)</f>
        <v>8</v>
      </c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">
        <v>375</v>
      </c>
      <c r="B376" s="4" t="s">
        <v>31</v>
      </c>
      <c r="C376" s="4">
        <v>1</v>
      </c>
      <c r="D376" s="4">
        <v>0</v>
      </c>
      <c r="E376" s="4">
        <v>1</v>
      </c>
      <c r="F376" s="4">
        <v>2</v>
      </c>
      <c r="G376" s="4" t="b">
        <v>1</v>
      </c>
      <c r="H376" s="4">
        <v>1</v>
      </c>
      <c r="I376" s="4">
        <v>2</v>
      </c>
      <c r="J376" s="4">
        <v>0.18</v>
      </c>
      <c r="K376" s="6" t="str">
        <f>IF(H376=0,"weekend",IF(H376=6,"weekend","weekend"))</f>
        <v>weekend</v>
      </c>
      <c r="L376" s="3" t="str">
        <f>IF(C376=1,"Spring",IF(C376=2,"Summer",IF(C376=3,"Fall","Winter")))</f>
        <v>Spring</v>
      </c>
      <c r="M376" s="3">
        <f>SUM(J376:J400)</f>
        <v>4.4400000000000013</v>
      </c>
      <c r="N376" s="3">
        <f>AVERAGE(J376:J985)</f>
        <v>0.17999999999999991</v>
      </c>
      <c r="O376" s="3">
        <f>COUNT(J376:J985)</f>
        <v>236</v>
      </c>
      <c r="P376" s="3" t="str">
        <f>TEXT(J376,"0.00")</f>
        <v>0.18</v>
      </c>
      <c r="Q376" s="3" t="str">
        <f>LEFT(L376,3)</f>
        <v>Spr</v>
      </c>
      <c r="R376" s="7" t="str">
        <f>RIGHT(L376,3)</f>
        <v>ing</v>
      </c>
      <c r="S376" s="8">
        <f>LEN(L376)</f>
        <v>6</v>
      </c>
      <c r="T376" s="36" t="str">
        <f>A376&amp;"|"&amp;B376&amp;"|"&amp;F376</f>
        <v>375|17-01-2011|2</v>
      </c>
      <c r="V376" s="32">
        <f>VLOOKUP(A376,Sheet2!A:H,3,FALSE)</f>
        <v>0.18179999999999999</v>
      </c>
      <c r="W376" s="32">
        <f>VLOOKUP(A376,Sheet2!A:H,4,FALSE)</f>
        <v>0.43</v>
      </c>
      <c r="X376" s="32">
        <f>VLOOKUP(A376,Sheet2!A:H,7,FALSE)</f>
        <v>2</v>
      </c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">
        <v>376</v>
      </c>
      <c r="B377" s="4" t="s">
        <v>31</v>
      </c>
      <c r="C377" s="4">
        <v>1</v>
      </c>
      <c r="D377" s="4">
        <v>0</v>
      </c>
      <c r="E377" s="4">
        <v>1</v>
      </c>
      <c r="F377" s="4">
        <v>3</v>
      </c>
      <c r="G377" s="4" t="b">
        <v>1</v>
      </c>
      <c r="H377" s="4">
        <v>1</v>
      </c>
      <c r="I377" s="4">
        <v>2</v>
      </c>
      <c r="J377" s="4">
        <v>0.18</v>
      </c>
      <c r="K377" s="6" t="str">
        <f>IF(H377=0,"weekend",IF(H377=6,"weekend","weekend"))</f>
        <v>weekend</v>
      </c>
      <c r="L377" s="3" t="str">
        <f>IF(C377=1,"Spring",IF(C377=2,"Summer",IF(C377=3,"Fall","Winter")))</f>
        <v>Spring</v>
      </c>
      <c r="M377" s="3">
        <f>SUM(J377:J401)</f>
        <v>4.4800000000000004</v>
      </c>
      <c r="N377" s="3">
        <f>AVERAGE(J377:J986)</f>
        <v>0.17999999999999991</v>
      </c>
      <c r="O377" s="3">
        <f>COUNT(J377:J986)</f>
        <v>235</v>
      </c>
      <c r="P377" s="3" t="str">
        <f>TEXT(J377,"0.00")</f>
        <v>0.18</v>
      </c>
      <c r="Q377" s="3" t="str">
        <f>LEFT(L377,3)</f>
        <v>Spr</v>
      </c>
      <c r="R377" s="7" t="str">
        <f>RIGHT(L377,3)</f>
        <v>ing</v>
      </c>
      <c r="S377" s="8">
        <f>LEN(L377)</f>
        <v>6</v>
      </c>
      <c r="T377" s="36" t="str">
        <f>A377&amp;"|"&amp;B377&amp;"|"&amp;F377</f>
        <v>376|17-01-2011|3</v>
      </c>
      <c r="V377" s="32">
        <f>VLOOKUP(A377,Sheet2!A:H,3,FALSE)</f>
        <v>0.19700000000000001</v>
      </c>
      <c r="W377" s="32">
        <f>VLOOKUP(A377,Sheet2!A:H,4,FALSE)</f>
        <v>0.43</v>
      </c>
      <c r="X377" s="32">
        <f>VLOOKUP(A377,Sheet2!A:H,7,FALSE)</f>
        <v>2</v>
      </c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">
        <v>377</v>
      </c>
      <c r="B378" s="4" t="s">
        <v>31</v>
      </c>
      <c r="C378" s="4">
        <v>1</v>
      </c>
      <c r="D378" s="4">
        <v>0</v>
      </c>
      <c r="E378" s="4">
        <v>1</v>
      </c>
      <c r="F378" s="4">
        <v>4</v>
      </c>
      <c r="G378" s="4" t="b">
        <v>1</v>
      </c>
      <c r="H378" s="4">
        <v>1</v>
      </c>
      <c r="I378" s="4">
        <v>2</v>
      </c>
      <c r="J378" s="4">
        <v>0.18</v>
      </c>
      <c r="K378" s="6" t="str">
        <f>IF(H378=0,"weekend",IF(H378=6,"weekend","weekend"))</f>
        <v>weekend</v>
      </c>
      <c r="L378" s="3" t="str">
        <f>IF(C378=1,"Spring",IF(C378=2,"Summer",IF(C378=3,"Fall","Winter")))</f>
        <v>Spring</v>
      </c>
      <c r="M378" s="3">
        <f>SUM(J378:J402)</f>
        <v>4.5200000000000005</v>
      </c>
      <c r="N378" s="3">
        <f>AVERAGE(J378:J987)</f>
        <v>0.17999999999999991</v>
      </c>
      <c r="O378" s="3">
        <f>COUNT(J378:J987)</f>
        <v>234</v>
      </c>
      <c r="P378" s="3" t="str">
        <f>TEXT(J378,"0.00")</f>
        <v>0.18</v>
      </c>
      <c r="Q378" s="3" t="str">
        <f>LEFT(L378,3)</f>
        <v>Spr</v>
      </c>
      <c r="R378" s="7" t="str">
        <f>RIGHT(L378,3)</f>
        <v>ing</v>
      </c>
      <c r="S378" s="8">
        <f>LEN(L378)</f>
        <v>6</v>
      </c>
      <c r="T378" s="36" t="str">
        <f>A378&amp;"|"&amp;B378&amp;"|"&amp;F378</f>
        <v>377|17-01-2011|4</v>
      </c>
      <c r="V378" s="32">
        <f>VLOOKUP(A378,Sheet2!A:H,3,FALSE)</f>
        <v>0.19700000000000001</v>
      </c>
      <c r="W378" s="32">
        <f>VLOOKUP(A378,Sheet2!A:H,4,FALSE)</f>
        <v>0.43</v>
      </c>
      <c r="X378" s="32">
        <f>VLOOKUP(A378,Sheet2!A:H,7,FALSE)</f>
        <v>1</v>
      </c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">
        <v>378</v>
      </c>
      <c r="B379" s="4" t="s">
        <v>31</v>
      </c>
      <c r="C379" s="4">
        <v>1</v>
      </c>
      <c r="D379" s="4">
        <v>0</v>
      </c>
      <c r="E379" s="4">
        <v>1</v>
      </c>
      <c r="F379" s="4">
        <v>5</v>
      </c>
      <c r="G379" s="4" t="b">
        <v>1</v>
      </c>
      <c r="H379" s="4">
        <v>1</v>
      </c>
      <c r="I379" s="4">
        <v>2</v>
      </c>
      <c r="J379" s="4">
        <v>0.18</v>
      </c>
      <c r="K379" s="6" t="str">
        <f>IF(H379=0,"weekend",IF(H379=6,"weekend","weekend"))</f>
        <v>weekend</v>
      </c>
      <c r="L379" s="3" t="str">
        <f>IF(C379=1,"Spring",IF(C379=2,"Summer",IF(C379=3,"Fall","Winter")))</f>
        <v>Spring</v>
      </c>
      <c r="M379" s="3">
        <f>SUM(J379:J403)</f>
        <v>4.5600000000000005</v>
      </c>
      <c r="N379" s="3">
        <f>AVERAGE(J379:J988)</f>
        <v>0.17999999999999991</v>
      </c>
      <c r="O379" s="3">
        <f>COUNT(J379:J988)</f>
        <v>233</v>
      </c>
      <c r="P379" s="3" t="str">
        <f>TEXT(J379,"0.00")</f>
        <v>0.18</v>
      </c>
      <c r="Q379" s="3" t="str">
        <f>LEFT(L379,3)</f>
        <v>Spr</v>
      </c>
      <c r="R379" s="7" t="str">
        <f>RIGHT(L379,3)</f>
        <v>ing</v>
      </c>
      <c r="S379" s="8">
        <f>LEN(L379)</f>
        <v>6</v>
      </c>
      <c r="T379" s="36" t="str">
        <f>A379&amp;"|"&amp;B379&amp;"|"&amp;F379</f>
        <v>378|17-01-2011|5</v>
      </c>
      <c r="V379" s="32">
        <f>VLOOKUP(A379,Sheet2!A:H,3,FALSE)</f>
        <v>0.18179999999999999</v>
      </c>
      <c r="W379" s="32">
        <f>VLOOKUP(A379,Sheet2!A:H,4,FALSE)</f>
        <v>0.43</v>
      </c>
      <c r="X379" s="32">
        <f>VLOOKUP(A379,Sheet2!A:H,7,FALSE)</f>
        <v>5</v>
      </c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">
        <v>379</v>
      </c>
      <c r="B380" s="4" t="s">
        <v>31</v>
      </c>
      <c r="C380" s="4">
        <v>1</v>
      </c>
      <c r="D380" s="4">
        <v>0</v>
      </c>
      <c r="E380" s="4">
        <v>1</v>
      </c>
      <c r="F380" s="4">
        <v>6</v>
      </c>
      <c r="G380" s="4" t="b">
        <v>1</v>
      </c>
      <c r="H380" s="4">
        <v>1</v>
      </c>
      <c r="I380" s="4">
        <v>2</v>
      </c>
      <c r="J380" s="4">
        <v>0.18</v>
      </c>
      <c r="K380" s="6" t="str">
        <f>IF(H380=0,"weekend",IF(H380=6,"weekend","weekend"))</f>
        <v>weekend</v>
      </c>
      <c r="L380" s="3" t="str">
        <f>IF(C380=1,"Spring",IF(C380=2,"Summer",IF(C380=3,"Fall","Winter")))</f>
        <v>Spring</v>
      </c>
      <c r="M380" s="3">
        <f>SUM(J380:J404)</f>
        <v>4.6000000000000014</v>
      </c>
      <c r="N380" s="3">
        <f>AVERAGE(J380:J989)</f>
        <v>0.17999999999999991</v>
      </c>
      <c r="O380" s="3">
        <f>COUNT(J380:J989)</f>
        <v>232</v>
      </c>
      <c r="P380" s="3" t="str">
        <f>TEXT(J380,"0.00")</f>
        <v>0.18</v>
      </c>
      <c r="Q380" s="3" t="str">
        <f>LEFT(L380,3)</f>
        <v>Spr</v>
      </c>
      <c r="R380" s="7" t="str">
        <f>RIGHT(L380,3)</f>
        <v>ing</v>
      </c>
      <c r="S380" s="8">
        <f>LEN(L380)</f>
        <v>6</v>
      </c>
      <c r="T380" s="36" t="str">
        <f>A380&amp;"|"&amp;B380&amp;"|"&amp;F380</f>
        <v>379|17-01-2011|6</v>
      </c>
      <c r="V380" s="32">
        <f>VLOOKUP(A380,Sheet2!A:H,3,FALSE)</f>
        <v>0.18179999999999999</v>
      </c>
      <c r="W380" s="32">
        <f>VLOOKUP(A380,Sheet2!A:H,4,FALSE)</f>
        <v>0.5</v>
      </c>
      <c r="X380" s="32">
        <f>VLOOKUP(A380,Sheet2!A:H,7,FALSE)</f>
        <v>9</v>
      </c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">
        <v>380</v>
      </c>
      <c r="B381" s="4" t="s">
        <v>31</v>
      </c>
      <c r="C381" s="4">
        <v>1</v>
      </c>
      <c r="D381" s="4">
        <v>0</v>
      </c>
      <c r="E381" s="4">
        <v>1</v>
      </c>
      <c r="F381" s="4">
        <v>7</v>
      </c>
      <c r="G381" s="4" t="b">
        <v>1</v>
      </c>
      <c r="H381" s="4">
        <v>1</v>
      </c>
      <c r="I381" s="4">
        <v>2</v>
      </c>
      <c r="J381" s="4">
        <v>0.16</v>
      </c>
      <c r="K381" s="6" t="str">
        <f>IF(H381=0,"weekend",IF(H381=6,"weekend","weekend"))</f>
        <v>weekend</v>
      </c>
      <c r="L381" s="3" t="str">
        <f>IF(C381=1,"Spring",IF(C381=2,"Summer",IF(C381=3,"Fall","Winter")))</f>
        <v>Spring</v>
      </c>
      <c r="M381" s="3">
        <f>SUM(J381:J405)</f>
        <v>4.6400000000000006</v>
      </c>
      <c r="N381" s="3">
        <f>AVERAGE(J381:J990)</f>
        <v>0.17999999999999991</v>
      </c>
      <c r="O381" s="3">
        <f>COUNT(J381:J990)</f>
        <v>231</v>
      </c>
      <c r="P381" s="3" t="str">
        <f>TEXT(J381,"0.00")</f>
        <v>0.16</v>
      </c>
      <c r="Q381" s="3" t="str">
        <f>LEFT(L381,3)</f>
        <v>Spr</v>
      </c>
      <c r="R381" s="7" t="str">
        <f>RIGHT(L381,3)</f>
        <v>ing</v>
      </c>
      <c r="S381" s="8">
        <f>LEN(L381)</f>
        <v>6</v>
      </c>
      <c r="T381" s="36" t="str">
        <f>A381&amp;"|"&amp;B381&amp;"|"&amp;F381</f>
        <v>380|17-01-2011|7</v>
      </c>
      <c r="V381" s="32">
        <f>VLOOKUP(A381,Sheet2!A:H,3,FALSE)</f>
        <v>0.1515</v>
      </c>
      <c r="W381" s="32">
        <f>VLOOKUP(A381,Sheet2!A:H,4,FALSE)</f>
        <v>0.47</v>
      </c>
      <c r="X381" s="32">
        <f>VLOOKUP(A381,Sheet2!A:H,7,FALSE)</f>
        <v>30</v>
      </c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">
        <v>381</v>
      </c>
      <c r="B382" s="4" t="s">
        <v>31</v>
      </c>
      <c r="C382" s="4">
        <v>1</v>
      </c>
      <c r="D382" s="4">
        <v>0</v>
      </c>
      <c r="E382" s="4">
        <v>1</v>
      </c>
      <c r="F382" s="4">
        <v>8</v>
      </c>
      <c r="G382" s="4" t="b">
        <v>1</v>
      </c>
      <c r="H382" s="4">
        <v>1</v>
      </c>
      <c r="I382" s="4">
        <v>2</v>
      </c>
      <c r="J382" s="4">
        <v>0.16</v>
      </c>
      <c r="K382" s="6" t="str">
        <f>IF(H382=0,"weekend",IF(H382=6,"weekend","weekend"))</f>
        <v>weekend</v>
      </c>
      <c r="L382" s="3" t="str">
        <f>IF(C382=1,"Spring",IF(C382=2,"Summer",IF(C382=3,"Fall","Winter")))</f>
        <v>Spring</v>
      </c>
      <c r="M382" s="3">
        <f>SUM(J382:J406)</f>
        <v>4.7</v>
      </c>
      <c r="N382" s="3">
        <f>AVERAGE(J382:J991)</f>
        <v>0.18008695652173901</v>
      </c>
      <c r="O382" s="3">
        <f>COUNT(J382:J991)</f>
        <v>230</v>
      </c>
      <c r="P382" s="3" t="str">
        <f>TEXT(J382,"0.00")</f>
        <v>0.16</v>
      </c>
      <c r="Q382" s="3" t="str">
        <f>LEFT(L382,3)</f>
        <v>Spr</v>
      </c>
      <c r="R382" s="7" t="str">
        <f>RIGHT(L382,3)</f>
        <v>ing</v>
      </c>
      <c r="S382" s="8">
        <f>LEN(L382)</f>
        <v>6</v>
      </c>
      <c r="T382" s="36" t="str">
        <f>A382&amp;"|"&amp;B382&amp;"|"&amp;F382</f>
        <v>381|17-01-2011|8</v>
      </c>
      <c r="V382" s="32">
        <f>VLOOKUP(A382,Sheet2!A:H,3,FALSE)</f>
        <v>0.1515</v>
      </c>
      <c r="W382" s="32">
        <f>VLOOKUP(A382,Sheet2!A:H,4,FALSE)</f>
        <v>0.47</v>
      </c>
      <c r="X382" s="32">
        <f>VLOOKUP(A382,Sheet2!A:H,7,FALSE)</f>
        <v>39</v>
      </c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">
        <v>382</v>
      </c>
      <c r="B383" s="4" t="s">
        <v>31</v>
      </c>
      <c r="C383" s="4">
        <v>1</v>
      </c>
      <c r="D383" s="4">
        <v>0</v>
      </c>
      <c r="E383" s="4">
        <v>1</v>
      </c>
      <c r="F383" s="4">
        <v>9</v>
      </c>
      <c r="G383" s="4" t="b">
        <v>1</v>
      </c>
      <c r="H383" s="4">
        <v>1</v>
      </c>
      <c r="I383" s="4">
        <v>2</v>
      </c>
      <c r="J383" s="4">
        <v>0.16</v>
      </c>
      <c r="K383" s="6" t="str">
        <f>IF(H383=0,"weekend",IF(H383=6,"weekend","weekend"))</f>
        <v>weekend</v>
      </c>
      <c r="L383" s="3" t="str">
        <f>IF(C383=1,"Spring",IF(C383=2,"Summer",IF(C383=3,"Fall","Winter")))</f>
        <v>Spring</v>
      </c>
      <c r="M383" s="3">
        <f>SUM(J383:J407)</f>
        <v>4.7600000000000007</v>
      </c>
      <c r="N383" s="3">
        <f>AVERAGE(J383:J992)</f>
        <v>0.18017467248908289</v>
      </c>
      <c r="O383" s="3">
        <f>COUNT(J383:J992)</f>
        <v>229</v>
      </c>
      <c r="P383" s="3" t="str">
        <f>TEXT(J383,"0.00")</f>
        <v>0.16</v>
      </c>
      <c r="Q383" s="3" t="str">
        <f>LEFT(L383,3)</f>
        <v>Spr</v>
      </c>
      <c r="R383" s="7" t="str">
        <f>RIGHT(L383,3)</f>
        <v>ing</v>
      </c>
      <c r="S383" s="8">
        <f>LEN(L383)</f>
        <v>6</v>
      </c>
      <c r="T383" s="36" t="str">
        <f>A383&amp;"|"&amp;B383&amp;"|"&amp;F383</f>
        <v>382|17-01-2011|9</v>
      </c>
      <c r="V383" s="32">
        <f>VLOOKUP(A383,Sheet2!A:H,3,FALSE)</f>
        <v>0.1515</v>
      </c>
      <c r="W383" s="32">
        <f>VLOOKUP(A383,Sheet2!A:H,4,FALSE)</f>
        <v>0.5</v>
      </c>
      <c r="X383" s="32">
        <f>VLOOKUP(A383,Sheet2!A:H,7,FALSE)</f>
        <v>50</v>
      </c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">
        <v>383</v>
      </c>
      <c r="B384" s="4" t="s">
        <v>31</v>
      </c>
      <c r="C384" s="4">
        <v>1</v>
      </c>
      <c r="D384" s="4">
        <v>0</v>
      </c>
      <c r="E384" s="4">
        <v>1</v>
      </c>
      <c r="F384" s="4">
        <v>10</v>
      </c>
      <c r="G384" s="4" t="b">
        <v>1</v>
      </c>
      <c r="H384" s="4">
        <v>1</v>
      </c>
      <c r="I384" s="4">
        <v>2</v>
      </c>
      <c r="J384" s="4">
        <v>0.16</v>
      </c>
      <c r="K384" s="6" t="str">
        <f>IF(H384=0,"weekend",IF(H384=6,"weekend","weekend"))</f>
        <v>weekend</v>
      </c>
      <c r="L384" s="3" t="str">
        <f>IF(C384=1,"Spring",IF(C384=2,"Summer",IF(C384=3,"Fall","Winter")))</f>
        <v>Spring</v>
      </c>
      <c r="M384" s="3">
        <f>SUM(J384:J408)</f>
        <v>4.82</v>
      </c>
      <c r="N384" s="3">
        <f>AVERAGE(J384:J993)</f>
        <v>0.18026315789473676</v>
      </c>
      <c r="O384" s="3">
        <f>COUNT(J384:J993)</f>
        <v>228</v>
      </c>
      <c r="P384" s="3" t="str">
        <f>TEXT(J384,"0.00")</f>
        <v>0.16</v>
      </c>
      <c r="Q384" s="3" t="str">
        <f>LEFT(L384,3)</f>
        <v>Spr</v>
      </c>
      <c r="R384" s="7" t="str">
        <f>RIGHT(L384,3)</f>
        <v>ing</v>
      </c>
      <c r="S384" s="8">
        <f>LEN(L384)</f>
        <v>6</v>
      </c>
      <c r="T384" s="36" t="str">
        <f>A384&amp;"|"&amp;B384&amp;"|"&amp;F384</f>
        <v>383|17-01-2011|10</v>
      </c>
      <c r="V384" s="32">
        <f>VLOOKUP(A384,Sheet2!A:H,3,FALSE)</f>
        <v>0.1515</v>
      </c>
      <c r="W384" s="32">
        <f>VLOOKUP(A384,Sheet2!A:H,4,FALSE)</f>
        <v>0.55000000000000004</v>
      </c>
      <c r="X384" s="32">
        <f>VLOOKUP(A384,Sheet2!A:H,7,FALSE)</f>
        <v>55</v>
      </c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">
        <v>384</v>
      </c>
      <c r="B385" s="4" t="s">
        <v>31</v>
      </c>
      <c r="C385" s="4">
        <v>1</v>
      </c>
      <c r="D385" s="4">
        <v>0</v>
      </c>
      <c r="E385" s="4">
        <v>1</v>
      </c>
      <c r="F385" s="4">
        <v>11</v>
      </c>
      <c r="G385" s="4" t="b">
        <v>1</v>
      </c>
      <c r="H385" s="4">
        <v>1</v>
      </c>
      <c r="I385" s="4">
        <v>2</v>
      </c>
      <c r="J385" s="4">
        <v>0.16</v>
      </c>
      <c r="K385" s="6" t="str">
        <f>IF(H385=0,"weekend",IF(H385=6,"weekend","weekend"))</f>
        <v>weekend</v>
      </c>
      <c r="L385" s="3" t="str">
        <f>IF(C385=1,"Spring",IF(C385=2,"Summer",IF(C385=3,"Fall","Winter")))</f>
        <v>Spring</v>
      </c>
      <c r="M385" s="3">
        <f>SUM(J385:J409)</f>
        <v>4.88</v>
      </c>
      <c r="N385" s="3">
        <f>AVERAGE(J385:J994)</f>
        <v>0.1803524229074889</v>
      </c>
      <c r="O385" s="3">
        <f>COUNT(J385:J994)</f>
        <v>227</v>
      </c>
      <c r="P385" s="3" t="str">
        <f>TEXT(J385,"0.00")</f>
        <v>0.16</v>
      </c>
      <c r="Q385" s="3" t="str">
        <f>LEFT(L385,3)</f>
        <v>Spr</v>
      </c>
      <c r="R385" s="7" t="str">
        <f>RIGHT(L385,3)</f>
        <v>ing</v>
      </c>
      <c r="S385" s="8">
        <f>LEN(L385)</f>
        <v>6</v>
      </c>
      <c r="T385" s="36" t="str">
        <f>A385&amp;"|"&amp;B385&amp;"|"&amp;F385</f>
        <v>384|17-01-2011|11</v>
      </c>
      <c r="V385" s="32">
        <f>VLOOKUP(A385,Sheet2!A:H,3,FALSE)</f>
        <v>0.19700000000000001</v>
      </c>
      <c r="W385" s="32">
        <f>VLOOKUP(A385,Sheet2!A:H,4,FALSE)</f>
        <v>0.47</v>
      </c>
      <c r="X385" s="32">
        <f>VLOOKUP(A385,Sheet2!A:H,7,FALSE)</f>
        <v>70</v>
      </c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">
        <v>385</v>
      </c>
      <c r="B386" s="4" t="s">
        <v>31</v>
      </c>
      <c r="C386" s="4">
        <v>1</v>
      </c>
      <c r="D386" s="4">
        <v>0</v>
      </c>
      <c r="E386" s="4">
        <v>1</v>
      </c>
      <c r="F386" s="4">
        <v>12</v>
      </c>
      <c r="G386" s="4" t="b">
        <v>1</v>
      </c>
      <c r="H386" s="4">
        <v>1</v>
      </c>
      <c r="I386" s="4">
        <v>2</v>
      </c>
      <c r="J386" s="4">
        <v>0.18</v>
      </c>
      <c r="K386" s="6" t="str">
        <f>IF(H386=0,"weekend",IF(H386=6,"weekend","weekend"))</f>
        <v>weekend</v>
      </c>
      <c r="L386" s="3" t="str">
        <f>IF(C386=1,"Spring",IF(C386=2,"Summer",IF(C386=3,"Fall","Winter")))</f>
        <v>Spring</v>
      </c>
      <c r="M386" s="3">
        <f>SUM(J386:J410)</f>
        <v>4.9400000000000004</v>
      </c>
      <c r="N386" s="3">
        <f>AVERAGE(J386:J995)</f>
        <v>0.18044247787610615</v>
      </c>
      <c r="O386" s="3">
        <f>COUNT(J386:J995)</f>
        <v>226</v>
      </c>
      <c r="P386" s="3" t="str">
        <f>TEXT(J386,"0.00")</f>
        <v>0.18</v>
      </c>
      <c r="Q386" s="3" t="str">
        <f>LEFT(L386,3)</f>
        <v>Spr</v>
      </c>
      <c r="R386" s="7" t="str">
        <f>RIGHT(L386,3)</f>
        <v>ing</v>
      </c>
      <c r="S386" s="8">
        <f>LEN(L386)</f>
        <v>6</v>
      </c>
      <c r="T386" s="36" t="str">
        <f>A386&amp;"|"&amp;B386&amp;"|"&amp;F386</f>
        <v>385|17-01-2011|12</v>
      </c>
      <c r="V386" s="32">
        <f>VLOOKUP(A386,Sheet2!A:H,3,FALSE)</f>
        <v>0.19700000000000001</v>
      </c>
      <c r="W386" s="32">
        <f>VLOOKUP(A386,Sheet2!A:H,4,FALSE)</f>
        <v>0.47</v>
      </c>
      <c r="X386" s="32">
        <f>VLOOKUP(A386,Sheet2!A:H,7,FALSE)</f>
        <v>80</v>
      </c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">
        <v>386</v>
      </c>
      <c r="B387" s="4" t="s">
        <v>31</v>
      </c>
      <c r="C387" s="4">
        <v>1</v>
      </c>
      <c r="D387" s="4">
        <v>0</v>
      </c>
      <c r="E387" s="4">
        <v>1</v>
      </c>
      <c r="F387" s="4">
        <v>13</v>
      </c>
      <c r="G387" s="4" t="b">
        <v>1</v>
      </c>
      <c r="H387" s="4">
        <v>1</v>
      </c>
      <c r="I387" s="4">
        <v>2</v>
      </c>
      <c r="J387" s="4">
        <v>0.18</v>
      </c>
      <c r="K387" s="6" t="str">
        <f>IF(H387=0,"weekend",IF(H387=6,"weekend","weekend"))</f>
        <v>weekend</v>
      </c>
      <c r="L387" s="3" t="str">
        <f>IF(C387=1,"Spring",IF(C387=2,"Summer",IF(C387=3,"Fall","Winter")))</f>
        <v>Spring</v>
      </c>
      <c r="M387" s="3">
        <f>SUM(J387:J411)</f>
        <v>4.9800000000000004</v>
      </c>
      <c r="N387" s="3">
        <f>AVERAGE(J387:J996)</f>
        <v>0.18044444444444438</v>
      </c>
      <c r="O387" s="3">
        <f>COUNT(J387:J996)</f>
        <v>225</v>
      </c>
      <c r="P387" s="3" t="str">
        <f>TEXT(J387,"0.00")</f>
        <v>0.18</v>
      </c>
      <c r="Q387" s="3" t="str">
        <f>LEFT(L387,3)</f>
        <v>Spr</v>
      </c>
      <c r="R387" s="7" t="str">
        <f>RIGHT(L387,3)</f>
        <v>ing</v>
      </c>
      <c r="S387" s="8">
        <f>LEN(L387)</f>
        <v>6</v>
      </c>
      <c r="T387" s="36" t="str">
        <f>A387&amp;"|"&amp;B387&amp;"|"&amp;F387</f>
        <v>386|17-01-2011|13</v>
      </c>
      <c r="V387" s="32">
        <f>VLOOKUP(A387,Sheet2!A:H,3,FALSE)</f>
        <v>0.21210000000000001</v>
      </c>
      <c r="W387" s="32">
        <f>VLOOKUP(A387,Sheet2!A:H,4,FALSE)</f>
        <v>0.43</v>
      </c>
      <c r="X387" s="32">
        <f>VLOOKUP(A387,Sheet2!A:H,7,FALSE)</f>
        <v>74</v>
      </c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">
        <v>387</v>
      </c>
      <c r="B388" s="4" t="s">
        <v>31</v>
      </c>
      <c r="C388" s="4">
        <v>1</v>
      </c>
      <c r="D388" s="4">
        <v>0</v>
      </c>
      <c r="E388" s="4">
        <v>1</v>
      </c>
      <c r="F388" s="4">
        <v>14</v>
      </c>
      <c r="G388" s="4" t="b">
        <v>1</v>
      </c>
      <c r="H388" s="4">
        <v>1</v>
      </c>
      <c r="I388" s="4">
        <v>2</v>
      </c>
      <c r="J388" s="4">
        <v>0.18</v>
      </c>
      <c r="K388" s="6" t="str">
        <f>IF(H388=0,"weekend",IF(H388=6,"weekend","weekend"))</f>
        <v>weekend</v>
      </c>
      <c r="L388" s="3" t="str">
        <f>IF(C388=1,"Spring",IF(C388=2,"Summer",IF(C388=3,"Fall","Winter")))</f>
        <v>Spring</v>
      </c>
      <c r="M388" s="3">
        <f>SUM(J388:J412)</f>
        <v>5.0200000000000005</v>
      </c>
      <c r="N388" s="3">
        <f>AVERAGE(J388:J997)</f>
        <v>0.18044642857142848</v>
      </c>
      <c r="O388" s="3">
        <f>COUNT(J388:J997)</f>
        <v>224</v>
      </c>
      <c r="P388" s="3" t="str">
        <f>TEXT(J388,"0.00")</f>
        <v>0.18</v>
      </c>
      <c r="Q388" s="3" t="str">
        <f>LEFT(L388,3)</f>
        <v>Spr</v>
      </c>
      <c r="R388" s="7" t="str">
        <f>RIGHT(L388,3)</f>
        <v>ing</v>
      </c>
      <c r="S388" s="8">
        <f>LEN(L388)</f>
        <v>6</v>
      </c>
      <c r="T388" s="36" t="str">
        <f>A388&amp;"|"&amp;B388&amp;"|"&amp;F388</f>
        <v>387|17-01-2011|14</v>
      </c>
      <c r="V388" s="32">
        <f>VLOOKUP(A388,Sheet2!A:H,3,FALSE)</f>
        <v>0.21210000000000001</v>
      </c>
      <c r="W388" s="32">
        <f>VLOOKUP(A388,Sheet2!A:H,4,FALSE)</f>
        <v>0.47</v>
      </c>
      <c r="X388" s="32">
        <f>VLOOKUP(A388,Sheet2!A:H,7,FALSE)</f>
        <v>72</v>
      </c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">
        <v>388</v>
      </c>
      <c r="B389" s="4" t="s">
        <v>31</v>
      </c>
      <c r="C389" s="4">
        <v>1</v>
      </c>
      <c r="D389" s="4">
        <v>0</v>
      </c>
      <c r="E389" s="4">
        <v>1</v>
      </c>
      <c r="F389" s="4">
        <v>15</v>
      </c>
      <c r="G389" s="4" t="b">
        <v>1</v>
      </c>
      <c r="H389" s="4">
        <v>1</v>
      </c>
      <c r="I389" s="4">
        <v>2</v>
      </c>
      <c r="J389" s="4">
        <v>0.2</v>
      </c>
      <c r="K389" s="6" t="str">
        <f>IF(H389=0,"weekend",IF(H389=6,"weekend","weekend"))</f>
        <v>weekend</v>
      </c>
      <c r="L389" s="3" t="str">
        <f>IF(C389=1,"Spring",IF(C389=2,"Summer",IF(C389=3,"Fall","Winter")))</f>
        <v>Spring</v>
      </c>
      <c r="M389" s="3">
        <f>SUM(J389:J413)</f>
        <v>5.0600000000000005</v>
      </c>
      <c r="N389" s="3">
        <f>AVERAGE(J389:J998)</f>
        <v>0.18044843049327344</v>
      </c>
      <c r="O389" s="3">
        <f>COUNT(J389:J998)</f>
        <v>223</v>
      </c>
      <c r="P389" s="3" t="str">
        <f>TEXT(J389,"0.00")</f>
        <v>0.20</v>
      </c>
      <c r="Q389" s="3" t="str">
        <f>LEFT(L389,3)</f>
        <v>Spr</v>
      </c>
      <c r="R389" s="7" t="str">
        <f>RIGHT(L389,3)</f>
        <v>ing</v>
      </c>
      <c r="S389" s="8">
        <f>LEN(L389)</f>
        <v>6</v>
      </c>
      <c r="T389" s="36" t="str">
        <f>A389&amp;"|"&amp;B389&amp;"|"&amp;F389</f>
        <v>388|17-01-2011|15</v>
      </c>
      <c r="V389" s="32">
        <f>VLOOKUP(A389,Sheet2!A:H,3,FALSE)</f>
        <v>0.21210000000000001</v>
      </c>
      <c r="W389" s="32">
        <f>VLOOKUP(A389,Sheet2!A:H,4,FALSE)</f>
        <v>0.47</v>
      </c>
      <c r="X389" s="32">
        <f>VLOOKUP(A389,Sheet2!A:H,7,FALSE)</f>
        <v>76</v>
      </c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">
        <v>389</v>
      </c>
      <c r="B390" s="4" t="s">
        <v>31</v>
      </c>
      <c r="C390" s="4">
        <v>1</v>
      </c>
      <c r="D390" s="4">
        <v>0</v>
      </c>
      <c r="E390" s="4">
        <v>1</v>
      </c>
      <c r="F390" s="4">
        <v>16</v>
      </c>
      <c r="G390" s="4" t="b">
        <v>1</v>
      </c>
      <c r="H390" s="4">
        <v>1</v>
      </c>
      <c r="I390" s="4">
        <v>2</v>
      </c>
      <c r="J390" s="4">
        <v>0.2</v>
      </c>
      <c r="K390" s="6" t="str">
        <f>IF(H390=0,"weekend",IF(H390=6,"weekend","weekend"))</f>
        <v>weekend</v>
      </c>
      <c r="L390" s="3" t="str">
        <f>IF(C390=1,"Spring",IF(C390=2,"Summer",IF(C390=3,"Fall","Winter")))</f>
        <v>Spring</v>
      </c>
      <c r="M390" s="3">
        <f>SUM(J390:J414)</f>
        <v>5.080000000000001</v>
      </c>
      <c r="N390" s="3">
        <f>AVERAGE(J390:J999)</f>
        <v>0.18036036036036027</v>
      </c>
      <c r="O390" s="3">
        <f>COUNT(J390:J999)</f>
        <v>222</v>
      </c>
      <c r="P390" s="3" t="str">
        <f>TEXT(J390,"0.00")</f>
        <v>0.20</v>
      </c>
      <c r="Q390" s="3" t="str">
        <f>LEFT(L390,3)</f>
        <v>Spr</v>
      </c>
      <c r="R390" s="7" t="str">
        <f>RIGHT(L390,3)</f>
        <v>ing</v>
      </c>
      <c r="S390" s="8">
        <f>LEN(L390)</f>
        <v>6</v>
      </c>
      <c r="T390" s="36" t="str">
        <f>A390&amp;"|"&amp;B390&amp;"|"&amp;F390</f>
        <v>389|17-01-2011|16</v>
      </c>
      <c r="V390" s="32">
        <f>VLOOKUP(A390,Sheet2!A:H,3,FALSE)</f>
        <v>0.19700000000000001</v>
      </c>
      <c r="W390" s="32">
        <f>VLOOKUP(A390,Sheet2!A:H,4,FALSE)</f>
        <v>0.51</v>
      </c>
      <c r="X390" s="32">
        <f>VLOOKUP(A390,Sheet2!A:H,7,FALSE)</f>
        <v>67</v>
      </c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">
        <v>390</v>
      </c>
      <c r="B391" s="4" t="s">
        <v>31</v>
      </c>
      <c r="C391" s="4">
        <v>1</v>
      </c>
      <c r="D391" s="4">
        <v>0</v>
      </c>
      <c r="E391" s="4">
        <v>1</v>
      </c>
      <c r="F391" s="4">
        <v>17</v>
      </c>
      <c r="G391" s="4" t="b">
        <v>1</v>
      </c>
      <c r="H391" s="4">
        <v>1</v>
      </c>
      <c r="I391" s="4">
        <v>1</v>
      </c>
      <c r="J391" s="4">
        <v>0.2</v>
      </c>
      <c r="K391" s="6" t="str">
        <f>IF(H391=0,"weekend",IF(H391=6,"weekend","weekend"))</f>
        <v>weekend</v>
      </c>
      <c r="L391" s="3" t="str">
        <f>IF(C391=1,"Spring",IF(C391=2,"Summer",IF(C391=3,"Fall","Winter")))</f>
        <v>Spring</v>
      </c>
      <c r="M391" s="3">
        <f>SUM(J391:J415)</f>
        <v>5.1000000000000005</v>
      </c>
      <c r="N391" s="3">
        <f>AVERAGE(J391:J1000)</f>
        <v>0.18027149321266958</v>
      </c>
      <c r="O391" s="3">
        <f>COUNT(J391:J1000)</f>
        <v>221</v>
      </c>
      <c r="P391" s="3" t="str">
        <f>TEXT(J391,"0.00")</f>
        <v>0.20</v>
      </c>
      <c r="Q391" s="3" t="str">
        <f>LEFT(L391,3)</f>
        <v>Spr</v>
      </c>
      <c r="R391" s="7" t="str">
        <f>RIGHT(L391,3)</f>
        <v>ing</v>
      </c>
      <c r="S391" s="8">
        <f>LEN(L391)</f>
        <v>6</v>
      </c>
      <c r="T391" s="36" t="str">
        <f>A391&amp;"|"&amp;B391&amp;"|"&amp;F391</f>
        <v>390|17-01-2011|17</v>
      </c>
      <c r="V391" s="32">
        <f>VLOOKUP(A391,Sheet2!A:H,3,FALSE)</f>
        <v>0.16669999999999999</v>
      </c>
      <c r="W391" s="32">
        <f>VLOOKUP(A391,Sheet2!A:H,4,FALSE)</f>
        <v>0.55000000000000004</v>
      </c>
      <c r="X391" s="32">
        <f>VLOOKUP(A391,Sheet2!A:H,7,FALSE)</f>
        <v>85</v>
      </c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">
        <v>391</v>
      </c>
      <c r="B392" s="4" t="s">
        <v>31</v>
      </c>
      <c r="C392" s="4">
        <v>1</v>
      </c>
      <c r="D392" s="4">
        <v>0</v>
      </c>
      <c r="E392" s="4">
        <v>1</v>
      </c>
      <c r="F392" s="4">
        <v>18</v>
      </c>
      <c r="G392" s="4" t="b">
        <v>1</v>
      </c>
      <c r="H392" s="4">
        <v>1</v>
      </c>
      <c r="I392" s="4">
        <v>2</v>
      </c>
      <c r="J392" s="4">
        <v>0.18</v>
      </c>
      <c r="K392" s="6" t="str">
        <f>IF(H392=0,"weekend",IF(H392=6,"weekend","weekend"))</f>
        <v>weekend</v>
      </c>
      <c r="L392" s="3" t="str">
        <f>IF(C392=1,"Spring",IF(C392=2,"Summer",IF(C392=3,"Fall","Winter")))</f>
        <v>Spring</v>
      </c>
      <c r="M392" s="3">
        <f>SUM(J392:J416)</f>
        <v>5.1400000000000006</v>
      </c>
      <c r="N392" s="3">
        <f>AVERAGE(J392:J1001)</f>
        <v>0.18018181818181808</v>
      </c>
      <c r="O392" s="3">
        <f>COUNT(J392:J1001)</f>
        <v>220</v>
      </c>
      <c r="P392" s="3" t="str">
        <f>TEXT(J392,"0.00")</f>
        <v>0.18</v>
      </c>
      <c r="Q392" s="3" t="str">
        <f>LEFT(L392,3)</f>
        <v>Spr</v>
      </c>
      <c r="R392" s="7" t="str">
        <f>RIGHT(L392,3)</f>
        <v>ing</v>
      </c>
      <c r="S392" s="8">
        <f>LEN(L392)</f>
        <v>6</v>
      </c>
      <c r="T392" s="36" t="str">
        <f>A392&amp;"|"&amp;B392&amp;"|"&amp;F392</f>
        <v>391|17-01-2011|18</v>
      </c>
      <c r="V392" s="32">
        <f>VLOOKUP(A392,Sheet2!A:H,3,FALSE)</f>
        <v>0.18179999999999999</v>
      </c>
      <c r="W392" s="32">
        <f>VLOOKUP(A392,Sheet2!A:H,4,FALSE)</f>
        <v>0.59</v>
      </c>
      <c r="X392" s="32">
        <f>VLOOKUP(A392,Sheet2!A:H,7,FALSE)</f>
        <v>58</v>
      </c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">
        <v>392</v>
      </c>
      <c r="B393" s="4" t="s">
        <v>31</v>
      </c>
      <c r="C393" s="4">
        <v>1</v>
      </c>
      <c r="D393" s="4">
        <v>0</v>
      </c>
      <c r="E393" s="4">
        <v>1</v>
      </c>
      <c r="F393" s="4">
        <v>19</v>
      </c>
      <c r="G393" s="4" t="b">
        <v>1</v>
      </c>
      <c r="H393" s="4">
        <v>1</v>
      </c>
      <c r="I393" s="4">
        <v>3</v>
      </c>
      <c r="J393" s="4">
        <v>0.18</v>
      </c>
      <c r="K393" s="6" t="str">
        <f>IF(H393=0,"weekend",IF(H393=6,"weekend","weekend"))</f>
        <v>weekend</v>
      </c>
      <c r="L393" s="3" t="str">
        <f>IF(C393=1,"Spring",IF(C393=2,"Summer",IF(C393=3,"Fall","Winter")))</f>
        <v>Spring</v>
      </c>
      <c r="M393" s="3">
        <f>SUM(J393:J417)</f>
        <v>5.2000000000000011</v>
      </c>
      <c r="N393" s="3">
        <f>AVERAGE(J393:J1002)</f>
        <v>0.18018264840182638</v>
      </c>
      <c r="O393" s="3">
        <f>COUNT(J393:J1002)</f>
        <v>219</v>
      </c>
      <c r="P393" s="3" t="str">
        <f>TEXT(J393,"0.00")</f>
        <v>0.18</v>
      </c>
      <c r="Q393" s="3" t="str">
        <f>LEFT(L393,3)</f>
        <v>Spr</v>
      </c>
      <c r="R393" s="7" t="str">
        <f>RIGHT(L393,3)</f>
        <v>ing</v>
      </c>
      <c r="S393" s="8">
        <f>LEN(L393)</f>
        <v>6</v>
      </c>
      <c r="T393" s="36" t="str">
        <f>A393&amp;"|"&amp;B393&amp;"|"&amp;F393</f>
        <v>392|17-01-2011|19</v>
      </c>
      <c r="V393" s="32">
        <f>VLOOKUP(A393,Sheet2!A:H,3,FALSE)</f>
        <v>0.1515</v>
      </c>
      <c r="W393" s="32">
        <f>VLOOKUP(A393,Sheet2!A:H,4,FALSE)</f>
        <v>0.8</v>
      </c>
      <c r="X393" s="32">
        <f>VLOOKUP(A393,Sheet2!A:H,7,FALSE)</f>
        <v>29</v>
      </c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">
        <v>393</v>
      </c>
      <c r="B394" s="4" t="s">
        <v>31</v>
      </c>
      <c r="C394" s="4">
        <v>1</v>
      </c>
      <c r="D394" s="4">
        <v>0</v>
      </c>
      <c r="E394" s="4">
        <v>1</v>
      </c>
      <c r="F394" s="4">
        <v>20</v>
      </c>
      <c r="G394" s="4" t="b">
        <v>1</v>
      </c>
      <c r="H394" s="4">
        <v>1</v>
      </c>
      <c r="I394" s="4">
        <v>3</v>
      </c>
      <c r="J394" s="4">
        <v>0.16</v>
      </c>
      <c r="K394" s="6" t="str">
        <f>IF(H394=0,"weekend",IF(H394=6,"weekend","weekend"))</f>
        <v>weekend</v>
      </c>
      <c r="L394" s="3" t="str">
        <f>IF(C394=1,"Spring",IF(C394=2,"Summer",IF(C394=3,"Fall","Winter")))</f>
        <v>Spring</v>
      </c>
      <c r="M394" s="3">
        <f>SUM(J394:J418)</f>
        <v>5.2600000000000016</v>
      </c>
      <c r="N394" s="3">
        <f>AVERAGE(J394:J1003)</f>
        <v>0.18018348623853203</v>
      </c>
      <c r="O394" s="3">
        <f>COUNT(J394:J1003)</f>
        <v>218</v>
      </c>
      <c r="P394" s="3" t="str">
        <f>TEXT(J394,"0.00")</f>
        <v>0.16</v>
      </c>
      <c r="Q394" s="3" t="str">
        <f>LEFT(L394,3)</f>
        <v>Spr</v>
      </c>
      <c r="R394" s="7" t="str">
        <f>RIGHT(L394,3)</f>
        <v>ing</v>
      </c>
      <c r="S394" s="8">
        <f>LEN(L394)</f>
        <v>6</v>
      </c>
      <c r="T394" s="36" t="str">
        <f>A394&amp;"|"&amp;B394&amp;"|"&amp;F394</f>
        <v>393|17-01-2011|20</v>
      </c>
      <c r="V394" s="32">
        <f>VLOOKUP(A394,Sheet2!A:H,3,FALSE)</f>
        <v>0.1515</v>
      </c>
      <c r="W394" s="32">
        <f>VLOOKUP(A394,Sheet2!A:H,4,FALSE)</f>
        <v>0.8</v>
      </c>
      <c r="X394" s="32">
        <f>VLOOKUP(A394,Sheet2!A:H,7,FALSE)</f>
        <v>24</v>
      </c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">
        <v>394</v>
      </c>
      <c r="B395" s="4" t="s">
        <v>31</v>
      </c>
      <c r="C395" s="4">
        <v>1</v>
      </c>
      <c r="D395" s="4">
        <v>0</v>
      </c>
      <c r="E395" s="4">
        <v>1</v>
      </c>
      <c r="F395" s="4">
        <v>21</v>
      </c>
      <c r="G395" s="4" t="b">
        <v>1</v>
      </c>
      <c r="H395" s="4">
        <v>1</v>
      </c>
      <c r="I395" s="4">
        <v>3</v>
      </c>
      <c r="J395" s="4">
        <v>0.16</v>
      </c>
      <c r="K395" s="6" t="str">
        <f>IF(H395=0,"weekend",IF(H395=6,"weekend","weekend"))</f>
        <v>weekend</v>
      </c>
      <c r="L395" s="3" t="str">
        <f>IF(C395=1,"Spring",IF(C395=2,"Summer",IF(C395=3,"Fall","Winter")))</f>
        <v>Spring</v>
      </c>
      <c r="M395" s="3">
        <f>SUM(J395:J419)</f>
        <v>5.3600000000000021</v>
      </c>
      <c r="N395" s="3">
        <f>AVERAGE(J395:J1004)</f>
        <v>0.18027649769585241</v>
      </c>
      <c r="O395" s="3">
        <f>COUNT(J395:J1004)</f>
        <v>217</v>
      </c>
      <c r="P395" s="3" t="str">
        <f>TEXT(J395,"0.00")</f>
        <v>0.16</v>
      </c>
      <c r="Q395" s="3" t="str">
        <f>LEFT(L395,3)</f>
        <v>Spr</v>
      </c>
      <c r="R395" s="7" t="str">
        <f>RIGHT(L395,3)</f>
        <v>ing</v>
      </c>
      <c r="S395" s="8">
        <f>LEN(L395)</f>
        <v>6</v>
      </c>
      <c r="T395" s="36" t="str">
        <f>A395&amp;"|"&amp;B395&amp;"|"&amp;F395</f>
        <v>394|17-01-2011|21</v>
      </c>
      <c r="V395" s="32">
        <f>VLOOKUP(A395,Sheet2!A:H,3,FALSE)</f>
        <v>0.1212</v>
      </c>
      <c r="W395" s="32">
        <f>VLOOKUP(A395,Sheet2!A:H,4,FALSE)</f>
        <v>0.93</v>
      </c>
      <c r="X395" s="32">
        <f>VLOOKUP(A395,Sheet2!A:H,7,FALSE)</f>
        <v>13</v>
      </c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">
        <v>395</v>
      </c>
      <c r="B396" s="4" t="s">
        <v>31</v>
      </c>
      <c r="C396" s="4">
        <v>1</v>
      </c>
      <c r="D396" s="4">
        <v>0</v>
      </c>
      <c r="E396" s="4">
        <v>1</v>
      </c>
      <c r="F396" s="4">
        <v>22</v>
      </c>
      <c r="G396" s="4" t="b">
        <v>1</v>
      </c>
      <c r="H396" s="4">
        <v>1</v>
      </c>
      <c r="I396" s="4">
        <v>3</v>
      </c>
      <c r="J396" s="4">
        <v>0.14000000000000001</v>
      </c>
      <c r="K396" s="6" t="str">
        <f>IF(H396=0,"weekend",IF(H396=6,"weekend","weekend"))</f>
        <v>weekend</v>
      </c>
      <c r="L396" s="3" t="str">
        <f>IF(C396=1,"Spring",IF(C396=2,"Summer",IF(C396=3,"Fall","Winter")))</f>
        <v>Spring</v>
      </c>
      <c r="M396" s="3">
        <f>SUM(J396:J420)</f>
        <v>5.4800000000000022</v>
      </c>
      <c r="N396" s="3">
        <f>AVERAGE(J396:J1005)</f>
        <v>0.18037037037037024</v>
      </c>
      <c r="O396" s="3">
        <f>COUNT(J396:J1005)</f>
        <v>216</v>
      </c>
      <c r="P396" s="3" t="str">
        <f>TEXT(J396,"0.00")</f>
        <v>0.14</v>
      </c>
      <c r="Q396" s="3" t="str">
        <f>LEFT(L396,3)</f>
        <v>Spr</v>
      </c>
      <c r="R396" s="7" t="str">
        <f>RIGHT(L396,3)</f>
        <v>ing</v>
      </c>
      <c r="S396" s="8">
        <f>LEN(L396)</f>
        <v>6</v>
      </c>
      <c r="T396" s="36" t="str">
        <f>A396&amp;"|"&amp;B396&amp;"|"&amp;F396</f>
        <v>395|17-01-2011|22</v>
      </c>
      <c r="V396" s="32">
        <f>VLOOKUP(A396,Sheet2!A:H,3,FALSE)</f>
        <v>0.13639999999999999</v>
      </c>
      <c r="W396" s="32">
        <f>VLOOKUP(A396,Sheet2!A:H,4,FALSE)</f>
        <v>0.86</v>
      </c>
      <c r="X396" s="32">
        <f>VLOOKUP(A396,Sheet2!A:H,7,FALSE)</f>
        <v>3</v>
      </c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">
        <v>396</v>
      </c>
      <c r="B397" s="4" t="s">
        <v>31</v>
      </c>
      <c r="C397" s="4">
        <v>1</v>
      </c>
      <c r="D397" s="4">
        <v>0</v>
      </c>
      <c r="E397" s="4">
        <v>1</v>
      </c>
      <c r="F397" s="4">
        <v>23</v>
      </c>
      <c r="G397" s="4" t="b">
        <v>1</v>
      </c>
      <c r="H397" s="4">
        <v>1</v>
      </c>
      <c r="I397" s="4">
        <v>3</v>
      </c>
      <c r="J397" s="4">
        <v>0.16</v>
      </c>
      <c r="K397" s="6" t="str">
        <f>IF(H397=0,"weekend",IF(H397=6,"weekend","weekend"))</f>
        <v>weekend</v>
      </c>
      <c r="L397" s="3" t="str">
        <f>IF(C397=1,"Spring",IF(C397=2,"Summer",IF(C397=3,"Fall","Winter")))</f>
        <v>Spring</v>
      </c>
      <c r="M397" s="3">
        <f>SUM(J397:J421)</f>
        <v>5.6400000000000023</v>
      </c>
      <c r="N397" s="3">
        <f>AVERAGE(J397:J1006)</f>
        <v>0.18055813953488359</v>
      </c>
      <c r="O397" s="3">
        <f>COUNT(J397:J1006)</f>
        <v>215</v>
      </c>
      <c r="P397" s="3" t="str">
        <f>TEXT(J397,"0.00")</f>
        <v>0.16</v>
      </c>
      <c r="Q397" s="3" t="str">
        <f>LEFT(L397,3)</f>
        <v>Spr</v>
      </c>
      <c r="R397" s="7" t="str">
        <f>RIGHT(L397,3)</f>
        <v>ing</v>
      </c>
      <c r="S397" s="8">
        <f>LEN(L397)</f>
        <v>6</v>
      </c>
      <c r="T397" s="36" t="str">
        <f>A397&amp;"|"&amp;B397&amp;"|"&amp;F397</f>
        <v>396|17-01-2011|23</v>
      </c>
      <c r="V397" s="32">
        <f>VLOOKUP(A397,Sheet2!A:H,3,FALSE)</f>
        <v>0.18179999999999999</v>
      </c>
      <c r="W397" s="32">
        <f>VLOOKUP(A397,Sheet2!A:H,4,FALSE)</f>
        <v>0.86</v>
      </c>
      <c r="X397" s="32">
        <f>VLOOKUP(A397,Sheet2!A:H,7,FALSE)</f>
        <v>3</v>
      </c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">
        <v>397</v>
      </c>
      <c r="B398" s="4" t="s">
        <v>32</v>
      </c>
      <c r="C398" s="4">
        <v>1</v>
      </c>
      <c r="D398" s="4">
        <v>0</v>
      </c>
      <c r="E398" s="4">
        <v>1</v>
      </c>
      <c r="F398" s="4">
        <v>12</v>
      </c>
      <c r="G398" s="4" t="b">
        <v>0</v>
      </c>
      <c r="H398" s="4">
        <v>2</v>
      </c>
      <c r="I398" s="4">
        <v>2</v>
      </c>
      <c r="J398" s="4">
        <v>0.2</v>
      </c>
      <c r="K398" s="6" t="str">
        <f>IF(H398=0,"weekend",IF(H398=6,"weekend","weekend"))</f>
        <v>weekend</v>
      </c>
      <c r="L398" s="3" t="str">
        <f>IF(C398=1,"Spring",IF(C398=2,"Summer",IF(C398=3,"Fall","Winter")))</f>
        <v>Spring</v>
      </c>
      <c r="M398" s="3">
        <f>SUM(J398:J422)</f>
        <v>5.8800000000000026</v>
      </c>
      <c r="N398" s="3">
        <f>AVERAGE(J398:J1007)</f>
        <v>0.18065420560747653</v>
      </c>
      <c r="O398" s="3">
        <f>COUNT(J398:J1007)</f>
        <v>214</v>
      </c>
      <c r="P398" s="3" t="str">
        <f>TEXT(J398,"0.00")</f>
        <v>0.20</v>
      </c>
      <c r="Q398" s="3" t="str">
        <f>LEFT(L398,3)</f>
        <v>Spr</v>
      </c>
      <c r="R398" s="7" t="str">
        <f>RIGHT(L398,3)</f>
        <v>ing</v>
      </c>
      <c r="S398" s="8">
        <f>LEN(L398)</f>
        <v>6</v>
      </c>
      <c r="T398" s="36" t="str">
        <f>A398&amp;"|"&amp;B398&amp;"|"&amp;F398</f>
        <v>397|18-01-2011|12</v>
      </c>
      <c r="V398" s="32">
        <f>VLOOKUP(A398,Sheet2!A:H,3,FALSE)</f>
        <v>0.19700000000000001</v>
      </c>
      <c r="W398" s="32">
        <f>VLOOKUP(A398,Sheet2!A:H,4,FALSE)</f>
        <v>0.86</v>
      </c>
      <c r="X398" s="32">
        <f>VLOOKUP(A398,Sheet2!A:H,7,FALSE)</f>
        <v>22</v>
      </c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">
        <v>398</v>
      </c>
      <c r="B399" s="4" t="s">
        <v>32</v>
      </c>
      <c r="C399" s="4">
        <v>1</v>
      </c>
      <c r="D399" s="4">
        <v>0</v>
      </c>
      <c r="E399" s="4">
        <v>1</v>
      </c>
      <c r="F399" s="4">
        <v>13</v>
      </c>
      <c r="G399" s="4" t="b">
        <v>0</v>
      </c>
      <c r="H399" s="4">
        <v>2</v>
      </c>
      <c r="I399" s="4">
        <v>2</v>
      </c>
      <c r="J399" s="4">
        <v>0.2</v>
      </c>
      <c r="K399" s="6" t="str">
        <f>IF(H399=0,"weekend",IF(H399=6,"weekend","weekend"))</f>
        <v>weekend</v>
      </c>
      <c r="L399" s="3" t="str">
        <f>IF(C399=1,"Spring",IF(C399=2,"Summer",IF(C399=3,"Fall","Winter")))</f>
        <v>Spring</v>
      </c>
      <c r="M399" s="3">
        <f>SUM(J399:J423)</f>
        <v>6.0800000000000027</v>
      </c>
      <c r="N399" s="3">
        <f>AVERAGE(J399:J1008)</f>
        <v>0.18056338028169006</v>
      </c>
      <c r="O399" s="3">
        <f>COUNT(J399:J1008)</f>
        <v>213</v>
      </c>
      <c r="P399" s="3" t="str">
        <f>TEXT(J399,"0.00")</f>
        <v>0.20</v>
      </c>
      <c r="Q399" s="3" t="str">
        <f>LEFT(L399,3)</f>
        <v>Spr</v>
      </c>
      <c r="R399" s="7" t="str">
        <f>RIGHT(L399,3)</f>
        <v>ing</v>
      </c>
      <c r="S399" s="8">
        <f>LEN(L399)</f>
        <v>6</v>
      </c>
      <c r="T399" s="36" t="str">
        <f>A399&amp;"|"&amp;B399&amp;"|"&amp;F399</f>
        <v>398|18-01-2011|13</v>
      </c>
      <c r="V399" s="32">
        <f>VLOOKUP(A399,Sheet2!A:H,3,FALSE)</f>
        <v>0.2273</v>
      </c>
      <c r="W399" s="32">
        <f>VLOOKUP(A399,Sheet2!A:H,4,FALSE)</f>
        <v>0.8</v>
      </c>
      <c r="X399" s="32">
        <f>VLOOKUP(A399,Sheet2!A:H,7,FALSE)</f>
        <v>26</v>
      </c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">
        <v>399</v>
      </c>
      <c r="B400" s="4" t="s">
        <v>32</v>
      </c>
      <c r="C400" s="4">
        <v>1</v>
      </c>
      <c r="D400" s="4">
        <v>0</v>
      </c>
      <c r="E400" s="4">
        <v>1</v>
      </c>
      <c r="F400" s="4">
        <v>14</v>
      </c>
      <c r="G400" s="4" t="b">
        <v>0</v>
      </c>
      <c r="H400" s="4">
        <v>2</v>
      </c>
      <c r="I400" s="4">
        <v>2</v>
      </c>
      <c r="J400" s="4">
        <v>0.22</v>
      </c>
      <c r="K400" s="6" t="str">
        <f>IF(H400=0,"weekend",IF(H400=6,"weekend","weekend"))</f>
        <v>weekend</v>
      </c>
      <c r="L400" s="3" t="str">
        <f>IF(C400=1,"Spring",IF(C400=2,"Summer",IF(C400=3,"Fall","Winter")))</f>
        <v>Spring</v>
      </c>
      <c r="M400" s="3">
        <f>SUM(J400:J424)</f>
        <v>6.2800000000000029</v>
      </c>
      <c r="N400" s="3">
        <f>AVERAGE(J400:J1009)</f>
        <v>0.18047169811320743</v>
      </c>
      <c r="O400" s="3">
        <f>COUNT(J400:J1009)</f>
        <v>212</v>
      </c>
      <c r="P400" s="3" t="str">
        <f>TEXT(J400,"0.00")</f>
        <v>0.22</v>
      </c>
      <c r="Q400" s="3" t="str">
        <f>LEFT(L400,3)</f>
        <v>Spr</v>
      </c>
      <c r="R400" s="7" t="str">
        <f>RIGHT(L400,3)</f>
        <v>ing</v>
      </c>
      <c r="S400" s="8">
        <f>LEN(L400)</f>
        <v>6</v>
      </c>
      <c r="T400" s="36" t="str">
        <f>A400&amp;"|"&amp;B400&amp;"|"&amp;F400</f>
        <v>399|18-01-2011|14</v>
      </c>
      <c r="V400" s="32">
        <f>VLOOKUP(A400,Sheet2!A:H,3,FALSE)</f>
        <v>0.2273</v>
      </c>
      <c r="W400" s="32">
        <f>VLOOKUP(A400,Sheet2!A:H,4,FALSE)</f>
        <v>0.87</v>
      </c>
      <c r="X400" s="32">
        <f>VLOOKUP(A400,Sheet2!A:H,7,FALSE)</f>
        <v>32</v>
      </c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">
        <v>400</v>
      </c>
      <c r="B401" s="4" t="s">
        <v>32</v>
      </c>
      <c r="C401" s="4">
        <v>1</v>
      </c>
      <c r="D401" s="4">
        <v>0</v>
      </c>
      <c r="E401" s="4">
        <v>1</v>
      </c>
      <c r="F401" s="4">
        <v>15</v>
      </c>
      <c r="G401" s="4" t="b">
        <v>0</v>
      </c>
      <c r="H401" s="4">
        <v>2</v>
      </c>
      <c r="I401" s="4">
        <v>2</v>
      </c>
      <c r="J401" s="4">
        <v>0.22</v>
      </c>
      <c r="K401" s="6" t="str">
        <f>IF(H401=0,"weekend",IF(H401=6,"weekend","weekend"))</f>
        <v>weekend</v>
      </c>
      <c r="L401" s="3" t="str">
        <f>IF(C401=1,"Spring",IF(C401=2,"Summer",IF(C401=3,"Fall","Winter")))</f>
        <v>Spring</v>
      </c>
      <c r="M401" s="3">
        <f>SUM(J401:J425)</f>
        <v>6.4400000000000022</v>
      </c>
      <c r="N401" s="3">
        <f>AVERAGE(J401:J1010)</f>
        <v>0.18028436018957336</v>
      </c>
      <c r="O401" s="3">
        <f>COUNT(J401:J1010)</f>
        <v>211</v>
      </c>
      <c r="P401" s="3" t="str">
        <f>TEXT(J401,"0.00")</f>
        <v>0.22</v>
      </c>
      <c r="Q401" s="3" t="str">
        <f>LEFT(L401,3)</f>
        <v>Spr</v>
      </c>
      <c r="R401" s="7" t="str">
        <f>RIGHT(L401,3)</f>
        <v>ing</v>
      </c>
      <c r="S401" s="8">
        <f>LEN(L401)</f>
        <v>6</v>
      </c>
      <c r="T401" s="36" t="str">
        <f>A401&amp;"|"&amp;B401&amp;"|"&amp;F401</f>
        <v>400|18-01-2011|15</v>
      </c>
      <c r="V401" s="32">
        <f>VLOOKUP(A401,Sheet2!A:H,3,FALSE)</f>
        <v>0.2273</v>
      </c>
      <c r="W401" s="32">
        <f>VLOOKUP(A401,Sheet2!A:H,4,FALSE)</f>
        <v>0.87</v>
      </c>
      <c r="X401" s="32">
        <f>VLOOKUP(A401,Sheet2!A:H,7,FALSE)</f>
        <v>61</v>
      </c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">
        <v>401</v>
      </c>
      <c r="B402" s="4" t="s">
        <v>32</v>
      </c>
      <c r="C402" s="4">
        <v>1</v>
      </c>
      <c r="D402" s="4">
        <v>0</v>
      </c>
      <c r="E402" s="4">
        <v>1</v>
      </c>
      <c r="F402" s="4">
        <v>16</v>
      </c>
      <c r="G402" s="4" t="b">
        <v>0</v>
      </c>
      <c r="H402" s="4">
        <v>2</v>
      </c>
      <c r="I402" s="4">
        <v>2</v>
      </c>
      <c r="J402" s="4">
        <v>0.22</v>
      </c>
      <c r="K402" s="6" t="str">
        <f>IF(H402=0,"weekend",IF(H402=6,"weekend","weekend"))</f>
        <v>weekend</v>
      </c>
      <c r="L402" s="3" t="str">
        <f>IF(C402=1,"Spring",IF(C402=2,"Summer",IF(C402=3,"Fall","Winter")))</f>
        <v>Spring</v>
      </c>
      <c r="M402" s="3">
        <f>SUM(J402:J426)</f>
        <v>6.5800000000000027</v>
      </c>
      <c r="N402" s="3">
        <f>AVERAGE(J402:J1011)</f>
        <v>0.180095238095238</v>
      </c>
      <c r="O402" s="3">
        <f>COUNT(J402:J1011)</f>
        <v>210</v>
      </c>
      <c r="P402" s="3" t="str">
        <f>TEXT(J402,"0.00")</f>
        <v>0.22</v>
      </c>
      <c r="Q402" s="3" t="str">
        <f>LEFT(L402,3)</f>
        <v>Spr</v>
      </c>
      <c r="R402" s="7" t="str">
        <f>RIGHT(L402,3)</f>
        <v>ing</v>
      </c>
      <c r="S402" s="8">
        <f>LEN(L402)</f>
        <v>6</v>
      </c>
      <c r="T402" s="36" t="str">
        <f>A402&amp;"|"&amp;B402&amp;"|"&amp;F402</f>
        <v>401|18-01-2011|16</v>
      </c>
      <c r="V402" s="32">
        <f>VLOOKUP(A402,Sheet2!A:H,3,FALSE)</f>
        <v>0.2273</v>
      </c>
      <c r="W402" s="32">
        <f>VLOOKUP(A402,Sheet2!A:H,4,FALSE)</f>
        <v>0.82</v>
      </c>
      <c r="X402" s="32">
        <f>VLOOKUP(A402,Sheet2!A:H,7,FALSE)</f>
        <v>124</v>
      </c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">
        <v>402</v>
      </c>
      <c r="B403" s="4" t="s">
        <v>32</v>
      </c>
      <c r="C403" s="4">
        <v>1</v>
      </c>
      <c r="D403" s="4">
        <v>0</v>
      </c>
      <c r="E403" s="4">
        <v>1</v>
      </c>
      <c r="F403" s="4">
        <v>17</v>
      </c>
      <c r="G403" s="4" t="b">
        <v>0</v>
      </c>
      <c r="H403" s="4">
        <v>2</v>
      </c>
      <c r="I403" s="4">
        <v>2</v>
      </c>
      <c r="J403" s="4">
        <v>0.22</v>
      </c>
      <c r="K403" s="6" t="str">
        <f>IF(H403=0,"weekend",IF(H403=6,"weekend","weekend"))</f>
        <v>weekend</v>
      </c>
      <c r="L403" s="3" t="str">
        <f>IF(C403=1,"Spring",IF(C403=2,"Summer",IF(C403=3,"Fall","Winter")))</f>
        <v>Spring</v>
      </c>
      <c r="M403" s="3">
        <f>SUM(J403:J427)</f>
        <v>6.700000000000002</v>
      </c>
      <c r="N403" s="3">
        <f>AVERAGE(J403:J1012)</f>
        <v>0.17990430622009559</v>
      </c>
      <c r="O403" s="3">
        <f>COUNT(J403:J1012)</f>
        <v>209</v>
      </c>
      <c r="P403" s="3" t="str">
        <f>TEXT(J403,"0.00")</f>
        <v>0.22</v>
      </c>
      <c r="Q403" s="3" t="str">
        <f>LEFT(L403,3)</f>
        <v>Spr</v>
      </c>
      <c r="R403" s="7" t="str">
        <f>RIGHT(L403,3)</f>
        <v>ing</v>
      </c>
      <c r="S403" s="8">
        <f>LEN(L403)</f>
        <v>6</v>
      </c>
      <c r="T403" s="36" t="str">
        <f>A403&amp;"|"&amp;B403&amp;"|"&amp;F403</f>
        <v>402|18-01-2011|17</v>
      </c>
      <c r="V403" s="32">
        <f>VLOOKUP(A403,Sheet2!A:H,3,FALSE)</f>
        <v>0.2273</v>
      </c>
      <c r="W403" s="32">
        <f>VLOOKUP(A403,Sheet2!A:H,4,FALSE)</f>
        <v>0.8</v>
      </c>
      <c r="X403" s="32">
        <f>VLOOKUP(A403,Sheet2!A:H,7,FALSE)</f>
        <v>132</v>
      </c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">
        <v>403</v>
      </c>
      <c r="B404" s="4" t="s">
        <v>32</v>
      </c>
      <c r="C404" s="4">
        <v>1</v>
      </c>
      <c r="D404" s="4">
        <v>0</v>
      </c>
      <c r="E404" s="4">
        <v>1</v>
      </c>
      <c r="F404" s="4">
        <v>18</v>
      </c>
      <c r="G404" s="4" t="b">
        <v>0</v>
      </c>
      <c r="H404" s="4">
        <v>2</v>
      </c>
      <c r="I404" s="4">
        <v>2</v>
      </c>
      <c r="J404" s="4">
        <v>0.22</v>
      </c>
      <c r="K404" s="6" t="str">
        <f>IF(H404=0,"weekend",IF(H404=6,"weekend","weekend"))</f>
        <v>weekend</v>
      </c>
      <c r="L404" s="3" t="str">
        <f>IF(C404=1,"Spring",IF(C404=2,"Summer",IF(C404=3,"Fall","Winter")))</f>
        <v>Spring</v>
      </c>
      <c r="M404" s="3">
        <f>SUM(J404:J428)</f>
        <v>6.8000000000000025</v>
      </c>
      <c r="N404" s="3">
        <f>AVERAGE(J404:J1013)</f>
        <v>0.17971153846153837</v>
      </c>
      <c r="O404" s="3">
        <f>COUNT(J404:J1013)</f>
        <v>208</v>
      </c>
      <c r="P404" s="3" t="str">
        <f>TEXT(J404,"0.00")</f>
        <v>0.22</v>
      </c>
      <c r="Q404" s="3" t="str">
        <f>LEFT(L404,3)</f>
        <v>Spr</v>
      </c>
      <c r="R404" s="7" t="str">
        <f>RIGHT(L404,3)</f>
        <v>ing</v>
      </c>
      <c r="S404" s="8">
        <f>LEN(L404)</f>
        <v>6</v>
      </c>
      <c r="T404" s="36" t="str">
        <f>A404&amp;"|"&amp;B404&amp;"|"&amp;F404</f>
        <v>403|18-01-2011|18</v>
      </c>
      <c r="V404" s="32">
        <f>VLOOKUP(A404,Sheet2!A:H,3,FALSE)</f>
        <v>0.2273</v>
      </c>
      <c r="W404" s="32">
        <f>VLOOKUP(A404,Sheet2!A:H,4,FALSE)</f>
        <v>0.8</v>
      </c>
      <c r="X404" s="32">
        <f>VLOOKUP(A404,Sheet2!A:H,7,FALSE)</f>
        <v>98</v>
      </c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">
        <v>404</v>
      </c>
      <c r="B405" s="4" t="s">
        <v>32</v>
      </c>
      <c r="C405" s="4">
        <v>1</v>
      </c>
      <c r="D405" s="4">
        <v>0</v>
      </c>
      <c r="E405" s="4">
        <v>1</v>
      </c>
      <c r="F405" s="4">
        <v>19</v>
      </c>
      <c r="G405" s="4" t="b">
        <v>0</v>
      </c>
      <c r="H405" s="4">
        <v>2</v>
      </c>
      <c r="I405" s="4">
        <v>2</v>
      </c>
      <c r="J405" s="4">
        <v>0.22</v>
      </c>
      <c r="K405" s="6" t="str">
        <f>IF(H405=0,"weekend",IF(H405=6,"weekend","weekend"))</f>
        <v>weekend</v>
      </c>
      <c r="L405" s="3" t="str">
        <f>IF(C405=1,"Spring",IF(C405=2,"Summer",IF(C405=3,"Fall","Winter")))</f>
        <v>Spring</v>
      </c>
      <c r="M405" s="3">
        <f>SUM(J405:J429)</f>
        <v>6.9000000000000021</v>
      </c>
      <c r="N405" s="3">
        <f>AVERAGE(J405:J1014)</f>
        <v>0.17951690821256031</v>
      </c>
      <c r="O405" s="3">
        <f>COUNT(J405:J1014)</f>
        <v>207</v>
      </c>
      <c r="P405" s="3" t="str">
        <f>TEXT(J405,"0.00")</f>
        <v>0.22</v>
      </c>
      <c r="Q405" s="3" t="str">
        <f>LEFT(L405,3)</f>
        <v>Spr</v>
      </c>
      <c r="R405" s="7" t="str">
        <f>RIGHT(L405,3)</f>
        <v>ing</v>
      </c>
      <c r="S405" s="8">
        <f>LEN(L405)</f>
        <v>6</v>
      </c>
      <c r="T405" s="36" t="str">
        <f>A405&amp;"|"&amp;B405&amp;"|"&amp;F405</f>
        <v>404|18-01-2011|19</v>
      </c>
      <c r="V405" s="32">
        <f>VLOOKUP(A405,Sheet2!A:H,3,FALSE)</f>
        <v>0.2727</v>
      </c>
      <c r="W405" s="32">
        <f>VLOOKUP(A405,Sheet2!A:H,4,FALSE)</f>
        <v>0.87</v>
      </c>
      <c r="X405" s="32">
        <f>VLOOKUP(A405,Sheet2!A:H,7,FALSE)</f>
        <v>83</v>
      </c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">
        <v>405</v>
      </c>
      <c r="B406" s="4" t="s">
        <v>32</v>
      </c>
      <c r="C406" s="4">
        <v>1</v>
      </c>
      <c r="D406" s="4">
        <v>0</v>
      </c>
      <c r="E406" s="4">
        <v>1</v>
      </c>
      <c r="F406" s="4">
        <v>20</v>
      </c>
      <c r="G406" s="4" t="b">
        <v>0</v>
      </c>
      <c r="H406" s="4">
        <v>2</v>
      </c>
      <c r="I406" s="4">
        <v>2</v>
      </c>
      <c r="J406" s="4">
        <v>0.22</v>
      </c>
      <c r="K406" s="6" t="str">
        <f>IF(H406=0,"weekend",IF(H406=6,"weekend","weekend"))</f>
        <v>weekend</v>
      </c>
      <c r="L406" s="3" t="str">
        <f>IF(C406=1,"Spring",IF(C406=2,"Summer",IF(C406=3,"Fall","Winter")))</f>
        <v>Spring</v>
      </c>
      <c r="M406" s="3">
        <f>SUM(J406:J430)</f>
        <v>7.0000000000000027</v>
      </c>
      <c r="N406" s="3">
        <f>AVERAGE(J406:J1015)</f>
        <v>0.17932038834951447</v>
      </c>
      <c r="O406" s="3">
        <f>COUNT(J406:J1015)</f>
        <v>206</v>
      </c>
      <c r="P406" s="3" t="str">
        <f>TEXT(J406,"0.00")</f>
        <v>0.22</v>
      </c>
      <c r="Q406" s="3" t="str">
        <f>LEFT(L406,3)</f>
        <v>Spr</v>
      </c>
      <c r="R406" s="7" t="str">
        <f>RIGHT(L406,3)</f>
        <v>ing</v>
      </c>
      <c r="S406" s="8">
        <f>LEN(L406)</f>
        <v>6</v>
      </c>
      <c r="T406" s="36" t="str">
        <f>A406&amp;"|"&amp;B406&amp;"|"&amp;F406</f>
        <v>405|18-01-2011|20</v>
      </c>
      <c r="V406" s="32">
        <f>VLOOKUP(A406,Sheet2!A:H,3,FALSE)</f>
        <v>0.2424</v>
      </c>
      <c r="W406" s="32">
        <f>VLOOKUP(A406,Sheet2!A:H,4,FALSE)</f>
        <v>0.93</v>
      </c>
      <c r="X406" s="32">
        <f>VLOOKUP(A406,Sheet2!A:H,7,FALSE)</f>
        <v>41</v>
      </c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">
        <v>406</v>
      </c>
      <c r="B407" s="4" t="s">
        <v>32</v>
      </c>
      <c r="C407" s="4">
        <v>1</v>
      </c>
      <c r="D407" s="4">
        <v>0</v>
      </c>
      <c r="E407" s="4">
        <v>1</v>
      </c>
      <c r="F407" s="4">
        <v>21</v>
      </c>
      <c r="G407" s="4" t="b">
        <v>0</v>
      </c>
      <c r="H407" s="4">
        <v>2</v>
      </c>
      <c r="I407" s="4">
        <v>2</v>
      </c>
      <c r="J407" s="4">
        <v>0.22</v>
      </c>
      <c r="K407" s="6" t="str">
        <f>IF(H407=0,"weekend",IF(H407=6,"weekend","weekend"))</f>
        <v>weekend</v>
      </c>
      <c r="L407" s="3" t="str">
        <f>IF(C407=1,"Spring",IF(C407=2,"Summer",IF(C407=3,"Fall","Winter")))</f>
        <v>Spring</v>
      </c>
      <c r="M407" s="3">
        <f>SUM(J407:J431)</f>
        <v>7.080000000000001</v>
      </c>
      <c r="N407" s="3">
        <f>AVERAGE(J407:J1016)</f>
        <v>0.17912195121951213</v>
      </c>
      <c r="O407" s="3">
        <f>COUNT(J407:J1016)</f>
        <v>205</v>
      </c>
      <c r="P407" s="3" t="str">
        <f>TEXT(J407,"0.00")</f>
        <v>0.22</v>
      </c>
      <c r="Q407" s="3" t="str">
        <f>LEFT(L407,3)</f>
        <v>Spr</v>
      </c>
      <c r="R407" s="7" t="str">
        <f>RIGHT(L407,3)</f>
        <v>ing</v>
      </c>
      <c r="S407" s="8">
        <f>LEN(L407)</f>
        <v>6</v>
      </c>
      <c r="T407" s="36" t="str">
        <f>A407&amp;"|"&amp;B407&amp;"|"&amp;F407</f>
        <v>406|18-01-2011|21</v>
      </c>
      <c r="V407" s="32">
        <f>VLOOKUP(A407,Sheet2!A:H,3,FALSE)</f>
        <v>0.2576</v>
      </c>
      <c r="W407" s="32">
        <f>VLOOKUP(A407,Sheet2!A:H,4,FALSE)</f>
        <v>0.93</v>
      </c>
      <c r="X407" s="32">
        <f>VLOOKUP(A407,Sheet2!A:H,7,FALSE)</f>
        <v>33</v>
      </c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">
        <v>407</v>
      </c>
      <c r="B408" s="4" t="s">
        <v>32</v>
      </c>
      <c r="C408" s="4">
        <v>1</v>
      </c>
      <c r="D408" s="4">
        <v>0</v>
      </c>
      <c r="E408" s="4">
        <v>1</v>
      </c>
      <c r="F408" s="4">
        <v>22</v>
      </c>
      <c r="G408" s="4" t="b">
        <v>0</v>
      </c>
      <c r="H408" s="4">
        <v>2</v>
      </c>
      <c r="I408" s="4">
        <v>2</v>
      </c>
      <c r="J408" s="4">
        <v>0.22</v>
      </c>
      <c r="K408" s="6" t="str">
        <f>IF(H408=0,"weekend",IF(H408=6,"weekend","weekend"))</f>
        <v>weekend</v>
      </c>
      <c r="L408" s="3" t="str">
        <f>IF(C408=1,"Spring",IF(C408=2,"Summer",IF(C408=3,"Fall","Winter")))</f>
        <v>Spring</v>
      </c>
      <c r="M408" s="3">
        <f>SUM(J408:J432)</f>
        <v>7.160000000000001</v>
      </c>
      <c r="N408" s="3">
        <f>AVERAGE(J408:J1017)</f>
        <v>0.17892156862745087</v>
      </c>
      <c r="O408" s="3">
        <f>COUNT(J408:J1017)</f>
        <v>204</v>
      </c>
      <c r="P408" s="3" t="str">
        <f>TEXT(J408,"0.00")</f>
        <v>0.22</v>
      </c>
      <c r="Q408" s="3" t="str">
        <f>LEFT(L408,3)</f>
        <v>Spr</v>
      </c>
      <c r="R408" s="7" t="str">
        <f>RIGHT(L408,3)</f>
        <v>ing</v>
      </c>
      <c r="S408" s="8">
        <f>LEN(L408)</f>
        <v>6</v>
      </c>
      <c r="T408" s="36" t="str">
        <f>A408&amp;"|"&amp;B408&amp;"|"&amp;F408</f>
        <v>407|18-01-2011|22</v>
      </c>
      <c r="V408" s="32">
        <f>VLOOKUP(A408,Sheet2!A:H,3,FALSE)</f>
        <v>0.2727</v>
      </c>
      <c r="W408" s="32">
        <f>VLOOKUP(A408,Sheet2!A:H,4,FALSE)</f>
        <v>0.93</v>
      </c>
      <c r="X408" s="32">
        <f>VLOOKUP(A408,Sheet2!A:H,7,FALSE)</f>
        <v>19</v>
      </c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">
        <v>408</v>
      </c>
      <c r="B409" s="4" t="s">
        <v>32</v>
      </c>
      <c r="C409" s="4">
        <v>1</v>
      </c>
      <c r="D409" s="4">
        <v>0</v>
      </c>
      <c r="E409" s="4">
        <v>1</v>
      </c>
      <c r="F409" s="4">
        <v>23</v>
      </c>
      <c r="G409" s="4" t="b">
        <v>0</v>
      </c>
      <c r="H409" s="4">
        <v>2</v>
      </c>
      <c r="I409" s="4">
        <v>2</v>
      </c>
      <c r="J409" s="4">
        <v>0.22</v>
      </c>
      <c r="K409" s="6" t="str">
        <f>IF(H409=0,"weekend",IF(H409=6,"weekend","weekend"))</f>
        <v>weekend</v>
      </c>
      <c r="L409" s="3" t="str">
        <f>IF(C409=1,"Spring",IF(C409=2,"Summer",IF(C409=3,"Fall","Winter")))</f>
        <v>Spring</v>
      </c>
      <c r="M409" s="3">
        <f>SUM(J409:J433)</f>
        <v>7.2</v>
      </c>
      <c r="N409" s="3">
        <f>AVERAGE(J409:J1018)</f>
        <v>0.17871921182266001</v>
      </c>
      <c r="O409" s="3">
        <f>COUNT(J409:J1018)</f>
        <v>203</v>
      </c>
      <c r="P409" s="3" t="str">
        <f>TEXT(J409,"0.00")</f>
        <v>0.22</v>
      </c>
      <c r="Q409" s="3" t="str">
        <f>LEFT(L409,3)</f>
        <v>Spr</v>
      </c>
      <c r="R409" s="7" t="str">
        <f>RIGHT(L409,3)</f>
        <v>ing</v>
      </c>
      <c r="S409" s="8">
        <f>LEN(L409)</f>
        <v>6</v>
      </c>
      <c r="T409" s="36" t="str">
        <f>A409&amp;"|"&amp;B409&amp;"|"&amp;F409</f>
        <v>408|18-01-2011|23</v>
      </c>
      <c r="V409" s="32">
        <f>VLOOKUP(A409,Sheet2!A:H,3,FALSE)</f>
        <v>0.2727</v>
      </c>
      <c r="W409" s="32">
        <f>VLOOKUP(A409,Sheet2!A:H,4,FALSE)</f>
        <v>0.93</v>
      </c>
      <c r="X409" s="32">
        <f>VLOOKUP(A409,Sheet2!A:H,7,FALSE)</f>
        <v>3</v>
      </c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">
        <v>409</v>
      </c>
      <c r="B410" s="4" t="s">
        <v>33</v>
      </c>
      <c r="C410" s="4">
        <v>1</v>
      </c>
      <c r="D410" s="4">
        <v>0</v>
      </c>
      <c r="E410" s="4">
        <v>1</v>
      </c>
      <c r="F410" s="4">
        <v>0</v>
      </c>
      <c r="G410" s="4" t="b">
        <v>0</v>
      </c>
      <c r="H410" s="4">
        <v>3</v>
      </c>
      <c r="I410" s="4">
        <v>2</v>
      </c>
      <c r="J410" s="4">
        <v>0.22</v>
      </c>
      <c r="K410" s="6" t="str">
        <f>IF(H410=0,"weekend",IF(H410=6,"weekend","weekend"))</f>
        <v>weekend</v>
      </c>
      <c r="L410" s="3" t="str">
        <f>IF(C410=1,"Spring",IF(C410=2,"Summer",IF(C410=3,"Fall","Winter")))</f>
        <v>Spring</v>
      </c>
      <c r="M410" s="3">
        <f>SUM(J410:J434)</f>
        <v>7.24</v>
      </c>
      <c r="N410" s="3">
        <f>AVERAGE(J410:J1019)</f>
        <v>0.17851485148514842</v>
      </c>
      <c r="O410" s="3">
        <f>COUNT(J410:J1019)</f>
        <v>202</v>
      </c>
      <c r="P410" s="3" t="str">
        <f>TEXT(J410,"0.00")</f>
        <v>0.22</v>
      </c>
      <c r="Q410" s="3" t="str">
        <f>LEFT(L410,3)</f>
        <v>Spr</v>
      </c>
      <c r="R410" s="7" t="str">
        <f>RIGHT(L410,3)</f>
        <v>ing</v>
      </c>
      <c r="S410" s="8">
        <f>LEN(L410)</f>
        <v>6</v>
      </c>
      <c r="T410" s="36" t="str">
        <f>A410&amp;"|"&amp;B410&amp;"|"&amp;F410</f>
        <v>409|19-01-2011|0</v>
      </c>
      <c r="V410" s="32">
        <f>VLOOKUP(A410,Sheet2!A:H,3,FALSE)</f>
        <v>0.2273</v>
      </c>
      <c r="W410" s="32">
        <f>VLOOKUP(A410,Sheet2!A:H,4,FALSE)</f>
        <v>0.93</v>
      </c>
      <c r="X410" s="32">
        <f>VLOOKUP(A410,Sheet2!A:H,7,FALSE)</f>
        <v>6</v>
      </c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">
        <v>410</v>
      </c>
      <c r="B411" s="4" t="s">
        <v>33</v>
      </c>
      <c r="C411" s="4">
        <v>1</v>
      </c>
      <c r="D411" s="4">
        <v>0</v>
      </c>
      <c r="E411" s="4">
        <v>1</v>
      </c>
      <c r="F411" s="4">
        <v>1</v>
      </c>
      <c r="G411" s="4" t="b">
        <v>0</v>
      </c>
      <c r="H411" s="4">
        <v>3</v>
      </c>
      <c r="I411" s="4">
        <v>3</v>
      </c>
      <c r="J411" s="4">
        <v>0.22</v>
      </c>
      <c r="K411" s="6" t="str">
        <f>IF(H411=0,"weekend",IF(H411=6,"weekend","weekend"))</f>
        <v>weekend</v>
      </c>
      <c r="L411" s="3" t="str">
        <f>IF(C411=1,"Spring",IF(C411=2,"Summer",IF(C411=3,"Fall","Winter")))</f>
        <v>Spring</v>
      </c>
      <c r="M411" s="3">
        <f>SUM(J411:J435)</f>
        <v>7.28</v>
      </c>
      <c r="N411" s="3">
        <f>AVERAGE(J411:J1020)</f>
        <v>0.17830845771144266</v>
      </c>
      <c r="O411" s="3">
        <f>COUNT(J411:J1020)</f>
        <v>201</v>
      </c>
      <c r="P411" s="3" t="str">
        <f>TEXT(J411,"0.00")</f>
        <v>0.22</v>
      </c>
      <c r="Q411" s="3" t="str">
        <f>LEFT(L411,3)</f>
        <v>Spr</v>
      </c>
      <c r="R411" s="7" t="str">
        <f>RIGHT(L411,3)</f>
        <v>ing</v>
      </c>
      <c r="S411" s="8">
        <f>LEN(L411)</f>
        <v>6</v>
      </c>
      <c r="T411" s="36" t="str">
        <f>A411&amp;"|"&amp;B411&amp;"|"&amp;F411</f>
        <v>410|19-01-2011|1</v>
      </c>
      <c r="V411" s="32">
        <f>VLOOKUP(A411,Sheet2!A:H,3,FALSE)</f>
        <v>0.2273</v>
      </c>
      <c r="W411" s="32">
        <f>VLOOKUP(A411,Sheet2!A:H,4,FALSE)</f>
        <v>0.93</v>
      </c>
      <c r="X411" s="32">
        <f>VLOOKUP(A411,Sheet2!A:H,7,FALSE)</f>
        <v>3</v>
      </c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">
        <v>411</v>
      </c>
      <c r="B412" s="4" t="s">
        <v>33</v>
      </c>
      <c r="C412" s="4">
        <v>1</v>
      </c>
      <c r="D412" s="4">
        <v>0</v>
      </c>
      <c r="E412" s="4">
        <v>1</v>
      </c>
      <c r="F412" s="4">
        <v>2</v>
      </c>
      <c r="G412" s="4" t="b">
        <v>0</v>
      </c>
      <c r="H412" s="4">
        <v>3</v>
      </c>
      <c r="I412" s="4">
        <v>3</v>
      </c>
      <c r="J412" s="4">
        <v>0.22</v>
      </c>
      <c r="K412" s="6" t="str">
        <f>IF(H412=0,"weekend",IF(H412=6,"weekend","weekend"))</f>
        <v>weekend</v>
      </c>
      <c r="L412" s="3" t="str">
        <f>IF(C412=1,"Spring",IF(C412=2,"Summer",IF(C412=3,"Fall","Winter")))</f>
        <v>Spring</v>
      </c>
      <c r="M412" s="3">
        <f>SUM(J412:J436)</f>
        <v>7.3199999999999994</v>
      </c>
      <c r="N412" s="3">
        <f>AVERAGE(J412:J1021)</f>
        <v>0.17809999999999984</v>
      </c>
      <c r="O412" s="3">
        <f>COUNT(J412:J1021)</f>
        <v>200</v>
      </c>
      <c r="P412" s="3" t="str">
        <f>TEXT(J412,"0.00")</f>
        <v>0.22</v>
      </c>
      <c r="Q412" s="3" t="str">
        <f>LEFT(L412,3)</f>
        <v>Spr</v>
      </c>
      <c r="R412" s="7" t="str">
        <f>RIGHT(L412,3)</f>
        <v>ing</v>
      </c>
      <c r="S412" s="8">
        <f>LEN(L412)</f>
        <v>6</v>
      </c>
      <c r="T412" s="36" t="str">
        <f>A412&amp;"|"&amp;B412&amp;"|"&amp;F412</f>
        <v>411|19-01-2011|2</v>
      </c>
      <c r="V412" s="32">
        <f>VLOOKUP(A412,Sheet2!A:H,3,FALSE)</f>
        <v>0.2273</v>
      </c>
      <c r="W412" s="32">
        <f>VLOOKUP(A412,Sheet2!A:H,4,FALSE)</f>
        <v>0.93</v>
      </c>
      <c r="X412" s="32">
        <f>VLOOKUP(A412,Sheet2!A:H,7,FALSE)</f>
        <v>1</v>
      </c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">
        <v>412</v>
      </c>
      <c r="B413" s="4" t="s">
        <v>33</v>
      </c>
      <c r="C413" s="4">
        <v>1</v>
      </c>
      <c r="D413" s="4">
        <v>0</v>
      </c>
      <c r="E413" s="4">
        <v>1</v>
      </c>
      <c r="F413" s="4">
        <v>4</v>
      </c>
      <c r="G413" s="4" t="b">
        <v>0</v>
      </c>
      <c r="H413" s="4">
        <v>3</v>
      </c>
      <c r="I413" s="4">
        <v>3</v>
      </c>
      <c r="J413" s="4">
        <v>0.22</v>
      </c>
      <c r="K413" s="6" t="str">
        <f>IF(H413=0,"weekend",IF(H413=6,"weekend","weekend"))</f>
        <v>weekend</v>
      </c>
      <c r="L413" s="3" t="str">
        <f>IF(C413=1,"Spring",IF(C413=2,"Summer",IF(C413=3,"Fall","Winter")))</f>
        <v>Spring</v>
      </c>
      <c r="M413" s="3">
        <f>SUM(J413:J437)</f>
        <v>7.3599999999999994</v>
      </c>
      <c r="N413" s="3">
        <f>AVERAGE(J413:J1022)</f>
        <v>0.17788944723618075</v>
      </c>
      <c r="O413" s="3">
        <f>COUNT(J413:J1022)</f>
        <v>199</v>
      </c>
      <c r="P413" s="3" t="str">
        <f>TEXT(J413,"0.00")</f>
        <v>0.22</v>
      </c>
      <c r="Q413" s="3" t="str">
        <f>LEFT(L413,3)</f>
        <v>Spr</v>
      </c>
      <c r="R413" s="7" t="str">
        <f>RIGHT(L413,3)</f>
        <v>ing</v>
      </c>
      <c r="S413" s="8">
        <f>LEN(L413)</f>
        <v>6</v>
      </c>
      <c r="T413" s="36" t="str">
        <f>A413&amp;"|"&amp;B413&amp;"|"&amp;F413</f>
        <v>412|19-01-2011|4</v>
      </c>
      <c r="V413" s="32">
        <f>VLOOKUP(A413,Sheet2!A:H,3,FALSE)</f>
        <v>0.2576</v>
      </c>
      <c r="W413" s="32">
        <f>VLOOKUP(A413,Sheet2!A:H,4,FALSE)</f>
        <v>0.93</v>
      </c>
      <c r="X413" s="32">
        <f>VLOOKUP(A413,Sheet2!A:H,7,FALSE)</f>
        <v>7</v>
      </c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">
        <v>413</v>
      </c>
      <c r="B414" s="4" t="s">
        <v>33</v>
      </c>
      <c r="C414" s="4">
        <v>1</v>
      </c>
      <c r="D414" s="4">
        <v>0</v>
      </c>
      <c r="E414" s="4">
        <v>1</v>
      </c>
      <c r="F414" s="4">
        <v>5</v>
      </c>
      <c r="G414" s="4" t="b">
        <v>0</v>
      </c>
      <c r="H414" s="4">
        <v>3</v>
      </c>
      <c r="I414" s="4">
        <v>2</v>
      </c>
      <c r="J414" s="4">
        <v>0.22</v>
      </c>
      <c r="K414" s="6" t="str">
        <f>IF(H414=0,"weekend",IF(H414=6,"weekend","weekend"))</f>
        <v>weekend</v>
      </c>
      <c r="L414" s="3" t="str">
        <f>IF(C414=1,"Spring",IF(C414=2,"Summer",IF(C414=3,"Fall","Winter")))</f>
        <v>Spring</v>
      </c>
      <c r="M414" s="3">
        <f>SUM(J414:J438)</f>
        <v>7.379999999999999</v>
      </c>
      <c r="N414" s="3">
        <f>AVERAGE(J414:J1023)</f>
        <v>0.17767676767676754</v>
      </c>
      <c r="O414" s="3">
        <f>COUNT(J414:J1023)</f>
        <v>198</v>
      </c>
      <c r="P414" s="3" t="str">
        <f>TEXT(J414,"0.00")</f>
        <v>0.22</v>
      </c>
      <c r="Q414" s="3" t="str">
        <f>LEFT(L414,3)</f>
        <v>Spr</v>
      </c>
      <c r="R414" s="7" t="str">
        <f>RIGHT(L414,3)</f>
        <v>ing</v>
      </c>
      <c r="S414" s="8">
        <f>LEN(L414)</f>
        <v>6</v>
      </c>
      <c r="T414" s="36" t="str">
        <f>A414&amp;"|"&amp;B414&amp;"|"&amp;F414</f>
        <v>413|19-01-2011|5</v>
      </c>
      <c r="V414" s="32">
        <f>VLOOKUP(A414,Sheet2!A:H,3,FALSE)</f>
        <v>0.2576</v>
      </c>
      <c r="W414" s="32">
        <f>VLOOKUP(A414,Sheet2!A:H,4,FALSE)</f>
        <v>0.93</v>
      </c>
      <c r="X414" s="32">
        <f>VLOOKUP(A414,Sheet2!A:H,7,FALSE)</f>
        <v>32</v>
      </c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">
        <v>414</v>
      </c>
      <c r="B415" s="4" t="s">
        <v>33</v>
      </c>
      <c r="C415" s="4">
        <v>1</v>
      </c>
      <c r="D415" s="4">
        <v>0</v>
      </c>
      <c r="E415" s="4">
        <v>1</v>
      </c>
      <c r="F415" s="4">
        <v>6</v>
      </c>
      <c r="G415" s="4" t="b">
        <v>0</v>
      </c>
      <c r="H415" s="4">
        <v>3</v>
      </c>
      <c r="I415" s="4">
        <v>2</v>
      </c>
      <c r="J415" s="4">
        <v>0.22</v>
      </c>
      <c r="K415" s="6" t="str">
        <f>IF(H415=0,"weekend",IF(H415=6,"weekend","weekend"))</f>
        <v>weekend</v>
      </c>
      <c r="L415" s="3" t="str">
        <f>IF(C415=1,"Spring",IF(C415=2,"Summer",IF(C415=3,"Fall","Winter")))</f>
        <v>Spring</v>
      </c>
      <c r="M415" s="3">
        <f>SUM(J415:J439)</f>
        <v>7.379999999999999</v>
      </c>
      <c r="N415" s="3">
        <f>AVERAGE(J415:J1024)</f>
        <v>0.17746192893400997</v>
      </c>
      <c r="O415" s="3">
        <f>COUNT(J415:J1024)</f>
        <v>197</v>
      </c>
      <c r="P415" s="3" t="str">
        <f>TEXT(J415,"0.00")</f>
        <v>0.22</v>
      </c>
      <c r="Q415" s="3" t="str">
        <f>LEFT(L415,3)</f>
        <v>Spr</v>
      </c>
      <c r="R415" s="7" t="str">
        <f>RIGHT(L415,3)</f>
        <v>ing</v>
      </c>
      <c r="S415" s="8">
        <f>LEN(L415)</f>
        <v>6</v>
      </c>
      <c r="T415" s="36" t="str">
        <f>A415&amp;"|"&amp;B415&amp;"|"&amp;F415</f>
        <v>414|19-01-2011|6</v>
      </c>
      <c r="V415" s="32">
        <f>VLOOKUP(A415,Sheet2!A:H,3,FALSE)</f>
        <v>0.2576</v>
      </c>
      <c r="W415" s="32">
        <f>VLOOKUP(A415,Sheet2!A:H,4,FALSE)</f>
        <v>0.92</v>
      </c>
      <c r="X415" s="32">
        <f>VLOOKUP(A415,Sheet2!A:H,7,FALSE)</f>
        <v>89</v>
      </c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">
        <v>415</v>
      </c>
      <c r="B416" s="4" t="s">
        <v>33</v>
      </c>
      <c r="C416" s="4">
        <v>1</v>
      </c>
      <c r="D416" s="4">
        <v>0</v>
      </c>
      <c r="E416" s="4">
        <v>1</v>
      </c>
      <c r="F416" s="4">
        <v>7</v>
      </c>
      <c r="G416" s="4" t="b">
        <v>0</v>
      </c>
      <c r="H416" s="4">
        <v>3</v>
      </c>
      <c r="I416" s="4">
        <v>2</v>
      </c>
      <c r="J416" s="4">
        <v>0.24</v>
      </c>
      <c r="K416" s="6" t="str">
        <f>IF(H416=0,"weekend",IF(H416=6,"weekend","weekend"))</f>
        <v>weekend</v>
      </c>
      <c r="L416" s="3" t="str">
        <f>IF(C416=1,"Spring",IF(C416=2,"Summer",IF(C416=3,"Fall","Winter")))</f>
        <v>Spring</v>
      </c>
      <c r="M416" s="3">
        <f>SUM(J416:J440)</f>
        <v>7.3799999999999981</v>
      </c>
      <c r="N416" s="3">
        <f>AVERAGE(J416:J1025)</f>
        <v>0.17724489795918349</v>
      </c>
      <c r="O416" s="3">
        <f>COUNT(J416:J1025)</f>
        <v>196</v>
      </c>
      <c r="P416" s="3" t="str">
        <f>TEXT(J416,"0.00")</f>
        <v>0.24</v>
      </c>
      <c r="Q416" s="3" t="str">
        <f>LEFT(L416,3)</f>
        <v>Spr</v>
      </c>
      <c r="R416" s="7" t="str">
        <f>RIGHT(L416,3)</f>
        <v>ing</v>
      </c>
      <c r="S416" s="8">
        <f>LEN(L416)</f>
        <v>6</v>
      </c>
      <c r="T416" s="36" t="str">
        <f>A416&amp;"|"&amp;B416&amp;"|"&amp;F416</f>
        <v>415|19-01-2011|7</v>
      </c>
      <c r="V416" s="32">
        <f>VLOOKUP(A416,Sheet2!A:H,3,FALSE)</f>
        <v>0.2576</v>
      </c>
      <c r="W416" s="32">
        <f>VLOOKUP(A416,Sheet2!A:H,4,FALSE)</f>
        <v>0.93</v>
      </c>
      <c r="X416" s="32">
        <f>VLOOKUP(A416,Sheet2!A:H,7,FALSE)</f>
        <v>196</v>
      </c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">
        <v>416</v>
      </c>
      <c r="B417" s="4" t="s">
        <v>33</v>
      </c>
      <c r="C417" s="4">
        <v>1</v>
      </c>
      <c r="D417" s="4">
        <v>0</v>
      </c>
      <c r="E417" s="4">
        <v>1</v>
      </c>
      <c r="F417" s="4">
        <v>8</v>
      </c>
      <c r="G417" s="4" t="b">
        <v>0</v>
      </c>
      <c r="H417" s="4">
        <v>3</v>
      </c>
      <c r="I417" s="4">
        <v>2</v>
      </c>
      <c r="J417" s="4">
        <v>0.24</v>
      </c>
      <c r="K417" s="6" t="str">
        <f>IF(H417=0,"weekend",IF(H417=6,"weekend","weekend"))</f>
        <v>weekend</v>
      </c>
      <c r="L417" s="3" t="str">
        <f>IF(C417=1,"Spring",IF(C417=2,"Summer",IF(C417=3,"Fall","Winter")))</f>
        <v>Spring</v>
      </c>
      <c r="M417" s="3">
        <f>SUM(J417:J441)</f>
        <v>7.3599999999999977</v>
      </c>
      <c r="N417" s="3">
        <f>AVERAGE(J417:J1026)</f>
        <v>0.17692307692307674</v>
      </c>
      <c r="O417" s="3">
        <f>COUNT(J417:J1026)</f>
        <v>195</v>
      </c>
      <c r="P417" s="3" t="str">
        <f>TEXT(J417,"0.00")</f>
        <v>0.24</v>
      </c>
      <c r="Q417" s="3" t="str">
        <f>LEFT(L417,3)</f>
        <v>Spr</v>
      </c>
      <c r="R417" s="7" t="str">
        <f>RIGHT(L417,3)</f>
        <v>ing</v>
      </c>
      <c r="S417" s="8">
        <f>LEN(L417)</f>
        <v>6</v>
      </c>
      <c r="T417" s="36" t="str">
        <f>A417&amp;"|"&amp;B417&amp;"|"&amp;F417</f>
        <v>416|19-01-2011|8</v>
      </c>
      <c r="V417" s="32">
        <f>VLOOKUP(A417,Sheet2!A:H,3,FALSE)</f>
        <v>0.2576</v>
      </c>
      <c r="W417" s="32">
        <f>VLOOKUP(A417,Sheet2!A:H,4,FALSE)</f>
        <v>0.93</v>
      </c>
      <c r="X417" s="32">
        <f>VLOOKUP(A417,Sheet2!A:H,7,FALSE)</f>
        <v>107</v>
      </c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">
        <v>417</v>
      </c>
      <c r="B418" s="4" t="s">
        <v>33</v>
      </c>
      <c r="C418" s="4">
        <v>1</v>
      </c>
      <c r="D418" s="4">
        <v>0</v>
      </c>
      <c r="E418" s="4">
        <v>1</v>
      </c>
      <c r="F418" s="4">
        <v>9</v>
      </c>
      <c r="G418" s="4" t="b">
        <v>0</v>
      </c>
      <c r="H418" s="4">
        <v>3</v>
      </c>
      <c r="I418" s="4">
        <v>2</v>
      </c>
      <c r="J418" s="4">
        <v>0.24</v>
      </c>
      <c r="K418" s="6" t="str">
        <f>IF(H418=0,"weekend",IF(H418=6,"weekend","weekend"))</f>
        <v>weekend</v>
      </c>
      <c r="L418" s="3" t="str">
        <f>IF(C418=1,"Spring",IF(C418=2,"Summer",IF(C418=3,"Fall","Winter")))</f>
        <v>Spring</v>
      </c>
      <c r="M418" s="3">
        <f>SUM(J418:J442)</f>
        <v>7.3599999999999977</v>
      </c>
      <c r="N418" s="3">
        <f>AVERAGE(J418:J1027)</f>
        <v>0.1765979381443297</v>
      </c>
      <c r="O418" s="3">
        <f>COUNT(J418:J1027)</f>
        <v>194</v>
      </c>
      <c r="P418" s="3" t="str">
        <f>TEXT(J418,"0.00")</f>
        <v>0.24</v>
      </c>
      <c r="Q418" s="3" t="str">
        <f>LEFT(L418,3)</f>
        <v>Spr</v>
      </c>
      <c r="R418" s="7" t="str">
        <f>RIGHT(L418,3)</f>
        <v>ing</v>
      </c>
      <c r="S418" s="8">
        <f>LEN(L418)</f>
        <v>6</v>
      </c>
      <c r="T418" s="36" t="str">
        <f>A418&amp;"|"&amp;B418&amp;"|"&amp;F418</f>
        <v>417|19-01-2011|9</v>
      </c>
      <c r="V418" s="32">
        <f>VLOOKUP(A418,Sheet2!A:H,3,FALSE)</f>
        <v>0.2727</v>
      </c>
      <c r="W418" s="32">
        <f>VLOOKUP(A418,Sheet2!A:H,4,FALSE)</f>
        <v>0.93</v>
      </c>
      <c r="X418" s="32">
        <f>VLOOKUP(A418,Sheet2!A:H,7,FALSE)</f>
        <v>46</v>
      </c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">
        <v>418</v>
      </c>
      <c r="B419" s="4" t="s">
        <v>33</v>
      </c>
      <c r="C419" s="4">
        <v>1</v>
      </c>
      <c r="D419" s="4">
        <v>0</v>
      </c>
      <c r="E419" s="4">
        <v>1</v>
      </c>
      <c r="F419" s="4">
        <v>10</v>
      </c>
      <c r="G419" s="4" t="b">
        <v>0</v>
      </c>
      <c r="H419" s="4">
        <v>3</v>
      </c>
      <c r="I419" s="4">
        <v>2</v>
      </c>
      <c r="J419" s="4">
        <v>0.26</v>
      </c>
      <c r="K419" s="6" t="str">
        <f>IF(H419=0,"weekend",IF(H419=6,"weekend","weekend"))</f>
        <v>weekend</v>
      </c>
      <c r="L419" s="3" t="str">
        <f>IF(C419=1,"Spring",IF(C419=2,"Summer",IF(C419=3,"Fall","Winter")))</f>
        <v>Spring</v>
      </c>
      <c r="M419" s="3">
        <f>SUM(J419:J443)</f>
        <v>7.3799999999999972</v>
      </c>
      <c r="N419" s="3">
        <f>AVERAGE(J419:J1028)</f>
        <v>0.17626943005181323</v>
      </c>
      <c r="O419" s="3">
        <f>COUNT(J419:J1028)</f>
        <v>193</v>
      </c>
      <c r="P419" s="3" t="str">
        <f>TEXT(J419,"0.00")</f>
        <v>0.26</v>
      </c>
      <c r="Q419" s="3" t="str">
        <f>LEFT(L419,3)</f>
        <v>Spr</v>
      </c>
      <c r="R419" s="7" t="str">
        <f>RIGHT(L419,3)</f>
        <v>ing</v>
      </c>
      <c r="S419" s="8">
        <f>LEN(L419)</f>
        <v>6</v>
      </c>
      <c r="T419" s="36" t="str">
        <f>A419&amp;"|"&amp;B419&amp;"|"&amp;F419</f>
        <v>418|19-01-2011|10</v>
      </c>
      <c r="V419" s="32">
        <f>VLOOKUP(A419,Sheet2!A:H,3,FALSE)</f>
        <v>0.30299999999999999</v>
      </c>
      <c r="W419" s="32">
        <f>VLOOKUP(A419,Sheet2!A:H,4,FALSE)</f>
        <v>0.87</v>
      </c>
      <c r="X419" s="32">
        <f>VLOOKUP(A419,Sheet2!A:H,7,FALSE)</f>
        <v>47</v>
      </c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">
        <v>419</v>
      </c>
      <c r="B420" s="4" t="s">
        <v>33</v>
      </c>
      <c r="C420" s="4">
        <v>1</v>
      </c>
      <c r="D420" s="4">
        <v>0</v>
      </c>
      <c r="E420" s="4">
        <v>1</v>
      </c>
      <c r="F420" s="4">
        <v>11</v>
      </c>
      <c r="G420" s="4" t="b">
        <v>0</v>
      </c>
      <c r="H420" s="4">
        <v>3</v>
      </c>
      <c r="I420" s="4">
        <v>2</v>
      </c>
      <c r="J420" s="4">
        <v>0.28000000000000003</v>
      </c>
      <c r="K420" s="6" t="str">
        <f>IF(H420=0,"weekend",IF(H420=6,"weekend","weekend"))</f>
        <v>weekend</v>
      </c>
      <c r="L420" s="3" t="str">
        <f>IF(C420=1,"Spring",IF(C420=2,"Summer",IF(C420=3,"Fall","Winter")))</f>
        <v>Spring</v>
      </c>
      <c r="M420" s="3">
        <f>SUM(J420:J444)</f>
        <v>7.3999999999999977</v>
      </c>
      <c r="N420" s="3">
        <f>AVERAGE(J420:J1029)</f>
        <v>0.17583333333333309</v>
      </c>
      <c r="O420" s="3">
        <f>COUNT(J420:J1029)</f>
        <v>192</v>
      </c>
      <c r="P420" s="3" t="str">
        <f>TEXT(J420,"0.00")</f>
        <v>0.28</v>
      </c>
      <c r="Q420" s="3" t="str">
        <f>LEFT(L420,3)</f>
        <v>Spr</v>
      </c>
      <c r="R420" s="7" t="str">
        <f>RIGHT(L420,3)</f>
        <v>ing</v>
      </c>
      <c r="S420" s="8">
        <f>LEN(L420)</f>
        <v>6</v>
      </c>
      <c r="T420" s="36" t="str">
        <f>A420&amp;"|"&amp;B420&amp;"|"&amp;F420</f>
        <v>419|19-01-2011|11</v>
      </c>
      <c r="V420" s="32">
        <f>VLOOKUP(A420,Sheet2!A:H,3,FALSE)</f>
        <v>0.31819999999999998</v>
      </c>
      <c r="W420" s="32">
        <f>VLOOKUP(A420,Sheet2!A:H,4,FALSE)</f>
        <v>0.81</v>
      </c>
      <c r="X420" s="32">
        <f>VLOOKUP(A420,Sheet2!A:H,7,FALSE)</f>
        <v>65</v>
      </c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">
        <v>420</v>
      </c>
      <c r="B421" s="4" t="s">
        <v>33</v>
      </c>
      <c r="C421" s="4">
        <v>1</v>
      </c>
      <c r="D421" s="4">
        <v>0</v>
      </c>
      <c r="E421" s="4">
        <v>1</v>
      </c>
      <c r="F421" s="4">
        <v>12</v>
      </c>
      <c r="G421" s="4" t="b">
        <v>0</v>
      </c>
      <c r="H421" s="4">
        <v>3</v>
      </c>
      <c r="I421" s="4">
        <v>2</v>
      </c>
      <c r="J421" s="4">
        <v>0.3</v>
      </c>
      <c r="K421" s="6" t="str">
        <f>IF(H421=0,"weekend",IF(H421=6,"weekend","weekend"))</f>
        <v>weekend</v>
      </c>
      <c r="L421" s="3" t="str">
        <f>IF(C421=1,"Spring",IF(C421=2,"Summer",IF(C421=3,"Fall","Winter")))</f>
        <v>Spring</v>
      </c>
      <c r="M421" s="3">
        <f>SUM(J421:J445)</f>
        <v>7.4199999999999973</v>
      </c>
      <c r="N421" s="3">
        <f>AVERAGE(J421:J1030)</f>
        <v>0.17528795811518308</v>
      </c>
      <c r="O421" s="3">
        <f>COUNT(J421:J1030)</f>
        <v>191</v>
      </c>
      <c r="P421" s="3" t="str">
        <f>TEXT(J421,"0.00")</f>
        <v>0.30</v>
      </c>
      <c r="Q421" s="3" t="str">
        <f>LEFT(L421,3)</f>
        <v>Spr</v>
      </c>
      <c r="R421" s="7" t="str">
        <f>RIGHT(L421,3)</f>
        <v>ing</v>
      </c>
      <c r="S421" s="8">
        <f>LEN(L421)</f>
        <v>6</v>
      </c>
      <c r="T421" s="36" t="str">
        <f>A421&amp;"|"&amp;B421&amp;"|"&amp;F421</f>
        <v>420|19-01-2011|12</v>
      </c>
      <c r="V421" s="32">
        <f>VLOOKUP(A421,Sheet2!A:H,3,FALSE)</f>
        <v>0.40910000000000002</v>
      </c>
      <c r="W421" s="32">
        <f>VLOOKUP(A421,Sheet2!A:H,4,FALSE)</f>
        <v>0.62</v>
      </c>
      <c r="X421" s="32">
        <f>VLOOKUP(A421,Sheet2!A:H,7,FALSE)</f>
        <v>67</v>
      </c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">
        <v>421</v>
      </c>
      <c r="B422" s="4" t="s">
        <v>33</v>
      </c>
      <c r="C422" s="4">
        <v>1</v>
      </c>
      <c r="D422" s="4">
        <v>0</v>
      </c>
      <c r="E422" s="4">
        <v>1</v>
      </c>
      <c r="F422" s="4">
        <v>13</v>
      </c>
      <c r="G422" s="4" t="b">
        <v>0</v>
      </c>
      <c r="H422" s="4">
        <v>3</v>
      </c>
      <c r="I422" s="4">
        <v>1</v>
      </c>
      <c r="J422" s="4">
        <v>0.4</v>
      </c>
      <c r="K422" s="6" t="str">
        <f>IF(H422=0,"weekend",IF(H422=6,"weekend","weekend"))</f>
        <v>weekend</v>
      </c>
      <c r="L422" s="3" t="str">
        <f>IF(C422=1,"Spring",IF(C422=2,"Summer",IF(C422=3,"Fall","Winter")))</f>
        <v>Spring</v>
      </c>
      <c r="M422" s="3">
        <f>SUM(J422:J446)</f>
        <v>7.3999999999999977</v>
      </c>
      <c r="N422" s="3">
        <f>AVERAGE(J422:J1031)</f>
        <v>0.17463157894736828</v>
      </c>
      <c r="O422" s="3">
        <f>COUNT(J422:J1031)</f>
        <v>190</v>
      </c>
      <c r="P422" s="3" t="str">
        <f>TEXT(J422,"0.00")</f>
        <v>0.40</v>
      </c>
      <c r="Q422" s="3" t="str">
        <f>LEFT(L422,3)</f>
        <v>Spr</v>
      </c>
      <c r="R422" s="7" t="str">
        <f>RIGHT(L422,3)</f>
        <v>ing</v>
      </c>
      <c r="S422" s="8">
        <f>LEN(L422)</f>
        <v>6</v>
      </c>
      <c r="T422" s="36" t="str">
        <f>A422&amp;"|"&amp;B422&amp;"|"&amp;F422</f>
        <v>421|19-01-2011|13</v>
      </c>
      <c r="V422" s="32">
        <f>VLOOKUP(A422,Sheet2!A:H,3,FALSE)</f>
        <v>0.40910000000000002</v>
      </c>
      <c r="W422" s="32">
        <f>VLOOKUP(A422,Sheet2!A:H,4,FALSE)</f>
        <v>0.57999999999999996</v>
      </c>
      <c r="X422" s="32">
        <f>VLOOKUP(A422,Sheet2!A:H,7,FALSE)</f>
        <v>68</v>
      </c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">
        <v>422</v>
      </c>
      <c r="B423" s="4" t="s">
        <v>33</v>
      </c>
      <c r="C423" s="4">
        <v>1</v>
      </c>
      <c r="D423" s="4">
        <v>0</v>
      </c>
      <c r="E423" s="4">
        <v>1</v>
      </c>
      <c r="F423" s="4">
        <v>14</v>
      </c>
      <c r="G423" s="4" t="b">
        <v>0</v>
      </c>
      <c r="H423" s="4">
        <v>3</v>
      </c>
      <c r="I423" s="4">
        <v>1</v>
      </c>
      <c r="J423" s="4">
        <v>0.4</v>
      </c>
      <c r="K423" s="6" t="str">
        <f>IF(H423=0,"weekend",IF(H423=6,"weekend","weekend"))</f>
        <v>weekend</v>
      </c>
      <c r="L423" s="3" t="str">
        <f>IF(C423=1,"Spring",IF(C423=2,"Summer",IF(C423=3,"Fall","Winter")))</f>
        <v>Spring</v>
      </c>
      <c r="M423" s="3">
        <f>SUM(J423:J447)</f>
        <v>7.299999999999998</v>
      </c>
      <c r="N423" s="3">
        <f>AVERAGE(J423:J1032)</f>
        <v>0.17343915343915328</v>
      </c>
      <c r="O423" s="3">
        <f>COUNT(J423:J1032)</f>
        <v>189</v>
      </c>
      <c r="P423" s="3" t="str">
        <f>TEXT(J423,"0.00")</f>
        <v>0.40</v>
      </c>
      <c r="Q423" s="3" t="str">
        <f>LEFT(L423,3)</f>
        <v>Spr</v>
      </c>
      <c r="R423" s="7" t="str">
        <f>RIGHT(L423,3)</f>
        <v>ing</v>
      </c>
      <c r="S423" s="8">
        <f>LEN(L423)</f>
        <v>6</v>
      </c>
      <c r="T423" s="36" t="str">
        <f>A423&amp;"|"&amp;B423&amp;"|"&amp;F423</f>
        <v>422|19-01-2011|14</v>
      </c>
      <c r="V423" s="32">
        <f>VLOOKUP(A423,Sheet2!A:H,3,FALSE)</f>
        <v>0.40910000000000002</v>
      </c>
      <c r="W423" s="32">
        <f>VLOOKUP(A423,Sheet2!A:H,4,FALSE)</f>
        <v>0.54</v>
      </c>
      <c r="X423" s="32">
        <f>VLOOKUP(A423,Sheet2!A:H,7,FALSE)</f>
        <v>78</v>
      </c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">
        <v>423</v>
      </c>
      <c r="B424" s="4" t="s">
        <v>33</v>
      </c>
      <c r="C424" s="4">
        <v>1</v>
      </c>
      <c r="D424" s="4">
        <v>0</v>
      </c>
      <c r="E424" s="4">
        <v>1</v>
      </c>
      <c r="F424" s="4">
        <v>15</v>
      </c>
      <c r="G424" s="4" t="b">
        <v>0</v>
      </c>
      <c r="H424" s="4">
        <v>3</v>
      </c>
      <c r="I424" s="4">
        <v>1</v>
      </c>
      <c r="J424" s="4">
        <v>0.4</v>
      </c>
      <c r="K424" s="6" t="str">
        <f>IF(H424=0,"weekend",IF(H424=6,"weekend","weekend"))</f>
        <v>weekend</v>
      </c>
      <c r="L424" s="3" t="str">
        <f>IF(C424=1,"Spring",IF(C424=2,"Summer",IF(C424=3,"Fall","Winter")))</f>
        <v>Spring</v>
      </c>
      <c r="M424" s="3">
        <f>SUM(J424:J448)</f>
        <v>7.2199999999999989</v>
      </c>
      <c r="N424" s="3">
        <f>AVERAGE(J424:J1033)</f>
        <v>0.1722340425531913</v>
      </c>
      <c r="O424" s="3">
        <f>COUNT(J424:J1033)</f>
        <v>188</v>
      </c>
      <c r="P424" s="3" t="str">
        <f>TEXT(J424,"0.00")</f>
        <v>0.40</v>
      </c>
      <c r="Q424" s="3" t="str">
        <f>LEFT(L424,3)</f>
        <v>Spr</v>
      </c>
      <c r="R424" s="7" t="str">
        <f>RIGHT(L424,3)</f>
        <v>ing</v>
      </c>
      <c r="S424" s="8">
        <f>LEN(L424)</f>
        <v>6</v>
      </c>
      <c r="T424" s="36" t="str">
        <f>A424&amp;"|"&amp;B424&amp;"|"&amp;F424</f>
        <v>423|19-01-2011|15</v>
      </c>
      <c r="V424" s="32">
        <f>VLOOKUP(A424,Sheet2!A:H,3,FALSE)</f>
        <v>0.39389999999999997</v>
      </c>
      <c r="W424" s="32">
        <f>VLOOKUP(A424,Sheet2!A:H,4,FALSE)</f>
        <v>0.57999999999999996</v>
      </c>
      <c r="X424" s="32">
        <f>VLOOKUP(A424,Sheet2!A:H,7,FALSE)</f>
        <v>94</v>
      </c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">
        <v>424</v>
      </c>
      <c r="B425" s="4" t="s">
        <v>33</v>
      </c>
      <c r="C425" s="4">
        <v>1</v>
      </c>
      <c r="D425" s="4">
        <v>0</v>
      </c>
      <c r="E425" s="4">
        <v>1</v>
      </c>
      <c r="F425" s="4">
        <v>16</v>
      </c>
      <c r="G425" s="4" t="b">
        <v>0</v>
      </c>
      <c r="H425" s="4">
        <v>3</v>
      </c>
      <c r="I425" s="4">
        <v>1</v>
      </c>
      <c r="J425" s="4">
        <v>0.38</v>
      </c>
      <c r="K425" s="6" t="str">
        <f>IF(H425=0,"weekend",IF(H425=6,"weekend","weekend"))</f>
        <v>weekend</v>
      </c>
      <c r="L425" s="3" t="str">
        <f>IF(C425=1,"Spring",IF(C425=2,"Summer",IF(C425=3,"Fall","Winter")))</f>
        <v>Spring</v>
      </c>
      <c r="M425" s="3">
        <f>SUM(J425:J449)</f>
        <v>7.1199999999999983</v>
      </c>
      <c r="N425" s="3">
        <f>AVERAGE(J425:J1034)</f>
        <v>0.17101604278074847</v>
      </c>
      <c r="O425" s="3">
        <f>COUNT(J425:J1034)</f>
        <v>187</v>
      </c>
      <c r="P425" s="3" t="str">
        <f>TEXT(J425,"0.00")</f>
        <v>0.38</v>
      </c>
      <c r="Q425" s="3" t="str">
        <f>LEFT(L425,3)</f>
        <v>Spr</v>
      </c>
      <c r="R425" s="7" t="str">
        <f>RIGHT(L425,3)</f>
        <v>ing</v>
      </c>
      <c r="S425" s="8">
        <f>LEN(L425)</f>
        <v>6</v>
      </c>
      <c r="T425" s="36" t="str">
        <f>A425&amp;"|"&amp;B425&amp;"|"&amp;F425</f>
        <v>424|19-01-2011|16</v>
      </c>
      <c r="V425" s="32">
        <f>VLOOKUP(A425,Sheet2!A:H,3,FALSE)</f>
        <v>0.33329999999999999</v>
      </c>
      <c r="W425" s="32">
        <f>VLOOKUP(A425,Sheet2!A:H,4,FALSE)</f>
        <v>0.56999999999999995</v>
      </c>
      <c r="X425" s="32">
        <f>VLOOKUP(A425,Sheet2!A:H,7,FALSE)</f>
        <v>190</v>
      </c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">
        <v>425</v>
      </c>
      <c r="B426" s="4" t="s">
        <v>33</v>
      </c>
      <c r="C426" s="4">
        <v>1</v>
      </c>
      <c r="D426" s="4">
        <v>0</v>
      </c>
      <c r="E426" s="4">
        <v>1</v>
      </c>
      <c r="F426" s="4">
        <v>17</v>
      </c>
      <c r="G426" s="4" t="b">
        <v>0</v>
      </c>
      <c r="H426" s="4">
        <v>3</v>
      </c>
      <c r="I426" s="4">
        <v>1</v>
      </c>
      <c r="J426" s="4">
        <v>0.36</v>
      </c>
      <c r="K426" s="6" t="str">
        <f>IF(H426=0,"weekend",IF(H426=6,"weekend","weekend"))</f>
        <v>weekend</v>
      </c>
      <c r="L426" s="3" t="str">
        <f>IF(C426=1,"Spring",IF(C426=2,"Summer",IF(C426=3,"Fall","Winter")))</f>
        <v>Spring</v>
      </c>
      <c r="M426" s="3">
        <f>SUM(J426:J450)</f>
        <v>7.0399999999999991</v>
      </c>
      <c r="N426" s="3">
        <f>AVERAGE(J426:J1035)</f>
        <v>0.16989247311827937</v>
      </c>
      <c r="O426" s="3">
        <f>COUNT(J426:J1035)</f>
        <v>186</v>
      </c>
      <c r="P426" s="3" t="str">
        <f>TEXT(J426,"0.00")</f>
        <v>0.36</v>
      </c>
      <c r="Q426" s="3" t="str">
        <f>LEFT(L426,3)</f>
        <v>Spr</v>
      </c>
      <c r="R426" s="7" t="str">
        <f>RIGHT(L426,3)</f>
        <v>ing</v>
      </c>
      <c r="S426" s="8">
        <f>LEN(L426)</f>
        <v>6</v>
      </c>
      <c r="T426" s="36" t="str">
        <f>A426&amp;"|"&amp;B426&amp;"|"&amp;F426</f>
        <v>425|19-01-2011|17</v>
      </c>
      <c r="V426" s="32">
        <f>VLOOKUP(A426,Sheet2!A:H,3,FALSE)</f>
        <v>0.31819999999999998</v>
      </c>
      <c r="W426" s="32">
        <f>VLOOKUP(A426,Sheet2!A:H,4,FALSE)</f>
        <v>0.61</v>
      </c>
      <c r="X426" s="32">
        <f>VLOOKUP(A426,Sheet2!A:H,7,FALSE)</f>
        <v>156</v>
      </c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">
        <v>426</v>
      </c>
      <c r="B427" s="4" t="s">
        <v>33</v>
      </c>
      <c r="C427" s="4">
        <v>1</v>
      </c>
      <c r="D427" s="4">
        <v>0</v>
      </c>
      <c r="E427" s="4">
        <v>1</v>
      </c>
      <c r="F427" s="4">
        <v>18</v>
      </c>
      <c r="G427" s="4" t="b">
        <v>0</v>
      </c>
      <c r="H427" s="4">
        <v>3</v>
      </c>
      <c r="I427" s="4">
        <v>1</v>
      </c>
      <c r="J427" s="4">
        <v>0.34</v>
      </c>
      <c r="K427" s="6" t="str">
        <f>IF(H427=0,"weekend",IF(H427=6,"weekend","weekend"))</f>
        <v>weekend</v>
      </c>
      <c r="L427" s="3" t="str">
        <f>IF(C427=1,"Spring",IF(C427=2,"Summer",IF(C427=3,"Fall","Winter")))</f>
        <v>Spring</v>
      </c>
      <c r="M427" s="3">
        <f>SUM(J427:J451)</f>
        <v>6.9399999999999995</v>
      </c>
      <c r="N427" s="3">
        <f>AVERAGE(J427:J1036)</f>
        <v>0.16886486486486466</v>
      </c>
      <c r="O427" s="3">
        <f>COUNT(J427:J1036)</f>
        <v>185</v>
      </c>
      <c r="P427" s="3" t="str">
        <f>TEXT(J427,"0.00")</f>
        <v>0.34</v>
      </c>
      <c r="Q427" s="3" t="str">
        <f>LEFT(L427,3)</f>
        <v>Spr</v>
      </c>
      <c r="R427" s="7" t="str">
        <f>RIGHT(L427,3)</f>
        <v>ing</v>
      </c>
      <c r="S427" s="8">
        <f>LEN(L427)</f>
        <v>6</v>
      </c>
      <c r="T427" s="36" t="str">
        <f>A427&amp;"|"&amp;B427&amp;"|"&amp;F427</f>
        <v>426|19-01-2011|18</v>
      </c>
      <c r="V427" s="32">
        <f>VLOOKUP(A427,Sheet2!A:H,3,FALSE)</f>
        <v>0.28789999999999999</v>
      </c>
      <c r="W427" s="32">
        <f>VLOOKUP(A427,Sheet2!A:H,4,FALSE)</f>
        <v>0.56999999999999995</v>
      </c>
      <c r="X427" s="32">
        <f>VLOOKUP(A427,Sheet2!A:H,7,FALSE)</f>
        <v>108</v>
      </c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">
        <v>427</v>
      </c>
      <c r="B428" s="4" t="s">
        <v>33</v>
      </c>
      <c r="C428" s="4">
        <v>1</v>
      </c>
      <c r="D428" s="4">
        <v>0</v>
      </c>
      <c r="E428" s="4">
        <v>1</v>
      </c>
      <c r="F428" s="4">
        <v>19</v>
      </c>
      <c r="G428" s="4" t="b">
        <v>0</v>
      </c>
      <c r="H428" s="4">
        <v>3</v>
      </c>
      <c r="I428" s="4">
        <v>1</v>
      </c>
      <c r="J428" s="4">
        <v>0.32</v>
      </c>
      <c r="K428" s="6" t="str">
        <f>IF(H428=0,"weekend",IF(H428=6,"weekend","weekend"))</f>
        <v>weekend</v>
      </c>
      <c r="L428" s="3" t="str">
        <f>IF(C428=1,"Spring",IF(C428=2,"Summer",IF(C428=3,"Fall","Winter")))</f>
        <v>Spring</v>
      </c>
      <c r="M428" s="3">
        <f>SUM(J428:J452)</f>
        <v>6.8599999999999994</v>
      </c>
      <c r="N428" s="3">
        <f>AVERAGE(J428:J1037)</f>
        <v>0.16793478260869546</v>
      </c>
      <c r="O428" s="3">
        <f>COUNT(J428:J1037)</f>
        <v>184</v>
      </c>
      <c r="P428" s="3" t="str">
        <f>TEXT(J428,"0.00")</f>
        <v>0.32</v>
      </c>
      <c r="Q428" s="3" t="str">
        <f>LEFT(L428,3)</f>
        <v>Spr</v>
      </c>
      <c r="R428" s="7" t="str">
        <f>RIGHT(L428,3)</f>
        <v>ing</v>
      </c>
      <c r="S428" s="8">
        <f>LEN(L428)</f>
        <v>6</v>
      </c>
      <c r="T428" s="36" t="str">
        <f>A428&amp;"|"&amp;B428&amp;"|"&amp;F428</f>
        <v>427|19-01-2011|19</v>
      </c>
      <c r="V428" s="32">
        <f>VLOOKUP(A428,Sheet2!A:H,3,FALSE)</f>
        <v>0.30299999999999999</v>
      </c>
      <c r="W428" s="32">
        <f>VLOOKUP(A428,Sheet2!A:H,4,FALSE)</f>
        <v>0.49</v>
      </c>
      <c r="X428" s="32">
        <f>VLOOKUP(A428,Sheet2!A:H,7,FALSE)</f>
        <v>74</v>
      </c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">
        <v>428</v>
      </c>
      <c r="B429" s="4" t="s">
        <v>33</v>
      </c>
      <c r="C429" s="4">
        <v>1</v>
      </c>
      <c r="D429" s="4">
        <v>0</v>
      </c>
      <c r="E429" s="4">
        <v>1</v>
      </c>
      <c r="F429" s="4">
        <v>20</v>
      </c>
      <c r="G429" s="4" t="b">
        <v>0</v>
      </c>
      <c r="H429" s="4">
        <v>3</v>
      </c>
      <c r="I429" s="4">
        <v>1</v>
      </c>
      <c r="J429" s="4">
        <v>0.32</v>
      </c>
      <c r="K429" s="6" t="str">
        <f>IF(H429=0,"weekend",IF(H429=6,"weekend","weekend"))</f>
        <v>weekend</v>
      </c>
      <c r="L429" s="3" t="str">
        <f>IF(C429=1,"Spring",IF(C429=2,"Summer",IF(C429=3,"Fall","Winter")))</f>
        <v>Spring</v>
      </c>
      <c r="M429" s="3">
        <f>SUM(J429:J453)</f>
        <v>6.8</v>
      </c>
      <c r="N429" s="3">
        <f>AVERAGE(J429:J1038)</f>
        <v>0.16710382513661179</v>
      </c>
      <c r="O429" s="3">
        <f>COUNT(J429:J1038)</f>
        <v>183</v>
      </c>
      <c r="P429" s="3" t="str">
        <f>TEXT(J429,"0.00")</f>
        <v>0.32</v>
      </c>
      <c r="Q429" s="3" t="str">
        <f>LEFT(L429,3)</f>
        <v>Spr</v>
      </c>
      <c r="R429" s="7" t="str">
        <f>RIGHT(L429,3)</f>
        <v>ing</v>
      </c>
      <c r="S429" s="8">
        <f>LEN(L429)</f>
        <v>6</v>
      </c>
      <c r="T429" s="36" t="str">
        <f>A429&amp;"|"&amp;B429&amp;"|"&amp;F429</f>
        <v>428|19-01-2011|20</v>
      </c>
      <c r="V429" s="32">
        <f>VLOOKUP(A429,Sheet2!A:H,3,FALSE)</f>
        <v>0.28789999999999999</v>
      </c>
      <c r="W429" s="32">
        <f>VLOOKUP(A429,Sheet2!A:H,4,FALSE)</f>
        <v>0.49</v>
      </c>
      <c r="X429" s="32">
        <f>VLOOKUP(A429,Sheet2!A:H,7,FALSE)</f>
        <v>55</v>
      </c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">
        <v>429</v>
      </c>
      <c r="B430" s="4" t="s">
        <v>33</v>
      </c>
      <c r="C430" s="4">
        <v>1</v>
      </c>
      <c r="D430" s="4">
        <v>0</v>
      </c>
      <c r="E430" s="4">
        <v>1</v>
      </c>
      <c r="F430" s="4">
        <v>21</v>
      </c>
      <c r="G430" s="4" t="b">
        <v>0</v>
      </c>
      <c r="H430" s="4">
        <v>3</v>
      </c>
      <c r="I430" s="4">
        <v>1</v>
      </c>
      <c r="J430" s="4">
        <v>0.32</v>
      </c>
      <c r="K430" s="6" t="str">
        <f>IF(H430=0,"weekend",IF(H430=6,"weekend","weekend"))</f>
        <v>weekend</v>
      </c>
      <c r="L430" s="3" t="str">
        <f>IF(C430=1,"Spring",IF(C430=2,"Summer",IF(C430=3,"Fall","Winter")))</f>
        <v>Spring</v>
      </c>
      <c r="M430" s="3">
        <f>SUM(J430:J454)</f>
        <v>6.72</v>
      </c>
      <c r="N430" s="3">
        <f>AVERAGE(J430:J1039)</f>
        <v>0.16626373626373603</v>
      </c>
      <c r="O430" s="3">
        <f>COUNT(J430:J1039)</f>
        <v>182</v>
      </c>
      <c r="P430" s="3" t="str">
        <f>TEXT(J430,"0.00")</f>
        <v>0.32</v>
      </c>
      <c r="Q430" s="3" t="str">
        <f>LEFT(L430,3)</f>
        <v>Spr</v>
      </c>
      <c r="R430" s="7" t="str">
        <f>RIGHT(L430,3)</f>
        <v>ing</v>
      </c>
      <c r="S430" s="8">
        <f>LEN(L430)</f>
        <v>6</v>
      </c>
      <c r="T430" s="36" t="str">
        <f>A430&amp;"|"&amp;B430&amp;"|"&amp;F430</f>
        <v>429|19-01-2011|21</v>
      </c>
      <c r="V430" s="32">
        <f>VLOOKUP(A430,Sheet2!A:H,3,FALSE)</f>
        <v>0.30299999999999999</v>
      </c>
      <c r="W430" s="32">
        <f>VLOOKUP(A430,Sheet2!A:H,4,FALSE)</f>
        <v>0.52</v>
      </c>
      <c r="X430" s="32">
        <f>VLOOKUP(A430,Sheet2!A:H,7,FALSE)</f>
        <v>53</v>
      </c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">
        <v>430</v>
      </c>
      <c r="B431" s="4" t="s">
        <v>33</v>
      </c>
      <c r="C431" s="4">
        <v>1</v>
      </c>
      <c r="D431" s="4">
        <v>0</v>
      </c>
      <c r="E431" s="4">
        <v>1</v>
      </c>
      <c r="F431" s="4">
        <v>22</v>
      </c>
      <c r="G431" s="4" t="b">
        <v>0</v>
      </c>
      <c r="H431" s="4">
        <v>3</v>
      </c>
      <c r="I431" s="4">
        <v>1</v>
      </c>
      <c r="J431" s="4">
        <v>0.3</v>
      </c>
      <c r="K431" s="6" t="str">
        <f>IF(H431=0,"weekend",IF(H431=6,"weekend","weekend"))</f>
        <v>weekend</v>
      </c>
      <c r="L431" s="3" t="str">
        <f>IF(C431=1,"Spring",IF(C431=2,"Summer",IF(C431=3,"Fall","Winter")))</f>
        <v>Spring</v>
      </c>
      <c r="M431" s="3">
        <f>SUM(J431:J455)</f>
        <v>6.6400000000000006</v>
      </c>
      <c r="N431" s="3">
        <f>AVERAGE(J431:J1040)</f>
        <v>0.16541436464088374</v>
      </c>
      <c r="O431" s="3">
        <f>COUNT(J431:J1040)</f>
        <v>181</v>
      </c>
      <c r="P431" s="3" t="str">
        <f>TEXT(J431,"0.00")</f>
        <v>0.30</v>
      </c>
      <c r="Q431" s="3" t="str">
        <f>LEFT(L431,3)</f>
        <v>Spr</v>
      </c>
      <c r="R431" s="7" t="str">
        <f>RIGHT(L431,3)</f>
        <v>ing</v>
      </c>
      <c r="S431" s="8">
        <f>LEN(L431)</f>
        <v>6</v>
      </c>
      <c r="T431" s="36" t="str">
        <f>A431&amp;"|"&amp;B431&amp;"|"&amp;F431</f>
        <v>430|19-01-2011|22</v>
      </c>
      <c r="V431" s="32">
        <f>VLOOKUP(A431,Sheet2!A:H,3,FALSE)</f>
        <v>0.2727</v>
      </c>
      <c r="W431" s="32">
        <f>VLOOKUP(A431,Sheet2!A:H,4,FALSE)</f>
        <v>0.52</v>
      </c>
      <c r="X431" s="32">
        <f>VLOOKUP(A431,Sheet2!A:H,7,FALSE)</f>
        <v>27</v>
      </c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">
        <v>431</v>
      </c>
      <c r="B432" s="4" t="s">
        <v>33</v>
      </c>
      <c r="C432" s="4">
        <v>1</v>
      </c>
      <c r="D432" s="4">
        <v>0</v>
      </c>
      <c r="E432" s="4">
        <v>1</v>
      </c>
      <c r="F432" s="4">
        <v>23</v>
      </c>
      <c r="G432" s="4" t="b">
        <v>0</v>
      </c>
      <c r="H432" s="4">
        <v>3</v>
      </c>
      <c r="I432" s="4">
        <v>1</v>
      </c>
      <c r="J432" s="4">
        <v>0.3</v>
      </c>
      <c r="K432" s="6" t="str">
        <f>IF(H432=0,"weekend",IF(H432=6,"weekend","weekend"))</f>
        <v>weekend</v>
      </c>
      <c r="L432" s="3" t="str">
        <f>IF(C432=1,"Spring",IF(C432=2,"Summer",IF(C432=3,"Fall","Winter")))</f>
        <v>Spring</v>
      </c>
      <c r="M432" s="3">
        <f>SUM(J432:J456)</f>
        <v>6.58</v>
      </c>
      <c r="N432" s="3">
        <f>AVERAGE(J432:J1041)</f>
        <v>0.16466666666666643</v>
      </c>
      <c r="O432" s="3">
        <f>COUNT(J432:J1041)</f>
        <v>180</v>
      </c>
      <c r="P432" s="3" t="str">
        <f>TEXT(J432,"0.00")</f>
        <v>0.30</v>
      </c>
      <c r="Q432" s="3" t="str">
        <f>LEFT(L432,3)</f>
        <v>Spr</v>
      </c>
      <c r="R432" s="7" t="str">
        <f>RIGHT(L432,3)</f>
        <v>ing</v>
      </c>
      <c r="S432" s="8">
        <f>LEN(L432)</f>
        <v>6</v>
      </c>
      <c r="T432" s="36" t="str">
        <f>A432&amp;"|"&amp;B432&amp;"|"&amp;F432</f>
        <v>431|19-01-2011|23</v>
      </c>
      <c r="V432" s="32">
        <f>VLOOKUP(A432,Sheet2!A:H,3,FALSE)</f>
        <v>0.2273</v>
      </c>
      <c r="W432" s="32">
        <f>VLOOKUP(A432,Sheet2!A:H,4,FALSE)</f>
        <v>0.56000000000000005</v>
      </c>
      <c r="X432" s="32">
        <f>VLOOKUP(A432,Sheet2!A:H,7,FALSE)</f>
        <v>8</v>
      </c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">
        <v>432</v>
      </c>
      <c r="B433" s="4" t="s">
        <v>34</v>
      </c>
      <c r="C433" s="4">
        <v>1</v>
      </c>
      <c r="D433" s="4">
        <v>0</v>
      </c>
      <c r="E433" s="4">
        <v>1</v>
      </c>
      <c r="F433" s="4">
        <v>0</v>
      </c>
      <c r="G433" s="4" t="b">
        <v>0</v>
      </c>
      <c r="H433" s="4">
        <v>4</v>
      </c>
      <c r="I433" s="4">
        <v>1</v>
      </c>
      <c r="J433" s="4">
        <v>0.26</v>
      </c>
      <c r="K433" s="6" t="str">
        <f>IF(H433=0,"weekend",IF(H433=6,"weekend","weekend"))</f>
        <v>weekend</v>
      </c>
      <c r="L433" s="3" t="str">
        <f>IF(C433=1,"Spring",IF(C433=2,"Summer",IF(C433=3,"Fall","Winter")))</f>
        <v>Spring</v>
      </c>
      <c r="M433" s="3">
        <f>SUM(J433:J457)</f>
        <v>6.5200000000000005</v>
      </c>
      <c r="N433" s="3">
        <f>AVERAGE(J433:J1042)</f>
        <v>0.16391061452513941</v>
      </c>
      <c r="O433" s="3">
        <f>COUNT(J433:J1042)</f>
        <v>179</v>
      </c>
      <c r="P433" s="3" t="str">
        <f>TEXT(J433,"0.00")</f>
        <v>0.26</v>
      </c>
      <c r="Q433" s="3" t="str">
        <f>LEFT(L433,3)</f>
        <v>Spr</v>
      </c>
      <c r="R433" s="7" t="str">
        <f>RIGHT(L433,3)</f>
        <v>ing</v>
      </c>
      <c r="S433" s="8">
        <f>LEN(L433)</f>
        <v>6</v>
      </c>
      <c r="T433" s="36" t="str">
        <f>A433&amp;"|"&amp;B433&amp;"|"&amp;F433</f>
        <v>432|20-01-2011|0</v>
      </c>
      <c r="V433" s="32">
        <f>VLOOKUP(A433,Sheet2!A:H,3,FALSE)</f>
        <v>0.2727</v>
      </c>
      <c r="W433" s="32">
        <f>VLOOKUP(A433,Sheet2!A:H,4,FALSE)</f>
        <v>0.56000000000000005</v>
      </c>
      <c r="X433" s="32">
        <f>VLOOKUP(A433,Sheet2!A:H,7,FALSE)</f>
        <v>3</v>
      </c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">
        <v>433</v>
      </c>
      <c r="B434" s="4" t="s">
        <v>34</v>
      </c>
      <c r="C434" s="4">
        <v>1</v>
      </c>
      <c r="D434" s="4">
        <v>0</v>
      </c>
      <c r="E434" s="4">
        <v>1</v>
      </c>
      <c r="F434" s="4">
        <v>1</v>
      </c>
      <c r="G434" s="4" t="b">
        <v>0</v>
      </c>
      <c r="H434" s="4">
        <v>4</v>
      </c>
      <c r="I434" s="4">
        <v>1</v>
      </c>
      <c r="J434" s="4">
        <v>0.26</v>
      </c>
      <c r="K434" s="6" t="str">
        <f>IF(H434=0,"weekend",IF(H434=6,"weekend","weekend"))</f>
        <v>weekend</v>
      </c>
      <c r="L434" s="3" t="str">
        <f>IF(C434=1,"Spring",IF(C434=2,"Summer",IF(C434=3,"Fall","Winter")))</f>
        <v>Spring</v>
      </c>
      <c r="M434" s="3">
        <f>SUM(J434:J458)</f>
        <v>6.5</v>
      </c>
      <c r="N434" s="3">
        <f>AVERAGE(J434:J1043)</f>
        <v>0.16337078651685372</v>
      </c>
      <c r="O434" s="3">
        <f>COUNT(J434:J1043)</f>
        <v>178</v>
      </c>
      <c r="P434" s="3" t="str">
        <f>TEXT(J434,"0.00")</f>
        <v>0.26</v>
      </c>
      <c r="Q434" s="3" t="str">
        <f>LEFT(L434,3)</f>
        <v>Spr</v>
      </c>
      <c r="R434" s="7" t="str">
        <f>RIGHT(L434,3)</f>
        <v>ing</v>
      </c>
      <c r="S434" s="8">
        <f>LEN(L434)</f>
        <v>6</v>
      </c>
      <c r="T434" s="36" t="str">
        <f>A434&amp;"|"&amp;B434&amp;"|"&amp;F434</f>
        <v>433|20-01-2011|1</v>
      </c>
      <c r="V434" s="32">
        <f>VLOOKUP(A434,Sheet2!A:H,3,FALSE)</f>
        <v>0.2727</v>
      </c>
      <c r="W434" s="32">
        <f>VLOOKUP(A434,Sheet2!A:H,4,FALSE)</f>
        <v>0.56000000000000005</v>
      </c>
      <c r="X434" s="32">
        <f>VLOOKUP(A434,Sheet2!A:H,7,FALSE)</f>
        <v>2</v>
      </c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">
        <v>434</v>
      </c>
      <c r="B435" s="4" t="s">
        <v>34</v>
      </c>
      <c r="C435" s="4">
        <v>1</v>
      </c>
      <c r="D435" s="4">
        <v>0</v>
      </c>
      <c r="E435" s="4">
        <v>1</v>
      </c>
      <c r="F435" s="4">
        <v>2</v>
      </c>
      <c r="G435" s="4" t="b">
        <v>0</v>
      </c>
      <c r="H435" s="4">
        <v>4</v>
      </c>
      <c r="I435" s="4">
        <v>1</v>
      </c>
      <c r="J435" s="4">
        <v>0.26</v>
      </c>
      <c r="K435" s="6" t="str">
        <f>IF(H435=0,"weekend",IF(H435=6,"weekend","weekend"))</f>
        <v>weekend</v>
      </c>
      <c r="L435" s="3" t="str">
        <f>IF(C435=1,"Spring",IF(C435=2,"Summer",IF(C435=3,"Fall","Winter")))</f>
        <v>Spring</v>
      </c>
      <c r="M435" s="3">
        <f>SUM(J435:J459)</f>
        <v>6.48</v>
      </c>
      <c r="N435" s="3">
        <f>AVERAGE(J435:J1044)</f>
        <v>0.16282485875706193</v>
      </c>
      <c r="O435" s="3">
        <f>COUNT(J435:J1044)</f>
        <v>177</v>
      </c>
      <c r="P435" s="3" t="str">
        <f>TEXT(J435,"0.00")</f>
        <v>0.26</v>
      </c>
      <c r="Q435" s="3" t="str">
        <f>LEFT(L435,3)</f>
        <v>Spr</v>
      </c>
      <c r="R435" s="7" t="str">
        <f>RIGHT(L435,3)</f>
        <v>ing</v>
      </c>
      <c r="S435" s="8">
        <f>LEN(L435)</f>
        <v>6</v>
      </c>
      <c r="T435" s="36" t="str">
        <f>A435&amp;"|"&amp;B435&amp;"|"&amp;F435</f>
        <v>434|20-01-2011|2</v>
      </c>
      <c r="V435" s="32">
        <f>VLOOKUP(A435,Sheet2!A:H,3,FALSE)</f>
        <v>0.2576</v>
      </c>
      <c r="W435" s="32">
        <f>VLOOKUP(A435,Sheet2!A:H,4,FALSE)</f>
        <v>0.56000000000000005</v>
      </c>
      <c r="X435" s="32">
        <f>VLOOKUP(A435,Sheet2!A:H,7,FALSE)</f>
        <v>1</v>
      </c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">
        <v>435</v>
      </c>
      <c r="B436" s="4" t="s">
        <v>34</v>
      </c>
      <c r="C436" s="4">
        <v>1</v>
      </c>
      <c r="D436" s="4">
        <v>0</v>
      </c>
      <c r="E436" s="4">
        <v>1</v>
      </c>
      <c r="F436" s="4">
        <v>3</v>
      </c>
      <c r="G436" s="4" t="b">
        <v>0</v>
      </c>
      <c r="H436" s="4">
        <v>4</v>
      </c>
      <c r="I436" s="4">
        <v>1</v>
      </c>
      <c r="J436" s="4">
        <v>0.26</v>
      </c>
      <c r="K436" s="6" t="str">
        <f>IF(H436=0,"weekend",IF(H436=6,"weekend","weekend"))</f>
        <v>weekend</v>
      </c>
      <c r="L436" s="3" t="str">
        <f>IF(C436=1,"Spring",IF(C436=2,"Summer",IF(C436=3,"Fall","Winter")))</f>
        <v>Spring</v>
      </c>
      <c r="M436" s="3">
        <f>SUM(J436:J460)</f>
        <v>6.44</v>
      </c>
      <c r="N436" s="3">
        <f>AVERAGE(J436:J1045)</f>
        <v>0.16227272727272704</v>
      </c>
      <c r="O436" s="3">
        <f>COUNT(J436:J1045)</f>
        <v>176</v>
      </c>
      <c r="P436" s="3" t="str">
        <f>TEXT(J436,"0.00")</f>
        <v>0.26</v>
      </c>
      <c r="Q436" s="3" t="str">
        <f>LEFT(L436,3)</f>
        <v>Spr</v>
      </c>
      <c r="R436" s="7" t="str">
        <f>RIGHT(L436,3)</f>
        <v>ing</v>
      </c>
      <c r="S436" s="8">
        <f>LEN(L436)</f>
        <v>6</v>
      </c>
      <c r="T436" s="36" t="str">
        <f>A436&amp;"|"&amp;B436&amp;"|"&amp;F436</f>
        <v>435|20-01-2011|3</v>
      </c>
      <c r="V436" s="32">
        <f>VLOOKUP(A436,Sheet2!A:H,3,FALSE)</f>
        <v>0.2576</v>
      </c>
      <c r="W436" s="32">
        <f>VLOOKUP(A436,Sheet2!A:H,4,FALSE)</f>
        <v>0.56000000000000005</v>
      </c>
      <c r="X436" s="32">
        <f>VLOOKUP(A436,Sheet2!A:H,7,FALSE)</f>
        <v>1</v>
      </c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">
        <v>436</v>
      </c>
      <c r="B437" s="4" t="s">
        <v>34</v>
      </c>
      <c r="C437" s="4">
        <v>1</v>
      </c>
      <c r="D437" s="4">
        <v>0</v>
      </c>
      <c r="E437" s="4">
        <v>1</v>
      </c>
      <c r="F437" s="4">
        <v>4</v>
      </c>
      <c r="G437" s="4" t="b">
        <v>0</v>
      </c>
      <c r="H437" s="4">
        <v>4</v>
      </c>
      <c r="I437" s="4">
        <v>1</v>
      </c>
      <c r="J437" s="4">
        <v>0.26</v>
      </c>
      <c r="K437" s="6" t="str">
        <f>IF(H437=0,"weekend",IF(H437=6,"weekend","weekend"))</f>
        <v>weekend</v>
      </c>
      <c r="L437" s="3" t="str">
        <f>IF(C437=1,"Spring",IF(C437=2,"Summer",IF(C437=3,"Fall","Winter")))</f>
        <v>Spring</v>
      </c>
      <c r="M437" s="3">
        <f>SUM(J437:J461)</f>
        <v>6.3999999999999995</v>
      </c>
      <c r="N437" s="3">
        <f>AVERAGE(J437:J1046)</f>
        <v>0.16171428571428548</v>
      </c>
      <c r="O437" s="3">
        <f>COUNT(J437:J1046)</f>
        <v>175</v>
      </c>
      <c r="P437" s="3" t="str">
        <f>TEXT(J437,"0.00")</f>
        <v>0.26</v>
      </c>
      <c r="Q437" s="3" t="str">
        <f>LEFT(L437,3)</f>
        <v>Spr</v>
      </c>
      <c r="R437" s="7" t="str">
        <f>RIGHT(L437,3)</f>
        <v>ing</v>
      </c>
      <c r="S437" s="8">
        <f>LEN(L437)</f>
        <v>6</v>
      </c>
      <c r="T437" s="36" t="str">
        <f>A437&amp;"|"&amp;B437&amp;"|"&amp;F437</f>
        <v>436|20-01-2011|4</v>
      </c>
      <c r="V437" s="32">
        <f>VLOOKUP(A437,Sheet2!A:H,3,FALSE)</f>
        <v>0.2273</v>
      </c>
      <c r="W437" s="32">
        <f>VLOOKUP(A437,Sheet2!A:H,4,FALSE)</f>
        <v>0.6</v>
      </c>
      <c r="X437" s="32">
        <f>VLOOKUP(A437,Sheet2!A:H,7,FALSE)</f>
        <v>6</v>
      </c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">
        <v>437</v>
      </c>
      <c r="B438" s="4" t="s">
        <v>34</v>
      </c>
      <c r="C438" s="4">
        <v>1</v>
      </c>
      <c r="D438" s="4">
        <v>0</v>
      </c>
      <c r="E438" s="4">
        <v>1</v>
      </c>
      <c r="F438" s="4">
        <v>5</v>
      </c>
      <c r="G438" s="4" t="b">
        <v>0</v>
      </c>
      <c r="H438" s="4">
        <v>4</v>
      </c>
      <c r="I438" s="4">
        <v>1</v>
      </c>
      <c r="J438" s="4">
        <v>0.24</v>
      </c>
      <c r="K438" s="6" t="str">
        <f>IF(H438=0,"weekend",IF(H438=6,"weekend","weekend"))</f>
        <v>weekend</v>
      </c>
      <c r="L438" s="3" t="str">
        <f>IF(C438=1,"Spring",IF(C438=2,"Summer",IF(C438=3,"Fall","Winter")))</f>
        <v>Spring</v>
      </c>
      <c r="M438" s="3">
        <f>SUM(J438:J462)</f>
        <v>6.38</v>
      </c>
      <c r="N438" s="3">
        <f>AVERAGE(J438:J1047)</f>
        <v>0.1611494252873561</v>
      </c>
      <c r="O438" s="3">
        <f>COUNT(J438:J1047)</f>
        <v>174</v>
      </c>
      <c r="P438" s="3" t="str">
        <f>TEXT(J438,"0.00")</f>
        <v>0.24</v>
      </c>
      <c r="Q438" s="3" t="str">
        <f>LEFT(L438,3)</f>
        <v>Spr</v>
      </c>
      <c r="R438" s="7" t="str">
        <f>RIGHT(L438,3)</f>
        <v>ing</v>
      </c>
      <c r="S438" s="8">
        <f>LEN(L438)</f>
        <v>6</v>
      </c>
      <c r="T438" s="36" t="str">
        <f>A438&amp;"|"&amp;B438&amp;"|"&amp;F438</f>
        <v>437|20-01-2011|5</v>
      </c>
      <c r="V438" s="32">
        <f>VLOOKUP(A438,Sheet2!A:H,3,FALSE)</f>
        <v>0.21210000000000001</v>
      </c>
      <c r="W438" s="32">
        <f>VLOOKUP(A438,Sheet2!A:H,4,FALSE)</f>
        <v>0.6</v>
      </c>
      <c r="X438" s="32">
        <f>VLOOKUP(A438,Sheet2!A:H,7,FALSE)</f>
        <v>35</v>
      </c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">
        <v>438</v>
      </c>
      <c r="B439" s="4" t="s">
        <v>34</v>
      </c>
      <c r="C439" s="4">
        <v>1</v>
      </c>
      <c r="D439" s="4">
        <v>0</v>
      </c>
      <c r="E439" s="4">
        <v>1</v>
      </c>
      <c r="F439" s="4">
        <v>6</v>
      </c>
      <c r="G439" s="4" t="b">
        <v>0</v>
      </c>
      <c r="H439" s="4">
        <v>4</v>
      </c>
      <c r="I439" s="4">
        <v>1</v>
      </c>
      <c r="J439" s="4">
        <v>0.22</v>
      </c>
      <c r="K439" s="6" t="str">
        <f>IF(H439=0,"weekend",IF(H439=6,"weekend","weekend"))</f>
        <v>weekend</v>
      </c>
      <c r="L439" s="3" t="str">
        <f>IF(C439=1,"Spring",IF(C439=2,"Summer",IF(C439=3,"Fall","Winter")))</f>
        <v>Spring</v>
      </c>
      <c r="M439" s="3">
        <f>SUM(J439:J463)</f>
        <v>6.36</v>
      </c>
      <c r="N439" s="3">
        <f>AVERAGE(J439:J1048)</f>
        <v>0.16069364161849689</v>
      </c>
      <c r="O439" s="3">
        <f>COUNT(J439:J1048)</f>
        <v>173</v>
      </c>
      <c r="P439" s="3" t="str">
        <f>TEXT(J439,"0.00")</f>
        <v>0.22</v>
      </c>
      <c r="Q439" s="3" t="str">
        <f>LEFT(L439,3)</f>
        <v>Spr</v>
      </c>
      <c r="R439" s="7" t="str">
        <f>RIGHT(L439,3)</f>
        <v>ing</v>
      </c>
      <c r="S439" s="8">
        <f>LEN(L439)</f>
        <v>6</v>
      </c>
      <c r="T439" s="36" t="str">
        <f>A439&amp;"|"&amp;B439&amp;"|"&amp;F439</f>
        <v>438|20-01-2011|6</v>
      </c>
      <c r="V439" s="32">
        <f>VLOOKUP(A439,Sheet2!A:H,3,FALSE)</f>
        <v>0.21210000000000001</v>
      </c>
      <c r="W439" s="32">
        <f>VLOOKUP(A439,Sheet2!A:H,4,FALSE)</f>
        <v>0.55000000000000004</v>
      </c>
      <c r="X439" s="32">
        <f>VLOOKUP(A439,Sheet2!A:H,7,FALSE)</f>
        <v>100</v>
      </c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">
        <v>439</v>
      </c>
      <c r="B440" s="4" t="s">
        <v>34</v>
      </c>
      <c r="C440" s="4">
        <v>1</v>
      </c>
      <c r="D440" s="4">
        <v>0</v>
      </c>
      <c r="E440" s="4">
        <v>1</v>
      </c>
      <c r="F440" s="4">
        <v>7</v>
      </c>
      <c r="G440" s="4" t="b">
        <v>0</v>
      </c>
      <c r="H440" s="4">
        <v>4</v>
      </c>
      <c r="I440" s="4">
        <v>1</v>
      </c>
      <c r="J440" s="4">
        <v>0.22</v>
      </c>
      <c r="K440" s="6" t="str">
        <f>IF(H440=0,"weekend",IF(H440=6,"weekend","weekend"))</f>
        <v>weekend</v>
      </c>
      <c r="L440" s="3" t="str">
        <f>IF(C440=1,"Spring",IF(C440=2,"Summer",IF(C440=3,"Fall","Winter")))</f>
        <v>Spring</v>
      </c>
      <c r="M440" s="3">
        <f>SUM(J440:J464)</f>
        <v>6.34</v>
      </c>
      <c r="N440" s="3">
        <f>AVERAGE(J440:J1049)</f>
        <v>0.1603488372093021</v>
      </c>
      <c r="O440" s="3">
        <f>COUNT(J440:J1049)</f>
        <v>172</v>
      </c>
      <c r="P440" s="3" t="str">
        <f>TEXT(J440,"0.00")</f>
        <v>0.22</v>
      </c>
      <c r="Q440" s="3" t="str">
        <f>LEFT(L440,3)</f>
        <v>Spr</v>
      </c>
      <c r="R440" s="7" t="str">
        <f>RIGHT(L440,3)</f>
        <v>ing</v>
      </c>
      <c r="S440" s="8">
        <f>LEN(L440)</f>
        <v>6</v>
      </c>
      <c r="T440" s="36" t="str">
        <f>A440&amp;"|"&amp;B440&amp;"|"&amp;F440</f>
        <v>439|20-01-2011|7</v>
      </c>
      <c r="V440" s="32">
        <f>VLOOKUP(A440,Sheet2!A:H,3,FALSE)</f>
        <v>0.21210000000000001</v>
      </c>
      <c r="W440" s="32">
        <f>VLOOKUP(A440,Sheet2!A:H,4,FALSE)</f>
        <v>0.55000000000000004</v>
      </c>
      <c r="X440" s="32">
        <f>VLOOKUP(A440,Sheet2!A:H,7,FALSE)</f>
        <v>247</v>
      </c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">
        <v>440</v>
      </c>
      <c r="B441" s="4" t="s">
        <v>34</v>
      </c>
      <c r="C441" s="4">
        <v>1</v>
      </c>
      <c r="D441" s="4">
        <v>0</v>
      </c>
      <c r="E441" s="4">
        <v>1</v>
      </c>
      <c r="F441" s="4">
        <v>8</v>
      </c>
      <c r="G441" s="4" t="b">
        <v>0</v>
      </c>
      <c r="H441" s="4">
        <v>4</v>
      </c>
      <c r="I441" s="4">
        <v>1</v>
      </c>
      <c r="J441" s="4">
        <v>0.22</v>
      </c>
      <c r="K441" s="6" t="str">
        <f>IF(H441=0,"weekend",IF(H441=6,"weekend","weekend"))</f>
        <v>weekend</v>
      </c>
      <c r="L441" s="3" t="str">
        <f>IF(C441=1,"Spring",IF(C441=2,"Summer",IF(C441=3,"Fall","Winter")))</f>
        <v>Spring</v>
      </c>
      <c r="M441" s="3">
        <f>SUM(J441:J465)</f>
        <v>6.32</v>
      </c>
      <c r="N441" s="3">
        <f>AVERAGE(J441:J1050)</f>
        <v>0.15999999999999978</v>
      </c>
      <c r="O441" s="3">
        <f>COUNT(J441:J1050)</f>
        <v>171</v>
      </c>
      <c r="P441" s="3" t="str">
        <f>TEXT(J441,"0.00")</f>
        <v>0.22</v>
      </c>
      <c r="Q441" s="3" t="str">
        <f>LEFT(L441,3)</f>
        <v>Spr</v>
      </c>
      <c r="R441" s="7" t="str">
        <f>RIGHT(L441,3)</f>
        <v>ing</v>
      </c>
      <c r="S441" s="8">
        <f>LEN(L441)</f>
        <v>6</v>
      </c>
      <c r="T441" s="36" t="str">
        <f>A441&amp;"|"&amp;B441&amp;"|"&amp;F441</f>
        <v>440|20-01-2011|8</v>
      </c>
      <c r="V441" s="32">
        <f>VLOOKUP(A441,Sheet2!A:H,3,FALSE)</f>
        <v>0.2273</v>
      </c>
      <c r="W441" s="32">
        <f>VLOOKUP(A441,Sheet2!A:H,4,FALSE)</f>
        <v>0.52</v>
      </c>
      <c r="X441" s="32">
        <f>VLOOKUP(A441,Sheet2!A:H,7,FALSE)</f>
        <v>140</v>
      </c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">
        <v>441</v>
      </c>
      <c r="B442" s="4" t="s">
        <v>34</v>
      </c>
      <c r="C442" s="4">
        <v>1</v>
      </c>
      <c r="D442" s="4">
        <v>0</v>
      </c>
      <c r="E442" s="4">
        <v>1</v>
      </c>
      <c r="F442" s="4">
        <v>9</v>
      </c>
      <c r="G442" s="4" t="b">
        <v>0</v>
      </c>
      <c r="H442" s="4">
        <v>4</v>
      </c>
      <c r="I442" s="4">
        <v>2</v>
      </c>
      <c r="J442" s="4">
        <v>0.24</v>
      </c>
      <c r="K442" s="6" t="str">
        <f>IF(H442=0,"weekend",IF(H442=6,"weekend","weekend"))</f>
        <v>weekend</v>
      </c>
      <c r="L442" s="3" t="str">
        <f>IF(C442=1,"Spring",IF(C442=2,"Summer",IF(C442=3,"Fall","Winter")))</f>
        <v>Spring</v>
      </c>
      <c r="M442" s="3">
        <f>SUM(J442:J466)</f>
        <v>6.3000000000000007</v>
      </c>
      <c r="N442" s="3">
        <f>AVERAGE(J442:J1051)</f>
        <v>0.1596470588235292</v>
      </c>
      <c r="O442" s="3">
        <f>COUNT(J442:J1051)</f>
        <v>170</v>
      </c>
      <c r="P442" s="3" t="str">
        <f>TEXT(J442,"0.00")</f>
        <v>0.24</v>
      </c>
      <c r="Q442" s="3" t="str">
        <f>LEFT(L442,3)</f>
        <v>Spr</v>
      </c>
      <c r="R442" s="7" t="str">
        <f>RIGHT(L442,3)</f>
        <v>ing</v>
      </c>
      <c r="S442" s="8">
        <f>LEN(L442)</f>
        <v>6</v>
      </c>
      <c r="T442" s="36" t="str">
        <f>A442&amp;"|"&amp;B442&amp;"|"&amp;F442</f>
        <v>441|20-01-2011|9</v>
      </c>
      <c r="V442" s="32">
        <f>VLOOKUP(A442,Sheet2!A:H,3,FALSE)</f>
        <v>0.2273</v>
      </c>
      <c r="W442" s="32">
        <f>VLOOKUP(A442,Sheet2!A:H,4,FALSE)</f>
        <v>0.48</v>
      </c>
      <c r="X442" s="32">
        <f>VLOOKUP(A442,Sheet2!A:H,7,FALSE)</f>
        <v>56</v>
      </c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">
        <v>442</v>
      </c>
      <c r="B443" s="4" t="s">
        <v>34</v>
      </c>
      <c r="C443" s="4">
        <v>1</v>
      </c>
      <c r="D443" s="4">
        <v>0</v>
      </c>
      <c r="E443" s="4">
        <v>1</v>
      </c>
      <c r="F443" s="4">
        <v>10</v>
      </c>
      <c r="G443" s="4" t="b">
        <v>0</v>
      </c>
      <c r="H443" s="4">
        <v>4</v>
      </c>
      <c r="I443" s="4">
        <v>1</v>
      </c>
      <c r="J443" s="4">
        <v>0.26</v>
      </c>
      <c r="K443" s="6" t="str">
        <f>IF(H443=0,"weekend",IF(H443=6,"weekend","weekend"))</f>
        <v>weekend</v>
      </c>
      <c r="L443" s="3" t="str">
        <f>IF(C443=1,"Spring",IF(C443=2,"Summer",IF(C443=3,"Fall","Winter")))</f>
        <v>Spring</v>
      </c>
      <c r="M443" s="3">
        <f>SUM(J443:J467)</f>
        <v>6.2600000000000007</v>
      </c>
      <c r="N443" s="3">
        <f>AVERAGE(J443:J1052)</f>
        <v>0.1591715976331359</v>
      </c>
      <c r="O443" s="3">
        <f>COUNT(J443:J1052)</f>
        <v>169</v>
      </c>
      <c r="P443" s="3" t="str">
        <f>TEXT(J443,"0.00")</f>
        <v>0.26</v>
      </c>
      <c r="Q443" s="3" t="str">
        <f>LEFT(L443,3)</f>
        <v>Spr</v>
      </c>
      <c r="R443" s="7" t="str">
        <f>RIGHT(L443,3)</f>
        <v>ing</v>
      </c>
      <c r="S443" s="8">
        <f>LEN(L443)</f>
        <v>6</v>
      </c>
      <c r="T443" s="36" t="str">
        <f>A443&amp;"|"&amp;B443&amp;"|"&amp;F443</f>
        <v>442|20-01-2011|10</v>
      </c>
      <c r="V443" s="32">
        <f>VLOOKUP(A443,Sheet2!A:H,3,FALSE)</f>
        <v>0.2727</v>
      </c>
      <c r="W443" s="32">
        <f>VLOOKUP(A443,Sheet2!A:H,4,FALSE)</f>
        <v>0.45</v>
      </c>
      <c r="X443" s="32">
        <f>VLOOKUP(A443,Sheet2!A:H,7,FALSE)</f>
        <v>63</v>
      </c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">
        <v>443</v>
      </c>
      <c r="B444" s="4" t="s">
        <v>34</v>
      </c>
      <c r="C444" s="4">
        <v>1</v>
      </c>
      <c r="D444" s="4">
        <v>0</v>
      </c>
      <c r="E444" s="4">
        <v>1</v>
      </c>
      <c r="F444" s="4">
        <v>11</v>
      </c>
      <c r="G444" s="4" t="b">
        <v>0</v>
      </c>
      <c r="H444" s="4">
        <v>4</v>
      </c>
      <c r="I444" s="4">
        <v>2</v>
      </c>
      <c r="J444" s="4">
        <v>0.28000000000000003</v>
      </c>
      <c r="K444" s="6" t="str">
        <f>IF(H444=0,"weekend",IF(H444=6,"weekend","weekend"))</f>
        <v>weekend</v>
      </c>
      <c r="L444" s="3" t="str">
        <f>IF(C444=1,"Spring",IF(C444=2,"Summer",IF(C444=3,"Fall","Winter")))</f>
        <v>Spring</v>
      </c>
      <c r="M444" s="3">
        <f>SUM(J444:J468)</f>
        <v>6.2200000000000006</v>
      </c>
      <c r="N444" s="3">
        <f>AVERAGE(J444:J1053)</f>
        <v>0.15857142857142836</v>
      </c>
      <c r="O444" s="3">
        <f>COUNT(J444:J1053)</f>
        <v>168</v>
      </c>
      <c r="P444" s="3" t="str">
        <f>TEXT(J444,"0.00")</f>
        <v>0.28</v>
      </c>
      <c r="Q444" s="3" t="str">
        <f>LEFT(L444,3)</f>
        <v>Spr</v>
      </c>
      <c r="R444" s="7" t="str">
        <f>RIGHT(L444,3)</f>
        <v>ing</v>
      </c>
      <c r="S444" s="8">
        <f>LEN(L444)</f>
        <v>6</v>
      </c>
      <c r="T444" s="36" t="str">
        <f>A444&amp;"|"&amp;B444&amp;"|"&amp;F444</f>
        <v>443|20-01-2011|11</v>
      </c>
      <c r="V444" s="32">
        <f>VLOOKUP(A444,Sheet2!A:H,3,FALSE)</f>
        <v>0.33329999999999999</v>
      </c>
      <c r="W444" s="32">
        <f>VLOOKUP(A444,Sheet2!A:H,4,FALSE)</f>
        <v>0.42</v>
      </c>
      <c r="X444" s="32">
        <f>VLOOKUP(A444,Sheet2!A:H,7,FALSE)</f>
        <v>77</v>
      </c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">
        <v>444</v>
      </c>
      <c r="B445" s="4" t="s">
        <v>34</v>
      </c>
      <c r="C445" s="4">
        <v>1</v>
      </c>
      <c r="D445" s="4">
        <v>0</v>
      </c>
      <c r="E445" s="4">
        <v>1</v>
      </c>
      <c r="F445" s="4">
        <v>12</v>
      </c>
      <c r="G445" s="4" t="b">
        <v>0</v>
      </c>
      <c r="H445" s="4">
        <v>4</v>
      </c>
      <c r="I445" s="4">
        <v>2</v>
      </c>
      <c r="J445" s="4">
        <v>0.3</v>
      </c>
      <c r="K445" s="6" t="str">
        <f>IF(H445=0,"weekend",IF(H445=6,"weekend","weekend"))</f>
        <v>weekend</v>
      </c>
      <c r="L445" s="3" t="str">
        <f>IF(C445=1,"Spring",IF(C445=2,"Summer",IF(C445=3,"Fall","Winter")))</f>
        <v>Spring</v>
      </c>
      <c r="M445" s="3">
        <f>SUM(J445:J469)</f>
        <v>6.160000000000001</v>
      </c>
      <c r="N445" s="3">
        <f>AVERAGE(J445:J1054)</f>
        <v>0.15784431137724531</v>
      </c>
      <c r="O445" s="3">
        <f>COUNT(J445:J1054)</f>
        <v>167</v>
      </c>
      <c r="P445" s="3" t="str">
        <f>TEXT(J445,"0.00")</f>
        <v>0.30</v>
      </c>
      <c r="Q445" s="3" t="str">
        <f>LEFT(L445,3)</f>
        <v>Spr</v>
      </c>
      <c r="R445" s="7" t="str">
        <f>RIGHT(L445,3)</f>
        <v>ing</v>
      </c>
      <c r="S445" s="8">
        <f>LEN(L445)</f>
        <v>6</v>
      </c>
      <c r="T445" s="36" t="str">
        <f>A445&amp;"|"&amp;B445&amp;"|"&amp;F445</f>
        <v>444|20-01-2011|12</v>
      </c>
      <c r="V445" s="32">
        <f>VLOOKUP(A445,Sheet2!A:H,3,FALSE)</f>
        <v>0.28789999999999999</v>
      </c>
      <c r="W445" s="32">
        <f>VLOOKUP(A445,Sheet2!A:H,4,FALSE)</f>
        <v>0.45</v>
      </c>
      <c r="X445" s="32">
        <f>VLOOKUP(A445,Sheet2!A:H,7,FALSE)</f>
        <v>86</v>
      </c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">
        <v>445</v>
      </c>
      <c r="B446" s="4" t="s">
        <v>34</v>
      </c>
      <c r="C446" s="4">
        <v>1</v>
      </c>
      <c r="D446" s="4">
        <v>0</v>
      </c>
      <c r="E446" s="4">
        <v>1</v>
      </c>
      <c r="F446" s="4">
        <v>13</v>
      </c>
      <c r="G446" s="4" t="b">
        <v>0</v>
      </c>
      <c r="H446" s="4">
        <v>4</v>
      </c>
      <c r="I446" s="4">
        <v>2</v>
      </c>
      <c r="J446" s="4">
        <v>0.28000000000000003</v>
      </c>
      <c r="K446" s="6" t="str">
        <f>IF(H446=0,"weekend",IF(H446=6,"weekend","weekend"))</f>
        <v>weekend</v>
      </c>
      <c r="L446" s="3" t="str">
        <f>IF(C446=1,"Spring",IF(C446=2,"Summer",IF(C446=3,"Fall","Winter")))</f>
        <v>Spring</v>
      </c>
      <c r="M446" s="3">
        <f>SUM(J446:J470)</f>
        <v>6.0600000000000023</v>
      </c>
      <c r="N446" s="3">
        <f>AVERAGE(J446:J1055)</f>
        <v>0.15698795180722872</v>
      </c>
      <c r="O446" s="3">
        <f>COUNT(J446:J1055)</f>
        <v>166</v>
      </c>
      <c r="P446" s="3" t="str">
        <f>TEXT(J446,"0.00")</f>
        <v>0.28</v>
      </c>
      <c r="Q446" s="3" t="str">
        <f>LEFT(L446,3)</f>
        <v>Spr</v>
      </c>
      <c r="R446" s="7" t="str">
        <f>RIGHT(L446,3)</f>
        <v>ing</v>
      </c>
      <c r="S446" s="8">
        <f>LEN(L446)</f>
        <v>6</v>
      </c>
      <c r="T446" s="36" t="str">
        <f>A446&amp;"|"&amp;B446&amp;"|"&amp;F446</f>
        <v>445|20-01-2011|13</v>
      </c>
      <c r="V446" s="32">
        <f>VLOOKUP(A446,Sheet2!A:H,3,FALSE)</f>
        <v>0.30299999999999999</v>
      </c>
      <c r="W446" s="32">
        <f>VLOOKUP(A446,Sheet2!A:H,4,FALSE)</f>
        <v>0.45</v>
      </c>
      <c r="X446" s="32">
        <f>VLOOKUP(A446,Sheet2!A:H,7,FALSE)</f>
        <v>75</v>
      </c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">
        <v>446</v>
      </c>
      <c r="B447" s="4" t="s">
        <v>34</v>
      </c>
      <c r="C447" s="4">
        <v>1</v>
      </c>
      <c r="D447" s="4">
        <v>0</v>
      </c>
      <c r="E447" s="4">
        <v>1</v>
      </c>
      <c r="F447" s="4">
        <v>14</v>
      </c>
      <c r="G447" s="4" t="b">
        <v>0</v>
      </c>
      <c r="H447" s="4">
        <v>4</v>
      </c>
      <c r="I447" s="4">
        <v>2</v>
      </c>
      <c r="J447" s="4">
        <v>0.3</v>
      </c>
      <c r="K447" s="6" t="str">
        <f>IF(H447=0,"weekend",IF(H447=6,"weekend","weekend"))</f>
        <v>weekend</v>
      </c>
      <c r="L447" s="3" t="str">
        <f>IF(C447=1,"Spring",IF(C447=2,"Summer",IF(C447=3,"Fall","Winter")))</f>
        <v>Spring</v>
      </c>
      <c r="M447" s="3">
        <f>SUM(J447:J471)</f>
        <v>5.9800000000000022</v>
      </c>
      <c r="N447" s="3">
        <f>AVERAGE(J447:J1056)</f>
        <v>0.15624242424242404</v>
      </c>
      <c r="O447" s="3">
        <f>COUNT(J447:J1056)</f>
        <v>165</v>
      </c>
      <c r="P447" s="3" t="str">
        <f>TEXT(J447,"0.00")</f>
        <v>0.30</v>
      </c>
      <c r="Q447" s="3" t="str">
        <f>LEFT(L447,3)</f>
        <v>Spr</v>
      </c>
      <c r="R447" s="7" t="str">
        <f>RIGHT(L447,3)</f>
        <v>ing</v>
      </c>
      <c r="S447" s="8">
        <f>LEN(L447)</f>
        <v>6</v>
      </c>
      <c r="T447" s="36" t="str">
        <f>A447&amp;"|"&amp;B447&amp;"|"&amp;F447</f>
        <v>446|20-01-2011|14</v>
      </c>
      <c r="V447" s="32">
        <f>VLOOKUP(A447,Sheet2!A:H,3,FALSE)</f>
        <v>0.31819999999999998</v>
      </c>
      <c r="W447" s="32">
        <f>VLOOKUP(A447,Sheet2!A:H,4,FALSE)</f>
        <v>0.45</v>
      </c>
      <c r="X447" s="32">
        <f>VLOOKUP(A447,Sheet2!A:H,7,FALSE)</f>
        <v>62</v>
      </c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">
        <v>447</v>
      </c>
      <c r="B448" s="4" t="s">
        <v>34</v>
      </c>
      <c r="C448" s="4">
        <v>1</v>
      </c>
      <c r="D448" s="4">
        <v>0</v>
      </c>
      <c r="E448" s="4">
        <v>1</v>
      </c>
      <c r="F448" s="4">
        <v>15</v>
      </c>
      <c r="G448" s="4" t="b">
        <v>0</v>
      </c>
      <c r="H448" s="4">
        <v>4</v>
      </c>
      <c r="I448" s="4">
        <v>2</v>
      </c>
      <c r="J448" s="4">
        <v>0.32</v>
      </c>
      <c r="K448" s="6" t="str">
        <f>IF(H448=0,"weekend",IF(H448=6,"weekend","weekend"))</f>
        <v>weekend</v>
      </c>
      <c r="L448" s="3" t="str">
        <f>IF(C448=1,"Spring",IF(C448=2,"Summer",IF(C448=3,"Fall","Winter")))</f>
        <v>Spring</v>
      </c>
      <c r="M448" s="3">
        <f>SUM(J448:J472)</f>
        <v>5.8400000000000016</v>
      </c>
      <c r="N448" s="3">
        <f>AVERAGE(J448:J1057)</f>
        <v>0.15536585365853636</v>
      </c>
      <c r="O448" s="3">
        <f>COUNT(J448:J1057)</f>
        <v>164</v>
      </c>
      <c r="P448" s="3" t="str">
        <f>TEXT(J448,"0.00")</f>
        <v>0.32</v>
      </c>
      <c r="Q448" s="3" t="str">
        <f>LEFT(L448,3)</f>
        <v>Spr</v>
      </c>
      <c r="R448" s="7" t="str">
        <f>RIGHT(L448,3)</f>
        <v>ing</v>
      </c>
      <c r="S448" s="8">
        <f>LEN(L448)</f>
        <v>6</v>
      </c>
      <c r="T448" s="36" t="str">
        <f>A448&amp;"|"&amp;B448&amp;"|"&amp;F448</f>
        <v>447|20-01-2011|15</v>
      </c>
      <c r="V448" s="32">
        <f>VLOOKUP(A448,Sheet2!A:H,3,FALSE)</f>
        <v>0.30299999999999999</v>
      </c>
      <c r="W448" s="32">
        <f>VLOOKUP(A448,Sheet2!A:H,4,FALSE)</f>
        <v>0.49</v>
      </c>
      <c r="X448" s="32">
        <f>VLOOKUP(A448,Sheet2!A:H,7,FALSE)</f>
        <v>83</v>
      </c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">
        <v>448</v>
      </c>
      <c r="B449" s="4" t="s">
        <v>34</v>
      </c>
      <c r="C449" s="4">
        <v>1</v>
      </c>
      <c r="D449" s="4">
        <v>0</v>
      </c>
      <c r="E449" s="4">
        <v>1</v>
      </c>
      <c r="F449" s="4">
        <v>16</v>
      </c>
      <c r="G449" s="4" t="b">
        <v>0</v>
      </c>
      <c r="H449" s="4">
        <v>4</v>
      </c>
      <c r="I449" s="4">
        <v>2</v>
      </c>
      <c r="J449" s="4">
        <v>0.3</v>
      </c>
      <c r="K449" s="6" t="str">
        <f>IF(H449=0,"weekend",IF(H449=6,"weekend","weekend"))</f>
        <v>weekend</v>
      </c>
      <c r="L449" s="3" t="str">
        <f>IF(C449=1,"Spring",IF(C449=2,"Summer",IF(C449=3,"Fall","Winter")))</f>
        <v>Spring</v>
      </c>
      <c r="M449" s="3">
        <f>SUM(J449:J473)</f>
        <v>5.6800000000000015</v>
      </c>
      <c r="N449" s="3">
        <f>AVERAGE(J449:J1058)</f>
        <v>0.15435582822085869</v>
      </c>
      <c r="O449" s="3">
        <f>COUNT(J449:J1058)</f>
        <v>163</v>
      </c>
      <c r="P449" s="3" t="str">
        <f>TEXT(J449,"0.00")</f>
        <v>0.30</v>
      </c>
      <c r="Q449" s="3" t="str">
        <f>LEFT(L449,3)</f>
        <v>Spr</v>
      </c>
      <c r="R449" s="7" t="str">
        <f>RIGHT(L449,3)</f>
        <v>ing</v>
      </c>
      <c r="S449" s="8">
        <f>LEN(L449)</f>
        <v>6</v>
      </c>
      <c r="T449" s="36" t="str">
        <f>A449&amp;"|"&amp;B449&amp;"|"&amp;F449</f>
        <v>448|20-01-2011|16</v>
      </c>
      <c r="V449" s="32">
        <f>VLOOKUP(A449,Sheet2!A:H,3,FALSE)</f>
        <v>0.31819999999999998</v>
      </c>
      <c r="W449" s="32">
        <f>VLOOKUP(A449,Sheet2!A:H,4,FALSE)</f>
        <v>0.49</v>
      </c>
      <c r="X449" s="32">
        <f>VLOOKUP(A449,Sheet2!A:H,7,FALSE)</f>
        <v>207</v>
      </c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">
        <v>449</v>
      </c>
      <c r="B450" s="4" t="s">
        <v>34</v>
      </c>
      <c r="C450" s="4">
        <v>1</v>
      </c>
      <c r="D450" s="4">
        <v>0</v>
      </c>
      <c r="E450" s="4">
        <v>1</v>
      </c>
      <c r="F450" s="4">
        <v>17</v>
      </c>
      <c r="G450" s="4" t="b">
        <v>0</v>
      </c>
      <c r="H450" s="4">
        <v>4</v>
      </c>
      <c r="I450" s="4">
        <v>2</v>
      </c>
      <c r="J450" s="4">
        <v>0.3</v>
      </c>
      <c r="K450" s="6" t="str">
        <f>IF(H450=0,"weekend",IF(H450=6,"weekend","weekend"))</f>
        <v>weekend</v>
      </c>
      <c r="L450" s="3" t="str">
        <f>IF(C450=1,"Spring",IF(C450=2,"Summer",IF(C450=3,"Fall","Winter")))</f>
        <v>Spring</v>
      </c>
      <c r="M450" s="3">
        <f>SUM(J450:J474)</f>
        <v>5.5200000000000014</v>
      </c>
      <c r="N450" s="3">
        <f>AVERAGE(J450:J1059)</f>
        <v>0.15345679012345659</v>
      </c>
      <c r="O450" s="3">
        <f>COUNT(J450:J1059)</f>
        <v>162</v>
      </c>
      <c r="P450" s="3" t="str">
        <f>TEXT(J450,"0.00")</f>
        <v>0.30</v>
      </c>
      <c r="Q450" s="3" t="str">
        <f>LEFT(L450,3)</f>
        <v>Spr</v>
      </c>
      <c r="R450" s="7" t="str">
        <f>RIGHT(L450,3)</f>
        <v>ing</v>
      </c>
      <c r="S450" s="8">
        <f>LEN(L450)</f>
        <v>6</v>
      </c>
      <c r="T450" s="36" t="str">
        <f>A450&amp;"|"&amp;B450&amp;"|"&amp;F450</f>
        <v>449|20-01-2011|17</v>
      </c>
      <c r="V450" s="32">
        <f>VLOOKUP(A450,Sheet2!A:H,3,FALSE)</f>
        <v>0.2576</v>
      </c>
      <c r="W450" s="32">
        <f>VLOOKUP(A450,Sheet2!A:H,4,FALSE)</f>
        <v>0.56000000000000005</v>
      </c>
      <c r="X450" s="32">
        <f>VLOOKUP(A450,Sheet2!A:H,7,FALSE)</f>
        <v>184</v>
      </c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">
        <v>450</v>
      </c>
      <c r="B451" s="4" t="s">
        <v>34</v>
      </c>
      <c r="C451" s="4">
        <v>1</v>
      </c>
      <c r="D451" s="4">
        <v>0</v>
      </c>
      <c r="E451" s="4">
        <v>1</v>
      </c>
      <c r="F451" s="4">
        <v>18</v>
      </c>
      <c r="G451" s="4" t="b">
        <v>0</v>
      </c>
      <c r="H451" s="4">
        <v>4</v>
      </c>
      <c r="I451" s="4">
        <v>2</v>
      </c>
      <c r="J451" s="4">
        <v>0.26</v>
      </c>
      <c r="K451" s="6" t="str">
        <f>IF(H451=0,"weekend",IF(H451=6,"weekend","weekend"))</f>
        <v>weekend</v>
      </c>
      <c r="L451" s="3" t="str">
        <f>IF(C451=1,"Spring",IF(C451=2,"Summer",IF(C451=3,"Fall","Winter")))</f>
        <v>Spring</v>
      </c>
      <c r="M451" s="3">
        <f>SUM(J451:J475)</f>
        <v>5.3400000000000016</v>
      </c>
      <c r="N451" s="3">
        <f>AVERAGE(J451:J1060)</f>
        <v>0.15254658385093148</v>
      </c>
      <c r="O451" s="3">
        <f>COUNT(J451:J1060)</f>
        <v>161</v>
      </c>
      <c r="P451" s="3" t="str">
        <f>TEXT(J451,"0.00")</f>
        <v>0.26</v>
      </c>
      <c r="Q451" s="3" t="str">
        <f>LEFT(L451,3)</f>
        <v>Spr</v>
      </c>
      <c r="R451" s="7" t="str">
        <f>RIGHT(L451,3)</f>
        <v>ing</v>
      </c>
      <c r="S451" s="8">
        <f>LEN(L451)</f>
        <v>6</v>
      </c>
      <c r="T451" s="36" t="str">
        <f>A451&amp;"|"&amp;B451&amp;"|"&amp;F451</f>
        <v>450|20-01-2011|18</v>
      </c>
      <c r="V451" s="32">
        <f>VLOOKUP(A451,Sheet2!A:H,3,FALSE)</f>
        <v>0.2273</v>
      </c>
      <c r="W451" s="32">
        <f>VLOOKUP(A451,Sheet2!A:H,4,FALSE)</f>
        <v>0.56000000000000005</v>
      </c>
      <c r="X451" s="32">
        <f>VLOOKUP(A451,Sheet2!A:H,7,FALSE)</f>
        <v>146</v>
      </c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">
        <v>451</v>
      </c>
      <c r="B452" s="4" t="s">
        <v>34</v>
      </c>
      <c r="C452" s="4">
        <v>1</v>
      </c>
      <c r="D452" s="4">
        <v>0</v>
      </c>
      <c r="E452" s="4">
        <v>1</v>
      </c>
      <c r="F452" s="4">
        <v>19</v>
      </c>
      <c r="G452" s="4" t="b">
        <v>0</v>
      </c>
      <c r="H452" s="4">
        <v>4</v>
      </c>
      <c r="I452" s="4">
        <v>1</v>
      </c>
      <c r="J452" s="4">
        <v>0.26</v>
      </c>
      <c r="K452" s="6" t="str">
        <f>IF(H452=0,"weekend",IF(H452=6,"weekend","weekend"))</f>
        <v>weekend</v>
      </c>
      <c r="L452" s="3" t="str">
        <f>IF(C452=1,"Spring",IF(C452=2,"Summer",IF(C452=3,"Fall","Winter")))</f>
        <v>Spring</v>
      </c>
      <c r="M452" s="3">
        <f>SUM(J452:J476)</f>
        <v>5.200000000000002</v>
      </c>
      <c r="N452" s="3">
        <f>AVERAGE(J452:J1061)</f>
        <v>0.15187499999999982</v>
      </c>
      <c r="O452" s="3">
        <f>COUNT(J452:J1061)</f>
        <v>160</v>
      </c>
      <c r="P452" s="3" t="str">
        <f>TEXT(J452,"0.00")</f>
        <v>0.26</v>
      </c>
      <c r="Q452" s="3" t="str">
        <f>LEFT(L452,3)</f>
        <v>Spr</v>
      </c>
      <c r="R452" s="7" t="str">
        <f>RIGHT(L452,3)</f>
        <v>ing</v>
      </c>
      <c r="S452" s="8">
        <f>LEN(L452)</f>
        <v>6</v>
      </c>
      <c r="T452" s="36" t="str">
        <f>A452&amp;"|"&amp;B452&amp;"|"&amp;F452</f>
        <v>451|20-01-2011|19</v>
      </c>
      <c r="V452" s="32">
        <f>VLOOKUP(A452,Sheet2!A:H,3,FALSE)</f>
        <v>0.2424</v>
      </c>
      <c r="W452" s="32">
        <f>VLOOKUP(A452,Sheet2!A:H,4,FALSE)</f>
        <v>0.6</v>
      </c>
      <c r="X452" s="32">
        <f>VLOOKUP(A452,Sheet2!A:H,7,FALSE)</f>
        <v>124</v>
      </c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">
        <v>452</v>
      </c>
      <c r="B453" s="4" t="s">
        <v>34</v>
      </c>
      <c r="C453" s="4">
        <v>1</v>
      </c>
      <c r="D453" s="4">
        <v>0</v>
      </c>
      <c r="E453" s="4">
        <v>1</v>
      </c>
      <c r="F453" s="4">
        <v>20</v>
      </c>
      <c r="G453" s="4" t="b">
        <v>0</v>
      </c>
      <c r="H453" s="4">
        <v>4</v>
      </c>
      <c r="I453" s="4">
        <v>2</v>
      </c>
      <c r="J453" s="4">
        <v>0.26</v>
      </c>
      <c r="K453" s="6" t="str">
        <f>IF(H453=0,"weekend",IF(H453=6,"weekend","weekend"))</f>
        <v>weekend</v>
      </c>
      <c r="L453" s="3" t="str">
        <f>IF(C453=1,"Spring",IF(C453=2,"Summer",IF(C453=3,"Fall","Winter")))</f>
        <v>Spring</v>
      </c>
      <c r="M453" s="3">
        <f>SUM(J453:J477)</f>
        <v>5.0400000000000009</v>
      </c>
      <c r="N453" s="3">
        <f>AVERAGE(J453:J1062)</f>
        <v>0.15119496855345893</v>
      </c>
      <c r="O453" s="3">
        <f>COUNT(J453:J1062)</f>
        <v>159</v>
      </c>
      <c r="P453" s="3" t="str">
        <f>TEXT(J453,"0.00")</f>
        <v>0.26</v>
      </c>
      <c r="Q453" s="3" t="str">
        <f>LEFT(L453,3)</f>
        <v>Spr</v>
      </c>
      <c r="R453" s="7" t="str">
        <f>RIGHT(L453,3)</f>
        <v>ing</v>
      </c>
      <c r="S453" s="8">
        <f>LEN(L453)</f>
        <v>6</v>
      </c>
      <c r="T453" s="36" t="str">
        <f>A453&amp;"|"&amp;B453&amp;"|"&amp;F453</f>
        <v>452|20-01-2011|20</v>
      </c>
      <c r="V453" s="32">
        <f>VLOOKUP(A453,Sheet2!A:H,3,FALSE)</f>
        <v>0.2273</v>
      </c>
      <c r="W453" s="32">
        <f>VLOOKUP(A453,Sheet2!A:H,4,FALSE)</f>
        <v>0.6</v>
      </c>
      <c r="X453" s="32">
        <f>VLOOKUP(A453,Sheet2!A:H,7,FALSE)</f>
        <v>54</v>
      </c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">
        <v>453</v>
      </c>
      <c r="B454" s="4" t="s">
        <v>34</v>
      </c>
      <c r="C454" s="4">
        <v>1</v>
      </c>
      <c r="D454" s="4">
        <v>0</v>
      </c>
      <c r="E454" s="4">
        <v>1</v>
      </c>
      <c r="F454" s="4">
        <v>21</v>
      </c>
      <c r="G454" s="4" t="b">
        <v>0</v>
      </c>
      <c r="H454" s="4">
        <v>4</v>
      </c>
      <c r="I454" s="4">
        <v>2</v>
      </c>
      <c r="J454" s="4">
        <v>0.24</v>
      </c>
      <c r="K454" s="6" t="str">
        <f>IF(H454=0,"weekend",IF(H454=6,"weekend","weekend"))</f>
        <v>weekend</v>
      </c>
      <c r="L454" s="3" t="str">
        <f>IF(C454=1,"Spring",IF(C454=2,"Summer",IF(C454=3,"Fall","Winter")))</f>
        <v>Spring</v>
      </c>
      <c r="M454" s="3">
        <f>SUM(J454:J478)</f>
        <v>4.8600000000000012</v>
      </c>
      <c r="N454" s="3">
        <f>AVERAGE(J454:J1063)</f>
        <v>0.15050632911392386</v>
      </c>
      <c r="O454" s="3">
        <f>COUNT(J454:J1063)</f>
        <v>158</v>
      </c>
      <c r="P454" s="3" t="str">
        <f>TEXT(J454,"0.00")</f>
        <v>0.24</v>
      </c>
      <c r="Q454" s="3" t="str">
        <f>LEFT(L454,3)</f>
        <v>Spr</v>
      </c>
      <c r="R454" s="7" t="str">
        <f>RIGHT(L454,3)</f>
        <v>ing</v>
      </c>
      <c r="S454" s="8">
        <f>LEN(L454)</f>
        <v>6</v>
      </c>
      <c r="T454" s="36" t="str">
        <f>A454&amp;"|"&amp;B454&amp;"|"&amp;F454</f>
        <v>453|20-01-2011|21</v>
      </c>
      <c r="V454" s="32">
        <f>VLOOKUP(A454,Sheet2!A:H,3,FALSE)</f>
        <v>0.21210000000000001</v>
      </c>
      <c r="W454" s="32">
        <f>VLOOKUP(A454,Sheet2!A:H,4,FALSE)</f>
        <v>0.65</v>
      </c>
      <c r="X454" s="32">
        <f>VLOOKUP(A454,Sheet2!A:H,7,FALSE)</f>
        <v>56</v>
      </c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">
        <v>454</v>
      </c>
      <c r="B455" s="4" t="s">
        <v>34</v>
      </c>
      <c r="C455" s="4">
        <v>1</v>
      </c>
      <c r="D455" s="4">
        <v>0</v>
      </c>
      <c r="E455" s="4">
        <v>1</v>
      </c>
      <c r="F455" s="4">
        <v>22</v>
      </c>
      <c r="G455" s="4" t="b">
        <v>0</v>
      </c>
      <c r="H455" s="4">
        <v>4</v>
      </c>
      <c r="I455" s="4">
        <v>2</v>
      </c>
      <c r="J455" s="4">
        <v>0.24</v>
      </c>
      <c r="K455" s="6" t="str">
        <f>IF(H455=0,"weekend",IF(H455=6,"weekend","weekend"))</f>
        <v>weekend</v>
      </c>
      <c r="L455" s="3" t="str">
        <f>IF(C455=1,"Spring",IF(C455=2,"Summer",IF(C455=3,"Fall","Winter")))</f>
        <v>Spring</v>
      </c>
      <c r="M455" s="3">
        <f>SUM(J455:J479)</f>
        <v>4.6800000000000006</v>
      </c>
      <c r="N455" s="3">
        <f>AVERAGE(J455:J1064)</f>
        <v>0.1499363057324839</v>
      </c>
      <c r="O455" s="3">
        <f>COUNT(J455:J1064)</f>
        <v>157</v>
      </c>
      <c r="P455" s="3" t="str">
        <f>TEXT(J455,"0.00")</f>
        <v>0.24</v>
      </c>
      <c r="Q455" s="3" t="str">
        <f>LEFT(L455,3)</f>
        <v>Spr</v>
      </c>
      <c r="R455" s="7" t="str">
        <f>RIGHT(L455,3)</f>
        <v>ing</v>
      </c>
      <c r="S455" s="8">
        <f>LEN(L455)</f>
        <v>6</v>
      </c>
      <c r="T455" s="36" t="str">
        <f>A455&amp;"|"&amp;B455&amp;"|"&amp;F455</f>
        <v>454|20-01-2011|22</v>
      </c>
      <c r="V455" s="32">
        <f>VLOOKUP(A455,Sheet2!A:H,3,FALSE)</f>
        <v>0.21210000000000001</v>
      </c>
      <c r="W455" s="32">
        <f>VLOOKUP(A455,Sheet2!A:H,4,FALSE)</f>
        <v>0.65</v>
      </c>
      <c r="X455" s="32">
        <f>VLOOKUP(A455,Sheet2!A:H,7,FALSE)</f>
        <v>28</v>
      </c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">
        <v>455</v>
      </c>
      <c r="B456" s="4" t="s">
        <v>34</v>
      </c>
      <c r="C456" s="4">
        <v>1</v>
      </c>
      <c r="D456" s="4">
        <v>0</v>
      </c>
      <c r="E456" s="4">
        <v>1</v>
      </c>
      <c r="F456" s="4">
        <v>23</v>
      </c>
      <c r="G456" s="4" t="b">
        <v>0</v>
      </c>
      <c r="H456" s="4">
        <v>4</v>
      </c>
      <c r="I456" s="4">
        <v>2</v>
      </c>
      <c r="J456" s="4">
        <v>0.24</v>
      </c>
      <c r="K456" s="6" t="str">
        <f>IF(H456=0,"weekend",IF(H456=6,"weekend","weekend"))</f>
        <v>weekend</v>
      </c>
      <c r="L456" s="3" t="str">
        <f>IF(C456=1,"Spring",IF(C456=2,"Summer",IF(C456=3,"Fall","Winter")))</f>
        <v>Spring</v>
      </c>
      <c r="M456" s="3">
        <f>SUM(J456:J480)</f>
        <v>4.5000000000000009</v>
      </c>
      <c r="N456" s="3">
        <f>AVERAGE(J456:J1065)</f>
        <v>0.14935897435897422</v>
      </c>
      <c r="O456" s="3">
        <f>COUNT(J456:J1065)</f>
        <v>156</v>
      </c>
      <c r="P456" s="3" t="str">
        <f>TEXT(J456,"0.00")</f>
        <v>0.24</v>
      </c>
      <c r="Q456" s="3" t="str">
        <f>LEFT(L456,3)</f>
        <v>Spr</v>
      </c>
      <c r="R456" s="7" t="str">
        <f>RIGHT(L456,3)</f>
        <v>ing</v>
      </c>
      <c r="S456" s="8">
        <f>LEN(L456)</f>
        <v>6</v>
      </c>
      <c r="T456" s="36" t="str">
        <f>A456&amp;"|"&amp;B456&amp;"|"&amp;F456</f>
        <v>455|20-01-2011|23</v>
      </c>
      <c r="V456" s="32">
        <f>VLOOKUP(A456,Sheet2!A:H,3,FALSE)</f>
        <v>0.2273</v>
      </c>
      <c r="W456" s="32">
        <f>VLOOKUP(A456,Sheet2!A:H,4,FALSE)</f>
        <v>0.7</v>
      </c>
      <c r="X456" s="32">
        <f>VLOOKUP(A456,Sheet2!A:H,7,FALSE)</f>
        <v>20</v>
      </c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">
        <v>456</v>
      </c>
      <c r="B457" s="4" t="s">
        <v>35</v>
      </c>
      <c r="C457" s="4">
        <v>1</v>
      </c>
      <c r="D457" s="4">
        <v>0</v>
      </c>
      <c r="E457" s="4">
        <v>1</v>
      </c>
      <c r="F457" s="4">
        <v>0</v>
      </c>
      <c r="G457" s="4" t="b">
        <v>0</v>
      </c>
      <c r="H457" s="4">
        <v>5</v>
      </c>
      <c r="I457" s="4">
        <v>2</v>
      </c>
      <c r="J457" s="4">
        <v>0.24</v>
      </c>
      <c r="K457" s="6" t="str">
        <f>IF(H457=0,"weekend",IF(H457=6,"weekend","weekend"))</f>
        <v>weekend</v>
      </c>
      <c r="L457" s="3" t="str">
        <f>IF(C457=1,"Spring",IF(C457=2,"Summer",IF(C457=3,"Fall","Winter")))</f>
        <v>Spring</v>
      </c>
      <c r="M457" s="3">
        <f>SUM(J457:J481)</f>
        <v>4.3000000000000007</v>
      </c>
      <c r="N457" s="3">
        <f>AVERAGE(J457:J1066)</f>
        <v>0.14877419354838697</v>
      </c>
      <c r="O457" s="3">
        <f>COUNT(J457:J1066)</f>
        <v>155</v>
      </c>
      <c r="P457" s="3" t="str">
        <f>TEXT(J457,"0.00")</f>
        <v>0.24</v>
      </c>
      <c r="Q457" s="3" t="str">
        <f>LEFT(L457,3)</f>
        <v>Spr</v>
      </c>
      <c r="R457" s="7" t="str">
        <f>RIGHT(L457,3)</f>
        <v>ing</v>
      </c>
      <c r="S457" s="8">
        <f>LEN(L457)</f>
        <v>6</v>
      </c>
      <c r="T457" s="36" t="str">
        <f>A457&amp;"|"&amp;B457&amp;"|"&amp;F457</f>
        <v>456|21-01-2011|0</v>
      </c>
      <c r="V457" s="32">
        <f>VLOOKUP(A457,Sheet2!A:H,3,FALSE)</f>
        <v>0.2273</v>
      </c>
      <c r="W457" s="32">
        <f>VLOOKUP(A457,Sheet2!A:H,4,FALSE)</f>
        <v>0.7</v>
      </c>
      <c r="X457" s="32">
        <f>VLOOKUP(A457,Sheet2!A:H,7,FALSE)</f>
        <v>6</v>
      </c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">
        <v>457</v>
      </c>
      <c r="B458" s="4" t="s">
        <v>35</v>
      </c>
      <c r="C458" s="4">
        <v>1</v>
      </c>
      <c r="D458" s="4">
        <v>0</v>
      </c>
      <c r="E458" s="4">
        <v>1</v>
      </c>
      <c r="F458" s="4">
        <v>1</v>
      </c>
      <c r="G458" s="4" t="b">
        <v>0</v>
      </c>
      <c r="H458" s="4">
        <v>5</v>
      </c>
      <c r="I458" s="4">
        <v>2</v>
      </c>
      <c r="J458" s="4">
        <v>0.24</v>
      </c>
      <c r="K458" s="6" t="str">
        <f>IF(H458=0,"weekend",IF(H458=6,"weekend","weekend"))</f>
        <v>weekend</v>
      </c>
      <c r="L458" s="3" t="str">
        <f>IF(C458=1,"Spring",IF(C458=2,"Summer",IF(C458=3,"Fall","Winter")))</f>
        <v>Spring</v>
      </c>
      <c r="M458" s="3">
        <f>SUM(J458:J482)</f>
        <v>4.1000000000000014</v>
      </c>
      <c r="N458" s="3">
        <f>AVERAGE(J458:J1067)</f>
        <v>0.14818181818181805</v>
      </c>
      <c r="O458" s="3">
        <f>COUNT(J458:J1067)</f>
        <v>154</v>
      </c>
      <c r="P458" s="3" t="str">
        <f>TEXT(J458,"0.00")</f>
        <v>0.24</v>
      </c>
      <c r="Q458" s="3" t="str">
        <f>LEFT(L458,3)</f>
        <v>Spr</v>
      </c>
      <c r="R458" s="7" t="str">
        <f>RIGHT(L458,3)</f>
        <v>ing</v>
      </c>
      <c r="S458" s="8">
        <f>LEN(L458)</f>
        <v>6</v>
      </c>
      <c r="T458" s="36" t="str">
        <f>A458&amp;"|"&amp;B458&amp;"|"&amp;F458</f>
        <v>457|21-01-2011|1</v>
      </c>
      <c r="V458" s="32">
        <f>VLOOKUP(A458,Sheet2!A:H,3,FALSE)</f>
        <v>0.2424</v>
      </c>
      <c r="W458" s="32">
        <f>VLOOKUP(A458,Sheet2!A:H,4,FALSE)</f>
        <v>0.75</v>
      </c>
      <c r="X458" s="32">
        <f>VLOOKUP(A458,Sheet2!A:H,7,FALSE)</f>
        <v>2</v>
      </c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">
        <v>458</v>
      </c>
      <c r="B459" s="4" t="s">
        <v>35</v>
      </c>
      <c r="C459" s="4">
        <v>1</v>
      </c>
      <c r="D459" s="4">
        <v>0</v>
      </c>
      <c r="E459" s="4">
        <v>1</v>
      </c>
      <c r="F459" s="4">
        <v>2</v>
      </c>
      <c r="G459" s="4" t="b">
        <v>0</v>
      </c>
      <c r="H459" s="4">
        <v>5</v>
      </c>
      <c r="I459" s="4">
        <v>3</v>
      </c>
      <c r="J459" s="4">
        <v>0.24</v>
      </c>
      <c r="K459" s="6" t="str">
        <f>IF(H459=0,"weekend",IF(H459=6,"weekend","weekend"))</f>
        <v>weekend</v>
      </c>
      <c r="L459" s="3" t="str">
        <f>IF(C459=1,"Spring",IF(C459=2,"Summer",IF(C459=3,"Fall","Winter")))</f>
        <v>Spring</v>
      </c>
      <c r="M459" s="3">
        <f>SUM(J459:J483)</f>
        <v>3.9000000000000012</v>
      </c>
      <c r="N459" s="3">
        <f>AVERAGE(J459:J1068)</f>
        <v>0.14758169934640511</v>
      </c>
      <c r="O459" s="3">
        <f>COUNT(J459:J1068)</f>
        <v>153</v>
      </c>
      <c r="P459" s="3" t="str">
        <f>TEXT(J459,"0.00")</f>
        <v>0.24</v>
      </c>
      <c r="Q459" s="3" t="str">
        <f>LEFT(L459,3)</f>
        <v>Spr</v>
      </c>
      <c r="R459" s="7" t="str">
        <f>RIGHT(L459,3)</f>
        <v>ing</v>
      </c>
      <c r="S459" s="8">
        <f>LEN(L459)</f>
        <v>6</v>
      </c>
      <c r="T459" s="36" t="str">
        <f>A459&amp;"|"&amp;B459&amp;"|"&amp;F459</f>
        <v>458|21-01-2011|2</v>
      </c>
      <c r="V459" s="32">
        <f>VLOOKUP(A459,Sheet2!A:H,3,FALSE)</f>
        <v>0.21210000000000001</v>
      </c>
      <c r="W459" s="32">
        <f>VLOOKUP(A459,Sheet2!A:H,4,FALSE)</f>
        <v>0.8</v>
      </c>
      <c r="X459" s="32">
        <f>VLOOKUP(A459,Sheet2!A:H,7,FALSE)</f>
        <v>1</v>
      </c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">
        <v>459</v>
      </c>
      <c r="B460" s="4" t="s">
        <v>35</v>
      </c>
      <c r="C460" s="4">
        <v>1</v>
      </c>
      <c r="D460" s="4">
        <v>0</v>
      </c>
      <c r="E460" s="4">
        <v>1</v>
      </c>
      <c r="F460" s="4">
        <v>3</v>
      </c>
      <c r="G460" s="4" t="b">
        <v>0</v>
      </c>
      <c r="H460" s="4">
        <v>5</v>
      </c>
      <c r="I460" s="4">
        <v>3</v>
      </c>
      <c r="J460" s="4">
        <v>0.22</v>
      </c>
      <c r="K460" s="6" t="str">
        <f>IF(H460=0,"weekend",IF(H460=6,"weekend","weekend"))</f>
        <v>weekend</v>
      </c>
      <c r="L460" s="3" t="str">
        <f>IF(C460=1,"Spring",IF(C460=2,"Summer",IF(C460=3,"Fall","Winter")))</f>
        <v>Spring</v>
      </c>
      <c r="M460" s="3">
        <f>SUM(J460:J484)</f>
        <v>3.7000000000000011</v>
      </c>
      <c r="N460" s="3">
        <f>AVERAGE(J460:J1069)</f>
        <v>0.1469736842105262</v>
      </c>
      <c r="O460" s="3">
        <f>COUNT(J460:J1069)</f>
        <v>152</v>
      </c>
      <c r="P460" s="3" t="str">
        <f>TEXT(J460,"0.00")</f>
        <v>0.22</v>
      </c>
      <c r="Q460" s="3" t="str">
        <f>LEFT(L460,3)</f>
        <v>Spr</v>
      </c>
      <c r="R460" s="7" t="str">
        <f>RIGHT(L460,3)</f>
        <v>ing</v>
      </c>
      <c r="S460" s="8">
        <f>LEN(L460)</f>
        <v>6</v>
      </c>
      <c r="T460" s="36" t="str">
        <f>A460&amp;"|"&amp;B460&amp;"|"&amp;F460</f>
        <v>459|21-01-2011|3</v>
      </c>
      <c r="V460" s="32">
        <f>VLOOKUP(A460,Sheet2!A:H,3,FALSE)</f>
        <v>0.2576</v>
      </c>
      <c r="W460" s="32">
        <f>VLOOKUP(A460,Sheet2!A:H,4,FALSE)</f>
        <v>0.87</v>
      </c>
      <c r="X460" s="32">
        <f>VLOOKUP(A460,Sheet2!A:H,7,FALSE)</f>
        <v>1</v>
      </c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">
        <v>460</v>
      </c>
      <c r="B461" s="4" t="s">
        <v>35</v>
      </c>
      <c r="C461" s="4">
        <v>1</v>
      </c>
      <c r="D461" s="4">
        <v>0</v>
      </c>
      <c r="E461" s="4">
        <v>1</v>
      </c>
      <c r="F461" s="4">
        <v>4</v>
      </c>
      <c r="G461" s="4" t="b">
        <v>0</v>
      </c>
      <c r="H461" s="4">
        <v>5</v>
      </c>
      <c r="I461" s="4">
        <v>2</v>
      </c>
      <c r="J461" s="4">
        <v>0.22</v>
      </c>
      <c r="K461" s="6" t="str">
        <f>IF(H461=0,"weekend",IF(H461=6,"weekend","weekend"))</f>
        <v>weekend</v>
      </c>
      <c r="L461" s="3" t="str">
        <f>IF(C461=1,"Spring",IF(C461=2,"Summer",IF(C461=3,"Fall","Winter")))</f>
        <v>Spring</v>
      </c>
      <c r="M461" s="3">
        <f>SUM(J461:J485)</f>
        <v>3.5000000000000009</v>
      </c>
      <c r="N461" s="3">
        <f>AVERAGE(J461:J1070)</f>
        <v>0.14649006622516544</v>
      </c>
      <c r="O461" s="3">
        <f>COUNT(J461:J1070)</f>
        <v>151</v>
      </c>
      <c r="P461" s="3" t="str">
        <f>TEXT(J461,"0.00")</f>
        <v>0.22</v>
      </c>
      <c r="Q461" s="3" t="str">
        <f>LEFT(L461,3)</f>
        <v>Spr</v>
      </c>
      <c r="R461" s="7" t="str">
        <f>RIGHT(L461,3)</f>
        <v>ing</v>
      </c>
      <c r="S461" s="8">
        <f>LEN(L461)</f>
        <v>6</v>
      </c>
      <c r="T461" s="36" t="str">
        <f>A461&amp;"|"&amp;B461&amp;"|"&amp;F461</f>
        <v>460|21-01-2011|4</v>
      </c>
      <c r="V461" s="32">
        <f>VLOOKUP(A461,Sheet2!A:H,3,FALSE)</f>
        <v>0.19700000000000001</v>
      </c>
      <c r="W461" s="32">
        <f>VLOOKUP(A461,Sheet2!A:H,4,FALSE)</f>
        <v>0.6</v>
      </c>
      <c r="X461" s="32">
        <f>VLOOKUP(A461,Sheet2!A:H,7,FALSE)</f>
        <v>4</v>
      </c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">
        <v>461</v>
      </c>
      <c r="B462" s="4" t="s">
        <v>35</v>
      </c>
      <c r="C462" s="4">
        <v>1</v>
      </c>
      <c r="D462" s="4">
        <v>0</v>
      </c>
      <c r="E462" s="4">
        <v>1</v>
      </c>
      <c r="F462" s="4">
        <v>5</v>
      </c>
      <c r="G462" s="4" t="b">
        <v>0</v>
      </c>
      <c r="H462" s="4">
        <v>5</v>
      </c>
      <c r="I462" s="4">
        <v>1</v>
      </c>
      <c r="J462" s="4">
        <v>0.24</v>
      </c>
      <c r="K462" s="6" t="str">
        <f>IF(H462=0,"weekend",IF(H462=6,"weekend","weekend"))</f>
        <v>weekend</v>
      </c>
      <c r="L462" s="3" t="str">
        <f>IF(C462=1,"Spring",IF(C462=2,"Summer",IF(C462=3,"Fall","Winter")))</f>
        <v>Spring</v>
      </c>
      <c r="M462" s="3">
        <f>SUM(J462:J486)</f>
        <v>3.3000000000000007</v>
      </c>
      <c r="N462" s="3">
        <f>AVERAGE(J462:J1071)</f>
        <v>0.14599999999999991</v>
      </c>
      <c r="O462" s="3">
        <f>COUNT(J462:J1071)</f>
        <v>150</v>
      </c>
      <c r="P462" s="3" t="str">
        <f>TEXT(J462,"0.00")</f>
        <v>0.24</v>
      </c>
      <c r="Q462" s="3" t="str">
        <f>LEFT(L462,3)</f>
        <v>Spr</v>
      </c>
      <c r="R462" s="7" t="str">
        <f>RIGHT(L462,3)</f>
        <v>ing</v>
      </c>
      <c r="S462" s="8">
        <f>LEN(L462)</f>
        <v>6</v>
      </c>
      <c r="T462" s="36" t="str">
        <f>A462&amp;"|"&amp;B462&amp;"|"&amp;F462</f>
        <v>461|21-01-2011|5</v>
      </c>
      <c r="V462" s="32">
        <f>VLOOKUP(A462,Sheet2!A:H,3,FALSE)</f>
        <v>0.21210000000000001</v>
      </c>
      <c r="W462" s="32">
        <f>VLOOKUP(A462,Sheet2!A:H,4,FALSE)</f>
        <v>0.55000000000000004</v>
      </c>
      <c r="X462" s="32">
        <f>VLOOKUP(A462,Sheet2!A:H,7,FALSE)</f>
        <v>27</v>
      </c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">
        <v>462</v>
      </c>
      <c r="B463" s="4" t="s">
        <v>35</v>
      </c>
      <c r="C463" s="4">
        <v>1</v>
      </c>
      <c r="D463" s="4">
        <v>0</v>
      </c>
      <c r="E463" s="4">
        <v>1</v>
      </c>
      <c r="F463" s="4">
        <v>6</v>
      </c>
      <c r="G463" s="4" t="b">
        <v>0</v>
      </c>
      <c r="H463" s="4">
        <v>5</v>
      </c>
      <c r="I463" s="4">
        <v>1</v>
      </c>
      <c r="J463" s="4">
        <v>0.22</v>
      </c>
      <c r="K463" s="6" t="str">
        <f>IF(H463=0,"weekend",IF(H463=6,"weekend","weekend"))</f>
        <v>weekend</v>
      </c>
      <c r="L463" s="3" t="str">
        <f>IF(C463=1,"Spring",IF(C463=2,"Summer",IF(C463=3,"Fall","Winter")))</f>
        <v>Spring</v>
      </c>
      <c r="M463" s="3">
        <f>SUM(J463:J487)</f>
        <v>3.080000000000001</v>
      </c>
      <c r="N463" s="3">
        <f>AVERAGE(J463:J1072)</f>
        <v>0.14536912751677844</v>
      </c>
      <c r="O463" s="3">
        <f>COUNT(J463:J1072)</f>
        <v>149</v>
      </c>
      <c r="P463" s="3" t="str">
        <f>TEXT(J463,"0.00")</f>
        <v>0.22</v>
      </c>
      <c r="Q463" s="3" t="str">
        <f>LEFT(L463,3)</f>
        <v>Spr</v>
      </c>
      <c r="R463" s="7" t="str">
        <f>RIGHT(L463,3)</f>
        <v>ing</v>
      </c>
      <c r="S463" s="8">
        <f>LEN(L463)</f>
        <v>6</v>
      </c>
      <c r="T463" s="36" t="str">
        <f>A463&amp;"|"&amp;B463&amp;"|"&amp;F463</f>
        <v>462|21-01-2011|6</v>
      </c>
      <c r="V463" s="32">
        <f>VLOOKUP(A463,Sheet2!A:H,3,FALSE)</f>
        <v>0.18179999999999999</v>
      </c>
      <c r="W463" s="32">
        <f>VLOOKUP(A463,Sheet2!A:H,4,FALSE)</f>
        <v>0.51</v>
      </c>
      <c r="X463" s="32">
        <f>VLOOKUP(A463,Sheet2!A:H,7,FALSE)</f>
        <v>66</v>
      </c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">
        <v>463</v>
      </c>
      <c r="B464" s="4" t="s">
        <v>35</v>
      </c>
      <c r="C464" s="4">
        <v>1</v>
      </c>
      <c r="D464" s="4">
        <v>0</v>
      </c>
      <c r="E464" s="4">
        <v>1</v>
      </c>
      <c r="F464" s="4">
        <v>7</v>
      </c>
      <c r="G464" s="4" t="b">
        <v>0</v>
      </c>
      <c r="H464" s="4">
        <v>5</v>
      </c>
      <c r="I464" s="4">
        <v>1</v>
      </c>
      <c r="J464" s="4">
        <v>0.2</v>
      </c>
      <c r="K464" s="6" t="str">
        <f>IF(H464=0,"weekend",IF(H464=6,"weekend","weekend"))</f>
        <v>weekend</v>
      </c>
      <c r="L464" s="3" t="str">
        <f>IF(C464=1,"Spring",IF(C464=2,"Summer",IF(C464=3,"Fall","Winter")))</f>
        <v>Spring</v>
      </c>
      <c r="M464" s="3">
        <f>SUM(J464:J488)</f>
        <v>2.8800000000000003</v>
      </c>
      <c r="N464" s="3">
        <f>AVERAGE(J464:J1073)</f>
        <v>0.14486486486486477</v>
      </c>
      <c r="O464" s="3">
        <f>COUNT(J464:J1073)</f>
        <v>148</v>
      </c>
      <c r="P464" s="3" t="str">
        <f>TEXT(J464,"0.00")</f>
        <v>0.20</v>
      </c>
      <c r="Q464" s="3" t="str">
        <f>LEFT(L464,3)</f>
        <v>Spr</v>
      </c>
      <c r="R464" s="7" t="str">
        <f>RIGHT(L464,3)</f>
        <v>ing</v>
      </c>
      <c r="S464" s="8">
        <f>LEN(L464)</f>
        <v>6</v>
      </c>
      <c r="T464" s="36" t="str">
        <f>A464&amp;"|"&amp;B464&amp;"|"&amp;F464</f>
        <v>463|21-01-2011|7</v>
      </c>
      <c r="V464" s="32">
        <f>VLOOKUP(A464,Sheet2!A:H,3,FALSE)</f>
        <v>0.18179999999999999</v>
      </c>
      <c r="W464" s="32">
        <f>VLOOKUP(A464,Sheet2!A:H,4,FALSE)</f>
        <v>0.47</v>
      </c>
      <c r="X464" s="32">
        <f>VLOOKUP(A464,Sheet2!A:H,7,FALSE)</f>
        <v>210</v>
      </c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">
        <v>464</v>
      </c>
      <c r="B465" s="4" t="s">
        <v>35</v>
      </c>
      <c r="C465" s="4">
        <v>1</v>
      </c>
      <c r="D465" s="4">
        <v>0</v>
      </c>
      <c r="E465" s="4">
        <v>1</v>
      </c>
      <c r="F465" s="4">
        <v>8</v>
      </c>
      <c r="G465" s="4" t="b">
        <v>0</v>
      </c>
      <c r="H465" s="4">
        <v>5</v>
      </c>
      <c r="I465" s="4">
        <v>1</v>
      </c>
      <c r="J465" s="4">
        <v>0.2</v>
      </c>
      <c r="K465" s="6" t="str">
        <f>IF(H465=0,"weekend",IF(H465=6,"weekend","weekend"))</f>
        <v>weekend</v>
      </c>
      <c r="L465" s="3" t="str">
        <f>IF(C465=1,"Spring",IF(C465=2,"Summer",IF(C465=3,"Fall","Winter")))</f>
        <v>Spring</v>
      </c>
      <c r="M465" s="3">
        <f>SUM(J465:J489)</f>
        <v>2.7200000000000006</v>
      </c>
      <c r="N465" s="3">
        <f>AVERAGE(J465:J1074)</f>
        <v>0.14448979591836728</v>
      </c>
      <c r="O465" s="3">
        <f>COUNT(J465:J1074)</f>
        <v>147</v>
      </c>
      <c r="P465" s="3" t="str">
        <f>TEXT(J465,"0.00")</f>
        <v>0.20</v>
      </c>
      <c r="Q465" s="3" t="str">
        <f>LEFT(L465,3)</f>
        <v>Spr</v>
      </c>
      <c r="R465" s="7" t="str">
        <f>RIGHT(L465,3)</f>
        <v>ing</v>
      </c>
      <c r="S465" s="8">
        <f>LEN(L465)</f>
        <v>6</v>
      </c>
      <c r="T465" s="36" t="str">
        <f>A465&amp;"|"&amp;B465&amp;"|"&amp;F465</f>
        <v>464|21-01-2011|8</v>
      </c>
      <c r="V465" s="32">
        <f>VLOOKUP(A465,Sheet2!A:H,3,FALSE)</f>
        <v>0.18179999999999999</v>
      </c>
      <c r="W465" s="32">
        <f>VLOOKUP(A465,Sheet2!A:H,4,FALSE)</f>
        <v>0.51</v>
      </c>
      <c r="X465" s="32">
        <f>VLOOKUP(A465,Sheet2!A:H,7,FALSE)</f>
        <v>159</v>
      </c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">
        <v>465</v>
      </c>
      <c r="B466" s="4" t="s">
        <v>35</v>
      </c>
      <c r="C466" s="4">
        <v>1</v>
      </c>
      <c r="D466" s="4">
        <v>0</v>
      </c>
      <c r="E466" s="4">
        <v>1</v>
      </c>
      <c r="F466" s="4">
        <v>9</v>
      </c>
      <c r="G466" s="4" t="b">
        <v>0</v>
      </c>
      <c r="H466" s="4">
        <v>5</v>
      </c>
      <c r="I466" s="4">
        <v>1</v>
      </c>
      <c r="J466" s="4">
        <v>0.2</v>
      </c>
      <c r="K466" s="6" t="str">
        <f>IF(H466=0,"weekend",IF(H466=6,"weekend","weekend"))</f>
        <v>weekend</v>
      </c>
      <c r="L466" s="3" t="str">
        <f>IF(C466=1,"Spring",IF(C466=2,"Summer",IF(C466=3,"Fall","Winter")))</f>
        <v>Spring</v>
      </c>
      <c r="M466" s="3">
        <f>SUM(J466:J490)</f>
        <v>2.5600000000000005</v>
      </c>
      <c r="N466" s="3">
        <f>AVERAGE(J466:J1075)</f>
        <v>0.14410958904109583</v>
      </c>
      <c r="O466" s="3">
        <f>COUNT(J466:J1075)</f>
        <v>146</v>
      </c>
      <c r="P466" s="3" t="str">
        <f>TEXT(J466,"0.00")</f>
        <v>0.20</v>
      </c>
      <c r="Q466" s="3" t="str">
        <f>LEFT(L466,3)</f>
        <v>Spr</v>
      </c>
      <c r="R466" s="7" t="str">
        <f>RIGHT(L466,3)</f>
        <v>ing</v>
      </c>
      <c r="S466" s="8">
        <f>LEN(L466)</f>
        <v>6</v>
      </c>
      <c r="T466" s="36" t="str">
        <f>A466&amp;"|"&amp;B466&amp;"|"&amp;F466</f>
        <v>465|21-01-2011|9</v>
      </c>
      <c r="V466" s="32">
        <f>VLOOKUP(A466,Sheet2!A:H,3,FALSE)</f>
        <v>0.16669999999999999</v>
      </c>
      <c r="W466" s="32">
        <f>VLOOKUP(A466,Sheet2!A:H,4,FALSE)</f>
        <v>0.47</v>
      </c>
      <c r="X466" s="32">
        <f>VLOOKUP(A466,Sheet2!A:H,7,FALSE)</f>
        <v>57</v>
      </c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">
        <v>466</v>
      </c>
      <c r="B467" s="4" t="s">
        <v>35</v>
      </c>
      <c r="C467" s="4">
        <v>1</v>
      </c>
      <c r="D467" s="4">
        <v>0</v>
      </c>
      <c r="E467" s="4">
        <v>1</v>
      </c>
      <c r="F467" s="4">
        <v>10</v>
      </c>
      <c r="G467" s="4" t="b">
        <v>0</v>
      </c>
      <c r="H467" s="4">
        <v>5</v>
      </c>
      <c r="I467" s="4">
        <v>1</v>
      </c>
      <c r="J467" s="4">
        <v>0.2</v>
      </c>
      <c r="K467" s="6" t="str">
        <f>IF(H467=0,"weekend",IF(H467=6,"weekend","weekend"))</f>
        <v>weekend</v>
      </c>
      <c r="L467" s="3" t="str">
        <f>IF(C467=1,"Spring",IF(C467=2,"Summer",IF(C467=3,"Fall","Winter")))</f>
        <v>Spring</v>
      </c>
      <c r="M467" s="3">
        <f>SUM(J467:J491)</f>
        <v>2.4200000000000008</v>
      </c>
      <c r="N467" s="3">
        <f>AVERAGE(J467:J1076)</f>
        <v>0.14372413793103445</v>
      </c>
      <c r="O467" s="3">
        <f>COUNT(J467:J1076)</f>
        <v>145</v>
      </c>
      <c r="P467" s="3" t="str">
        <f>TEXT(J467,"0.00")</f>
        <v>0.20</v>
      </c>
      <c r="Q467" s="3" t="str">
        <f>LEFT(L467,3)</f>
        <v>Spr</v>
      </c>
      <c r="R467" s="7" t="str">
        <f>RIGHT(L467,3)</f>
        <v>ing</v>
      </c>
      <c r="S467" s="8">
        <f>LEN(L467)</f>
        <v>6</v>
      </c>
      <c r="T467" s="36" t="str">
        <f>A467&amp;"|"&amp;B467&amp;"|"&amp;F467</f>
        <v>466|21-01-2011|10</v>
      </c>
      <c r="V467" s="32">
        <f>VLOOKUP(A467,Sheet2!A:H,3,FALSE)</f>
        <v>0.18179999999999999</v>
      </c>
      <c r="W467" s="32">
        <f>VLOOKUP(A467,Sheet2!A:H,4,FALSE)</f>
        <v>0.41</v>
      </c>
      <c r="X467" s="32">
        <f>VLOOKUP(A467,Sheet2!A:H,7,FALSE)</f>
        <v>53</v>
      </c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">
        <v>467</v>
      </c>
      <c r="B468" s="4" t="s">
        <v>35</v>
      </c>
      <c r="C468" s="4">
        <v>1</v>
      </c>
      <c r="D468" s="4">
        <v>0</v>
      </c>
      <c r="E468" s="4">
        <v>1</v>
      </c>
      <c r="F468" s="4">
        <v>11</v>
      </c>
      <c r="G468" s="4" t="b">
        <v>0</v>
      </c>
      <c r="H468" s="4">
        <v>5</v>
      </c>
      <c r="I468" s="4">
        <v>1</v>
      </c>
      <c r="J468" s="4">
        <v>0.22</v>
      </c>
      <c r="K468" s="6" t="str">
        <f>IF(H468=0,"weekend",IF(H468=6,"weekend","weekend"))</f>
        <v>weekend</v>
      </c>
      <c r="L468" s="3" t="str">
        <f>IF(C468=1,"Spring",IF(C468=2,"Summer",IF(C468=3,"Fall","Winter")))</f>
        <v>Spring</v>
      </c>
      <c r="M468" s="3">
        <f>SUM(J468:J492)</f>
        <v>2.2800000000000007</v>
      </c>
      <c r="N468" s="3">
        <f>AVERAGE(J468:J1077)</f>
        <v>0.14333333333333328</v>
      </c>
      <c r="O468" s="3">
        <f>COUNT(J468:J1077)</f>
        <v>144</v>
      </c>
      <c r="P468" s="3" t="str">
        <f>TEXT(J468,"0.00")</f>
        <v>0.22</v>
      </c>
      <c r="Q468" s="3" t="str">
        <f>LEFT(L468,3)</f>
        <v>Spr</v>
      </c>
      <c r="R468" s="7" t="str">
        <f>RIGHT(L468,3)</f>
        <v>ing</v>
      </c>
      <c r="S468" s="8">
        <f>LEN(L468)</f>
        <v>6</v>
      </c>
      <c r="T468" s="36" t="str">
        <f>A468&amp;"|"&amp;B468&amp;"|"&amp;F468</f>
        <v>467|21-01-2011|11</v>
      </c>
      <c r="V468" s="32">
        <f>VLOOKUP(A468,Sheet2!A:H,3,FALSE)</f>
        <v>0.18179999999999999</v>
      </c>
      <c r="W468" s="32">
        <f>VLOOKUP(A468,Sheet2!A:H,4,FALSE)</f>
        <v>0.27</v>
      </c>
      <c r="X468" s="32">
        <f>VLOOKUP(A468,Sheet2!A:H,7,FALSE)</f>
        <v>67</v>
      </c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">
        <v>468</v>
      </c>
      <c r="B469" s="4" t="s">
        <v>35</v>
      </c>
      <c r="C469" s="4">
        <v>1</v>
      </c>
      <c r="D469" s="4">
        <v>0</v>
      </c>
      <c r="E469" s="4">
        <v>1</v>
      </c>
      <c r="F469" s="4">
        <v>12</v>
      </c>
      <c r="G469" s="4" t="b">
        <v>0</v>
      </c>
      <c r="H469" s="4">
        <v>5</v>
      </c>
      <c r="I469" s="4">
        <v>1</v>
      </c>
      <c r="J469" s="4">
        <v>0.22</v>
      </c>
      <c r="K469" s="6" t="str">
        <f>IF(H469=0,"weekend",IF(H469=6,"weekend","weekend"))</f>
        <v>weekend</v>
      </c>
      <c r="L469" s="3" t="str">
        <f>IF(C469=1,"Spring",IF(C469=2,"Summer",IF(C469=3,"Fall","Winter")))</f>
        <v>Spring</v>
      </c>
      <c r="M469" s="3">
        <f>SUM(J469:J493)</f>
        <v>2.140000000000001</v>
      </c>
      <c r="N469" s="3">
        <f>AVERAGE(J469:J1078)</f>
        <v>0.14279720279720279</v>
      </c>
      <c r="O469" s="3">
        <f>COUNT(J469:J1078)</f>
        <v>143</v>
      </c>
      <c r="P469" s="3" t="str">
        <f>TEXT(J469,"0.00")</f>
        <v>0.22</v>
      </c>
      <c r="Q469" s="3" t="str">
        <f>LEFT(L469,3)</f>
        <v>Spr</v>
      </c>
      <c r="R469" s="7" t="str">
        <f>RIGHT(L469,3)</f>
        <v>ing</v>
      </c>
      <c r="S469" s="8">
        <f>LEN(L469)</f>
        <v>6</v>
      </c>
      <c r="T469" s="36" t="str">
        <f>A469&amp;"|"&amp;B469&amp;"|"&amp;F469</f>
        <v>468|21-01-2011|12</v>
      </c>
      <c r="V469" s="32">
        <f>VLOOKUP(A469,Sheet2!A:H,3,FALSE)</f>
        <v>0.1515</v>
      </c>
      <c r="W469" s="32">
        <f>VLOOKUP(A469,Sheet2!A:H,4,FALSE)</f>
        <v>0.21</v>
      </c>
      <c r="X469" s="32">
        <f>VLOOKUP(A469,Sheet2!A:H,7,FALSE)</f>
        <v>65</v>
      </c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">
        <v>469</v>
      </c>
      <c r="B470" s="4" t="s">
        <v>35</v>
      </c>
      <c r="C470" s="4">
        <v>1</v>
      </c>
      <c r="D470" s="4">
        <v>0</v>
      </c>
      <c r="E470" s="4">
        <v>1</v>
      </c>
      <c r="F470" s="4">
        <v>13</v>
      </c>
      <c r="G470" s="4" t="b">
        <v>0</v>
      </c>
      <c r="H470" s="4">
        <v>5</v>
      </c>
      <c r="I470" s="4">
        <v>1</v>
      </c>
      <c r="J470" s="4">
        <v>0.2</v>
      </c>
      <c r="K470" s="6" t="str">
        <f>IF(H470=0,"weekend",IF(H470=6,"weekend","weekend"))</f>
        <v>weekend</v>
      </c>
      <c r="L470" s="3" t="str">
        <f>IF(C470=1,"Spring",IF(C470=2,"Summer",IF(C470=3,"Fall","Winter")))</f>
        <v>Spring</v>
      </c>
      <c r="M470" s="3">
        <f>SUM(J470:J494)</f>
        <v>2.0200000000000009</v>
      </c>
      <c r="N470" s="3">
        <f>AVERAGE(J470:J1079)</f>
        <v>0.14225352112676054</v>
      </c>
      <c r="O470" s="3">
        <f>COUNT(J470:J1079)</f>
        <v>142</v>
      </c>
      <c r="P470" s="3" t="str">
        <f>TEXT(J470,"0.00")</f>
        <v>0.20</v>
      </c>
      <c r="Q470" s="3" t="str">
        <f>LEFT(L470,3)</f>
        <v>Spr</v>
      </c>
      <c r="R470" s="7" t="str">
        <f>RIGHT(L470,3)</f>
        <v>ing</v>
      </c>
      <c r="S470" s="8">
        <f>LEN(L470)</f>
        <v>6</v>
      </c>
      <c r="T470" s="36" t="str">
        <f>A470&amp;"|"&amp;B470&amp;"|"&amp;F470</f>
        <v>469|21-01-2011|13</v>
      </c>
      <c r="V470" s="32">
        <f>VLOOKUP(A470,Sheet2!A:H,3,FALSE)</f>
        <v>0.1515</v>
      </c>
      <c r="W470" s="32">
        <f>VLOOKUP(A470,Sheet2!A:H,4,FALSE)</f>
        <v>0.25</v>
      </c>
      <c r="X470" s="32">
        <f>VLOOKUP(A470,Sheet2!A:H,7,FALSE)</f>
        <v>56</v>
      </c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">
        <v>470</v>
      </c>
      <c r="B471" s="4" t="s">
        <v>35</v>
      </c>
      <c r="C471" s="4">
        <v>1</v>
      </c>
      <c r="D471" s="4">
        <v>0</v>
      </c>
      <c r="E471" s="4">
        <v>1</v>
      </c>
      <c r="F471" s="4">
        <v>14</v>
      </c>
      <c r="G471" s="4" t="b">
        <v>0</v>
      </c>
      <c r="H471" s="4">
        <v>5</v>
      </c>
      <c r="I471" s="4">
        <v>1</v>
      </c>
      <c r="J471" s="4">
        <v>0.2</v>
      </c>
      <c r="K471" s="6" t="str">
        <f>IF(H471=0,"weekend",IF(H471=6,"weekend","weekend"))</f>
        <v>weekend</v>
      </c>
      <c r="L471" s="3" t="str">
        <f>IF(C471=1,"Spring",IF(C471=2,"Summer",IF(C471=3,"Fall","Winter")))</f>
        <v>Spring</v>
      </c>
      <c r="M471" s="3">
        <f>SUM(J471:J495)</f>
        <v>1.9400000000000008</v>
      </c>
      <c r="N471" s="3">
        <f>AVERAGE(J471:J1080)</f>
        <v>0.14184397163120566</v>
      </c>
      <c r="O471" s="3">
        <f>COUNT(J471:J1080)</f>
        <v>141</v>
      </c>
      <c r="P471" s="3" t="str">
        <f>TEXT(J471,"0.00")</f>
        <v>0.20</v>
      </c>
      <c r="Q471" s="3" t="str">
        <f>LEFT(L471,3)</f>
        <v>Spr</v>
      </c>
      <c r="R471" s="7" t="str">
        <f>RIGHT(L471,3)</f>
        <v>ing</v>
      </c>
      <c r="S471" s="8">
        <f>LEN(L471)</f>
        <v>6</v>
      </c>
      <c r="T471" s="36" t="str">
        <f>A471&amp;"|"&amp;B471&amp;"|"&amp;F471</f>
        <v>470|21-01-2011|14</v>
      </c>
      <c r="V471" s="32">
        <f>VLOOKUP(A471,Sheet2!A:H,3,FALSE)</f>
        <v>0.1212</v>
      </c>
      <c r="W471" s="32">
        <f>VLOOKUP(A471,Sheet2!A:H,4,FALSE)</f>
        <v>0.26</v>
      </c>
      <c r="X471" s="32">
        <f>VLOOKUP(A471,Sheet2!A:H,7,FALSE)</f>
        <v>61</v>
      </c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">
        <v>471</v>
      </c>
      <c r="B472" s="4" t="s">
        <v>35</v>
      </c>
      <c r="C472" s="4">
        <v>1</v>
      </c>
      <c r="D472" s="4">
        <v>0</v>
      </c>
      <c r="E472" s="4">
        <v>1</v>
      </c>
      <c r="F472" s="4">
        <v>15</v>
      </c>
      <c r="G472" s="4" t="b">
        <v>0</v>
      </c>
      <c r="H472" s="4">
        <v>5</v>
      </c>
      <c r="I472" s="4">
        <v>1</v>
      </c>
      <c r="J472" s="4">
        <v>0.16</v>
      </c>
      <c r="K472" s="6" t="str">
        <f>IF(H472=0,"weekend",IF(H472=6,"weekend","weekend"))</f>
        <v>weekend</v>
      </c>
      <c r="L472" s="3" t="str">
        <f>IF(C472=1,"Spring",IF(C472=2,"Summer",IF(C472=3,"Fall","Winter")))</f>
        <v>Spring</v>
      </c>
      <c r="M472" s="3">
        <f>SUM(J472:J496)</f>
        <v>1.8600000000000008</v>
      </c>
      <c r="N472" s="3">
        <f>AVERAGE(J472:J1081)</f>
        <v>0.14142857142857143</v>
      </c>
      <c r="O472" s="3">
        <f>COUNT(J472:J1081)</f>
        <v>140</v>
      </c>
      <c r="P472" s="3" t="str">
        <f>TEXT(J472,"0.00")</f>
        <v>0.16</v>
      </c>
      <c r="Q472" s="3" t="str">
        <f>LEFT(L472,3)</f>
        <v>Spr</v>
      </c>
      <c r="R472" s="7" t="str">
        <f>RIGHT(L472,3)</f>
        <v>ing</v>
      </c>
      <c r="S472" s="8">
        <f>LEN(L472)</f>
        <v>6</v>
      </c>
      <c r="T472" s="36" t="str">
        <f>A472&amp;"|"&amp;B472&amp;"|"&amp;F472</f>
        <v>471|21-01-2011|15</v>
      </c>
      <c r="V472" s="32">
        <f>VLOOKUP(A472,Sheet2!A:H,3,FALSE)</f>
        <v>0.13639999999999999</v>
      </c>
      <c r="W472" s="32">
        <f>VLOOKUP(A472,Sheet2!A:H,4,FALSE)</f>
        <v>0.26</v>
      </c>
      <c r="X472" s="32">
        <f>VLOOKUP(A472,Sheet2!A:H,7,FALSE)</f>
        <v>97</v>
      </c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">
        <v>472</v>
      </c>
      <c r="B473" s="4" t="s">
        <v>35</v>
      </c>
      <c r="C473" s="4">
        <v>1</v>
      </c>
      <c r="D473" s="4">
        <v>0</v>
      </c>
      <c r="E473" s="4">
        <v>1</v>
      </c>
      <c r="F473" s="4">
        <v>16</v>
      </c>
      <c r="G473" s="4" t="b">
        <v>0</v>
      </c>
      <c r="H473" s="4">
        <v>5</v>
      </c>
      <c r="I473" s="4">
        <v>1</v>
      </c>
      <c r="J473" s="4">
        <v>0.16</v>
      </c>
      <c r="K473" s="6" t="str">
        <f>IF(H473=0,"weekend",IF(H473=6,"weekend","weekend"))</f>
        <v>weekend</v>
      </c>
      <c r="L473" s="3" t="str">
        <f>IF(C473=1,"Spring",IF(C473=2,"Summer",IF(C473=3,"Fall","Winter")))</f>
        <v>Spring</v>
      </c>
      <c r="M473" s="3">
        <f>SUM(J473:J497)</f>
        <v>1.8200000000000007</v>
      </c>
      <c r="N473" s="3">
        <f>AVERAGE(J473:J1082)</f>
        <v>0.14129496402877698</v>
      </c>
      <c r="O473" s="3">
        <f>COUNT(J473:J1082)</f>
        <v>139</v>
      </c>
      <c r="P473" s="3" t="str">
        <f>TEXT(J473,"0.00")</f>
        <v>0.16</v>
      </c>
      <c r="Q473" s="3" t="str">
        <f>LEFT(L473,3)</f>
        <v>Spr</v>
      </c>
      <c r="R473" s="7" t="str">
        <f>RIGHT(L473,3)</f>
        <v>ing</v>
      </c>
      <c r="S473" s="8">
        <f>LEN(L473)</f>
        <v>6</v>
      </c>
      <c r="T473" s="36" t="str">
        <f>A473&amp;"|"&amp;B473&amp;"|"&amp;F473</f>
        <v>472|21-01-2011|16</v>
      </c>
      <c r="V473" s="32">
        <f>VLOOKUP(A473,Sheet2!A:H,3,FALSE)</f>
        <v>0.1212</v>
      </c>
      <c r="W473" s="32">
        <f>VLOOKUP(A473,Sheet2!A:H,4,FALSE)</f>
        <v>0.28000000000000003</v>
      </c>
      <c r="X473" s="32">
        <f>VLOOKUP(A473,Sheet2!A:H,7,FALSE)</f>
        <v>151</v>
      </c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">
        <v>473</v>
      </c>
      <c r="B474" s="4" t="s">
        <v>35</v>
      </c>
      <c r="C474" s="4">
        <v>1</v>
      </c>
      <c r="D474" s="4">
        <v>0</v>
      </c>
      <c r="E474" s="4">
        <v>1</v>
      </c>
      <c r="F474" s="4">
        <v>17</v>
      </c>
      <c r="G474" s="4" t="b">
        <v>0</v>
      </c>
      <c r="H474" s="4">
        <v>5</v>
      </c>
      <c r="I474" s="4">
        <v>1</v>
      </c>
      <c r="J474" s="4">
        <v>0.14000000000000001</v>
      </c>
      <c r="K474" s="6" t="str">
        <f>IF(H474=0,"weekend",IF(H474=6,"weekend","weekend"))</f>
        <v>weekend</v>
      </c>
      <c r="L474" s="3" t="str">
        <f>IF(C474=1,"Spring",IF(C474=2,"Summer",IF(C474=3,"Fall","Winter")))</f>
        <v>Spring</v>
      </c>
      <c r="M474" s="3">
        <f>SUM(J474:J498)</f>
        <v>1.7400000000000007</v>
      </c>
      <c r="N474" s="3">
        <f>AVERAGE(J474:J1083)</f>
        <v>0.14115942028985506</v>
      </c>
      <c r="O474" s="3">
        <f>COUNT(J474:J1083)</f>
        <v>138</v>
      </c>
      <c r="P474" s="3" t="str">
        <f>TEXT(J474,"0.00")</f>
        <v>0.14</v>
      </c>
      <c r="Q474" s="3" t="str">
        <f>LEFT(L474,3)</f>
        <v>Spr</v>
      </c>
      <c r="R474" s="7" t="str">
        <f>RIGHT(L474,3)</f>
        <v>ing</v>
      </c>
      <c r="S474" s="8">
        <f>LEN(L474)</f>
        <v>6</v>
      </c>
      <c r="T474" s="36" t="str">
        <f>A474&amp;"|"&amp;B474&amp;"|"&amp;F474</f>
        <v>473|21-01-2011|17</v>
      </c>
      <c r="V474" s="32">
        <f>VLOOKUP(A474,Sheet2!A:H,3,FALSE)</f>
        <v>0.1212</v>
      </c>
      <c r="W474" s="32">
        <f>VLOOKUP(A474,Sheet2!A:H,4,FALSE)</f>
        <v>0.3</v>
      </c>
      <c r="X474" s="32">
        <f>VLOOKUP(A474,Sheet2!A:H,7,FALSE)</f>
        <v>119</v>
      </c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">
        <v>474</v>
      </c>
      <c r="B475" s="4" t="s">
        <v>35</v>
      </c>
      <c r="C475" s="4">
        <v>1</v>
      </c>
      <c r="D475" s="4">
        <v>0</v>
      </c>
      <c r="E475" s="4">
        <v>1</v>
      </c>
      <c r="F475" s="4">
        <v>18</v>
      </c>
      <c r="G475" s="4" t="b">
        <v>0</v>
      </c>
      <c r="H475" s="4">
        <v>5</v>
      </c>
      <c r="I475" s="4">
        <v>1</v>
      </c>
      <c r="J475" s="4">
        <v>0.12</v>
      </c>
      <c r="K475" s="6" t="str">
        <f>IF(H475=0,"weekend",IF(H475=6,"weekend","weekend"))</f>
        <v>weekend</v>
      </c>
      <c r="L475" s="3" t="str">
        <f>IF(C475=1,"Spring",IF(C475=2,"Summer",IF(C475=3,"Fall","Winter")))</f>
        <v>Spring</v>
      </c>
      <c r="M475" s="3">
        <f>SUM(J475:J499)</f>
        <v>1.680000000000001</v>
      </c>
      <c r="N475" s="3">
        <f>AVERAGE(J475:J1084)</f>
        <v>0.14116788321167884</v>
      </c>
      <c r="O475" s="3">
        <f>COUNT(J475:J1084)</f>
        <v>137</v>
      </c>
      <c r="P475" s="3" t="str">
        <f>TEXT(J475,"0.00")</f>
        <v>0.12</v>
      </c>
      <c r="Q475" s="3" t="str">
        <f>LEFT(L475,3)</f>
        <v>Spr</v>
      </c>
      <c r="R475" s="7" t="str">
        <f>RIGHT(L475,3)</f>
        <v>ing</v>
      </c>
      <c r="S475" s="8">
        <f>LEN(L475)</f>
        <v>6</v>
      </c>
      <c r="T475" s="36" t="str">
        <f>A475&amp;"|"&amp;B475&amp;"|"&amp;F475</f>
        <v>474|21-01-2011|18</v>
      </c>
      <c r="V475" s="32">
        <f>VLOOKUP(A475,Sheet2!A:H,3,FALSE)</f>
        <v>0.1061</v>
      </c>
      <c r="W475" s="32">
        <f>VLOOKUP(A475,Sheet2!A:H,4,FALSE)</f>
        <v>0.3</v>
      </c>
      <c r="X475" s="32">
        <f>VLOOKUP(A475,Sheet2!A:H,7,FALSE)</f>
        <v>93</v>
      </c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">
        <v>475</v>
      </c>
      <c r="B476" s="4" t="s">
        <v>35</v>
      </c>
      <c r="C476" s="4">
        <v>1</v>
      </c>
      <c r="D476" s="4">
        <v>0</v>
      </c>
      <c r="E476" s="4">
        <v>1</v>
      </c>
      <c r="F476" s="4">
        <v>19</v>
      </c>
      <c r="G476" s="4" t="b">
        <v>0</v>
      </c>
      <c r="H476" s="4">
        <v>5</v>
      </c>
      <c r="I476" s="4">
        <v>1</v>
      </c>
      <c r="J476" s="4">
        <v>0.12</v>
      </c>
      <c r="K476" s="6" t="str">
        <f>IF(H476=0,"weekend",IF(H476=6,"weekend","weekend"))</f>
        <v>weekend</v>
      </c>
      <c r="L476" s="3" t="str">
        <f>IF(C476=1,"Spring",IF(C476=2,"Summer",IF(C476=3,"Fall","Winter")))</f>
        <v>Spring</v>
      </c>
      <c r="M476" s="3">
        <f>SUM(J476:J500)</f>
        <v>1.6200000000000006</v>
      </c>
      <c r="N476" s="3">
        <f>AVERAGE(J476:J1085)</f>
        <v>0.14132352941176471</v>
      </c>
      <c r="O476" s="3">
        <f>COUNT(J476:J1085)</f>
        <v>136</v>
      </c>
      <c r="P476" s="3" t="str">
        <f>TEXT(J476,"0.00")</f>
        <v>0.12</v>
      </c>
      <c r="Q476" s="3" t="str">
        <f>LEFT(L476,3)</f>
        <v>Spr</v>
      </c>
      <c r="R476" s="7" t="str">
        <f>RIGHT(L476,3)</f>
        <v>ing</v>
      </c>
      <c r="S476" s="8">
        <f>LEN(L476)</f>
        <v>6</v>
      </c>
      <c r="T476" s="36" t="str">
        <f>A476&amp;"|"&amp;B476&amp;"|"&amp;F476</f>
        <v>475|21-01-2011|19</v>
      </c>
      <c r="V476" s="32">
        <f>VLOOKUP(A476,Sheet2!A:H,3,FALSE)</f>
        <v>7.5800000000000006E-2</v>
      </c>
      <c r="W476" s="32">
        <f>VLOOKUP(A476,Sheet2!A:H,4,FALSE)</f>
        <v>0.33</v>
      </c>
      <c r="X476" s="32">
        <f>VLOOKUP(A476,Sheet2!A:H,7,FALSE)</f>
        <v>52</v>
      </c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">
        <v>476</v>
      </c>
      <c r="B477" s="4" t="s">
        <v>35</v>
      </c>
      <c r="C477" s="4">
        <v>1</v>
      </c>
      <c r="D477" s="4">
        <v>0</v>
      </c>
      <c r="E477" s="4">
        <v>1</v>
      </c>
      <c r="F477" s="4">
        <v>20</v>
      </c>
      <c r="G477" s="4" t="b">
        <v>0</v>
      </c>
      <c r="H477" s="4">
        <v>5</v>
      </c>
      <c r="I477" s="4">
        <v>1</v>
      </c>
      <c r="J477" s="4">
        <v>0.1</v>
      </c>
      <c r="K477" s="6" t="str">
        <f>IF(H477=0,"weekend",IF(H477=6,"weekend","weekend"))</f>
        <v>weekend</v>
      </c>
      <c r="L477" s="3" t="str">
        <f>IF(C477=1,"Spring",IF(C477=2,"Summer",IF(C477=3,"Fall","Winter")))</f>
        <v>Spring</v>
      </c>
      <c r="M477" s="3">
        <f>SUM(J477:J501)</f>
        <v>1.5600000000000005</v>
      </c>
      <c r="N477" s="3">
        <f>AVERAGE(J477:J1086)</f>
        <v>0.14148148148148149</v>
      </c>
      <c r="O477" s="3">
        <f>COUNT(J477:J1086)</f>
        <v>135</v>
      </c>
      <c r="P477" s="3" t="str">
        <f>TEXT(J477,"0.00")</f>
        <v>0.10</v>
      </c>
      <c r="Q477" s="3" t="str">
        <f>LEFT(L477,3)</f>
        <v>Spr</v>
      </c>
      <c r="R477" s="7" t="str">
        <f>RIGHT(L477,3)</f>
        <v>ing</v>
      </c>
      <c r="S477" s="8">
        <f>LEN(L477)</f>
        <v>6</v>
      </c>
      <c r="T477" s="36" t="str">
        <f>A477&amp;"|"&amp;B477&amp;"|"&amp;F477</f>
        <v>476|21-01-2011|20</v>
      </c>
      <c r="V477" s="32">
        <f>VLOOKUP(A477,Sheet2!A:H,3,FALSE)</f>
        <v>7.5800000000000006E-2</v>
      </c>
      <c r="W477" s="32">
        <f>VLOOKUP(A477,Sheet2!A:H,4,FALSE)</f>
        <v>0.38</v>
      </c>
      <c r="X477" s="32">
        <f>VLOOKUP(A477,Sheet2!A:H,7,FALSE)</f>
        <v>41</v>
      </c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">
        <v>477</v>
      </c>
      <c r="B478" s="4" t="s">
        <v>35</v>
      </c>
      <c r="C478" s="4">
        <v>1</v>
      </c>
      <c r="D478" s="4">
        <v>0</v>
      </c>
      <c r="E478" s="4">
        <v>1</v>
      </c>
      <c r="F478" s="4">
        <v>21</v>
      </c>
      <c r="G478" s="4" t="b">
        <v>0</v>
      </c>
      <c r="H478" s="4">
        <v>5</v>
      </c>
      <c r="I478" s="4">
        <v>1</v>
      </c>
      <c r="J478" s="4">
        <v>0.08</v>
      </c>
      <c r="K478" s="6" t="str">
        <f>IF(H478=0,"weekend",IF(H478=6,"weekend","weekend"))</f>
        <v>weekend</v>
      </c>
      <c r="L478" s="3" t="str">
        <f>IF(C478=1,"Spring",IF(C478=2,"Summer",IF(C478=3,"Fall","Winter")))</f>
        <v>Spring</v>
      </c>
      <c r="M478" s="3">
        <f>SUM(J478:J502)</f>
        <v>1.5200000000000005</v>
      </c>
      <c r="N478" s="3">
        <f>AVERAGE(J478:J1087)</f>
        <v>0.14179104477611942</v>
      </c>
      <c r="O478" s="3">
        <f>COUNT(J478:J1087)</f>
        <v>134</v>
      </c>
      <c r="P478" s="3" t="str">
        <f>TEXT(J478,"0.00")</f>
        <v>0.08</v>
      </c>
      <c r="Q478" s="3" t="str">
        <f>LEFT(L478,3)</f>
        <v>Spr</v>
      </c>
      <c r="R478" s="7" t="str">
        <f>RIGHT(L478,3)</f>
        <v>ing</v>
      </c>
      <c r="S478" s="8">
        <f>LEN(L478)</f>
        <v>6</v>
      </c>
      <c r="T478" s="36" t="str">
        <f>A478&amp;"|"&amp;B478&amp;"|"&amp;F478</f>
        <v>477|21-01-2011|21</v>
      </c>
      <c r="V478" s="32">
        <f>VLOOKUP(A478,Sheet2!A:H,3,FALSE)</f>
        <v>3.0300000000000001E-2</v>
      </c>
      <c r="W478" s="32">
        <f>VLOOKUP(A478,Sheet2!A:H,4,FALSE)</f>
        <v>0.41</v>
      </c>
      <c r="X478" s="32">
        <f>VLOOKUP(A478,Sheet2!A:H,7,FALSE)</f>
        <v>33</v>
      </c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">
        <v>478</v>
      </c>
      <c r="B479" s="4" t="s">
        <v>35</v>
      </c>
      <c r="C479" s="4">
        <v>1</v>
      </c>
      <c r="D479" s="4">
        <v>0</v>
      </c>
      <c r="E479" s="4">
        <v>1</v>
      </c>
      <c r="F479" s="4">
        <v>22</v>
      </c>
      <c r="G479" s="4" t="b">
        <v>0</v>
      </c>
      <c r="H479" s="4">
        <v>5</v>
      </c>
      <c r="I479" s="4">
        <v>1</v>
      </c>
      <c r="J479" s="4">
        <v>0.06</v>
      </c>
      <c r="K479" s="6" t="str">
        <f>IF(H479=0,"weekend",IF(H479=6,"weekend","weekend"))</f>
        <v>weekend</v>
      </c>
      <c r="L479" s="3" t="str">
        <f>IF(C479=1,"Spring",IF(C479=2,"Summer",IF(C479=3,"Fall","Winter")))</f>
        <v>Spring</v>
      </c>
      <c r="M479" s="3">
        <f>SUM(J479:J503)</f>
        <v>1.4800000000000004</v>
      </c>
      <c r="N479" s="3">
        <f>AVERAGE(J479:J1088)</f>
        <v>0.14225563909774439</v>
      </c>
      <c r="O479" s="3">
        <f>COUNT(J479:J1088)</f>
        <v>133</v>
      </c>
      <c r="P479" s="3" t="str">
        <f>TEXT(J479,"0.00")</f>
        <v>0.06</v>
      </c>
      <c r="Q479" s="3" t="str">
        <f>LEFT(L479,3)</f>
        <v>Spr</v>
      </c>
      <c r="R479" s="7" t="str">
        <f>RIGHT(L479,3)</f>
        <v>ing</v>
      </c>
      <c r="S479" s="8">
        <f>LEN(L479)</f>
        <v>6</v>
      </c>
      <c r="T479" s="36" t="str">
        <f>A479&amp;"|"&amp;B479&amp;"|"&amp;F479</f>
        <v>478|21-01-2011|22</v>
      </c>
      <c r="V479" s="32">
        <f>VLOOKUP(A479,Sheet2!A:H,3,FALSE)</f>
        <v>4.5499999999999999E-2</v>
      </c>
      <c r="W479" s="32">
        <f>VLOOKUP(A479,Sheet2!A:H,4,FALSE)</f>
        <v>0.38</v>
      </c>
      <c r="X479" s="32">
        <f>VLOOKUP(A479,Sheet2!A:H,7,FALSE)</f>
        <v>27</v>
      </c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">
        <v>479</v>
      </c>
      <c r="B480" s="4" t="s">
        <v>35</v>
      </c>
      <c r="C480" s="4">
        <v>1</v>
      </c>
      <c r="D480" s="4">
        <v>0</v>
      </c>
      <c r="E480" s="4">
        <v>1</v>
      </c>
      <c r="F480" s="4">
        <v>23</v>
      </c>
      <c r="G480" s="4" t="b">
        <v>0</v>
      </c>
      <c r="H480" s="4">
        <v>5</v>
      </c>
      <c r="I480" s="4">
        <v>1</v>
      </c>
      <c r="J480" s="4">
        <v>0.06</v>
      </c>
      <c r="K480" s="6" t="str">
        <f>IF(H480=0,"weekend",IF(H480=6,"weekend","weekend"))</f>
        <v>weekend</v>
      </c>
      <c r="L480" s="3" t="str">
        <f>IF(C480=1,"Spring",IF(C480=2,"Summer",IF(C480=3,"Fall","Winter")))</f>
        <v>Spring</v>
      </c>
      <c r="M480" s="3">
        <f>SUM(J480:J504)</f>
        <v>1.4600000000000004</v>
      </c>
      <c r="N480" s="3">
        <f>AVERAGE(J480:J1089)</f>
        <v>0.14287878787878791</v>
      </c>
      <c r="O480" s="3">
        <f>COUNT(J480:J1089)</f>
        <v>132</v>
      </c>
      <c r="P480" s="3" t="str">
        <f>TEXT(J480,"0.00")</f>
        <v>0.06</v>
      </c>
      <c r="Q480" s="3" t="str">
        <f>LEFT(L480,3)</f>
        <v>Spr</v>
      </c>
      <c r="R480" s="7" t="str">
        <f>RIGHT(L480,3)</f>
        <v>ing</v>
      </c>
      <c r="S480" s="8">
        <f>LEN(L480)</f>
        <v>6</v>
      </c>
      <c r="T480" s="36" t="str">
        <f>A480&amp;"|"&amp;B480&amp;"|"&amp;F480</f>
        <v>479|21-01-2011|23</v>
      </c>
      <c r="V480" s="32">
        <f>VLOOKUP(A480,Sheet2!A:H,3,FALSE)</f>
        <v>3.0300000000000001E-2</v>
      </c>
      <c r="W480" s="32">
        <f>VLOOKUP(A480,Sheet2!A:H,4,FALSE)</f>
        <v>0.45</v>
      </c>
      <c r="X480" s="32">
        <f>VLOOKUP(A480,Sheet2!A:H,7,FALSE)</f>
        <v>13</v>
      </c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">
        <v>480</v>
      </c>
      <c r="B481" s="4" t="s">
        <v>36</v>
      </c>
      <c r="C481" s="4">
        <v>1</v>
      </c>
      <c r="D481" s="4">
        <v>0</v>
      </c>
      <c r="E481" s="4">
        <v>1</v>
      </c>
      <c r="F481" s="4">
        <v>0</v>
      </c>
      <c r="G481" s="4" t="b">
        <v>0</v>
      </c>
      <c r="H481" s="4">
        <v>6</v>
      </c>
      <c r="I481" s="4">
        <v>1</v>
      </c>
      <c r="J481" s="4">
        <v>0.04</v>
      </c>
      <c r="K481" s="6" t="str">
        <f>IF(H481=0,"weekend",IF(H481=6,"weekend","weekend"))</f>
        <v>weekend</v>
      </c>
      <c r="L481" s="3" t="str">
        <f>IF(C481=1,"Spring",IF(C481=2,"Summer",IF(C481=3,"Fall","Winter")))</f>
        <v>Spring</v>
      </c>
      <c r="M481" s="3">
        <f>SUM(J481:J505)</f>
        <v>1.4400000000000002</v>
      </c>
      <c r="N481" s="3">
        <f>AVERAGE(J481:J1090)</f>
        <v>0.14351145038167942</v>
      </c>
      <c r="O481" s="3">
        <f>COUNT(J481:J1090)</f>
        <v>131</v>
      </c>
      <c r="P481" s="3" t="str">
        <f>TEXT(J481,"0.00")</f>
        <v>0.04</v>
      </c>
      <c r="Q481" s="3" t="str">
        <f>LEFT(L481,3)</f>
        <v>Spr</v>
      </c>
      <c r="R481" s="7" t="str">
        <f>RIGHT(L481,3)</f>
        <v>ing</v>
      </c>
      <c r="S481" s="8">
        <f>LEN(L481)</f>
        <v>6</v>
      </c>
      <c r="T481" s="36" t="str">
        <f>A481&amp;"|"&amp;B481&amp;"|"&amp;F481</f>
        <v>480|22-01-2011|0</v>
      </c>
      <c r="V481" s="32">
        <f>VLOOKUP(A481,Sheet2!A:H,3,FALSE)</f>
        <v>0</v>
      </c>
      <c r="W481" s="32">
        <f>VLOOKUP(A481,Sheet2!A:H,4,FALSE)</f>
        <v>0.41</v>
      </c>
      <c r="X481" s="32">
        <f>VLOOKUP(A481,Sheet2!A:H,7,FALSE)</f>
        <v>9</v>
      </c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">
        <v>481</v>
      </c>
      <c r="B482" s="4" t="s">
        <v>36</v>
      </c>
      <c r="C482" s="4">
        <v>1</v>
      </c>
      <c r="D482" s="4">
        <v>0</v>
      </c>
      <c r="E482" s="4">
        <v>1</v>
      </c>
      <c r="F482" s="4">
        <v>1</v>
      </c>
      <c r="G482" s="4" t="b">
        <v>0</v>
      </c>
      <c r="H482" s="4">
        <v>6</v>
      </c>
      <c r="I482" s="4">
        <v>2</v>
      </c>
      <c r="J482" s="4">
        <v>0.04</v>
      </c>
      <c r="K482" s="6" t="str">
        <f>IF(H482=0,"weekend",IF(H482=6,"weekend","weekend"))</f>
        <v>weekend</v>
      </c>
      <c r="L482" s="3" t="str">
        <f>IF(C482=1,"Spring",IF(C482=2,"Summer",IF(C482=3,"Fall","Winter")))</f>
        <v>Spring</v>
      </c>
      <c r="M482" s="3">
        <f>SUM(J482:J506)</f>
        <v>1.4200000000000004</v>
      </c>
      <c r="N482" s="3">
        <f>AVERAGE(J482:J1091)</f>
        <v>0.14430769230769236</v>
      </c>
      <c r="O482" s="3">
        <f>COUNT(J482:J1091)</f>
        <v>130</v>
      </c>
      <c r="P482" s="3" t="str">
        <f>TEXT(J482,"0.00")</f>
        <v>0.04</v>
      </c>
      <c r="Q482" s="3" t="str">
        <f>LEFT(L482,3)</f>
        <v>Spr</v>
      </c>
      <c r="R482" s="7" t="str">
        <f>RIGHT(L482,3)</f>
        <v>ing</v>
      </c>
      <c r="S482" s="8">
        <f>LEN(L482)</f>
        <v>6</v>
      </c>
      <c r="T482" s="36" t="str">
        <f>A482&amp;"|"&amp;B482&amp;"|"&amp;F482</f>
        <v>481|22-01-2011|1</v>
      </c>
      <c r="V482" s="32">
        <f>VLOOKUP(A482,Sheet2!A:H,3,FALSE)</f>
        <v>3.0300000000000001E-2</v>
      </c>
      <c r="W482" s="32">
        <f>VLOOKUP(A482,Sheet2!A:H,4,FALSE)</f>
        <v>0.41</v>
      </c>
      <c r="X482" s="32">
        <f>VLOOKUP(A482,Sheet2!A:H,7,FALSE)</f>
        <v>11</v>
      </c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">
        <v>482</v>
      </c>
      <c r="B483" s="4" t="s">
        <v>36</v>
      </c>
      <c r="C483" s="4">
        <v>1</v>
      </c>
      <c r="D483" s="4">
        <v>0</v>
      </c>
      <c r="E483" s="4">
        <v>1</v>
      </c>
      <c r="F483" s="4">
        <v>2</v>
      </c>
      <c r="G483" s="4" t="b">
        <v>0</v>
      </c>
      <c r="H483" s="4">
        <v>6</v>
      </c>
      <c r="I483" s="4">
        <v>2</v>
      </c>
      <c r="J483" s="4">
        <v>0.04</v>
      </c>
      <c r="K483" s="6" t="str">
        <f>IF(H483=0,"weekend",IF(H483=6,"weekend","weekend"))</f>
        <v>weekend</v>
      </c>
      <c r="L483" s="3" t="str">
        <f>IF(C483=1,"Spring",IF(C483=2,"Summer",IF(C483=3,"Fall","Winter")))</f>
        <v>Spring</v>
      </c>
      <c r="M483" s="3">
        <f>SUM(J483:J507)</f>
        <v>1.4000000000000004</v>
      </c>
      <c r="N483" s="3">
        <f>AVERAGE(J483:J1092)</f>
        <v>0.14511627906976746</v>
      </c>
      <c r="O483" s="3">
        <f>COUNT(J483:J1092)</f>
        <v>129</v>
      </c>
      <c r="P483" s="3" t="str">
        <f>TEXT(J483,"0.00")</f>
        <v>0.04</v>
      </c>
      <c r="Q483" s="3" t="str">
        <f>LEFT(L483,3)</f>
        <v>Spr</v>
      </c>
      <c r="R483" s="7" t="str">
        <f>RIGHT(L483,3)</f>
        <v>ing</v>
      </c>
      <c r="S483" s="8">
        <f>LEN(L483)</f>
        <v>6</v>
      </c>
      <c r="T483" s="36" t="str">
        <f>A483&amp;"|"&amp;B483&amp;"|"&amp;F483</f>
        <v>482|22-01-2011|2</v>
      </c>
      <c r="V483" s="32">
        <f>VLOOKUP(A483,Sheet2!A:H,3,FALSE)</f>
        <v>3.0300000000000001E-2</v>
      </c>
      <c r="W483" s="32">
        <f>VLOOKUP(A483,Sheet2!A:H,4,FALSE)</f>
        <v>0.41</v>
      </c>
      <c r="X483" s="32">
        <f>VLOOKUP(A483,Sheet2!A:H,7,FALSE)</f>
        <v>6</v>
      </c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">
        <v>483</v>
      </c>
      <c r="B484" s="4" t="s">
        <v>36</v>
      </c>
      <c r="C484" s="4">
        <v>1</v>
      </c>
      <c r="D484" s="4">
        <v>0</v>
      </c>
      <c r="E484" s="4">
        <v>1</v>
      </c>
      <c r="F484" s="4">
        <v>3</v>
      </c>
      <c r="G484" s="4" t="b">
        <v>0</v>
      </c>
      <c r="H484" s="4">
        <v>6</v>
      </c>
      <c r="I484" s="4">
        <v>2</v>
      </c>
      <c r="J484" s="4">
        <v>0.04</v>
      </c>
      <c r="K484" s="6" t="str">
        <f>IF(H484=0,"weekend",IF(H484=6,"weekend","weekend"))</f>
        <v>weekend</v>
      </c>
      <c r="L484" s="3" t="str">
        <f>IF(C484=1,"Spring",IF(C484=2,"Summer",IF(C484=3,"Fall","Winter")))</f>
        <v>Spring</v>
      </c>
      <c r="M484" s="3">
        <f>SUM(J484:J508)</f>
        <v>1.4000000000000004</v>
      </c>
      <c r="N484" s="3">
        <f>AVERAGE(J484:J1093)</f>
        <v>0.14593750000000003</v>
      </c>
      <c r="O484" s="3">
        <f>COUNT(J484:J1093)</f>
        <v>128</v>
      </c>
      <c r="P484" s="3" t="str">
        <f>TEXT(J484,"0.00")</f>
        <v>0.04</v>
      </c>
      <c r="Q484" s="3" t="str">
        <f>LEFT(L484,3)</f>
        <v>Spr</v>
      </c>
      <c r="R484" s="7" t="str">
        <f>RIGHT(L484,3)</f>
        <v>ing</v>
      </c>
      <c r="S484" s="8">
        <f>LEN(L484)</f>
        <v>6</v>
      </c>
      <c r="T484" s="36" t="str">
        <f>A484&amp;"|"&amp;B484&amp;"|"&amp;F484</f>
        <v>483|22-01-2011|3</v>
      </c>
      <c r="V484" s="32">
        <f>VLOOKUP(A484,Sheet2!A:H,3,FALSE)</f>
        <v>1.52E-2</v>
      </c>
      <c r="W484" s="32">
        <f>VLOOKUP(A484,Sheet2!A:H,4,FALSE)</f>
        <v>0.48</v>
      </c>
      <c r="X484" s="32">
        <f>VLOOKUP(A484,Sheet2!A:H,7,FALSE)</f>
        <v>3</v>
      </c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">
        <v>484</v>
      </c>
      <c r="B485" s="4" t="s">
        <v>36</v>
      </c>
      <c r="C485" s="4">
        <v>1</v>
      </c>
      <c r="D485" s="4">
        <v>0</v>
      </c>
      <c r="E485" s="4">
        <v>1</v>
      </c>
      <c r="F485" s="4">
        <v>4</v>
      </c>
      <c r="G485" s="4" t="b">
        <v>0</v>
      </c>
      <c r="H485" s="4">
        <v>6</v>
      </c>
      <c r="I485" s="4">
        <v>2</v>
      </c>
      <c r="J485" s="4">
        <v>0.02</v>
      </c>
      <c r="K485" s="6" t="str">
        <f>IF(H485=0,"weekend",IF(H485=6,"weekend","weekend"))</f>
        <v>weekend</v>
      </c>
      <c r="L485" s="3" t="str">
        <f>IF(C485=1,"Spring",IF(C485=2,"Summer",IF(C485=3,"Fall","Winter")))</f>
        <v>Spring</v>
      </c>
      <c r="M485" s="3">
        <f>SUM(J485:J509)</f>
        <v>1.4000000000000004</v>
      </c>
      <c r="N485" s="3">
        <f>AVERAGE(J485:J1094)</f>
        <v>0.14677165354330712</v>
      </c>
      <c r="O485" s="3">
        <f>COUNT(J485:J1094)</f>
        <v>127</v>
      </c>
      <c r="P485" s="3" t="str">
        <f>TEXT(J485,"0.00")</f>
        <v>0.02</v>
      </c>
      <c r="Q485" s="3" t="str">
        <f>LEFT(L485,3)</f>
        <v>Spr</v>
      </c>
      <c r="R485" s="7" t="str">
        <f>RIGHT(L485,3)</f>
        <v>ing</v>
      </c>
      <c r="S485" s="8">
        <f>LEN(L485)</f>
        <v>6</v>
      </c>
      <c r="T485" s="36" t="str">
        <f>A485&amp;"|"&amp;B485&amp;"|"&amp;F485</f>
        <v>484|22-01-2011|4</v>
      </c>
      <c r="V485" s="32">
        <f>VLOOKUP(A485,Sheet2!A:H,3,FALSE)</f>
        <v>3.0300000000000001E-2</v>
      </c>
      <c r="W485" s="32">
        <f>VLOOKUP(A485,Sheet2!A:H,4,FALSE)</f>
        <v>0.44</v>
      </c>
      <c r="X485" s="32">
        <f>VLOOKUP(A485,Sheet2!A:H,7,FALSE)</f>
        <v>2</v>
      </c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">
        <v>485</v>
      </c>
      <c r="B486" s="4" t="s">
        <v>36</v>
      </c>
      <c r="C486" s="4">
        <v>1</v>
      </c>
      <c r="D486" s="4">
        <v>0</v>
      </c>
      <c r="E486" s="4">
        <v>1</v>
      </c>
      <c r="F486" s="4">
        <v>6</v>
      </c>
      <c r="G486" s="4" t="b">
        <v>0</v>
      </c>
      <c r="H486" s="4">
        <v>6</v>
      </c>
      <c r="I486" s="4">
        <v>2</v>
      </c>
      <c r="J486" s="4">
        <v>0.02</v>
      </c>
      <c r="K486" s="6" t="str">
        <f>IF(H486=0,"weekend",IF(H486=6,"weekend","weekend"))</f>
        <v>weekend</v>
      </c>
      <c r="L486" s="3" t="str">
        <f>IF(C486=1,"Spring",IF(C486=2,"Summer",IF(C486=3,"Fall","Winter")))</f>
        <v>Spring</v>
      </c>
      <c r="M486" s="3">
        <f>SUM(J486:J510)</f>
        <v>1.4600000000000004</v>
      </c>
      <c r="N486" s="3">
        <f>AVERAGE(J486:J1095)</f>
        <v>0.14777777777777781</v>
      </c>
      <c r="O486" s="3">
        <f>COUNT(J486:J1095)</f>
        <v>126</v>
      </c>
      <c r="P486" s="3" t="str">
        <f>TEXT(J486,"0.00")</f>
        <v>0.02</v>
      </c>
      <c r="Q486" s="3" t="str">
        <f>LEFT(L486,3)</f>
        <v>Spr</v>
      </c>
      <c r="R486" s="7" t="str">
        <f>RIGHT(L486,3)</f>
        <v>ing</v>
      </c>
      <c r="S486" s="8">
        <f>LEN(L486)</f>
        <v>6</v>
      </c>
      <c r="T486" s="36" t="str">
        <f>A486&amp;"|"&amp;B486&amp;"|"&amp;F486</f>
        <v>485|22-01-2011|6</v>
      </c>
      <c r="V486" s="32">
        <f>VLOOKUP(A486,Sheet2!A:H,3,FALSE)</f>
        <v>1.52E-2</v>
      </c>
      <c r="W486" s="32">
        <f>VLOOKUP(A486,Sheet2!A:H,4,FALSE)</f>
        <v>0.44</v>
      </c>
      <c r="X486" s="32">
        <f>VLOOKUP(A486,Sheet2!A:H,7,FALSE)</f>
        <v>8</v>
      </c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">
        <v>486</v>
      </c>
      <c r="B487" s="4" t="s">
        <v>36</v>
      </c>
      <c r="C487" s="4">
        <v>1</v>
      </c>
      <c r="D487" s="4">
        <v>0</v>
      </c>
      <c r="E487" s="4">
        <v>1</v>
      </c>
      <c r="F487" s="4">
        <v>7</v>
      </c>
      <c r="G487" s="4" t="b">
        <v>0</v>
      </c>
      <c r="H487" s="4">
        <v>6</v>
      </c>
      <c r="I487" s="4">
        <v>1</v>
      </c>
      <c r="J487" s="4">
        <v>0.02</v>
      </c>
      <c r="K487" s="6" t="str">
        <f>IF(H487=0,"weekend",IF(H487=6,"weekend","weekend"))</f>
        <v>weekend</v>
      </c>
      <c r="L487" s="3" t="str">
        <f>IF(C487=1,"Spring",IF(C487=2,"Summer",IF(C487=3,"Fall","Winter")))</f>
        <v>Spring</v>
      </c>
      <c r="M487" s="3">
        <f>SUM(J487:J511)</f>
        <v>1.5000000000000004</v>
      </c>
      <c r="N487" s="3">
        <f>AVERAGE(J487:J1096)</f>
        <v>0.14880000000000004</v>
      </c>
      <c r="O487" s="3">
        <f>COUNT(J487:J1096)</f>
        <v>125</v>
      </c>
      <c r="P487" s="3" t="str">
        <f>TEXT(J487,"0.00")</f>
        <v>0.02</v>
      </c>
      <c r="Q487" s="3" t="str">
        <f>LEFT(L487,3)</f>
        <v>Spr</v>
      </c>
      <c r="R487" s="7" t="str">
        <f>RIGHT(L487,3)</f>
        <v>ing</v>
      </c>
      <c r="S487" s="8">
        <f>LEN(L487)</f>
        <v>6</v>
      </c>
      <c r="T487" s="36" t="str">
        <f>A487&amp;"|"&amp;B487&amp;"|"&amp;F487</f>
        <v>486|22-01-2011|7</v>
      </c>
      <c r="V487" s="32">
        <f>VLOOKUP(A487,Sheet2!A:H,3,FALSE)</f>
        <v>0</v>
      </c>
      <c r="W487" s="32">
        <f>VLOOKUP(A487,Sheet2!A:H,4,FALSE)</f>
        <v>0.44</v>
      </c>
      <c r="X487" s="32">
        <f>VLOOKUP(A487,Sheet2!A:H,7,FALSE)</f>
        <v>26</v>
      </c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">
        <v>487</v>
      </c>
      <c r="B488" s="4" t="s">
        <v>36</v>
      </c>
      <c r="C488" s="4">
        <v>1</v>
      </c>
      <c r="D488" s="4">
        <v>0</v>
      </c>
      <c r="E488" s="4">
        <v>1</v>
      </c>
      <c r="F488" s="4">
        <v>8</v>
      </c>
      <c r="G488" s="4" t="b">
        <v>0</v>
      </c>
      <c r="H488" s="4">
        <v>6</v>
      </c>
      <c r="I488" s="4">
        <v>1</v>
      </c>
      <c r="J488" s="4">
        <v>0.02</v>
      </c>
      <c r="K488" s="6" t="str">
        <f>IF(H488=0,"weekend",IF(H488=6,"weekend","weekend"))</f>
        <v>weekend</v>
      </c>
      <c r="L488" s="3" t="str">
        <f>IF(C488=1,"Spring",IF(C488=2,"Summer",IF(C488=3,"Fall","Winter")))</f>
        <v>Spring</v>
      </c>
      <c r="M488" s="3">
        <f>SUM(J488:J512)</f>
        <v>1.5800000000000005</v>
      </c>
      <c r="N488" s="3">
        <f>AVERAGE(J488:J1097)</f>
        <v>0.14983870967741938</v>
      </c>
      <c r="O488" s="3">
        <f>COUNT(J488:J1097)</f>
        <v>124</v>
      </c>
      <c r="P488" s="3" t="str">
        <f>TEXT(J488,"0.00")</f>
        <v>0.02</v>
      </c>
      <c r="Q488" s="3" t="str">
        <f>LEFT(L488,3)</f>
        <v>Spr</v>
      </c>
      <c r="R488" s="7" t="str">
        <f>RIGHT(L488,3)</f>
        <v>ing</v>
      </c>
      <c r="S488" s="8">
        <f>LEN(L488)</f>
        <v>6</v>
      </c>
      <c r="T488" s="36" t="str">
        <f>A488&amp;"|"&amp;B488&amp;"|"&amp;F488</f>
        <v>487|22-01-2011|8</v>
      </c>
      <c r="V488" s="32">
        <f>VLOOKUP(A488,Sheet2!A:H,3,FALSE)</f>
        <v>3.0300000000000001E-2</v>
      </c>
      <c r="W488" s="32">
        <f>VLOOKUP(A488,Sheet2!A:H,4,FALSE)</f>
        <v>0.41</v>
      </c>
      <c r="X488" s="32">
        <f>VLOOKUP(A488,Sheet2!A:H,7,FALSE)</f>
        <v>37</v>
      </c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">
        <v>488</v>
      </c>
      <c r="B489" s="4" t="s">
        <v>36</v>
      </c>
      <c r="C489" s="4">
        <v>1</v>
      </c>
      <c r="D489" s="4">
        <v>0</v>
      </c>
      <c r="E489" s="4">
        <v>1</v>
      </c>
      <c r="F489" s="4">
        <v>9</v>
      </c>
      <c r="G489" s="4" t="b">
        <v>0</v>
      </c>
      <c r="H489" s="4">
        <v>6</v>
      </c>
      <c r="I489" s="4">
        <v>1</v>
      </c>
      <c r="J489" s="4">
        <v>0.04</v>
      </c>
      <c r="K489" s="6" t="str">
        <f>IF(H489=0,"weekend",IF(H489=6,"weekend","weekend"))</f>
        <v>weekend</v>
      </c>
      <c r="L489" s="3" t="str">
        <f>IF(C489=1,"Spring",IF(C489=2,"Summer",IF(C489=3,"Fall","Winter")))</f>
        <v>Spring</v>
      </c>
      <c r="M489" s="3">
        <f>SUM(J489:J513)</f>
        <v>1.7000000000000006</v>
      </c>
      <c r="N489" s="3">
        <f>AVERAGE(J489:J1098)</f>
        <v>0.15089430894308947</v>
      </c>
      <c r="O489" s="3">
        <f>COUNT(J489:J1098)</f>
        <v>123</v>
      </c>
      <c r="P489" s="3" t="str">
        <f>TEXT(J489,"0.00")</f>
        <v>0.04</v>
      </c>
      <c r="Q489" s="3" t="str">
        <f>LEFT(L489,3)</f>
        <v>Spr</v>
      </c>
      <c r="R489" s="7" t="str">
        <f>RIGHT(L489,3)</f>
        <v>ing</v>
      </c>
      <c r="S489" s="8">
        <f>LEN(L489)</f>
        <v>6</v>
      </c>
      <c r="T489" s="36" t="str">
        <f>A489&amp;"|"&amp;B489&amp;"|"&amp;F489</f>
        <v>488|22-01-2011|9</v>
      </c>
      <c r="V489" s="32">
        <f>VLOOKUP(A489,Sheet2!A:H,3,FALSE)</f>
        <v>6.0600000000000001E-2</v>
      </c>
      <c r="W489" s="32">
        <f>VLOOKUP(A489,Sheet2!A:H,4,FALSE)</f>
        <v>0.41</v>
      </c>
      <c r="X489" s="32">
        <f>VLOOKUP(A489,Sheet2!A:H,7,FALSE)</f>
        <v>50</v>
      </c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">
        <v>489</v>
      </c>
      <c r="B490" s="4" t="s">
        <v>36</v>
      </c>
      <c r="C490" s="4">
        <v>1</v>
      </c>
      <c r="D490" s="4">
        <v>0</v>
      </c>
      <c r="E490" s="4">
        <v>1</v>
      </c>
      <c r="F490" s="4">
        <v>10</v>
      </c>
      <c r="G490" s="4" t="b">
        <v>0</v>
      </c>
      <c r="H490" s="4">
        <v>6</v>
      </c>
      <c r="I490" s="4">
        <v>2</v>
      </c>
      <c r="J490" s="4">
        <v>0.04</v>
      </c>
      <c r="K490" s="6" t="str">
        <f>IF(H490=0,"weekend",IF(H490=6,"weekend","weekend"))</f>
        <v>weekend</v>
      </c>
      <c r="L490" s="3" t="str">
        <f>IF(C490=1,"Spring",IF(C490=2,"Summer",IF(C490=3,"Fall","Winter")))</f>
        <v>Spring</v>
      </c>
      <c r="M490" s="3">
        <f>SUM(J490:J514)</f>
        <v>1.8000000000000007</v>
      </c>
      <c r="N490" s="3">
        <f>AVERAGE(J490:J1099)</f>
        <v>0.15180327868852461</v>
      </c>
      <c r="O490" s="3">
        <f>COUNT(J490:J1099)</f>
        <v>122</v>
      </c>
      <c r="P490" s="3" t="str">
        <f>TEXT(J490,"0.00")</f>
        <v>0.04</v>
      </c>
      <c r="Q490" s="3" t="str">
        <f>LEFT(L490,3)</f>
        <v>Spr</v>
      </c>
      <c r="R490" s="7" t="str">
        <f>RIGHT(L490,3)</f>
        <v>ing</v>
      </c>
      <c r="S490" s="8">
        <f>LEN(L490)</f>
        <v>6</v>
      </c>
      <c r="T490" s="36" t="str">
        <f>A490&amp;"|"&amp;B490&amp;"|"&amp;F490</f>
        <v>489|22-01-2011|10</v>
      </c>
      <c r="V490" s="32">
        <f>VLOOKUP(A490,Sheet2!A:H,3,FALSE)</f>
        <v>7.5800000000000006E-2</v>
      </c>
      <c r="W490" s="32">
        <f>VLOOKUP(A490,Sheet2!A:H,4,FALSE)</f>
        <v>0.38</v>
      </c>
      <c r="X490" s="32">
        <f>VLOOKUP(A490,Sheet2!A:H,7,FALSE)</f>
        <v>59</v>
      </c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">
        <v>490</v>
      </c>
      <c r="B491" s="4" t="s">
        <v>36</v>
      </c>
      <c r="C491" s="4">
        <v>1</v>
      </c>
      <c r="D491" s="4">
        <v>0</v>
      </c>
      <c r="E491" s="4">
        <v>1</v>
      </c>
      <c r="F491" s="4">
        <v>11</v>
      </c>
      <c r="G491" s="4" t="b">
        <v>0</v>
      </c>
      <c r="H491" s="4">
        <v>6</v>
      </c>
      <c r="I491" s="4">
        <v>2</v>
      </c>
      <c r="J491" s="4">
        <v>0.06</v>
      </c>
      <c r="K491" s="6" t="str">
        <f>IF(H491=0,"weekend",IF(H491=6,"weekend","weekend"))</f>
        <v>weekend</v>
      </c>
      <c r="L491" s="3" t="str">
        <f>IF(C491=1,"Spring",IF(C491=2,"Summer",IF(C491=3,"Fall","Winter")))</f>
        <v>Spring</v>
      </c>
      <c r="M491" s="3">
        <f>SUM(J491:J515)</f>
        <v>1.9200000000000006</v>
      </c>
      <c r="N491" s="3">
        <f>AVERAGE(J491:J1100)</f>
        <v>0.15272727272727277</v>
      </c>
      <c r="O491" s="3">
        <f>COUNT(J491:J1100)</f>
        <v>121</v>
      </c>
      <c r="P491" s="3" t="str">
        <f>TEXT(J491,"0.00")</f>
        <v>0.06</v>
      </c>
      <c r="Q491" s="3" t="str">
        <f>LEFT(L491,3)</f>
        <v>Spr</v>
      </c>
      <c r="R491" s="7" t="str">
        <f>RIGHT(L491,3)</f>
        <v>ing</v>
      </c>
      <c r="S491" s="8">
        <f>LEN(L491)</f>
        <v>6</v>
      </c>
      <c r="T491" s="36" t="str">
        <f>A491&amp;"|"&amp;B491&amp;"|"&amp;F491</f>
        <v>490|22-01-2011|11</v>
      </c>
      <c r="V491" s="32">
        <f>VLOOKUP(A491,Sheet2!A:H,3,FALSE)</f>
        <v>0.1061</v>
      </c>
      <c r="W491" s="32">
        <f>VLOOKUP(A491,Sheet2!A:H,4,FALSE)</f>
        <v>0.38</v>
      </c>
      <c r="X491" s="32">
        <f>VLOOKUP(A491,Sheet2!A:H,7,FALSE)</f>
        <v>60</v>
      </c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">
        <v>491</v>
      </c>
      <c r="B492" s="4" t="s">
        <v>36</v>
      </c>
      <c r="C492" s="4">
        <v>1</v>
      </c>
      <c r="D492" s="4">
        <v>0</v>
      </c>
      <c r="E492" s="4">
        <v>1</v>
      </c>
      <c r="F492" s="4">
        <v>12</v>
      </c>
      <c r="G492" s="4" t="b">
        <v>0</v>
      </c>
      <c r="H492" s="4">
        <v>6</v>
      </c>
      <c r="I492" s="4">
        <v>2</v>
      </c>
      <c r="J492" s="4">
        <v>0.06</v>
      </c>
      <c r="K492" s="6" t="str">
        <f>IF(H492=0,"weekend",IF(H492=6,"weekend","weekend"))</f>
        <v>weekend</v>
      </c>
      <c r="L492" s="3" t="str">
        <f>IF(C492=1,"Spring",IF(C492=2,"Summer",IF(C492=3,"Fall","Winter")))</f>
        <v>Spring</v>
      </c>
      <c r="M492" s="3">
        <f>SUM(J492:J516)</f>
        <v>2.0000000000000004</v>
      </c>
      <c r="N492" s="3">
        <f>AVERAGE(J492:J1101)</f>
        <v>0.15350000000000003</v>
      </c>
      <c r="O492" s="3">
        <f>COUNT(J492:J1101)</f>
        <v>120</v>
      </c>
      <c r="P492" s="3" t="str">
        <f>TEXT(J492,"0.00")</f>
        <v>0.06</v>
      </c>
      <c r="Q492" s="3" t="str">
        <f>LEFT(L492,3)</f>
        <v>Spr</v>
      </c>
      <c r="R492" s="7" t="str">
        <f>RIGHT(L492,3)</f>
        <v>ing</v>
      </c>
      <c r="S492" s="8">
        <f>LEN(L492)</f>
        <v>6</v>
      </c>
      <c r="T492" s="36" t="str">
        <f>A492&amp;"|"&amp;B492&amp;"|"&amp;F492</f>
        <v>491|22-01-2011|12</v>
      </c>
      <c r="V492" s="32">
        <f>VLOOKUP(A492,Sheet2!A:H,3,FALSE)</f>
        <v>0.16669999999999999</v>
      </c>
      <c r="W492" s="32">
        <f>VLOOKUP(A492,Sheet2!A:H,4,FALSE)</f>
        <v>0.35</v>
      </c>
      <c r="X492" s="32">
        <f>VLOOKUP(A492,Sheet2!A:H,7,FALSE)</f>
        <v>72</v>
      </c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">
        <v>492</v>
      </c>
      <c r="B493" s="4" t="s">
        <v>36</v>
      </c>
      <c r="C493" s="4">
        <v>1</v>
      </c>
      <c r="D493" s="4">
        <v>0</v>
      </c>
      <c r="E493" s="4">
        <v>1</v>
      </c>
      <c r="F493" s="4">
        <v>13</v>
      </c>
      <c r="G493" s="4" t="b">
        <v>0</v>
      </c>
      <c r="H493" s="4">
        <v>6</v>
      </c>
      <c r="I493" s="4">
        <v>1</v>
      </c>
      <c r="J493" s="4">
        <v>0.08</v>
      </c>
      <c r="K493" s="6" t="str">
        <f>IF(H493=0,"weekend",IF(H493=6,"weekend","weekend"))</f>
        <v>weekend</v>
      </c>
      <c r="L493" s="3" t="str">
        <f>IF(C493=1,"Spring",IF(C493=2,"Summer",IF(C493=3,"Fall","Winter")))</f>
        <v>Spring</v>
      </c>
      <c r="M493" s="3">
        <f>SUM(J493:J517)</f>
        <v>2.1000000000000005</v>
      </c>
      <c r="N493" s="3">
        <f>AVERAGE(J493:J1102)</f>
        <v>0.1542857142857143</v>
      </c>
      <c r="O493" s="3">
        <f>COUNT(J493:J1102)</f>
        <v>119</v>
      </c>
      <c r="P493" s="3" t="str">
        <f>TEXT(J493,"0.00")</f>
        <v>0.08</v>
      </c>
      <c r="Q493" s="3" t="str">
        <f>LEFT(L493,3)</f>
        <v>Spr</v>
      </c>
      <c r="R493" s="7" t="str">
        <f>RIGHT(L493,3)</f>
        <v>ing</v>
      </c>
      <c r="S493" s="8">
        <f>LEN(L493)</f>
        <v>6</v>
      </c>
      <c r="T493" s="36" t="str">
        <f>A493&amp;"|"&amp;B493&amp;"|"&amp;F493</f>
        <v>492|22-01-2011|13</v>
      </c>
      <c r="V493" s="32">
        <f>VLOOKUP(A493,Sheet2!A:H,3,FALSE)</f>
        <v>0.13639999999999999</v>
      </c>
      <c r="W493" s="32">
        <f>VLOOKUP(A493,Sheet2!A:H,4,FALSE)</f>
        <v>0.33</v>
      </c>
      <c r="X493" s="32">
        <f>VLOOKUP(A493,Sheet2!A:H,7,FALSE)</f>
        <v>64</v>
      </c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">
        <v>493</v>
      </c>
      <c r="B494" s="4" t="s">
        <v>36</v>
      </c>
      <c r="C494" s="4">
        <v>1</v>
      </c>
      <c r="D494" s="4">
        <v>0</v>
      </c>
      <c r="E494" s="4">
        <v>1</v>
      </c>
      <c r="F494" s="4">
        <v>14</v>
      </c>
      <c r="G494" s="4" t="b">
        <v>0</v>
      </c>
      <c r="H494" s="4">
        <v>6</v>
      </c>
      <c r="I494" s="4">
        <v>1</v>
      </c>
      <c r="J494" s="4">
        <v>0.1</v>
      </c>
      <c r="K494" s="6" t="str">
        <f>IF(H494=0,"weekend",IF(H494=6,"weekend","weekend"))</f>
        <v>weekend</v>
      </c>
      <c r="L494" s="3" t="str">
        <f>IF(C494=1,"Spring",IF(C494=2,"Summer",IF(C494=3,"Fall","Winter")))</f>
        <v>Spring</v>
      </c>
      <c r="M494" s="3">
        <f>SUM(J494:J518)</f>
        <v>2.1800000000000006</v>
      </c>
      <c r="N494" s="3">
        <f>AVERAGE(J494:J1103)</f>
        <v>0.15491525423728816</v>
      </c>
      <c r="O494" s="3">
        <f>COUNT(J494:J1103)</f>
        <v>118</v>
      </c>
      <c r="P494" s="3" t="str">
        <f>TEXT(J494,"0.00")</f>
        <v>0.10</v>
      </c>
      <c r="Q494" s="3" t="str">
        <f>LEFT(L494,3)</f>
        <v>Spr</v>
      </c>
      <c r="R494" s="7" t="str">
        <f>RIGHT(L494,3)</f>
        <v>ing</v>
      </c>
      <c r="S494" s="8">
        <f>LEN(L494)</f>
        <v>6</v>
      </c>
      <c r="T494" s="36" t="str">
        <f>A494&amp;"|"&amp;B494&amp;"|"&amp;F494</f>
        <v>493|22-01-2011|14</v>
      </c>
      <c r="V494" s="32">
        <f>VLOOKUP(A494,Sheet2!A:H,3,FALSE)</f>
        <v>0.1515</v>
      </c>
      <c r="W494" s="32">
        <f>VLOOKUP(A494,Sheet2!A:H,4,FALSE)</f>
        <v>0.28000000000000003</v>
      </c>
      <c r="X494" s="32">
        <f>VLOOKUP(A494,Sheet2!A:H,7,FALSE)</f>
        <v>93</v>
      </c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">
        <v>494</v>
      </c>
      <c r="B495" s="4" t="s">
        <v>36</v>
      </c>
      <c r="C495" s="4">
        <v>1</v>
      </c>
      <c r="D495" s="4">
        <v>0</v>
      </c>
      <c r="E495" s="4">
        <v>1</v>
      </c>
      <c r="F495" s="4">
        <v>15</v>
      </c>
      <c r="G495" s="4" t="b">
        <v>0</v>
      </c>
      <c r="H495" s="4">
        <v>6</v>
      </c>
      <c r="I495" s="4">
        <v>1</v>
      </c>
      <c r="J495" s="4">
        <v>0.12</v>
      </c>
      <c r="K495" s="6" t="str">
        <f>IF(H495=0,"weekend",IF(H495=6,"weekend","weekend"))</f>
        <v>weekend</v>
      </c>
      <c r="L495" s="3" t="str">
        <f>IF(C495=1,"Spring",IF(C495=2,"Summer",IF(C495=3,"Fall","Winter")))</f>
        <v>Spring</v>
      </c>
      <c r="M495" s="3">
        <f>SUM(J495:J519)</f>
        <v>2.2400000000000007</v>
      </c>
      <c r="N495" s="3">
        <f>AVERAGE(J495:J1104)</f>
        <v>0.1553846153846154</v>
      </c>
      <c r="O495" s="3">
        <f>COUNT(J495:J1104)</f>
        <v>117</v>
      </c>
      <c r="P495" s="3" t="str">
        <f>TEXT(J495,"0.00")</f>
        <v>0.12</v>
      </c>
      <c r="Q495" s="3" t="str">
        <f>LEFT(L495,3)</f>
        <v>Spr</v>
      </c>
      <c r="R495" s="7" t="str">
        <f>RIGHT(L495,3)</f>
        <v>ing</v>
      </c>
      <c r="S495" s="8">
        <f>LEN(L495)</f>
        <v>6</v>
      </c>
      <c r="T495" s="36" t="str">
        <f>A495&amp;"|"&amp;B495&amp;"|"&amp;F495</f>
        <v>494|22-01-2011|15</v>
      </c>
      <c r="V495" s="32">
        <f>VLOOKUP(A495,Sheet2!A:H,3,FALSE)</f>
        <v>0.13639999999999999</v>
      </c>
      <c r="W495" s="32">
        <f>VLOOKUP(A495,Sheet2!A:H,4,FALSE)</f>
        <v>0.28000000000000003</v>
      </c>
      <c r="X495" s="32">
        <f>VLOOKUP(A495,Sheet2!A:H,7,FALSE)</f>
        <v>72</v>
      </c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">
        <v>495</v>
      </c>
      <c r="B496" s="4" t="s">
        <v>36</v>
      </c>
      <c r="C496" s="4">
        <v>1</v>
      </c>
      <c r="D496" s="4">
        <v>0</v>
      </c>
      <c r="E496" s="4">
        <v>1</v>
      </c>
      <c r="F496" s="4">
        <v>16</v>
      </c>
      <c r="G496" s="4" t="b">
        <v>0</v>
      </c>
      <c r="H496" s="4">
        <v>6</v>
      </c>
      <c r="I496" s="4">
        <v>1</v>
      </c>
      <c r="J496" s="4">
        <v>0.12</v>
      </c>
      <c r="K496" s="6" t="str">
        <f>IF(H496=0,"weekend",IF(H496=6,"weekend","weekend"))</f>
        <v>weekend</v>
      </c>
      <c r="L496" s="3" t="str">
        <f>IF(C496=1,"Spring",IF(C496=2,"Summer",IF(C496=3,"Fall","Winter")))</f>
        <v>Spring</v>
      </c>
      <c r="M496" s="3">
        <f>SUM(J496:J520)</f>
        <v>2.2600000000000002</v>
      </c>
      <c r="N496" s="3">
        <f>AVERAGE(J496:J1105)</f>
        <v>0.15568965517241382</v>
      </c>
      <c r="O496" s="3">
        <f>COUNT(J496:J1105)</f>
        <v>116</v>
      </c>
      <c r="P496" s="3" t="str">
        <f>TEXT(J496,"0.00")</f>
        <v>0.12</v>
      </c>
      <c r="Q496" s="3" t="str">
        <f>LEFT(L496,3)</f>
        <v>Spr</v>
      </c>
      <c r="R496" s="7" t="str">
        <f>RIGHT(L496,3)</f>
        <v>ing</v>
      </c>
      <c r="S496" s="8">
        <f>LEN(L496)</f>
        <v>6</v>
      </c>
      <c r="T496" s="36" t="str">
        <f>A496&amp;"|"&amp;B496&amp;"|"&amp;F496</f>
        <v>495|22-01-2011|16</v>
      </c>
      <c r="V496" s="32">
        <f>VLOOKUP(A496,Sheet2!A:H,3,FALSE)</f>
        <v>0.19700000000000001</v>
      </c>
      <c r="W496" s="32">
        <f>VLOOKUP(A496,Sheet2!A:H,4,FALSE)</f>
        <v>0.28000000000000003</v>
      </c>
      <c r="X496" s="32">
        <f>VLOOKUP(A496,Sheet2!A:H,7,FALSE)</f>
        <v>59</v>
      </c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">
        <v>496</v>
      </c>
      <c r="B497" s="4" t="s">
        <v>36</v>
      </c>
      <c r="C497" s="4">
        <v>1</v>
      </c>
      <c r="D497" s="4">
        <v>0</v>
      </c>
      <c r="E497" s="4">
        <v>1</v>
      </c>
      <c r="F497" s="4">
        <v>17</v>
      </c>
      <c r="G497" s="4" t="b">
        <v>0</v>
      </c>
      <c r="H497" s="4">
        <v>6</v>
      </c>
      <c r="I497" s="4">
        <v>1</v>
      </c>
      <c r="J497" s="4">
        <v>0.12</v>
      </c>
      <c r="K497" s="6" t="str">
        <f>IF(H497=0,"weekend",IF(H497=6,"weekend","weekend"))</f>
        <v>weekend</v>
      </c>
      <c r="L497" s="3" t="str">
        <f>IF(C497=1,"Spring",IF(C497=2,"Summer",IF(C497=3,"Fall","Winter")))</f>
        <v>Spring</v>
      </c>
      <c r="M497" s="3">
        <f>SUM(J497:J521)</f>
        <v>2.2599999999999998</v>
      </c>
      <c r="N497" s="3">
        <f>AVERAGE(J497:J1106)</f>
        <v>0.156</v>
      </c>
      <c r="O497" s="3">
        <f>COUNT(J497:J1106)</f>
        <v>115</v>
      </c>
      <c r="P497" s="3" t="str">
        <f>TEXT(J497,"0.00")</f>
        <v>0.12</v>
      </c>
      <c r="Q497" s="3" t="str">
        <f>LEFT(L497,3)</f>
        <v>Spr</v>
      </c>
      <c r="R497" s="7" t="str">
        <f>RIGHT(L497,3)</f>
        <v>ing</v>
      </c>
      <c r="S497" s="8">
        <f>LEN(L497)</f>
        <v>6</v>
      </c>
      <c r="T497" s="36" t="str">
        <f>A497&amp;"|"&amp;B497&amp;"|"&amp;F497</f>
        <v>496|22-01-2011|17</v>
      </c>
      <c r="V497" s="32">
        <f>VLOOKUP(A497,Sheet2!A:H,3,FALSE)</f>
        <v>9.0899999999999995E-2</v>
      </c>
      <c r="W497" s="32">
        <f>VLOOKUP(A497,Sheet2!A:H,4,FALSE)</f>
        <v>0.35</v>
      </c>
      <c r="X497" s="32">
        <f>VLOOKUP(A497,Sheet2!A:H,7,FALSE)</f>
        <v>54</v>
      </c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">
        <v>497</v>
      </c>
      <c r="B498" s="4" t="s">
        <v>36</v>
      </c>
      <c r="C498" s="4">
        <v>1</v>
      </c>
      <c r="D498" s="4">
        <v>0</v>
      </c>
      <c r="E498" s="4">
        <v>1</v>
      </c>
      <c r="F498" s="4">
        <v>18</v>
      </c>
      <c r="G498" s="4" t="b">
        <v>0</v>
      </c>
      <c r="H498" s="4">
        <v>6</v>
      </c>
      <c r="I498" s="4">
        <v>1</v>
      </c>
      <c r="J498" s="4">
        <v>0.08</v>
      </c>
      <c r="K498" s="6" t="str">
        <f>IF(H498=0,"weekend",IF(H498=6,"weekend","weekend"))</f>
        <v>weekend</v>
      </c>
      <c r="L498" s="3" t="str">
        <f>IF(C498=1,"Spring",IF(C498=2,"Summer",IF(C498=3,"Fall","Winter")))</f>
        <v>Spring</v>
      </c>
      <c r="M498" s="3">
        <f>SUM(J498:J522)</f>
        <v>2.2599999999999998</v>
      </c>
      <c r="N498" s="3">
        <f>AVERAGE(J498:J1107)</f>
        <v>0.15631578947368421</v>
      </c>
      <c r="O498" s="3">
        <f>COUNT(J498:J1107)</f>
        <v>114</v>
      </c>
      <c r="P498" s="3" t="str">
        <f>TEXT(J498,"0.00")</f>
        <v>0.08</v>
      </c>
      <c r="Q498" s="3" t="str">
        <f>LEFT(L498,3)</f>
        <v>Spr</v>
      </c>
      <c r="R498" s="7" t="str">
        <f>RIGHT(L498,3)</f>
        <v>ing</v>
      </c>
      <c r="S498" s="8">
        <f>LEN(L498)</f>
        <v>6</v>
      </c>
      <c r="T498" s="36" t="str">
        <f>A498&amp;"|"&amp;B498&amp;"|"&amp;F498</f>
        <v>497|22-01-2011|18</v>
      </c>
      <c r="V498" s="32">
        <f>VLOOKUP(A498,Sheet2!A:H,3,FALSE)</f>
        <v>0.1061</v>
      </c>
      <c r="W498" s="32">
        <f>VLOOKUP(A498,Sheet2!A:H,4,FALSE)</f>
        <v>0.35</v>
      </c>
      <c r="X498" s="32">
        <f>VLOOKUP(A498,Sheet2!A:H,7,FALSE)</f>
        <v>53</v>
      </c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">
        <v>498</v>
      </c>
      <c r="B499" s="4" t="s">
        <v>36</v>
      </c>
      <c r="C499" s="4">
        <v>1</v>
      </c>
      <c r="D499" s="4">
        <v>0</v>
      </c>
      <c r="E499" s="4">
        <v>1</v>
      </c>
      <c r="F499" s="4">
        <v>19</v>
      </c>
      <c r="G499" s="4" t="b">
        <v>0</v>
      </c>
      <c r="H499" s="4">
        <v>6</v>
      </c>
      <c r="I499" s="4">
        <v>1</v>
      </c>
      <c r="J499" s="4">
        <v>0.08</v>
      </c>
      <c r="K499" s="6" t="str">
        <f>IF(H499=0,"weekend",IF(H499=6,"weekend","weekend"))</f>
        <v>weekend</v>
      </c>
      <c r="L499" s="3" t="str">
        <f>IF(C499=1,"Spring",IF(C499=2,"Summer",IF(C499=3,"Fall","Winter")))</f>
        <v>Spring</v>
      </c>
      <c r="M499" s="3">
        <f>SUM(J499:J523)</f>
        <v>2.2799999999999998</v>
      </c>
      <c r="N499" s="3">
        <f>AVERAGE(J499:J1108)</f>
        <v>0.15699115044247788</v>
      </c>
      <c r="O499" s="3">
        <f>COUNT(J499:J1108)</f>
        <v>113</v>
      </c>
      <c r="P499" s="3" t="str">
        <f>TEXT(J499,"0.00")</f>
        <v>0.08</v>
      </c>
      <c r="Q499" s="3" t="str">
        <f>LEFT(L499,3)</f>
        <v>Spr</v>
      </c>
      <c r="R499" s="7" t="str">
        <f>RIGHT(L499,3)</f>
        <v>ing</v>
      </c>
      <c r="S499" s="8">
        <f>LEN(L499)</f>
        <v>6</v>
      </c>
      <c r="T499" s="36" t="str">
        <f>A499&amp;"|"&amp;B499&amp;"|"&amp;F499</f>
        <v>498|22-01-2011|19</v>
      </c>
      <c r="V499" s="32">
        <f>VLOOKUP(A499,Sheet2!A:H,3,FALSE)</f>
        <v>7.5800000000000006E-2</v>
      </c>
      <c r="W499" s="32">
        <f>VLOOKUP(A499,Sheet2!A:H,4,FALSE)</f>
        <v>0.45</v>
      </c>
      <c r="X499" s="32">
        <f>VLOOKUP(A499,Sheet2!A:H,7,FALSE)</f>
        <v>44</v>
      </c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">
        <v>499</v>
      </c>
      <c r="B500" s="4" t="s">
        <v>36</v>
      </c>
      <c r="C500" s="4">
        <v>1</v>
      </c>
      <c r="D500" s="4">
        <v>0</v>
      </c>
      <c r="E500" s="4">
        <v>1</v>
      </c>
      <c r="F500" s="4">
        <v>20</v>
      </c>
      <c r="G500" s="4" t="b">
        <v>0</v>
      </c>
      <c r="H500" s="4">
        <v>6</v>
      </c>
      <c r="I500" s="4">
        <v>1</v>
      </c>
      <c r="J500" s="4">
        <v>0.06</v>
      </c>
      <c r="K500" s="6" t="str">
        <f>IF(H500=0,"weekend",IF(H500=6,"weekend","weekend"))</f>
        <v>weekend</v>
      </c>
      <c r="L500" s="3" t="str">
        <f>IF(C500=1,"Spring",IF(C500=2,"Summer",IF(C500=3,"Fall","Winter")))</f>
        <v>Spring</v>
      </c>
      <c r="M500" s="3">
        <f>SUM(J500:J524)</f>
        <v>2.3000000000000003</v>
      </c>
      <c r="N500" s="3">
        <f>AVERAGE(J500:J1109)</f>
        <v>0.15767857142857147</v>
      </c>
      <c r="O500" s="3">
        <f>COUNT(J500:J1109)</f>
        <v>112</v>
      </c>
      <c r="P500" s="3" t="str">
        <f>TEXT(J500,"0.00")</f>
        <v>0.06</v>
      </c>
      <c r="Q500" s="3" t="str">
        <f>LEFT(L500,3)</f>
        <v>Spr</v>
      </c>
      <c r="R500" s="7" t="str">
        <f>RIGHT(L500,3)</f>
        <v>ing</v>
      </c>
      <c r="S500" s="8">
        <f>LEN(L500)</f>
        <v>6</v>
      </c>
      <c r="T500" s="36" t="str">
        <f>A500&amp;"|"&amp;B500&amp;"|"&amp;F500</f>
        <v>499|22-01-2011|20</v>
      </c>
      <c r="V500" s="32">
        <f>VLOOKUP(A500,Sheet2!A:H,3,FALSE)</f>
        <v>0.1061</v>
      </c>
      <c r="W500" s="32">
        <f>VLOOKUP(A500,Sheet2!A:H,4,FALSE)</f>
        <v>0.41</v>
      </c>
      <c r="X500" s="32">
        <f>VLOOKUP(A500,Sheet2!A:H,7,FALSE)</f>
        <v>39</v>
      </c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">
        <v>500</v>
      </c>
      <c r="B501" s="4" t="s">
        <v>36</v>
      </c>
      <c r="C501" s="4">
        <v>1</v>
      </c>
      <c r="D501" s="4">
        <v>0</v>
      </c>
      <c r="E501" s="4">
        <v>1</v>
      </c>
      <c r="F501" s="4">
        <v>21</v>
      </c>
      <c r="G501" s="4" t="b">
        <v>0</v>
      </c>
      <c r="H501" s="4">
        <v>6</v>
      </c>
      <c r="I501" s="4">
        <v>1</v>
      </c>
      <c r="J501" s="4">
        <v>0.06</v>
      </c>
      <c r="K501" s="6" t="str">
        <f>IF(H501=0,"weekend",IF(H501=6,"weekend","weekend"))</f>
        <v>weekend</v>
      </c>
      <c r="L501" s="3" t="str">
        <f>IF(C501=1,"Spring",IF(C501=2,"Summer",IF(C501=3,"Fall","Winter")))</f>
        <v>Spring</v>
      </c>
      <c r="M501" s="3">
        <f>SUM(J501:J525)</f>
        <v>2.3200000000000003</v>
      </c>
      <c r="N501" s="3">
        <f>AVERAGE(J501:J1110)</f>
        <v>0.15855855855855858</v>
      </c>
      <c r="O501" s="3">
        <f>COUNT(J501:J1110)</f>
        <v>111</v>
      </c>
      <c r="P501" s="3" t="str">
        <f>TEXT(J501,"0.00")</f>
        <v>0.06</v>
      </c>
      <c r="Q501" s="3" t="str">
        <f>LEFT(L501,3)</f>
        <v>Spr</v>
      </c>
      <c r="R501" s="7" t="str">
        <f>RIGHT(L501,3)</f>
        <v>ing</v>
      </c>
      <c r="S501" s="8">
        <f>LEN(L501)</f>
        <v>6</v>
      </c>
      <c r="T501" s="36" t="str">
        <f>A501&amp;"|"&amp;B501&amp;"|"&amp;F501</f>
        <v>500|22-01-2011|21</v>
      </c>
      <c r="V501" s="32">
        <f>VLOOKUP(A501,Sheet2!A:H,3,FALSE)</f>
        <v>0.1515</v>
      </c>
      <c r="W501" s="32">
        <f>VLOOKUP(A501,Sheet2!A:H,4,FALSE)</f>
        <v>0.49</v>
      </c>
      <c r="X501" s="32">
        <f>VLOOKUP(A501,Sheet2!A:H,7,FALSE)</f>
        <v>23</v>
      </c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">
        <v>501</v>
      </c>
      <c r="B502" s="4" t="s">
        <v>36</v>
      </c>
      <c r="C502" s="4">
        <v>1</v>
      </c>
      <c r="D502" s="4">
        <v>0</v>
      </c>
      <c r="E502" s="4">
        <v>1</v>
      </c>
      <c r="F502" s="4">
        <v>22</v>
      </c>
      <c r="G502" s="4" t="b">
        <v>0</v>
      </c>
      <c r="H502" s="4">
        <v>6</v>
      </c>
      <c r="I502" s="4">
        <v>1</v>
      </c>
      <c r="J502" s="4">
        <v>0.06</v>
      </c>
      <c r="K502" s="6" t="str">
        <f>IF(H502=0,"weekend",IF(H502=6,"weekend","weekend"))</f>
        <v>weekend</v>
      </c>
      <c r="L502" s="3" t="str">
        <f>IF(C502=1,"Spring",IF(C502=2,"Summer",IF(C502=3,"Fall","Winter")))</f>
        <v>Spring</v>
      </c>
      <c r="M502" s="3">
        <f>SUM(J502:J526)</f>
        <v>2.3200000000000003</v>
      </c>
      <c r="N502" s="3">
        <f>AVERAGE(J502:J1111)</f>
        <v>0.15945454545454549</v>
      </c>
      <c r="O502" s="3">
        <f>COUNT(J502:J1111)</f>
        <v>110</v>
      </c>
      <c r="P502" s="3" t="str">
        <f>TEXT(J502,"0.00")</f>
        <v>0.06</v>
      </c>
      <c r="Q502" s="3" t="str">
        <f>LEFT(L502,3)</f>
        <v>Spr</v>
      </c>
      <c r="R502" s="7" t="str">
        <f>RIGHT(L502,3)</f>
        <v>ing</v>
      </c>
      <c r="S502" s="8">
        <f>LEN(L502)</f>
        <v>6</v>
      </c>
      <c r="T502" s="36" t="str">
        <f>A502&amp;"|"&amp;B502&amp;"|"&amp;F502</f>
        <v>501|22-01-2011|22</v>
      </c>
      <c r="V502" s="32">
        <f>VLOOKUP(A502,Sheet2!A:H,3,FALSE)</f>
        <v>7.5800000000000006E-2</v>
      </c>
      <c r="W502" s="32">
        <f>VLOOKUP(A502,Sheet2!A:H,4,FALSE)</f>
        <v>0.56999999999999995</v>
      </c>
      <c r="X502" s="32">
        <f>VLOOKUP(A502,Sheet2!A:H,7,FALSE)</f>
        <v>31</v>
      </c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">
        <v>502</v>
      </c>
      <c r="B503" s="4" t="s">
        <v>36</v>
      </c>
      <c r="C503" s="4">
        <v>1</v>
      </c>
      <c r="D503" s="4">
        <v>0</v>
      </c>
      <c r="E503" s="4">
        <v>1</v>
      </c>
      <c r="F503" s="4">
        <v>23</v>
      </c>
      <c r="G503" s="4" t="b">
        <v>0</v>
      </c>
      <c r="H503" s="4">
        <v>6</v>
      </c>
      <c r="I503" s="4">
        <v>1</v>
      </c>
      <c r="J503" s="4">
        <v>0.04</v>
      </c>
      <c r="K503" s="6" t="str">
        <f>IF(H503=0,"weekend",IF(H503=6,"weekend","weekend"))</f>
        <v>weekend</v>
      </c>
      <c r="L503" s="3" t="str">
        <f>IF(C503=1,"Spring",IF(C503=2,"Summer",IF(C503=3,"Fall","Winter")))</f>
        <v>Spring</v>
      </c>
      <c r="M503" s="3">
        <f>SUM(J503:J527)</f>
        <v>2.3200000000000003</v>
      </c>
      <c r="N503" s="3">
        <f>AVERAGE(J503:J1112)</f>
        <v>0.16036697247706422</v>
      </c>
      <c r="O503" s="3">
        <f>COUNT(J503:J1112)</f>
        <v>109</v>
      </c>
      <c r="P503" s="3" t="str">
        <f>TEXT(J503,"0.00")</f>
        <v>0.04</v>
      </c>
      <c r="Q503" s="3" t="str">
        <f>LEFT(L503,3)</f>
        <v>Spr</v>
      </c>
      <c r="R503" s="7" t="str">
        <f>RIGHT(L503,3)</f>
        <v>ing</v>
      </c>
      <c r="S503" s="8">
        <f>LEN(L503)</f>
        <v>6</v>
      </c>
      <c r="T503" s="36" t="str">
        <f>A503&amp;"|"&amp;B503&amp;"|"&amp;F503</f>
        <v>502|22-01-2011|23</v>
      </c>
      <c r="V503" s="32">
        <f>VLOOKUP(A503,Sheet2!A:H,3,FALSE)</f>
        <v>7.5800000000000006E-2</v>
      </c>
      <c r="W503" s="32">
        <f>VLOOKUP(A503,Sheet2!A:H,4,FALSE)</f>
        <v>0.56999999999999995</v>
      </c>
      <c r="X503" s="32">
        <f>VLOOKUP(A503,Sheet2!A:H,7,FALSE)</f>
        <v>20</v>
      </c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">
        <v>503</v>
      </c>
      <c r="B504" s="4" t="s">
        <v>37</v>
      </c>
      <c r="C504" s="4">
        <v>1</v>
      </c>
      <c r="D504" s="4">
        <v>0</v>
      </c>
      <c r="E504" s="4">
        <v>1</v>
      </c>
      <c r="F504" s="4">
        <v>0</v>
      </c>
      <c r="G504" s="4" t="b">
        <v>0</v>
      </c>
      <c r="H504" s="4">
        <v>0</v>
      </c>
      <c r="I504" s="4">
        <v>1</v>
      </c>
      <c r="J504" s="4">
        <v>0.04</v>
      </c>
      <c r="K504" s="6" t="str">
        <f>IF(H504=0,"weekend",IF(H504=6,"weekend","weekend"))</f>
        <v>weekend</v>
      </c>
      <c r="L504" s="3" t="str">
        <f>IF(C504=1,"Spring",IF(C504=2,"Summer",IF(C504=3,"Fall","Winter")))</f>
        <v>Spring</v>
      </c>
      <c r="M504" s="3">
        <f>SUM(J504:J528)</f>
        <v>2.3200000000000003</v>
      </c>
      <c r="N504" s="3">
        <f>AVERAGE(J504:J1113)</f>
        <v>0.1614814814814815</v>
      </c>
      <c r="O504" s="3">
        <f>COUNT(J504:J1113)</f>
        <v>108</v>
      </c>
      <c r="P504" s="3" t="str">
        <f>TEXT(J504,"0.00")</f>
        <v>0.04</v>
      </c>
      <c r="Q504" s="3" t="str">
        <f>LEFT(L504,3)</f>
        <v>Spr</v>
      </c>
      <c r="R504" s="7" t="str">
        <f>RIGHT(L504,3)</f>
        <v>ing</v>
      </c>
      <c r="S504" s="8">
        <f>LEN(L504)</f>
        <v>6</v>
      </c>
      <c r="T504" s="36" t="str">
        <f>A504&amp;"|"&amp;B504&amp;"|"&amp;F504</f>
        <v>503|23-01-2011|0</v>
      </c>
      <c r="V504" s="32">
        <f>VLOOKUP(A504,Sheet2!A:H,3,FALSE)</f>
        <v>7.5800000000000006E-2</v>
      </c>
      <c r="W504" s="32">
        <f>VLOOKUP(A504,Sheet2!A:H,4,FALSE)</f>
        <v>0.56999999999999995</v>
      </c>
      <c r="X504" s="32">
        <f>VLOOKUP(A504,Sheet2!A:H,7,FALSE)</f>
        <v>12</v>
      </c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">
        <v>504</v>
      </c>
      <c r="B505" s="4" t="s">
        <v>37</v>
      </c>
      <c r="C505" s="4">
        <v>1</v>
      </c>
      <c r="D505" s="4">
        <v>0</v>
      </c>
      <c r="E505" s="4">
        <v>1</v>
      </c>
      <c r="F505" s="4">
        <v>1</v>
      </c>
      <c r="G505" s="4" t="b">
        <v>0</v>
      </c>
      <c r="H505" s="4">
        <v>0</v>
      </c>
      <c r="I505" s="4">
        <v>1</v>
      </c>
      <c r="J505" s="4">
        <v>0.04</v>
      </c>
      <c r="K505" s="6" t="str">
        <f>IF(H505=0,"weekend",IF(H505=6,"weekend","weekend"))</f>
        <v>weekend</v>
      </c>
      <c r="L505" s="3" t="str">
        <f>IF(C505=1,"Spring",IF(C505=2,"Summer",IF(C505=3,"Fall","Winter")))</f>
        <v>Spring</v>
      </c>
      <c r="M505" s="3">
        <f>SUM(J505:J529)</f>
        <v>2.3200000000000007</v>
      </c>
      <c r="N505" s="3">
        <f>AVERAGE(J505:J1114)</f>
        <v>0.16261682242990655</v>
      </c>
      <c r="O505" s="3">
        <f>COUNT(J505:J1114)</f>
        <v>107</v>
      </c>
      <c r="P505" s="3" t="str">
        <f>TEXT(J505,"0.00")</f>
        <v>0.04</v>
      </c>
      <c r="Q505" s="3" t="str">
        <f>LEFT(L505,3)</f>
        <v>Spr</v>
      </c>
      <c r="R505" s="7" t="str">
        <f>RIGHT(L505,3)</f>
        <v>ing</v>
      </c>
      <c r="S505" s="8">
        <f>LEN(L505)</f>
        <v>6</v>
      </c>
      <c r="T505" s="36" t="str">
        <f>A505&amp;"|"&amp;B505&amp;"|"&amp;F505</f>
        <v>504|23-01-2011|1</v>
      </c>
      <c r="V505" s="32">
        <f>VLOOKUP(A505,Sheet2!A:H,3,FALSE)</f>
        <v>6.0600000000000001E-2</v>
      </c>
      <c r="W505" s="32">
        <f>VLOOKUP(A505,Sheet2!A:H,4,FALSE)</f>
        <v>0.62</v>
      </c>
      <c r="X505" s="32">
        <f>VLOOKUP(A505,Sheet2!A:H,7,FALSE)</f>
        <v>15</v>
      </c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">
        <v>505</v>
      </c>
      <c r="B506" s="4" t="s">
        <v>37</v>
      </c>
      <c r="C506" s="4">
        <v>1</v>
      </c>
      <c r="D506" s="4">
        <v>0</v>
      </c>
      <c r="E506" s="4">
        <v>1</v>
      </c>
      <c r="F506" s="4">
        <v>2</v>
      </c>
      <c r="G506" s="4" t="b">
        <v>0</v>
      </c>
      <c r="H506" s="4">
        <v>0</v>
      </c>
      <c r="I506" s="4">
        <v>1</v>
      </c>
      <c r="J506" s="4">
        <v>0.02</v>
      </c>
      <c r="K506" s="6" t="str">
        <f>IF(H506=0,"weekend",IF(H506=6,"weekend","weekend"))</f>
        <v>weekend</v>
      </c>
      <c r="L506" s="3" t="str">
        <f>IF(C506=1,"Spring",IF(C506=2,"Summer",IF(C506=3,"Fall","Winter")))</f>
        <v>Spring</v>
      </c>
      <c r="M506" s="3">
        <f>SUM(J506:J530)</f>
        <v>2.3000000000000007</v>
      </c>
      <c r="N506" s="3">
        <f>AVERAGE(J506:J1115)</f>
        <v>0.16377358490566041</v>
      </c>
      <c r="O506" s="3">
        <f>COUNT(J506:J1115)</f>
        <v>106</v>
      </c>
      <c r="P506" s="3" t="str">
        <f>TEXT(J506,"0.00")</f>
        <v>0.02</v>
      </c>
      <c r="Q506" s="3" t="str">
        <f>LEFT(L506,3)</f>
        <v>Spr</v>
      </c>
      <c r="R506" s="7" t="str">
        <f>RIGHT(L506,3)</f>
        <v>ing</v>
      </c>
      <c r="S506" s="8">
        <f>LEN(L506)</f>
        <v>6</v>
      </c>
      <c r="T506" s="36" t="str">
        <f>A506&amp;"|"&amp;B506&amp;"|"&amp;F506</f>
        <v>505|23-01-2011|2</v>
      </c>
      <c r="V506" s="32">
        <f>VLOOKUP(A506,Sheet2!A:H,3,FALSE)</f>
        <v>6.0600000000000001E-2</v>
      </c>
      <c r="W506" s="32">
        <f>VLOOKUP(A506,Sheet2!A:H,4,FALSE)</f>
        <v>0.62</v>
      </c>
      <c r="X506" s="32">
        <f>VLOOKUP(A506,Sheet2!A:H,7,FALSE)</f>
        <v>4</v>
      </c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">
        <v>506</v>
      </c>
      <c r="B507" s="4" t="s">
        <v>37</v>
      </c>
      <c r="C507" s="4">
        <v>1</v>
      </c>
      <c r="D507" s="4">
        <v>0</v>
      </c>
      <c r="E507" s="4">
        <v>1</v>
      </c>
      <c r="F507" s="4">
        <v>3</v>
      </c>
      <c r="G507" s="4" t="b">
        <v>0</v>
      </c>
      <c r="H507" s="4">
        <v>0</v>
      </c>
      <c r="I507" s="4">
        <v>1</v>
      </c>
      <c r="J507" s="4">
        <v>0.02</v>
      </c>
      <c r="K507" s="6" t="str">
        <f>IF(H507=0,"weekend",IF(H507=6,"weekend","weekend"))</f>
        <v>weekend</v>
      </c>
      <c r="L507" s="3" t="str">
        <f>IF(C507=1,"Spring",IF(C507=2,"Summer",IF(C507=3,"Fall","Winter")))</f>
        <v>Spring</v>
      </c>
      <c r="M507" s="3">
        <f>SUM(J507:J531)</f>
        <v>2.3000000000000007</v>
      </c>
      <c r="N507" s="3">
        <f>AVERAGE(J507:J1116)</f>
        <v>0.16514285714285717</v>
      </c>
      <c r="O507" s="3">
        <f>COUNT(J507:J1116)</f>
        <v>105</v>
      </c>
      <c r="P507" s="3" t="str">
        <f>TEXT(J507,"0.00")</f>
        <v>0.02</v>
      </c>
      <c r="Q507" s="3" t="str">
        <f>LEFT(L507,3)</f>
        <v>Spr</v>
      </c>
      <c r="R507" s="7" t="str">
        <f>RIGHT(L507,3)</f>
        <v>ing</v>
      </c>
      <c r="S507" s="8">
        <f>LEN(L507)</f>
        <v>6</v>
      </c>
      <c r="T507" s="36" t="str">
        <f>A507&amp;"|"&amp;B507&amp;"|"&amp;F507</f>
        <v>506|23-01-2011|3</v>
      </c>
      <c r="V507" s="32">
        <f>VLOOKUP(A507,Sheet2!A:H,3,FALSE)</f>
        <v>7.5800000000000006E-2</v>
      </c>
      <c r="W507" s="32">
        <f>VLOOKUP(A507,Sheet2!A:H,4,FALSE)</f>
        <v>0.56999999999999995</v>
      </c>
      <c r="X507" s="32">
        <f>VLOOKUP(A507,Sheet2!A:H,7,FALSE)</f>
        <v>3</v>
      </c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">
        <v>507</v>
      </c>
      <c r="B508" s="4" t="s">
        <v>37</v>
      </c>
      <c r="C508" s="4">
        <v>1</v>
      </c>
      <c r="D508" s="4">
        <v>0</v>
      </c>
      <c r="E508" s="4">
        <v>1</v>
      </c>
      <c r="F508" s="4">
        <v>5</v>
      </c>
      <c r="G508" s="4" t="b">
        <v>0</v>
      </c>
      <c r="H508" s="4">
        <v>0</v>
      </c>
      <c r="I508" s="4">
        <v>2</v>
      </c>
      <c r="J508" s="4">
        <v>0.04</v>
      </c>
      <c r="K508" s="6" t="str">
        <f>IF(H508=0,"weekend",IF(H508=6,"weekend","weekend"))</f>
        <v>weekend</v>
      </c>
      <c r="L508" s="3" t="str">
        <f>IF(C508=1,"Spring",IF(C508=2,"Summer",IF(C508=3,"Fall","Winter")))</f>
        <v>Spring</v>
      </c>
      <c r="M508" s="3">
        <f>SUM(J508:J532)</f>
        <v>2.3000000000000007</v>
      </c>
      <c r="N508" s="3">
        <f>AVERAGE(J508:J1117)</f>
        <v>0.16653846153846155</v>
      </c>
      <c r="O508" s="3">
        <f>COUNT(J508:J1117)</f>
        <v>104</v>
      </c>
      <c r="P508" s="3" t="str">
        <f>TEXT(J508,"0.00")</f>
        <v>0.04</v>
      </c>
      <c r="Q508" s="3" t="str">
        <f>LEFT(L508,3)</f>
        <v>Spr</v>
      </c>
      <c r="R508" s="7" t="str">
        <f>RIGHT(L508,3)</f>
        <v>ing</v>
      </c>
      <c r="S508" s="8">
        <f>LEN(L508)</f>
        <v>6</v>
      </c>
      <c r="T508" s="36" t="str">
        <f>A508&amp;"|"&amp;B508&amp;"|"&amp;F508</f>
        <v>507|23-01-2011|5</v>
      </c>
      <c r="V508" s="32">
        <f>VLOOKUP(A508,Sheet2!A:H,3,FALSE)</f>
        <v>7.5800000000000006E-2</v>
      </c>
      <c r="W508" s="32">
        <f>VLOOKUP(A508,Sheet2!A:H,4,FALSE)</f>
        <v>0.56999999999999995</v>
      </c>
      <c r="X508" s="32">
        <f>VLOOKUP(A508,Sheet2!A:H,7,FALSE)</f>
        <v>1</v>
      </c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">
        <v>508</v>
      </c>
      <c r="B509" s="4" t="s">
        <v>37</v>
      </c>
      <c r="C509" s="4">
        <v>1</v>
      </c>
      <c r="D509" s="4">
        <v>0</v>
      </c>
      <c r="E509" s="4">
        <v>1</v>
      </c>
      <c r="F509" s="4">
        <v>6</v>
      </c>
      <c r="G509" s="4" t="b">
        <v>0</v>
      </c>
      <c r="H509" s="4">
        <v>0</v>
      </c>
      <c r="I509" s="4">
        <v>2</v>
      </c>
      <c r="J509" s="4">
        <v>0.04</v>
      </c>
      <c r="K509" s="6" t="str">
        <f>IF(H509=0,"weekend",IF(H509=6,"weekend","weekend"))</f>
        <v>weekend</v>
      </c>
      <c r="L509" s="3" t="str">
        <f>IF(C509=1,"Spring",IF(C509=2,"Summer",IF(C509=3,"Fall","Winter")))</f>
        <v>Spring</v>
      </c>
      <c r="M509" s="3">
        <f>SUM(J509:J533)</f>
        <v>2.2800000000000007</v>
      </c>
      <c r="N509" s="3">
        <f>AVERAGE(J509:J1118)</f>
        <v>0.16776699029126216</v>
      </c>
      <c r="O509" s="3">
        <f>COUNT(J509:J1118)</f>
        <v>103</v>
      </c>
      <c r="P509" s="3" t="str">
        <f>TEXT(J509,"0.00")</f>
        <v>0.04</v>
      </c>
      <c r="Q509" s="3" t="str">
        <f>LEFT(L509,3)</f>
        <v>Spr</v>
      </c>
      <c r="R509" s="7" t="str">
        <f>RIGHT(L509,3)</f>
        <v>ing</v>
      </c>
      <c r="S509" s="8">
        <f>LEN(L509)</f>
        <v>6</v>
      </c>
      <c r="T509" s="36" t="str">
        <f>A509&amp;"|"&amp;B509&amp;"|"&amp;F509</f>
        <v>508|23-01-2011|6</v>
      </c>
      <c r="V509" s="32">
        <f>VLOOKUP(A509,Sheet2!A:H,3,FALSE)</f>
        <v>0.1061</v>
      </c>
      <c r="W509" s="32">
        <f>VLOOKUP(A509,Sheet2!A:H,4,FALSE)</f>
        <v>0.57999999999999996</v>
      </c>
      <c r="X509" s="32">
        <f>VLOOKUP(A509,Sheet2!A:H,7,FALSE)</f>
        <v>1</v>
      </c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">
        <v>509</v>
      </c>
      <c r="B510" s="4" t="s">
        <v>37</v>
      </c>
      <c r="C510" s="4">
        <v>1</v>
      </c>
      <c r="D510" s="4">
        <v>0</v>
      </c>
      <c r="E510" s="4">
        <v>1</v>
      </c>
      <c r="F510" s="4">
        <v>7</v>
      </c>
      <c r="G510" s="4" t="b">
        <v>0</v>
      </c>
      <c r="H510" s="4">
        <v>0</v>
      </c>
      <c r="I510" s="4">
        <v>1</v>
      </c>
      <c r="J510" s="4">
        <v>0.08</v>
      </c>
      <c r="K510" s="6" t="str">
        <f>IF(H510=0,"weekend",IF(H510=6,"weekend","weekend"))</f>
        <v>weekend</v>
      </c>
      <c r="L510" s="3" t="str">
        <f>IF(C510=1,"Spring",IF(C510=2,"Summer",IF(C510=3,"Fall","Winter")))</f>
        <v>Spring</v>
      </c>
      <c r="M510" s="3">
        <f>SUM(J510:J534)</f>
        <v>2.2800000000000007</v>
      </c>
      <c r="N510" s="3">
        <f>AVERAGE(J510:J1119)</f>
        <v>0.16901960784313727</v>
      </c>
      <c r="O510" s="3">
        <f>COUNT(J510:J1119)</f>
        <v>102</v>
      </c>
      <c r="P510" s="3" t="str">
        <f>TEXT(J510,"0.00")</f>
        <v>0.08</v>
      </c>
      <c r="Q510" s="3" t="str">
        <f>LEFT(L510,3)</f>
        <v>Spr</v>
      </c>
      <c r="R510" s="7" t="str">
        <f>RIGHT(L510,3)</f>
        <v>ing</v>
      </c>
      <c r="S510" s="8">
        <f>LEN(L510)</f>
        <v>6</v>
      </c>
      <c r="T510" s="36" t="str">
        <f>A510&amp;"|"&amp;B510&amp;"|"&amp;F510</f>
        <v>509|23-01-2011|7</v>
      </c>
      <c r="V510" s="32">
        <f>VLOOKUP(A510,Sheet2!A:H,3,FALSE)</f>
        <v>7.5800000000000006E-2</v>
      </c>
      <c r="W510" s="32">
        <f>VLOOKUP(A510,Sheet2!A:H,4,FALSE)</f>
        <v>0.62</v>
      </c>
      <c r="X510" s="32">
        <f>VLOOKUP(A510,Sheet2!A:H,7,FALSE)</f>
        <v>17</v>
      </c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">
        <v>510</v>
      </c>
      <c r="B511" s="4" t="s">
        <v>37</v>
      </c>
      <c r="C511" s="4">
        <v>1</v>
      </c>
      <c r="D511" s="4">
        <v>0</v>
      </c>
      <c r="E511" s="4">
        <v>1</v>
      </c>
      <c r="F511" s="4">
        <v>8</v>
      </c>
      <c r="G511" s="4" t="b">
        <v>0</v>
      </c>
      <c r="H511" s="4">
        <v>0</v>
      </c>
      <c r="I511" s="4">
        <v>1</v>
      </c>
      <c r="J511" s="4">
        <v>0.06</v>
      </c>
      <c r="K511" s="6" t="str">
        <f>IF(H511=0,"weekend",IF(H511=6,"weekend","weekend"))</f>
        <v>weekend</v>
      </c>
      <c r="L511" s="3" t="str">
        <f>IF(C511=1,"Spring",IF(C511=2,"Summer",IF(C511=3,"Fall","Winter")))</f>
        <v>Spring</v>
      </c>
      <c r="M511" s="3">
        <f>SUM(J511:J535)</f>
        <v>2.2600000000000007</v>
      </c>
      <c r="N511" s="3">
        <f>AVERAGE(J511:J1120)</f>
        <v>0.16990099009900994</v>
      </c>
      <c r="O511" s="3">
        <f>COUNT(J511:J1120)</f>
        <v>101</v>
      </c>
      <c r="P511" s="3" t="str">
        <f>TEXT(J511,"0.00")</f>
        <v>0.06</v>
      </c>
      <c r="Q511" s="3" t="str">
        <f>LEFT(L511,3)</f>
        <v>Spr</v>
      </c>
      <c r="R511" s="7" t="str">
        <f>RIGHT(L511,3)</f>
        <v>ing</v>
      </c>
      <c r="S511" s="8">
        <f>LEN(L511)</f>
        <v>6</v>
      </c>
      <c r="T511" s="36" t="str">
        <f>A511&amp;"|"&amp;B511&amp;"|"&amp;F511</f>
        <v>510|23-01-2011|8</v>
      </c>
      <c r="V511" s="32">
        <f>VLOOKUP(A511,Sheet2!A:H,3,FALSE)</f>
        <v>7.5800000000000006E-2</v>
      </c>
      <c r="W511" s="32">
        <f>VLOOKUP(A511,Sheet2!A:H,4,FALSE)</f>
        <v>0.54</v>
      </c>
      <c r="X511" s="32">
        <f>VLOOKUP(A511,Sheet2!A:H,7,FALSE)</f>
        <v>25</v>
      </c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">
        <v>511</v>
      </c>
      <c r="B512" s="4" t="s">
        <v>37</v>
      </c>
      <c r="C512" s="4">
        <v>1</v>
      </c>
      <c r="D512" s="4">
        <v>0</v>
      </c>
      <c r="E512" s="4">
        <v>1</v>
      </c>
      <c r="F512" s="4">
        <v>9</v>
      </c>
      <c r="G512" s="4" t="b">
        <v>0</v>
      </c>
      <c r="H512" s="4">
        <v>0</v>
      </c>
      <c r="I512" s="4">
        <v>1</v>
      </c>
      <c r="J512" s="4">
        <v>0.1</v>
      </c>
      <c r="K512" s="6" t="str">
        <f>IF(H512=0,"weekend",IF(H512=6,"weekend","weekend"))</f>
        <v>weekend</v>
      </c>
      <c r="L512" s="3" t="str">
        <f>IF(C512=1,"Spring",IF(C512=2,"Summer",IF(C512=3,"Fall","Winter")))</f>
        <v>Spring</v>
      </c>
      <c r="M512" s="3">
        <f>SUM(J512:J536)</f>
        <v>2.3000000000000007</v>
      </c>
      <c r="N512" s="3">
        <f>AVERAGE(J512:J1121)</f>
        <v>0.17100000000000001</v>
      </c>
      <c r="O512" s="3">
        <f>COUNT(J512:J1121)</f>
        <v>100</v>
      </c>
      <c r="P512" s="3" t="str">
        <f>TEXT(J512,"0.00")</f>
        <v>0.10</v>
      </c>
      <c r="Q512" s="3" t="str">
        <f>LEFT(L512,3)</f>
        <v>Spr</v>
      </c>
      <c r="R512" s="7" t="str">
        <f>RIGHT(L512,3)</f>
        <v>ing</v>
      </c>
      <c r="S512" s="8">
        <f>LEN(L512)</f>
        <v>6</v>
      </c>
      <c r="T512" s="36" t="str">
        <f>A512&amp;"|"&amp;B512&amp;"|"&amp;F512</f>
        <v>511|23-01-2011|9</v>
      </c>
      <c r="V512" s="32">
        <f>VLOOKUP(A512,Sheet2!A:H,3,FALSE)</f>
        <v>0.1061</v>
      </c>
      <c r="W512" s="32">
        <f>VLOOKUP(A512,Sheet2!A:H,4,FALSE)</f>
        <v>0.46</v>
      </c>
      <c r="X512" s="32">
        <f>VLOOKUP(A512,Sheet2!A:H,7,FALSE)</f>
        <v>51</v>
      </c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">
        <v>512</v>
      </c>
      <c r="B513" s="4" t="s">
        <v>37</v>
      </c>
      <c r="C513" s="4">
        <v>1</v>
      </c>
      <c r="D513" s="4">
        <v>0</v>
      </c>
      <c r="E513" s="4">
        <v>1</v>
      </c>
      <c r="F513" s="4">
        <v>10</v>
      </c>
      <c r="G513" s="4" t="b">
        <v>0</v>
      </c>
      <c r="H513" s="4">
        <v>0</v>
      </c>
      <c r="I513" s="4">
        <v>1</v>
      </c>
      <c r="J513" s="4">
        <v>0.14000000000000001</v>
      </c>
      <c r="K513" s="6" t="str">
        <f>IF(H513=0,"weekend",IF(H513=6,"weekend","weekend"))</f>
        <v>weekend</v>
      </c>
      <c r="L513" s="3" t="str">
        <f>IF(C513=1,"Spring",IF(C513=2,"Summer",IF(C513=3,"Fall","Winter")))</f>
        <v>Spring</v>
      </c>
      <c r="M513" s="3">
        <f>SUM(J513:J537)</f>
        <v>2.3000000000000012</v>
      </c>
      <c r="N513" s="3">
        <f>AVERAGE(J513:J1122)</f>
        <v>0.17171717171717174</v>
      </c>
      <c r="O513" s="3">
        <f>COUNT(J513:J1122)</f>
        <v>99</v>
      </c>
      <c r="P513" s="3" t="str">
        <f>TEXT(J513,"0.00")</f>
        <v>0.14</v>
      </c>
      <c r="Q513" s="3" t="str">
        <f>LEFT(L513,3)</f>
        <v>Spr</v>
      </c>
      <c r="R513" s="7" t="str">
        <f>RIGHT(L513,3)</f>
        <v>ing</v>
      </c>
      <c r="S513" s="8">
        <f>LEN(L513)</f>
        <v>6</v>
      </c>
      <c r="T513" s="36" t="str">
        <f>A513&amp;"|"&amp;B513&amp;"|"&amp;F513</f>
        <v>512|23-01-2011|10</v>
      </c>
      <c r="V513" s="32">
        <f>VLOOKUP(A513,Sheet2!A:H,3,FALSE)</f>
        <v>0.13639999999999999</v>
      </c>
      <c r="W513" s="32">
        <f>VLOOKUP(A513,Sheet2!A:H,4,FALSE)</f>
        <v>0.43</v>
      </c>
      <c r="X513" s="32">
        <f>VLOOKUP(A513,Sheet2!A:H,7,FALSE)</f>
        <v>77</v>
      </c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">
        <v>513</v>
      </c>
      <c r="B514" s="4" t="s">
        <v>37</v>
      </c>
      <c r="C514" s="4">
        <v>1</v>
      </c>
      <c r="D514" s="4">
        <v>0</v>
      </c>
      <c r="E514" s="4">
        <v>1</v>
      </c>
      <c r="F514" s="4">
        <v>11</v>
      </c>
      <c r="G514" s="4" t="b">
        <v>0</v>
      </c>
      <c r="H514" s="4">
        <v>0</v>
      </c>
      <c r="I514" s="4">
        <v>1</v>
      </c>
      <c r="J514" s="4">
        <v>0.14000000000000001</v>
      </c>
      <c r="K514" s="6" t="str">
        <f>IF(H514=0,"weekend",IF(H514=6,"weekend","weekend"))</f>
        <v>weekend</v>
      </c>
      <c r="L514" s="3" t="str">
        <f>IF(C514=1,"Spring",IF(C514=2,"Summer",IF(C514=3,"Fall","Winter")))</f>
        <v>Spring</v>
      </c>
      <c r="M514" s="3">
        <f>SUM(J514:J538)</f>
        <v>2.2800000000000011</v>
      </c>
      <c r="N514" s="3">
        <f>AVERAGE(J514:J1123)</f>
        <v>0.17204081632653065</v>
      </c>
      <c r="O514" s="3">
        <f>COUNT(J514:J1123)</f>
        <v>98</v>
      </c>
      <c r="P514" s="3" t="str">
        <f>TEXT(J514,"0.00")</f>
        <v>0.14</v>
      </c>
      <c r="Q514" s="3" t="str">
        <f>LEFT(L514,3)</f>
        <v>Spr</v>
      </c>
      <c r="R514" s="7" t="str">
        <f>RIGHT(L514,3)</f>
        <v>ing</v>
      </c>
      <c r="S514" s="8">
        <f>LEN(L514)</f>
        <v>6</v>
      </c>
      <c r="T514" s="36" t="str">
        <f>A514&amp;"|"&amp;B514&amp;"|"&amp;F514</f>
        <v>513|23-01-2011|11</v>
      </c>
      <c r="V514" s="32">
        <f>VLOOKUP(A514,Sheet2!A:H,3,FALSE)</f>
        <v>0.1212</v>
      </c>
      <c r="W514" s="32">
        <f>VLOOKUP(A514,Sheet2!A:H,4,FALSE)</f>
        <v>0.37</v>
      </c>
      <c r="X514" s="32">
        <f>VLOOKUP(A514,Sheet2!A:H,7,FALSE)</f>
        <v>92</v>
      </c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">
        <v>514</v>
      </c>
      <c r="B515" s="4" t="s">
        <v>37</v>
      </c>
      <c r="C515" s="4">
        <v>1</v>
      </c>
      <c r="D515" s="4">
        <v>0</v>
      </c>
      <c r="E515" s="4">
        <v>1</v>
      </c>
      <c r="F515" s="4">
        <v>12</v>
      </c>
      <c r="G515" s="4" t="b">
        <v>0</v>
      </c>
      <c r="H515" s="4">
        <v>0</v>
      </c>
      <c r="I515" s="4">
        <v>1</v>
      </c>
      <c r="J515" s="4">
        <v>0.16</v>
      </c>
      <c r="K515" s="6" t="str">
        <f>IF(H515=0,"weekend",IF(H515=6,"weekend","weekend"))</f>
        <v>weekend</v>
      </c>
      <c r="L515" s="3" t="str">
        <f>IF(C515=1,"Spring",IF(C515=2,"Summer",IF(C515=3,"Fall","Winter")))</f>
        <v>Spring</v>
      </c>
      <c r="M515" s="3">
        <f>SUM(J515:J539)</f>
        <v>2.2800000000000011</v>
      </c>
      <c r="N515" s="3">
        <f>AVERAGE(J515:J1124)</f>
        <v>0.17237113402061857</v>
      </c>
      <c r="O515" s="3">
        <f>COUNT(J515:J1124)</f>
        <v>97</v>
      </c>
      <c r="P515" s="3" t="str">
        <f>TEXT(J515,"0.00")</f>
        <v>0.16</v>
      </c>
      <c r="Q515" s="3" t="str">
        <f>LEFT(L515,3)</f>
        <v>Spr</v>
      </c>
      <c r="R515" s="7" t="str">
        <f>RIGHT(L515,3)</f>
        <v>ing</v>
      </c>
      <c r="S515" s="8">
        <f>LEN(L515)</f>
        <v>6</v>
      </c>
      <c r="T515" s="36" t="str">
        <f>A515&amp;"|"&amp;B515&amp;"|"&amp;F515</f>
        <v>514|23-01-2011|12</v>
      </c>
      <c r="V515" s="32">
        <f>VLOOKUP(A515,Sheet2!A:H,3,FALSE)</f>
        <v>0.1061</v>
      </c>
      <c r="W515" s="32">
        <f>VLOOKUP(A515,Sheet2!A:H,4,FALSE)</f>
        <v>0.33</v>
      </c>
      <c r="X515" s="32">
        <f>VLOOKUP(A515,Sheet2!A:H,7,FALSE)</f>
        <v>75</v>
      </c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">
        <v>515</v>
      </c>
      <c r="B516" s="4" t="s">
        <v>37</v>
      </c>
      <c r="C516" s="4">
        <v>1</v>
      </c>
      <c r="D516" s="4">
        <v>0</v>
      </c>
      <c r="E516" s="4">
        <v>1</v>
      </c>
      <c r="F516" s="4">
        <v>13</v>
      </c>
      <c r="G516" s="4" t="b">
        <v>0</v>
      </c>
      <c r="H516" s="4">
        <v>0</v>
      </c>
      <c r="I516" s="4">
        <v>1</v>
      </c>
      <c r="J516" s="4">
        <v>0.14000000000000001</v>
      </c>
      <c r="K516" s="6" t="str">
        <f>IF(H516=0,"weekend",IF(H516=6,"weekend","weekend"))</f>
        <v>weekend</v>
      </c>
      <c r="L516" s="3" t="str">
        <f>IF(C516=1,"Spring",IF(C516=2,"Summer",IF(C516=3,"Fall","Winter")))</f>
        <v>Spring</v>
      </c>
      <c r="M516" s="3">
        <f>SUM(J516:J540)</f>
        <v>2.2600000000000011</v>
      </c>
      <c r="N516" s="3">
        <f>AVERAGE(J516:J1125)</f>
        <v>0.17250000000000001</v>
      </c>
      <c r="O516" s="3">
        <f>COUNT(J516:J1125)</f>
        <v>96</v>
      </c>
      <c r="P516" s="3" t="str">
        <f>TEXT(J516,"0.00")</f>
        <v>0.14</v>
      </c>
      <c r="Q516" s="3" t="str">
        <f>LEFT(L516,3)</f>
        <v>Spr</v>
      </c>
      <c r="R516" s="7" t="str">
        <f>RIGHT(L516,3)</f>
        <v>ing</v>
      </c>
      <c r="S516" s="8">
        <f>LEN(L516)</f>
        <v>6</v>
      </c>
      <c r="T516" s="36" t="str">
        <f>A516&amp;"|"&amp;B516&amp;"|"&amp;F516</f>
        <v>515|23-01-2011|13</v>
      </c>
      <c r="V516" s="32">
        <f>VLOOKUP(A516,Sheet2!A:H,3,FALSE)</f>
        <v>0.13639999999999999</v>
      </c>
      <c r="W516" s="32">
        <f>VLOOKUP(A516,Sheet2!A:H,4,FALSE)</f>
        <v>0.28000000000000003</v>
      </c>
      <c r="X516" s="32">
        <f>VLOOKUP(A516,Sheet2!A:H,7,FALSE)</f>
        <v>93</v>
      </c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">
        <v>516</v>
      </c>
      <c r="B517" s="4" t="s">
        <v>37</v>
      </c>
      <c r="C517" s="4">
        <v>1</v>
      </c>
      <c r="D517" s="4">
        <v>0</v>
      </c>
      <c r="E517" s="4">
        <v>1</v>
      </c>
      <c r="F517" s="4">
        <v>14</v>
      </c>
      <c r="G517" s="4" t="b">
        <v>0</v>
      </c>
      <c r="H517" s="4">
        <v>0</v>
      </c>
      <c r="I517" s="4">
        <v>1</v>
      </c>
      <c r="J517" s="4">
        <v>0.16</v>
      </c>
      <c r="K517" s="6" t="str">
        <f>IF(H517=0,"weekend",IF(H517=6,"weekend","weekend"))</f>
        <v>weekend</v>
      </c>
      <c r="L517" s="3" t="str">
        <f>IF(C517=1,"Spring",IF(C517=2,"Summer",IF(C517=3,"Fall","Winter")))</f>
        <v>Spring</v>
      </c>
      <c r="M517" s="3">
        <f>SUM(J517:J541)</f>
        <v>2.2800000000000011</v>
      </c>
      <c r="N517" s="3">
        <f>AVERAGE(J517:J1126)</f>
        <v>0.17284210526315791</v>
      </c>
      <c r="O517" s="3">
        <f>COUNT(J517:J1126)</f>
        <v>95</v>
      </c>
      <c r="P517" s="3" t="str">
        <f>TEXT(J517,"0.00")</f>
        <v>0.16</v>
      </c>
      <c r="Q517" s="3" t="str">
        <f>LEFT(L517,3)</f>
        <v>Spr</v>
      </c>
      <c r="R517" s="7" t="str">
        <f>RIGHT(L517,3)</f>
        <v>ing</v>
      </c>
      <c r="S517" s="8">
        <f>LEN(L517)</f>
        <v>6</v>
      </c>
      <c r="T517" s="36" t="str">
        <f>A517&amp;"|"&amp;B517&amp;"|"&amp;F517</f>
        <v>516|23-01-2011|14</v>
      </c>
      <c r="V517" s="32">
        <f>VLOOKUP(A517,Sheet2!A:H,3,FALSE)</f>
        <v>0.13639999999999999</v>
      </c>
      <c r="W517" s="32">
        <f>VLOOKUP(A517,Sheet2!A:H,4,FALSE)</f>
        <v>0.28000000000000003</v>
      </c>
      <c r="X517" s="32">
        <f>VLOOKUP(A517,Sheet2!A:H,7,FALSE)</f>
        <v>64</v>
      </c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">
        <v>517</v>
      </c>
      <c r="B518" s="4" t="s">
        <v>37</v>
      </c>
      <c r="C518" s="4">
        <v>1</v>
      </c>
      <c r="D518" s="4">
        <v>0</v>
      </c>
      <c r="E518" s="4">
        <v>1</v>
      </c>
      <c r="F518" s="4">
        <v>15</v>
      </c>
      <c r="G518" s="4" t="b">
        <v>0</v>
      </c>
      <c r="H518" s="4">
        <v>0</v>
      </c>
      <c r="I518" s="4">
        <v>1</v>
      </c>
      <c r="J518" s="4">
        <v>0.16</v>
      </c>
      <c r="K518" s="6" t="str">
        <f>IF(H518=0,"weekend",IF(H518=6,"weekend","weekend"))</f>
        <v>weekend</v>
      </c>
      <c r="L518" s="3" t="str">
        <f>IF(C518=1,"Spring",IF(C518=2,"Summer",IF(C518=3,"Fall","Winter")))</f>
        <v>Spring</v>
      </c>
      <c r="M518" s="3">
        <f>SUM(J518:J542)</f>
        <v>2.2800000000000011</v>
      </c>
      <c r="N518" s="3">
        <f>AVERAGE(J518:J1127)</f>
        <v>0.17297872340425532</v>
      </c>
      <c r="O518" s="3">
        <f>COUNT(J518:J1127)</f>
        <v>94</v>
      </c>
      <c r="P518" s="3" t="str">
        <f>TEXT(J518,"0.00")</f>
        <v>0.16</v>
      </c>
      <c r="Q518" s="3" t="str">
        <f>LEFT(L518,3)</f>
        <v>Spr</v>
      </c>
      <c r="R518" s="7" t="str">
        <f>RIGHT(L518,3)</f>
        <v>ing</v>
      </c>
      <c r="S518" s="8">
        <f>LEN(L518)</f>
        <v>6</v>
      </c>
      <c r="T518" s="36" t="str">
        <f>A518&amp;"|"&amp;B518&amp;"|"&amp;F518</f>
        <v>517|23-01-2011|15</v>
      </c>
      <c r="V518" s="32">
        <f>VLOOKUP(A518,Sheet2!A:H,3,FALSE)</f>
        <v>0.13639999999999999</v>
      </c>
      <c r="W518" s="32">
        <f>VLOOKUP(A518,Sheet2!A:H,4,FALSE)</f>
        <v>0.26</v>
      </c>
      <c r="X518" s="32">
        <f>VLOOKUP(A518,Sheet2!A:H,7,FALSE)</f>
        <v>56</v>
      </c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">
        <v>518</v>
      </c>
      <c r="B519" s="4" t="s">
        <v>37</v>
      </c>
      <c r="C519" s="4">
        <v>1</v>
      </c>
      <c r="D519" s="4">
        <v>0</v>
      </c>
      <c r="E519" s="4">
        <v>1</v>
      </c>
      <c r="F519" s="4">
        <v>16</v>
      </c>
      <c r="G519" s="4" t="b">
        <v>0</v>
      </c>
      <c r="H519" s="4">
        <v>0</v>
      </c>
      <c r="I519" s="4">
        <v>1</v>
      </c>
      <c r="J519" s="4">
        <v>0.16</v>
      </c>
      <c r="K519" s="6" t="str">
        <f>IF(H519=0,"weekend",IF(H519=6,"weekend","weekend"))</f>
        <v>weekend</v>
      </c>
      <c r="L519" s="3" t="str">
        <f>IF(C519=1,"Spring",IF(C519=2,"Summer",IF(C519=3,"Fall","Winter")))</f>
        <v>Spring</v>
      </c>
      <c r="M519" s="3">
        <f>SUM(J519:J543)</f>
        <v>2.2600000000000007</v>
      </c>
      <c r="N519" s="3">
        <f>AVERAGE(J519:J1128)</f>
        <v>0.17311827956989254</v>
      </c>
      <c r="O519" s="3">
        <f>COUNT(J519:J1128)</f>
        <v>93</v>
      </c>
      <c r="P519" s="3" t="str">
        <f>TEXT(J519,"0.00")</f>
        <v>0.16</v>
      </c>
      <c r="Q519" s="3" t="str">
        <f>LEFT(L519,3)</f>
        <v>Spr</v>
      </c>
      <c r="R519" s="7" t="str">
        <f>RIGHT(L519,3)</f>
        <v>ing</v>
      </c>
      <c r="S519" s="8">
        <f>LEN(L519)</f>
        <v>6</v>
      </c>
      <c r="T519" s="36" t="str">
        <f>A519&amp;"|"&amp;B519&amp;"|"&amp;F519</f>
        <v>518|23-01-2011|16</v>
      </c>
      <c r="V519" s="32">
        <f>VLOOKUP(A519,Sheet2!A:H,3,FALSE)</f>
        <v>0.1061</v>
      </c>
      <c r="W519" s="32">
        <f>VLOOKUP(A519,Sheet2!A:H,4,FALSE)</f>
        <v>0.26</v>
      </c>
      <c r="X519" s="32">
        <f>VLOOKUP(A519,Sheet2!A:H,7,FALSE)</f>
        <v>50</v>
      </c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">
        <v>519</v>
      </c>
      <c r="B520" s="4" t="s">
        <v>37</v>
      </c>
      <c r="C520" s="4">
        <v>1</v>
      </c>
      <c r="D520" s="4">
        <v>0</v>
      </c>
      <c r="E520" s="4">
        <v>1</v>
      </c>
      <c r="F520" s="4">
        <v>17</v>
      </c>
      <c r="G520" s="4" t="b">
        <v>0</v>
      </c>
      <c r="H520" s="4">
        <v>0</v>
      </c>
      <c r="I520" s="4">
        <v>1</v>
      </c>
      <c r="J520" s="4">
        <v>0.14000000000000001</v>
      </c>
      <c r="K520" s="6" t="str">
        <f>IF(H520=0,"weekend",IF(H520=6,"weekend","weekend"))</f>
        <v>weekend</v>
      </c>
      <c r="L520" s="3" t="str">
        <f>IF(C520=1,"Spring",IF(C520=2,"Summer",IF(C520=3,"Fall","Winter")))</f>
        <v>Spring</v>
      </c>
      <c r="M520" s="3">
        <f>SUM(J520:J544)</f>
        <v>2.2400000000000007</v>
      </c>
      <c r="N520" s="3">
        <f>AVERAGE(J520:J1129)</f>
        <v>0.17326086956521741</v>
      </c>
      <c r="O520" s="3">
        <f>COUNT(J520:J1129)</f>
        <v>92</v>
      </c>
      <c r="P520" s="3" t="str">
        <f>TEXT(J520,"0.00")</f>
        <v>0.14</v>
      </c>
      <c r="Q520" s="3" t="str">
        <f>LEFT(L520,3)</f>
        <v>Spr</v>
      </c>
      <c r="R520" s="7" t="str">
        <f>RIGHT(L520,3)</f>
        <v>ing</v>
      </c>
      <c r="S520" s="8">
        <f>LEN(L520)</f>
        <v>6</v>
      </c>
      <c r="T520" s="36" t="str">
        <f>A520&amp;"|"&amp;B520&amp;"|"&amp;F520</f>
        <v>519|23-01-2011|17</v>
      </c>
      <c r="V520" s="32">
        <f>VLOOKUP(A520,Sheet2!A:H,3,FALSE)</f>
        <v>0.1212</v>
      </c>
      <c r="W520" s="32">
        <f>VLOOKUP(A520,Sheet2!A:H,4,FALSE)</f>
        <v>0.3</v>
      </c>
      <c r="X520" s="32">
        <f>VLOOKUP(A520,Sheet2!A:H,7,FALSE)</f>
        <v>44</v>
      </c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">
        <v>520</v>
      </c>
      <c r="B521" s="4" t="s">
        <v>37</v>
      </c>
      <c r="C521" s="4">
        <v>1</v>
      </c>
      <c r="D521" s="4">
        <v>0</v>
      </c>
      <c r="E521" s="4">
        <v>1</v>
      </c>
      <c r="F521" s="4">
        <v>18</v>
      </c>
      <c r="G521" s="4" t="b">
        <v>0</v>
      </c>
      <c r="H521" s="4">
        <v>0</v>
      </c>
      <c r="I521" s="4">
        <v>1</v>
      </c>
      <c r="J521" s="4">
        <v>0.12</v>
      </c>
      <c r="K521" s="6" t="str">
        <f>IF(H521=0,"weekend",IF(H521=6,"weekend","weekend"))</f>
        <v>weekend</v>
      </c>
      <c r="L521" s="3" t="str">
        <f>IF(C521=1,"Spring",IF(C521=2,"Summer",IF(C521=3,"Fall","Winter")))</f>
        <v>Spring</v>
      </c>
      <c r="M521" s="3">
        <f>SUM(J521:J545)</f>
        <v>2.2400000000000007</v>
      </c>
      <c r="N521" s="3">
        <f>AVERAGE(J521:J1130)</f>
        <v>0.17362637362637365</v>
      </c>
      <c r="O521" s="3">
        <f>COUNT(J521:J1130)</f>
        <v>91</v>
      </c>
      <c r="P521" s="3" t="str">
        <f>TEXT(J521,"0.00")</f>
        <v>0.12</v>
      </c>
      <c r="Q521" s="3" t="str">
        <f>LEFT(L521,3)</f>
        <v>Spr</v>
      </c>
      <c r="R521" s="7" t="str">
        <f>RIGHT(L521,3)</f>
        <v>ing</v>
      </c>
      <c r="S521" s="8">
        <f>LEN(L521)</f>
        <v>6</v>
      </c>
      <c r="T521" s="36" t="str">
        <f>A521&amp;"|"&amp;B521&amp;"|"&amp;F521</f>
        <v>520|23-01-2011|18</v>
      </c>
      <c r="V521" s="32">
        <f>VLOOKUP(A521,Sheet2!A:H,3,FALSE)</f>
        <v>0.1212</v>
      </c>
      <c r="W521" s="32">
        <f>VLOOKUP(A521,Sheet2!A:H,4,FALSE)</f>
        <v>0.3</v>
      </c>
      <c r="X521" s="32">
        <f>VLOOKUP(A521,Sheet2!A:H,7,FALSE)</f>
        <v>45</v>
      </c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">
        <v>521</v>
      </c>
      <c r="B522" s="4" t="s">
        <v>37</v>
      </c>
      <c r="C522" s="4">
        <v>1</v>
      </c>
      <c r="D522" s="4">
        <v>0</v>
      </c>
      <c r="E522" s="4">
        <v>1</v>
      </c>
      <c r="F522" s="4">
        <v>19</v>
      </c>
      <c r="G522" s="4" t="b">
        <v>0</v>
      </c>
      <c r="H522" s="4">
        <v>0</v>
      </c>
      <c r="I522" s="4">
        <v>1</v>
      </c>
      <c r="J522" s="4">
        <v>0.12</v>
      </c>
      <c r="K522" s="6" t="str">
        <f>IF(H522=0,"weekend",IF(H522=6,"weekend","weekend"))</f>
        <v>weekend</v>
      </c>
      <c r="L522" s="3" t="str">
        <f>IF(C522=1,"Spring",IF(C522=2,"Summer",IF(C522=3,"Fall","Winter")))</f>
        <v>Spring</v>
      </c>
      <c r="M522" s="3">
        <f>SUM(J522:J546)</f>
        <v>2.2600000000000007</v>
      </c>
      <c r="N522" s="3">
        <f>AVERAGE(J522:J1131)</f>
        <v>0.17422222222222225</v>
      </c>
      <c r="O522" s="3">
        <f>COUNT(J522:J1131)</f>
        <v>90</v>
      </c>
      <c r="P522" s="3" t="str">
        <f>TEXT(J522,"0.00")</f>
        <v>0.12</v>
      </c>
      <c r="Q522" s="3" t="str">
        <f>LEFT(L522,3)</f>
        <v>Spr</v>
      </c>
      <c r="R522" s="7" t="str">
        <f>RIGHT(L522,3)</f>
        <v>ing</v>
      </c>
      <c r="S522" s="8">
        <f>LEN(L522)</f>
        <v>6</v>
      </c>
      <c r="T522" s="36" t="str">
        <f>A522&amp;"|"&amp;B522&amp;"|"&amp;F522</f>
        <v>521|23-01-2011|19</v>
      </c>
      <c r="V522" s="32">
        <f>VLOOKUP(A522,Sheet2!A:H,3,FALSE)</f>
        <v>0.1061</v>
      </c>
      <c r="W522" s="32">
        <f>VLOOKUP(A522,Sheet2!A:H,4,FALSE)</f>
        <v>0.36</v>
      </c>
      <c r="X522" s="32">
        <f>VLOOKUP(A522,Sheet2!A:H,7,FALSE)</f>
        <v>31</v>
      </c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">
        <v>522</v>
      </c>
      <c r="B523" s="4" t="s">
        <v>37</v>
      </c>
      <c r="C523" s="4">
        <v>1</v>
      </c>
      <c r="D523" s="4">
        <v>0</v>
      </c>
      <c r="E523" s="4">
        <v>1</v>
      </c>
      <c r="F523" s="4">
        <v>20</v>
      </c>
      <c r="G523" s="4" t="b">
        <v>0</v>
      </c>
      <c r="H523" s="4">
        <v>0</v>
      </c>
      <c r="I523" s="4">
        <v>1</v>
      </c>
      <c r="J523" s="4">
        <v>0.1</v>
      </c>
      <c r="K523" s="6" t="str">
        <f>IF(H523=0,"weekend",IF(H523=6,"weekend","weekend"))</f>
        <v>weekend</v>
      </c>
      <c r="L523" s="3" t="str">
        <f>IF(C523=1,"Spring",IF(C523=2,"Summer",IF(C523=3,"Fall","Winter")))</f>
        <v>Spring</v>
      </c>
      <c r="M523" s="3">
        <f>SUM(J523:J547)</f>
        <v>2.2800000000000007</v>
      </c>
      <c r="N523" s="3">
        <f>AVERAGE(J523:J1132)</f>
        <v>0.17483146067415731</v>
      </c>
      <c r="O523" s="3">
        <f>COUNT(J523:J1132)</f>
        <v>89</v>
      </c>
      <c r="P523" s="3" t="str">
        <f>TEXT(J523,"0.00")</f>
        <v>0.10</v>
      </c>
      <c r="Q523" s="3" t="str">
        <f>LEFT(L523,3)</f>
        <v>Spr</v>
      </c>
      <c r="R523" s="7" t="str">
        <f>RIGHT(L523,3)</f>
        <v>ing</v>
      </c>
      <c r="S523" s="8">
        <f>LEN(L523)</f>
        <v>6</v>
      </c>
      <c r="T523" s="36" t="str">
        <f>A523&amp;"|"&amp;B523&amp;"|"&amp;F523</f>
        <v>522|23-01-2011|20</v>
      </c>
      <c r="V523" s="32">
        <f>VLOOKUP(A523,Sheet2!A:H,3,FALSE)</f>
        <v>0.1061</v>
      </c>
      <c r="W523" s="32">
        <f>VLOOKUP(A523,Sheet2!A:H,4,FALSE)</f>
        <v>0.36</v>
      </c>
      <c r="X523" s="32">
        <f>VLOOKUP(A523,Sheet2!A:H,7,FALSE)</f>
        <v>20</v>
      </c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">
        <v>523</v>
      </c>
      <c r="B524" s="4" t="s">
        <v>37</v>
      </c>
      <c r="C524" s="4">
        <v>1</v>
      </c>
      <c r="D524" s="4">
        <v>0</v>
      </c>
      <c r="E524" s="4">
        <v>1</v>
      </c>
      <c r="F524" s="4">
        <v>21</v>
      </c>
      <c r="G524" s="4" t="b">
        <v>0</v>
      </c>
      <c r="H524" s="4">
        <v>0</v>
      </c>
      <c r="I524" s="4">
        <v>1</v>
      </c>
      <c r="J524" s="4">
        <v>0.1</v>
      </c>
      <c r="K524" s="6" t="str">
        <f>IF(H524=0,"weekend",IF(H524=6,"weekend","weekend"))</f>
        <v>weekend</v>
      </c>
      <c r="L524" s="3" t="str">
        <f>IF(C524=1,"Spring",IF(C524=2,"Summer",IF(C524=3,"Fall","Winter")))</f>
        <v>Spring</v>
      </c>
      <c r="M524" s="3">
        <f>SUM(J524:J548)</f>
        <v>2.3200000000000007</v>
      </c>
      <c r="N524" s="3">
        <f>AVERAGE(J524:J1133)</f>
        <v>0.17568181818181819</v>
      </c>
      <c r="O524" s="3">
        <f>COUNT(J524:J1133)</f>
        <v>88</v>
      </c>
      <c r="P524" s="3" t="str">
        <f>TEXT(J524,"0.00")</f>
        <v>0.10</v>
      </c>
      <c r="Q524" s="3" t="str">
        <f>LEFT(L524,3)</f>
        <v>Spr</v>
      </c>
      <c r="R524" s="7" t="str">
        <f>RIGHT(L524,3)</f>
        <v>ing</v>
      </c>
      <c r="S524" s="8">
        <f>LEN(L524)</f>
        <v>6</v>
      </c>
      <c r="T524" s="36" t="str">
        <f>A524&amp;"|"&amp;B524&amp;"|"&amp;F524</f>
        <v>523|23-01-2011|21</v>
      </c>
      <c r="V524" s="32">
        <f>VLOOKUP(A524,Sheet2!A:H,3,FALSE)</f>
        <v>9.0899999999999995E-2</v>
      </c>
      <c r="W524" s="32">
        <f>VLOOKUP(A524,Sheet2!A:H,4,FALSE)</f>
        <v>0.38</v>
      </c>
      <c r="X524" s="32">
        <f>VLOOKUP(A524,Sheet2!A:H,7,FALSE)</f>
        <v>23</v>
      </c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">
        <v>524</v>
      </c>
      <c r="B525" s="4" t="s">
        <v>37</v>
      </c>
      <c r="C525" s="4">
        <v>1</v>
      </c>
      <c r="D525" s="4">
        <v>0</v>
      </c>
      <c r="E525" s="4">
        <v>1</v>
      </c>
      <c r="F525" s="4">
        <v>22</v>
      </c>
      <c r="G525" s="4" t="b">
        <v>0</v>
      </c>
      <c r="H525" s="4">
        <v>0</v>
      </c>
      <c r="I525" s="4">
        <v>1</v>
      </c>
      <c r="J525" s="4">
        <v>0.08</v>
      </c>
      <c r="K525" s="6" t="str">
        <f>IF(H525=0,"weekend",IF(H525=6,"weekend","weekend"))</f>
        <v>weekend</v>
      </c>
      <c r="L525" s="3" t="str">
        <f>IF(C525=1,"Spring",IF(C525=2,"Summer",IF(C525=3,"Fall","Winter")))</f>
        <v>Spring</v>
      </c>
      <c r="M525" s="3">
        <f>SUM(J525:J549)</f>
        <v>2.3800000000000008</v>
      </c>
      <c r="N525" s="3">
        <f>AVERAGE(J525:J1134)</f>
        <v>0.17655172413793102</v>
      </c>
      <c r="O525" s="3">
        <f>COUNT(J525:J1134)</f>
        <v>87</v>
      </c>
      <c r="P525" s="3" t="str">
        <f>TEXT(J525,"0.00")</f>
        <v>0.08</v>
      </c>
      <c r="Q525" s="3" t="str">
        <f>LEFT(L525,3)</f>
        <v>Spr</v>
      </c>
      <c r="R525" s="7" t="str">
        <f>RIGHT(L525,3)</f>
        <v>ing</v>
      </c>
      <c r="S525" s="8">
        <f>LEN(L525)</f>
        <v>6</v>
      </c>
      <c r="T525" s="36" t="str">
        <f>A525&amp;"|"&amp;B525&amp;"|"&amp;F525</f>
        <v>524|23-01-2011|22</v>
      </c>
      <c r="V525" s="32">
        <f>VLOOKUP(A525,Sheet2!A:H,3,FALSE)</f>
        <v>6.0600000000000001E-2</v>
      </c>
      <c r="W525" s="32">
        <f>VLOOKUP(A525,Sheet2!A:H,4,FALSE)</f>
        <v>0.41</v>
      </c>
      <c r="X525" s="32">
        <f>VLOOKUP(A525,Sheet2!A:H,7,FALSE)</f>
        <v>17</v>
      </c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">
        <v>525</v>
      </c>
      <c r="B526" s="4" t="s">
        <v>37</v>
      </c>
      <c r="C526" s="4">
        <v>1</v>
      </c>
      <c r="D526" s="4">
        <v>0</v>
      </c>
      <c r="E526" s="4">
        <v>1</v>
      </c>
      <c r="F526" s="4">
        <v>23</v>
      </c>
      <c r="G526" s="4" t="b">
        <v>0</v>
      </c>
      <c r="H526" s="4">
        <v>0</v>
      </c>
      <c r="I526" s="4">
        <v>1</v>
      </c>
      <c r="J526" s="4">
        <v>0.06</v>
      </c>
      <c r="K526" s="6" t="str">
        <f>IF(H526=0,"weekend",IF(H526=6,"weekend","weekend"))</f>
        <v>weekend</v>
      </c>
      <c r="L526" s="3" t="str">
        <f>IF(C526=1,"Spring",IF(C526=2,"Summer",IF(C526=3,"Fall","Winter")))</f>
        <v>Spring</v>
      </c>
      <c r="M526" s="3">
        <f>SUM(J526:J550)</f>
        <v>2.4600000000000009</v>
      </c>
      <c r="N526" s="3">
        <f>AVERAGE(J526:J1135)</f>
        <v>0.17767441860465116</v>
      </c>
      <c r="O526" s="3">
        <f>COUNT(J526:J1135)</f>
        <v>86</v>
      </c>
      <c r="P526" s="3" t="str">
        <f>TEXT(J526,"0.00")</f>
        <v>0.06</v>
      </c>
      <c r="Q526" s="3" t="str">
        <f>LEFT(L526,3)</f>
        <v>Spr</v>
      </c>
      <c r="R526" s="7" t="str">
        <f>RIGHT(L526,3)</f>
        <v>ing</v>
      </c>
      <c r="S526" s="8">
        <f>LEN(L526)</f>
        <v>6</v>
      </c>
      <c r="T526" s="36" t="str">
        <f>A526&amp;"|"&amp;B526&amp;"|"&amp;F526</f>
        <v>525|23-01-2011|23</v>
      </c>
      <c r="V526" s="32">
        <f>VLOOKUP(A526,Sheet2!A:H,3,FALSE)</f>
        <v>6.0600000000000001E-2</v>
      </c>
      <c r="W526" s="32">
        <f>VLOOKUP(A526,Sheet2!A:H,4,FALSE)</f>
        <v>0.41</v>
      </c>
      <c r="X526" s="32">
        <f>VLOOKUP(A526,Sheet2!A:H,7,FALSE)</f>
        <v>7</v>
      </c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">
        <v>526</v>
      </c>
      <c r="B527" s="4" t="s">
        <v>38</v>
      </c>
      <c r="C527" s="4">
        <v>1</v>
      </c>
      <c r="D527" s="4">
        <v>0</v>
      </c>
      <c r="E527" s="4">
        <v>1</v>
      </c>
      <c r="F527" s="4">
        <v>0</v>
      </c>
      <c r="G527" s="4" t="b">
        <v>0</v>
      </c>
      <c r="H527" s="4">
        <v>1</v>
      </c>
      <c r="I527" s="4">
        <v>1</v>
      </c>
      <c r="J527" s="4">
        <v>0.06</v>
      </c>
      <c r="K527" s="6" t="str">
        <f>IF(H527=0,"weekend",IF(H527=6,"weekend","weekend"))</f>
        <v>weekend</v>
      </c>
      <c r="L527" s="3" t="str">
        <f>IF(C527=1,"Spring",IF(C527=2,"Summer",IF(C527=3,"Fall","Winter")))</f>
        <v>Spring</v>
      </c>
      <c r="M527" s="3">
        <f>SUM(J527:J551)</f>
        <v>2.5600000000000009</v>
      </c>
      <c r="N527" s="3">
        <f>AVERAGE(J527:J1136)</f>
        <v>0.17905882352941177</v>
      </c>
      <c r="O527" s="3">
        <f>COUNT(J527:J1136)</f>
        <v>85</v>
      </c>
      <c r="P527" s="3" t="str">
        <f>TEXT(J527,"0.00")</f>
        <v>0.06</v>
      </c>
      <c r="Q527" s="3" t="str">
        <f>LEFT(L527,3)</f>
        <v>Spr</v>
      </c>
      <c r="R527" s="7" t="str">
        <f>RIGHT(L527,3)</f>
        <v>ing</v>
      </c>
      <c r="S527" s="8">
        <f>LEN(L527)</f>
        <v>6</v>
      </c>
      <c r="T527" s="36" t="str">
        <f>A527&amp;"|"&amp;B527&amp;"|"&amp;F527</f>
        <v>526|24-01-2011|0</v>
      </c>
      <c r="V527" s="32">
        <f>VLOOKUP(A527,Sheet2!A:H,3,FALSE)</f>
        <v>4.5499999999999999E-2</v>
      </c>
      <c r="W527" s="32">
        <f>VLOOKUP(A527,Sheet2!A:H,4,FALSE)</f>
        <v>0.45</v>
      </c>
      <c r="X527" s="32">
        <f>VLOOKUP(A527,Sheet2!A:H,7,FALSE)</f>
        <v>1</v>
      </c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">
        <v>527</v>
      </c>
      <c r="B528" s="4" t="s">
        <v>38</v>
      </c>
      <c r="C528" s="4">
        <v>1</v>
      </c>
      <c r="D528" s="4">
        <v>0</v>
      </c>
      <c r="E528" s="4">
        <v>1</v>
      </c>
      <c r="F528" s="4">
        <v>1</v>
      </c>
      <c r="G528" s="4" t="b">
        <v>0</v>
      </c>
      <c r="H528" s="4">
        <v>1</v>
      </c>
      <c r="I528" s="4">
        <v>1</v>
      </c>
      <c r="J528" s="4">
        <v>0.04</v>
      </c>
      <c r="K528" s="6" t="str">
        <f>IF(H528=0,"weekend",IF(H528=6,"weekend","weekend"))</f>
        <v>weekend</v>
      </c>
      <c r="L528" s="3" t="str">
        <f>IF(C528=1,"Spring",IF(C528=2,"Summer",IF(C528=3,"Fall","Winter")))</f>
        <v>Spring</v>
      </c>
      <c r="M528" s="3">
        <f>SUM(J528:J552)</f>
        <v>2.660000000000001</v>
      </c>
      <c r="N528" s="3">
        <f>AVERAGE(J528:J1137)</f>
        <v>0.18047619047619048</v>
      </c>
      <c r="O528" s="3">
        <f>COUNT(J528:J1137)</f>
        <v>84</v>
      </c>
      <c r="P528" s="3" t="str">
        <f>TEXT(J528,"0.00")</f>
        <v>0.04</v>
      </c>
      <c r="Q528" s="3" t="str">
        <f>LEFT(L528,3)</f>
        <v>Spr</v>
      </c>
      <c r="R528" s="7" t="str">
        <f>RIGHT(L528,3)</f>
        <v>ing</v>
      </c>
      <c r="S528" s="8">
        <f>LEN(L528)</f>
        <v>6</v>
      </c>
      <c r="T528" s="36" t="str">
        <f>A528&amp;"|"&amp;B528&amp;"|"&amp;F528</f>
        <v>527|24-01-2011|1</v>
      </c>
      <c r="V528" s="32">
        <f>VLOOKUP(A528,Sheet2!A:H,3,FALSE)</f>
        <v>3.0300000000000001E-2</v>
      </c>
      <c r="W528" s="32">
        <f>VLOOKUP(A528,Sheet2!A:H,4,FALSE)</f>
        <v>0.45</v>
      </c>
      <c r="X528" s="32">
        <f>VLOOKUP(A528,Sheet2!A:H,7,FALSE)</f>
        <v>1</v>
      </c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">
        <v>528</v>
      </c>
      <c r="B529" s="4" t="s">
        <v>38</v>
      </c>
      <c r="C529" s="4">
        <v>1</v>
      </c>
      <c r="D529" s="4">
        <v>0</v>
      </c>
      <c r="E529" s="4">
        <v>1</v>
      </c>
      <c r="F529" s="4">
        <v>3</v>
      </c>
      <c r="G529" s="4" t="b">
        <v>0</v>
      </c>
      <c r="H529" s="4">
        <v>1</v>
      </c>
      <c r="I529" s="4">
        <v>1</v>
      </c>
      <c r="J529" s="4">
        <v>0.04</v>
      </c>
      <c r="K529" s="6" t="str">
        <f>IF(H529=0,"weekend",IF(H529=6,"weekend","weekend"))</f>
        <v>weekend</v>
      </c>
      <c r="L529" s="3" t="str">
        <f>IF(C529=1,"Spring",IF(C529=2,"Summer",IF(C529=3,"Fall","Winter")))</f>
        <v>Spring</v>
      </c>
      <c r="M529" s="3">
        <f>SUM(J529:J553)</f>
        <v>2.7600000000000016</v>
      </c>
      <c r="N529" s="3">
        <f>AVERAGE(J529:J1138)</f>
        <v>0.18216867469879519</v>
      </c>
      <c r="O529" s="3">
        <f>COUNT(J529:J1138)</f>
        <v>83</v>
      </c>
      <c r="P529" s="3" t="str">
        <f>TEXT(J529,"0.00")</f>
        <v>0.04</v>
      </c>
      <c r="Q529" s="3" t="str">
        <f>LEFT(L529,3)</f>
        <v>Spr</v>
      </c>
      <c r="R529" s="7" t="str">
        <f>RIGHT(L529,3)</f>
        <v>ing</v>
      </c>
      <c r="S529" s="8">
        <f>LEN(L529)</f>
        <v>6</v>
      </c>
      <c r="T529" s="36" t="str">
        <f>A529&amp;"|"&amp;B529&amp;"|"&amp;F529</f>
        <v>528|24-01-2011|3</v>
      </c>
      <c r="V529" s="32">
        <f>VLOOKUP(A529,Sheet2!A:H,3,FALSE)</f>
        <v>6.0600000000000001E-2</v>
      </c>
      <c r="W529" s="32">
        <f>VLOOKUP(A529,Sheet2!A:H,4,FALSE)</f>
        <v>0.48</v>
      </c>
      <c r="X529" s="32">
        <f>VLOOKUP(A529,Sheet2!A:H,7,FALSE)</f>
        <v>1</v>
      </c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">
        <v>529</v>
      </c>
      <c r="B530" s="4" t="s">
        <v>38</v>
      </c>
      <c r="C530" s="4">
        <v>1</v>
      </c>
      <c r="D530" s="4">
        <v>0</v>
      </c>
      <c r="E530" s="4">
        <v>1</v>
      </c>
      <c r="F530" s="4">
        <v>4</v>
      </c>
      <c r="G530" s="4" t="b">
        <v>0</v>
      </c>
      <c r="H530" s="4">
        <v>1</v>
      </c>
      <c r="I530" s="4">
        <v>1</v>
      </c>
      <c r="J530" s="4">
        <v>0.02</v>
      </c>
      <c r="K530" s="6" t="str">
        <f>IF(H530=0,"weekend",IF(H530=6,"weekend","weekend"))</f>
        <v>weekend</v>
      </c>
      <c r="L530" s="3" t="str">
        <f>IF(C530=1,"Spring",IF(C530=2,"Summer",IF(C530=3,"Fall","Winter")))</f>
        <v>Spring</v>
      </c>
      <c r="M530" s="3">
        <f>SUM(J530:J554)</f>
        <v>2.8600000000000017</v>
      </c>
      <c r="N530" s="3">
        <f>AVERAGE(J530:J1139)</f>
        <v>0.18390243902439024</v>
      </c>
      <c r="O530" s="3">
        <f>COUNT(J530:J1139)</f>
        <v>82</v>
      </c>
      <c r="P530" s="3" t="str">
        <f>TEXT(J530,"0.00")</f>
        <v>0.02</v>
      </c>
      <c r="Q530" s="3" t="str">
        <f>LEFT(L530,3)</f>
        <v>Spr</v>
      </c>
      <c r="R530" s="7" t="str">
        <f>RIGHT(L530,3)</f>
        <v>ing</v>
      </c>
      <c r="S530" s="8">
        <f>LEN(L530)</f>
        <v>6</v>
      </c>
      <c r="T530" s="36" t="str">
        <f>A530&amp;"|"&amp;B530&amp;"|"&amp;F530</f>
        <v>529|24-01-2011|4</v>
      </c>
      <c r="V530" s="32">
        <f>VLOOKUP(A530,Sheet2!A:H,3,FALSE)</f>
        <v>6.0600000000000001E-2</v>
      </c>
      <c r="W530" s="32">
        <f>VLOOKUP(A530,Sheet2!A:H,4,FALSE)</f>
        <v>0.48</v>
      </c>
      <c r="X530" s="32">
        <f>VLOOKUP(A530,Sheet2!A:H,7,FALSE)</f>
        <v>5</v>
      </c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">
        <v>530</v>
      </c>
      <c r="B531" s="4" t="s">
        <v>38</v>
      </c>
      <c r="C531" s="4">
        <v>1</v>
      </c>
      <c r="D531" s="4">
        <v>0</v>
      </c>
      <c r="E531" s="4">
        <v>1</v>
      </c>
      <c r="F531" s="4">
        <v>5</v>
      </c>
      <c r="G531" s="4" t="b">
        <v>0</v>
      </c>
      <c r="H531" s="4">
        <v>1</v>
      </c>
      <c r="I531" s="4">
        <v>1</v>
      </c>
      <c r="J531" s="4">
        <v>0.02</v>
      </c>
      <c r="K531" s="6" t="str">
        <f>IF(H531=0,"weekend",IF(H531=6,"weekend","weekend"))</f>
        <v>weekend</v>
      </c>
      <c r="L531" s="3" t="str">
        <f>IF(C531=1,"Spring",IF(C531=2,"Summer",IF(C531=3,"Fall","Winter")))</f>
        <v>Spring</v>
      </c>
      <c r="M531" s="3">
        <f>SUM(J531:J555)</f>
        <v>3.0000000000000018</v>
      </c>
      <c r="N531" s="3">
        <f>AVERAGE(J531:J1140)</f>
        <v>0.18592592592592594</v>
      </c>
      <c r="O531" s="3">
        <f>COUNT(J531:J1140)</f>
        <v>81</v>
      </c>
      <c r="P531" s="3" t="str">
        <f>TEXT(J531,"0.00")</f>
        <v>0.02</v>
      </c>
      <c r="Q531" s="3" t="str">
        <f>LEFT(L531,3)</f>
        <v>Spr</v>
      </c>
      <c r="R531" s="7" t="str">
        <f>RIGHT(L531,3)</f>
        <v>ing</v>
      </c>
      <c r="S531" s="8">
        <f>LEN(L531)</f>
        <v>6</v>
      </c>
      <c r="T531" s="36" t="str">
        <f>A531&amp;"|"&amp;B531&amp;"|"&amp;F531</f>
        <v>530|24-01-2011|5</v>
      </c>
      <c r="V531" s="32">
        <f>VLOOKUP(A531,Sheet2!A:H,3,FALSE)</f>
        <v>7.5800000000000006E-2</v>
      </c>
      <c r="W531" s="32">
        <f>VLOOKUP(A531,Sheet2!A:H,4,FALSE)</f>
        <v>0.48</v>
      </c>
      <c r="X531" s="32">
        <f>VLOOKUP(A531,Sheet2!A:H,7,FALSE)</f>
        <v>15</v>
      </c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">
        <v>531</v>
      </c>
      <c r="B532" s="4" t="s">
        <v>38</v>
      </c>
      <c r="C532" s="4">
        <v>1</v>
      </c>
      <c r="D532" s="4">
        <v>0</v>
      </c>
      <c r="E532" s="4">
        <v>1</v>
      </c>
      <c r="F532" s="4">
        <v>6</v>
      </c>
      <c r="G532" s="4" t="b">
        <v>0</v>
      </c>
      <c r="H532" s="4">
        <v>1</v>
      </c>
      <c r="I532" s="4">
        <v>1</v>
      </c>
      <c r="J532" s="4">
        <v>0.02</v>
      </c>
      <c r="K532" s="6" t="str">
        <f>IF(H532=0,"weekend",IF(H532=6,"weekend","weekend"))</f>
        <v>weekend</v>
      </c>
      <c r="L532" s="3" t="str">
        <f>IF(C532=1,"Spring",IF(C532=2,"Summer",IF(C532=3,"Fall","Winter")))</f>
        <v>Spring</v>
      </c>
      <c r="M532" s="3">
        <f>SUM(J532:J556)</f>
        <v>3.1400000000000019</v>
      </c>
      <c r="N532" s="3">
        <f>AVERAGE(J532:J1141)</f>
        <v>0.188</v>
      </c>
      <c r="O532" s="3">
        <f>COUNT(J532:J1141)</f>
        <v>80</v>
      </c>
      <c r="P532" s="3" t="str">
        <f>TEXT(J532,"0.00")</f>
        <v>0.02</v>
      </c>
      <c r="Q532" s="3" t="str">
        <f>LEFT(L532,3)</f>
        <v>Spr</v>
      </c>
      <c r="R532" s="7" t="str">
        <f>RIGHT(L532,3)</f>
        <v>ing</v>
      </c>
      <c r="S532" s="8">
        <f>LEN(L532)</f>
        <v>6</v>
      </c>
      <c r="T532" s="36" t="str">
        <f>A532&amp;"|"&amp;B532&amp;"|"&amp;F532</f>
        <v>531|24-01-2011|6</v>
      </c>
      <c r="V532" s="32">
        <f>VLOOKUP(A532,Sheet2!A:H,3,FALSE)</f>
        <v>0.1212</v>
      </c>
      <c r="W532" s="32">
        <f>VLOOKUP(A532,Sheet2!A:H,4,FALSE)</f>
        <v>0.48</v>
      </c>
      <c r="X532" s="32">
        <f>VLOOKUP(A532,Sheet2!A:H,7,FALSE)</f>
        <v>79</v>
      </c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">
        <v>532</v>
      </c>
      <c r="B533" s="4" t="s">
        <v>38</v>
      </c>
      <c r="C533" s="4">
        <v>1</v>
      </c>
      <c r="D533" s="4">
        <v>0</v>
      </c>
      <c r="E533" s="4">
        <v>1</v>
      </c>
      <c r="F533" s="4">
        <v>7</v>
      </c>
      <c r="G533" s="4" t="b">
        <v>0</v>
      </c>
      <c r="H533" s="4">
        <v>1</v>
      </c>
      <c r="I533" s="4">
        <v>1</v>
      </c>
      <c r="J533" s="4">
        <v>0.02</v>
      </c>
      <c r="K533" s="6" t="str">
        <f>IF(H533=0,"weekend",IF(H533=6,"weekend","weekend"))</f>
        <v>weekend</v>
      </c>
      <c r="L533" s="3" t="str">
        <f>IF(C533=1,"Spring",IF(C533=2,"Summer",IF(C533=3,"Fall","Winter")))</f>
        <v>Spring</v>
      </c>
      <c r="M533" s="3">
        <f>SUM(J533:J557)</f>
        <v>3.280000000000002</v>
      </c>
      <c r="N533" s="3">
        <f>AVERAGE(J533:J1142)</f>
        <v>0.190126582278481</v>
      </c>
      <c r="O533" s="3">
        <f>COUNT(J533:J1142)</f>
        <v>79</v>
      </c>
      <c r="P533" s="3" t="str">
        <f>TEXT(J533,"0.00")</f>
        <v>0.02</v>
      </c>
      <c r="Q533" s="3" t="str">
        <f>LEFT(L533,3)</f>
        <v>Spr</v>
      </c>
      <c r="R533" s="7" t="str">
        <f>RIGHT(L533,3)</f>
        <v>ing</v>
      </c>
      <c r="S533" s="8">
        <f>LEN(L533)</f>
        <v>6</v>
      </c>
      <c r="T533" s="36" t="str">
        <f>A533&amp;"|"&amp;B533&amp;"|"&amp;F533</f>
        <v>532|24-01-2011|7</v>
      </c>
      <c r="V533" s="32">
        <f>VLOOKUP(A533,Sheet2!A:H,3,FALSE)</f>
        <v>0.13639999999999999</v>
      </c>
      <c r="W533" s="32">
        <f>VLOOKUP(A533,Sheet2!A:H,4,FALSE)</f>
        <v>0.49</v>
      </c>
      <c r="X533" s="32">
        <f>VLOOKUP(A533,Sheet2!A:H,7,FALSE)</f>
        <v>171</v>
      </c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">
        <v>533</v>
      </c>
      <c r="B534" s="4" t="s">
        <v>38</v>
      </c>
      <c r="C534" s="4">
        <v>1</v>
      </c>
      <c r="D534" s="4">
        <v>0</v>
      </c>
      <c r="E534" s="4">
        <v>1</v>
      </c>
      <c r="F534" s="4">
        <v>8</v>
      </c>
      <c r="G534" s="4" t="b">
        <v>0</v>
      </c>
      <c r="H534" s="4">
        <v>1</v>
      </c>
      <c r="I534" s="4">
        <v>1</v>
      </c>
      <c r="J534" s="4">
        <v>0.04</v>
      </c>
      <c r="K534" s="6" t="str">
        <f>IF(H534=0,"weekend",IF(H534=6,"weekend","weekend"))</f>
        <v>weekend</v>
      </c>
      <c r="L534" s="3" t="str">
        <f>IF(C534=1,"Spring",IF(C534=2,"Summer",IF(C534=3,"Fall","Winter")))</f>
        <v>Spring</v>
      </c>
      <c r="M534" s="3">
        <f>SUM(J534:J558)</f>
        <v>3.4600000000000022</v>
      </c>
      <c r="N534" s="3">
        <f>AVERAGE(J534:J1143)</f>
        <v>0.19230769230769232</v>
      </c>
      <c r="O534" s="3">
        <f>COUNT(J534:J1143)</f>
        <v>78</v>
      </c>
      <c r="P534" s="3" t="str">
        <f>TEXT(J534,"0.00")</f>
        <v>0.04</v>
      </c>
      <c r="Q534" s="3" t="str">
        <f>LEFT(L534,3)</f>
        <v>Spr</v>
      </c>
      <c r="R534" s="7" t="str">
        <f>RIGHT(L534,3)</f>
        <v>ing</v>
      </c>
      <c r="S534" s="8">
        <f>LEN(L534)</f>
        <v>6</v>
      </c>
      <c r="T534" s="36" t="str">
        <f>A534&amp;"|"&amp;B534&amp;"|"&amp;F534</f>
        <v>533|24-01-2011|8</v>
      </c>
      <c r="V534" s="32">
        <f>VLOOKUP(A534,Sheet2!A:H,3,FALSE)</f>
        <v>0.1515</v>
      </c>
      <c r="W534" s="32">
        <f>VLOOKUP(A534,Sheet2!A:H,4,FALSE)</f>
        <v>0.41</v>
      </c>
      <c r="X534" s="32">
        <f>VLOOKUP(A534,Sheet2!A:H,7,FALSE)</f>
        <v>98</v>
      </c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">
        <v>534</v>
      </c>
      <c r="B535" s="4" t="s">
        <v>38</v>
      </c>
      <c r="C535" s="4">
        <v>1</v>
      </c>
      <c r="D535" s="4">
        <v>0</v>
      </c>
      <c r="E535" s="4">
        <v>1</v>
      </c>
      <c r="F535" s="4">
        <v>9</v>
      </c>
      <c r="G535" s="4" t="b">
        <v>0</v>
      </c>
      <c r="H535" s="4">
        <v>1</v>
      </c>
      <c r="I535" s="4">
        <v>1</v>
      </c>
      <c r="J535" s="4">
        <v>0.06</v>
      </c>
      <c r="K535" s="6" t="str">
        <f>IF(H535=0,"weekend",IF(H535=6,"weekend","weekend"))</f>
        <v>weekend</v>
      </c>
      <c r="L535" s="3" t="str">
        <f>IF(C535=1,"Spring",IF(C535=2,"Summer",IF(C535=3,"Fall","Winter")))</f>
        <v>Spring</v>
      </c>
      <c r="M535" s="3">
        <f>SUM(J535:J559)</f>
        <v>3.6400000000000019</v>
      </c>
      <c r="N535" s="3">
        <f>AVERAGE(J535:J1144)</f>
        <v>0.19428571428571428</v>
      </c>
      <c r="O535" s="3">
        <f>COUNT(J535:J1144)</f>
        <v>77</v>
      </c>
      <c r="P535" s="3" t="str">
        <f>TEXT(J535,"0.00")</f>
        <v>0.06</v>
      </c>
      <c r="Q535" s="3" t="str">
        <f>LEFT(L535,3)</f>
        <v>Spr</v>
      </c>
      <c r="R535" s="7" t="str">
        <f>RIGHT(L535,3)</f>
        <v>ing</v>
      </c>
      <c r="S535" s="8">
        <f>LEN(L535)</f>
        <v>6</v>
      </c>
      <c r="T535" s="36" t="str">
        <f>A535&amp;"|"&amp;B535&amp;"|"&amp;F535</f>
        <v>534|24-01-2011|9</v>
      </c>
      <c r="V535" s="32">
        <f>VLOOKUP(A535,Sheet2!A:H,3,FALSE)</f>
        <v>0.13639999999999999</v>
      </c>
      <c r="W535" s="32">
        <f>VLOOKUP(A535,Sheet2!A:H,4,FALSE)</f>
        <v>0.42</v>
      </c>
      <c r="X535" s="32">
        <f>VLOOKUP(A535,Sheet2!A:H,7,FALSE)</f>
        <v>34</v>
      </c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">
        <v>535</v>
      </c>
      <c r="B536" s="4" t="s">
        <v>38</v>
      </c>
      <c r="C536" s="4">
        <v>1</v>
      </c>
      <c r="D536" s="4">
        <v>0</v>
      </c>
      <c r="E536" s="4">
        <v>1</v>
      </c>
      <c r="F536" s="4">
        <v>10</v>
      </c>
      <c r="G536" s="4" t="b">
        <v>0</v>
      </c>
      <c r="H536" s="4">
        <v>1</v>
      </c>
      <c r="I536" s="4">
        <v>1</v>
      </c>
      <c r="J536" s="4">
        <v>0.1</v>
      </c>
      <c r="K536" s="6" t="str">
        <f>IF(H536=0,"weekend",IF(H536=6,"weekend","weekend"))</f>
        <v>weekend</v>
      </c>
      <c r="L536" s="3" t="str">
        <f>IF(C536=1,"Spring",IF(C536=2,"Summer",IF(C536=3,"Fall","Winter")))</f>
        <v>Spring</v>
      </c>
      <c r="M536" s="3">
        <f>SUM(J536:J560)</f>
        <v>3.8200000000000021</v>
      </c>
      <c r="N536" s="3">
        <f>AVERAGE(J536:J1145)</f>
        <v>0.19605263157894737</v>
      </c>
      <c r="O536" s="3">
        <f>COUNT(J536:J1145)</f>
        <v>76</v>
      </c>
      <c r="P536" s="3" t="str">
        <f>TEXT(J536,"0.00")</f>
        <v>0.10</v>
      </c>
      <c r="Q536" s="3" t="str">
        <f>LEFT(L536,3)</f>
        <v>Spr</v>
      </c>
      <c r="R536" s="7" t="str">
        <f>RIGHT(L536,3)</f>
        <v>ing</v>
      </c>
      <c r="S536" s="8">
        <f>LEN(L536)</f>
        <v>6</v>
      </c>
      <c r="T536" s="36" t="str">
        <f>A536&amp;"|"&amp;B536&amp;"|"&amp;F536</f>
        <v>535|24-01-2011|10</v>
      </c>
      <c r="V536" s="32">
        <f>VLOOKUP(A536,Sheet2!A:H,3,FALSE)</f>
        <v>0.1212</v>
      </c>
      <c r="W536" s="32">
        <f>VLOOKUP(A536,Sheet2!A:H,4,FALSE)</f>
        <v>0.46</v>
      </c>
      <c r="X536" s="32">
        <f>VLOOKUP(A536,Sheet2!A:H,7,FALSE)</f>
        <v>43</v>
      </c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">
        <v>536</v>
      </c>
      <c r="B537" s="4" t="s">
        <v>38</v>
      </c>
      <c r="C537" s="4">
        <v>1</v>
      </c>
      <c r="D537" s="4">
        <v>0</v>
      </c>
      <c r="E537" s="4">
        <v>1</v>
      </c>
      <c r="F537" s="4">
        <v>11</v>
      </c>
      <c r="G537" s="4" t="b">
        <v>0</v>
      </c>
      <c r="H537" s="4">
        <v>1</v>
      </c>
      <c r="I537" s="4">
        <v>1</v>
      </c>
      <c r="J537" s="4">
        <v>0.1</v>
      </c>
      <c r="K537" s="6" t="str">
        <f>IF(H537=0,"weekend",IF(H537=6,"weekend","weekend"))</f>
        <v>weekend</v>
      </c>
      <c r="L537" s="3" t="str">
        <f>IF(C537=1,"Spring",IF(C537=2,"Summer",IF(C537=3,"Fall","Winter")))</f>
        <v>Spring</v>
      </c>
      <c r="M537" s="3">
        <f>SUM(J537:J561)</f>
        <v>3.9800000000000013</v>
      </c>
      <c r="N537" s="3">
        <f>AVERAGE(J537:J1146)</f>
        <v>0.19733333333333333</v>
      </c>
      <c r="O537" s="3">
        <f>COUNT(J537:J1146)</f>
        <v>75</v>
      </c>
      <c r="P537" s="3" t="str">
        <f>TEXT(J537,"0.00")</f>
        <v>0.10</v>
      </c>
      <c r="Q537" s="3" t="str">
        <f>LEFT(L537,3)</f>
        <v>Spr</v>
      </c>
      <c r="R537" s="7" t="str">
        <f>RIGHT(L537,3)</f>
        <v>ing</v>
      </c>
      <c r="S537" s="8">
        <f>LEN(L537)</f>
        <v>6</v>
      </c>
      <c r="T537" s="36" t="str">
        <f>A537&amp;"|"&amp;B537&amp;"|"&amp;F537</f>
        <v>536|24-01-2011|11</v>
      </c>
      <c r="V537" s="32">
        <f>VLOOKUP(A537,Sheet2!A:H,3,FALSE)</f>
        <v>0.13639999999999999</v>
      </c>
      <c r="W537" s="32">
        <f>VLOOKUP(A537,Sheet2!A:H,4,FALSE)</f>
        <v>0.42</v>
      </c>
      <c r="X537" s="32">
        <f>VLOOKUP(A537,Sheet2!A:H,7,FALSE)</f>
        <v>52</v>
      </c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">
        <v>537</v>
      </c>
      <c r="B538" s="4" t="s">
        <v>38</v>
      </c>
      <c r="C538" s="4">
        <v>1</v>
      </c>
      <c r="D538" s="4">
        <v>0</v>
      </c>
      <c r="E538" s="4">
        <v>1</v>
      </c>
      <c r="F538" s="4">
        <v>12</v>
      </c>
      <c r="G538" s="4" t="b">
        <v>0</v>
      </c>
      <c r="H538" s="4">
        <v>1</v>
      </c>
      <c r="I538" s="4">
        <v>2</v>
      </c>
      <c r="J538" s="4">
        <v>0.12</v>
      </c>
      <c r="K538" s="6" t="str">
        <f>IF(H538=0,"weekend",IF(H538=6,"weekend","weekend"))</f>
        <v>weekend</v>
      </c>
      <c r="L538" s="3" t="str">
        <f>IF(C538=1,"Spring",IF(C538=2,"Summer",IF(C538=3,"Fall","Winter")))</f>
        <v>Spring</v>
      </c>
      <c r="M538" s="3">
        <f>SUM(J538:J562)</f>
        <v>4.1400000000000015</v>
      </c>
      <c r="N538" s="3">
        <f>AVERAGE(J538:J1147)</f>
        <v>0.19864864864864867</v>
      </c>
      <c r="O538" s="3">
        <f>COUNT(J538:J1147)</f>
        <v>74</v>
      </c>
      <c r="P538" s="3" t="str">
        <f>TEXT(J538,"0.00")</f>
        <v>0.12</v>
      </c>
      <c r="Q538" s="3" t="str">
        <f>LEFT(L538,3)</f>
        <v>Spr</v>
      </c>
      <c r="R538" s="7" t="str">
        <f>RIGHT(L538,3)</f>
        <v>ing</v>
      </c>
      <c r="S538" s="8">
        <f>LEN(L538)</f>
        <v>6</v>
      </c>
      <c r="T538" s="36" t="str">
        <f>A538&amp;"|"&amp;B538&amp;"|"&amp;F538</f>
        <v>537|24-01-2011|12</v>
      </c>
      <c r="V538" s="32">
        <f>VLOOKUP(A538,Sheet2!A:H,3,FALSE)</f>
        <v>0.13639999999999999</v>
      </c>
      <c r="W538" s="32">
        <f>VLOOKUP(A538,Sheet2!A:H,4,FALSE)</f>
        <v>0.43</v>
      </c>
      <c r="X538" s="32">
        <f>VLOOKUP(A538,Sheet2!A:H,7,FALSE)</f>
        <v>54</v>
      </c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">
        <v>538</v>
      </c>
      <c r="B539" s="4" t="s">
        <v>38</v>
      </c>
      <c r="C539" s="4">
        <v>1</v>
      </c>
      <c r="D539" s="4">
        <v>0</v>
      </c>
      <c r="E539" s="4">
        <v>1</v>
      </c>
      <c r="F539" s="4">
        <v>13</v>
      </c>
      <c r="G539" s="4" t="b">
        <v>0</v>
      </c>
      <c r="H539" s="4">
        <v>1</v>
      </c>
      <c r="I539" s="4">
        <v>2</v>
      </c>
      <c r="J539" s="4">
        <v>0.14000000000000001</v>
      </c>
      <c r="K539" s="6" t="str">
        <f>IF(H539=0,"weekend",IF(H539=6,"weekend","weekend"))</f>
        <v>weekend</v>
      </c>
      <c r="L539" s="3" t="str">
        <f>IF(C539=1,"Spring",IF(C539=2,"Summer",IF(C539=3,"Fall","Winter")))</f>
        <v>Spring</v>
      </c>
      <c r="M539" s="3">
        <f>SUM(J539:J563)</f>
        <v>4.32</v>
      </c>
      <c r="N539" s="3">
        <f>AVERAGE(J539:J1148)</f>
        <v>0.19972602739726028</v>
      </c>
      <c r="O539" s="3">
        <f>COUNT(J539:J1148)</f>
        <v>73</v>
      </c>
      <c r="P539" s="3" t="str">
        <f>TEXT(J539,"0.00")</f>
        <v>0.14</v>
      </c>
      <c r="Q539" s="3" t="str">
        <f>LEFT(L539,3)</f>
        <v>Spr</v>
      </c>
      <c r="R539" s="7" t="str">
        <f>RIGHT(L539,3)</f>
        <v>ing</v>
      </c>
      <c r="S539" s="8">
        <f>LEN(L539)</f>
        <v>6</v>
      </c>
      <c r="T539" s="36" t="str">
        <f>A539&amp;"|"&amp;B539&amp;"|"&amp;F539</f>
        <v>538|24-01-2011|13</v>
      </c>
      <c r="V539" s="32">
        <f>VLOOKUP(A539,Sheet2!A:H,3,FALSE)</f>
        <v>0.13639999999999999</v>
      </c>
      <c r="W539" s="32">
        <f>VLOOKUP(A539,Sheet2!A:H,4,FALSE)</f>
        <v>0.46</v>
      </c>
      <c r="X539" s="32">
        <f>VLOOKUP(A539,Sheet2!A:H,7,FALSE)</f>
        <v>43</v>
      </c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">
        <v>539</v>
      </c>
      <c r="B540" s="4" t="s">
        <v>38</v>
      </c>
      <c r="C540" s="4">
        <v>1</v>
      </c>
      <c r="D540" s="4">
        <v>0</v>
      </c>
      <c r="E540" s="4">
        <v>1</v>
      </c>
      <c r="F540" s="4">
        <v>14</v>
      </c>
      <c r="G540" s="4" t="b">
        <v>0</v>
      </c>
      <c r="H540" s="4">
        <v>1</v>
      </c>
      <c r="I540" s="4">
        <v>2</v>
      </c>
      <c r="J540" s="4">
        <v>0.14000000000000001</v>
      </c>
      <c r="K540" s="6" t="str">
        <f>IF(H540=0,"weekend",IF(H540=6,"weekend","weekend"))</f>
        <v>weekend</v>
      </c>
      <c r="L540" s="3" t="str">
        <f>IF(C540=1,"Spring",IF(C540=2,"Summer",IF(C540=3,"Fall","Winter")))</f>
        <v>Spring</v>
      </c>
      <c r="M540" s="3">
        <f>SUM(J540:J564)</f>
        <v>4.5000000000000009</v>
      </c>
      <c r="N540" s="3">
        <f>AVERAGE(J540:J1149)</f>
        <v>0.20055555555555554</v>
      </c>
      <c r="O540" s="3">
        <f>COUNT(J540:J1149)</f>
        <v>72</v>
      </c>
      <c r="P540" s="3" t="str">
        <f>TEXT(J540,"0.00")</f>
        <v>0.14</v>
      </c>
      <c r="Q540" s="3" t="str">
        <f>LEFT(L540,3)</f>
        <v>Spr</v>
      </c>
      <c r="R540" s="7" t="str">
        <f>RIGHT(L540,3)</f>
        <v>ing</v>
      </c>
      <c r="S540" s="8">
        <f>LEN(L540)</f>
        <v>6</v>
      </c>
      <c r="T540" s="36" t="str">
        <f>A540&amp;"|"&amp;B540&amp;"|"&amp;F540</f>
        <v>539|24-01-2011|14</v>
      </c>
      <c r="V540" s="32">
        <f>VLOOKUP(A540,Sheet2!A:H,3,FALSE)</f>
        <v>0.16669999999999999</v>
      </c>
      <c r="W540" s="32">
        <f>VLOOKUP(A540,Sheet2!A:H,4,FALSE)</f>
        <v>0.4</v>
      </c>
      <c r="X540" s="32">
        <f>VLOOKUP(A540,Sheet2!A:H,7,FALSE)</f>
        <v>50</v>
      </c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">
        <v>540</v>
      </c>
      <c r="B541" s="4" t="s">
        <v>38</v>
      </c>
      <c r="C541" s="4">
        <v>1</v>
      </c>
      <c r="D541" s="4">
        <v>0</v>
      </c>
      <c r="E541" s="4">
        <v>1</v>
      </c>
      <c r="F541" s="4">
        <v>15</v>
      </c>
      <c r="G541" s="4" t="b">
        <v>0</v>
      </c>
      <c r="H541" s="4">
        <v>1</v>
      </c>
      <c r="I541" s="4">
        <v>1</v>
      </c>
      <c r="J541" s="4">
        <v>0.16</v>
      </c>
      <c r="K541" s="6" t="str">
        <f>IF(H541=0,"weekend",IF(H541=6,"weekend","weekend"))</f>
        <v>weekend</v>
      </c>
      <c r="L541" s="3" t="str">
        <f>IF(C541=1,"Spring",IF(C541=2,"Summer",IF(C541=3,"Fall","Winter")))</f>
        <v>Spring</v>
      </c>
      <c r="M541" s="3">
        <f>SUM(J541:J565)</f>
        <v>4.6800000000000006</v>
      </c>
      <c r="N541" s="3">
        <f>AVERAGE(J541:J1150)</f>
        <v>0.20140845070422531</v>
      </c>
      <c r="O541" s="3">
        <f>COUNT(J541:J1150)</f>
        <v>71</v>
      </c>
      <c r="P541" s="3" t="str">
        <f>TEXT(J541,"0.00")</f>
        <v>0.16</v>
      </c>
      <c r="Q541" s="3" t="str">
        <f>LEFT(L541,3)</f>
        <v>Spr</v>
      </c>
      <c r="R541" s="7" t="str">
        <f>RIGHT(L541,3)</f>
        <v>ing</v>
      </c>
      <c r="S541" s="8">
        <f>LEN(L541)</f>
        <v>6</v>
      </c>
      <c r="T541" s="36" t="str">
        <f>A541&amp;"|"&amp;B541&amp;"|"&amp;F541</f>
        <v>540|24-01-2011|15</v>
      </c>
      <c r="V541" s="32">
        <f>VLOOKUP(A541,Sheet2!A:H,3,FALSE)</f>
        <v>0.1515</v>
      </c>
      <c r="W541" s="32">
        <f>VLOOKUP(A541,Sheet2!A:H,4,FALSE)</f>
        <v>0.47</v>
      </c>
      <c r="X541" s="32">
        <f>VLOOKUP(A541,Sheet2!A:H,7,FALSE)</f>
        <v>66</v>
      </c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">
        <v>541</v>
      </c>
      <c r="B542" s="4" t="s">
        <v>38</v>
      </c>
      <c r="C542" s="4">
        <v>1</v>
      </c>
      <c r="D542" s="4">
        <v>0</v>
      </c>
      <c r="E542" s="4">
        <v>1</v>
      </c>
      <c r="F542" s="4">
        <v>16</v>
      </c>
      <c r="G542" s="4" t="b">
        <v>0</v>
      </c>
      <c r="H542" s="4">
        <v>1</v>
      </c>
      <c r="I542" s="4">
        <v>1</v>
      </c>
      <c r="J542" s="4">
        <v>0.16</v>
      </c>
      <c r="K542" s="6" t="str">
        <f>IF(H542=0,"weekend",IF(H542=6,"weekend","weekend"))</f>
        <v>weekend</v>
      </c>
      <c r="L542" s="3" t="str">
        <f>IF(C542=1,"Spring",IF(C542=2,"Summer",IF(C542=3,"Fall","Winter")))</f>
        <v>Spring</v>
      </c>
      <c r="M542" s="3">
        <f>SUM(J542:J566)</f>
        <v>4.82</v>
      </c>
      <c r="N542" s="3">
        <f>AVERAGE(J542:J1151)</f>
        <v>0.20199999999999996</v>
      </c>
      <c r="O542" s="3">
        <f>COUNT(J542:J1151)</f>
        <v>70</v>
      </c>
      <c r="P542" s="3" t="str">
        <f>TEXT(J542,"0.00")</f>
        <v>0.16</v>
      </c>
      <c r="Q542" s="3" t="str">
        <f>LEFT(L542,3)</f>
        <v>Spr</v>
      </c>
      <c r="R542" s="7" t="str">
        <f>RIGHT(L542,3)</f>
        <v>ing</v>
      </c>
      <c r="S542" s="8">
        <f>LEN(L542)</f>
        <v>6</v>
      </c>
      <c r="T542" s="36" t="str">
        <f>A542&amp;"|"&amp;B542&amp;"|"&amp;F542</f>
        <v>541|24-01-2011|16</v>
      </c>
      <c r="V542" s="32">
        <f>VLOOKUP(A542,Sheet2!A:H,3,FALSE)</f>
        <v>0.1212</v>
      </c>
      <c r="W542" s="32">
        <f>VLOOKUP(A542,Sheet2!A:H,4,FALSE)</f>
        <v>0.5</v>
      </c>
      <c r="X542" s="32">
        <f>VLOOKUP(A542,Sheet2!A:H,7,FALSE)</f>
        <v>178</v>
      </c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">
        <v>542</v>
      </c>
      <c r="B543" s="4" t="s">
        <v>38</v>
      </c>
      <c r="C543" s="4">
        <v>1</v>
      </c>
      <c r="D543" s="4">
        <v>0</v>
      </c>
      <c r="E543" s="4">
        <v>1</v>
      </c>
      <c r="F543" s="4">
        <v>17</v>
      </c>
      <c r="G543" s="4" t="b">
        <v>0</v>
      </c>
      <c r="H543" s="4">
        <v>1</v>
      </c>
      <c r="I543" s="4">
        <v>1</v>
      </c>
      <c r="J543" s="4">
        <v>0.14000000000000001</v>
      </c>
      <c r="K543" s="6" t="str">
        <f>IF(H543=0,"weekend",IF(H543=6,"weekend","weekend"))</f>
        <v>weekend</v>
      </c>
      <c r="L543" s="3" t="str">
        <f>IF(C543=1,"Spring",IF(C543=2,"Summer",IF(C543=3,"Fall","Winter")))</f>
        <v>Spring</v>
      </c>
      <c r="M543" s="3">
        <f>SUM(J543:J567)</f>
        <v>4.96</v>
      </c>
      <c r="N543" s="3">
        <f>AVERAGE(J543:J1152)</f>
        <v>0.20260869565217388</v>
      </c>
      <c r="O543" s="3">
        <f>COUNT(J543:J1152)</f>
        <v>69</v>
      </c>
      <c r="P543" s="3" t="str">
        <f>TEXT(J543,"0.00")</f>
        <v>0.14</v>
      </c>
      <c r="Q543" s="3" t="str">
        <f>LEFT(L543,3)</f>
        <v>Spr</v>
      </c>
      <c r="R543" s="7" t="str">
        <f>RIGHT(L543,3)</f>
        <v>ing</v>
      </c>
      <c r="S543" s="8">
        <f>LEN(L543)</f>
        <v>6</v>
      </c>
      <c r="T543" s="36" t="str">
        <f>A543&amp;"|"&amp;B543&amp;"|"&amp;F543</f>
        <v>542|24-01-2011|17</v>
      </c>
      <c r="V543" s="32">
        <f>VLOOKUP(A543,Sheet2!A:H,3,FALSE)</f>
        <v>0.13639999999999999</v>
      </c>
      <c r="W543" s="32">
        <f>VLOOKUP(A543,Sheet2!A:H,4,FALSE)</f>
        <v>0.59</v>
      </c>
      <c r="X543" s="32">
        <f>VLOOKUP(A543,Sheet2!A:H,7,FALSE)</f>
        <v>145</v>
      </c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">
        <v>543</v>
      </c>
      <c r="B544" s="4" t="s">
        <v>38</v>
      </c>
      <c r="C544" s="4">
        <v>1</v>
      </c>
      <c r="D544" s="4">
        <v>0</v>
      </c>
      <c r="E544" s="4">
        <v>1</v>
      </c>
      <c r="F544" s="4">
        <v>18</v>
      </c>
      <c r="G544" s="4" t="b">
        <v>0</v>
      </c>
      <c r="H544" s="4">
        <v>1</v>
      </c>
      <c r="I544" s="4">
        <v>1</v>
      </c>
      <c r="J544" s="4">
        <v>0.14000000000000001</v>
      </c>
      <c r="K544" s="6" t="str">
        <f>IF(H544=0,"weekend",IF(H544=6,"weekend","weekend"))</f>
        <v>weekend</v>
      </c>
      <c r="L544" s="3" t="str">
        <f>IF(C544=1,"Spring",IF(C544=2,"Summer",IF(C544=3,"Fall","Winter")))</f>
        <v>Spring</v>
      </c>
      <c r="M544" s="3">
        <f>SUM(J544:J568)</f>
        <v>5.0799999999999992</v>
      </c>
      <c r="N544" s="3">
        <f>AVERAGE(J544:J1153)</f>
        <v>0.20352941176470579</v>
      </c>
      <c r="O544" s="3">
        <f>COUNT(J544:J1153)</f>
        <v>68</v>
      </c>
      <c r="P544" s="3" t="str">
        <f>TEXT(J544,"0.00")</f>
        <v>0.14</v>
      </c>
      <c r="Q544" s="3" t="str">
        <f>LEFT(L544,3)</f>
        <v>Spr</v>
      </c>
      <c r="R544" s="7" t="str">
        <f>RIGHT(L544,3)</f>
        <v>ing</v>
      </c>
      <c r="S544" s="8">
        <f>LEN(L544)</f>
        <v>6</v>
      </c>
      <c r="T544" s="36" t="str">
        <f>A544&amp;"|"&amp;B544&amp;"|"&amp;F544</f>
        <v>543|24-01-2011|18</v>
      </c>
      <c r="V544" s="32">
        <f>VLOOKUP(A544,Sheet2!A:H,3,FALSE)</f>
        <v>0.1515</v>
      </c>
      <c r="W544" s="32">
        <f>VLOOKUP(A544,Sheet2!A:H,4,FALSE)</f>
        <v>0.54</v>
      </c>
      <c r="X544" s="32">
        <f>VLOOKUP(A544,Sheet2!A:H,7,FALSE)</f>
        <v>101</v>
      </c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">
        <v>544</v>
      </c>
      <c r="B545" s="4" t="s">
        <v>38</v>
      </c>
      <c r="C545" s="4">
        <v>1</v>
      </c>
      <c r="D545" s="4">
        <v>0</v>
      </c>
      <c r="E545" s="4">
        <v>1</v>
      </c>
      <c r="F545" s="4">
        <v>19</v>
      </c>
      <c r="G545" s="4" t="b">
        <v>0</v>
      </c>
      <c r="H545" s="4">
        <v>1</v>
      </c>
      <c r="I545" s="4">
        <v>1</v>
      </c>
      <c r="J545" s="4">
        <v>0.14000000000000001</v>
      </c>
      <c r="K545" s="6" t="str">
        <f>IF(H545=0,"weekend",IF(H545=6,"weekend","weekend"))</f>
        <v>weekend</v>
      </c>
      <c r="L545" s="3" t="str">
        <f>IF(C545=1,"Spring",IF(C545=2,"Summer",IF(C545=3,"Fall","Winter")))</f>
        <v>Spring</v>
      </c>
      <c r="M545" s="3">
        <f>SUM(J545:J569)</f>
        <v>5.1799999999999988</v>
      </c>
      <c r="N545" s="3">
        <f>AVERAGE(J545:J1154)</f>
        <v>0.20447761194029843</v>
      </c>
      <c r="O545" s="3">
        <f>COUNT(J545:J1154)</f>
        <v>67</v>
      </c>
      <c r="P545" s="3" t="str">
        <f>TEXT(J545,"0.00")</f>
        <v>0.14</v>
      </c>
      <c r="Q545" s="3" t="str">
        <f>LEFT(L545,3)</f>
        <v>Spr</v>
      </c>
      <c r="R545" s="7" t="str">
        <f>RIGHT(L545,3)</f>
        <v>ing</v>
      </c>
      <c r="S545" s="8">
        <f>LEN(L545)</f>
        <v>6</v>
      </c>
      <c r="T545" s="36" t="str">
        <f>A545&amp;"|"&amp;B545&amp;"|"&amp;F545</f>
        <v>544|24-01-2011|19</v>
      </c>
      <c r="V545" s="32">
        <f>VLOOKUP(A545,Sheet2!A:H,3,FALSE)</f>
        <v>0.13639999999999999</v>
      </c>
      <c r="W545" s="32">
        <f>VLOOKUP(A545,Sheet2!A:H,4,FALSE)</f>
        <v>0.59</v>
      </c>
      <c r="X545" s="32">
        <f>VLOOKUP(A545,Sheet2!A:H,7,FALSE)</f>
        <v>80</v>
      </c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">
        <v>545</v>
      </c>
      <c r="B546" s="4" t="s">
        <v>38</v>
      </c>
      <c r="C546" s="4">
        <v>1</v>
      </c>
      <c r="D546" s="4">
        <v>0</v>
      </c>
      <c r="E546" s="4">
        <v>1</v>
      </c>
      <c r="F546" s="4">
        <v>20</v>
      </c>
      <c r="G546" s="4" t="b">
        <v>0</v>
      </c>
      <c r="H546" s="4">
        <v>1</v>
      </c>
      <c r="I546" s="4">
        <v>1</v>
      </c>
      <c r="J546" s="4">
        <v>0.14000000000000001</v>
      </c>
      <c r="K546" s="6" t="str">
        <f>IF(H546=0,"weekend",IF(H546=6,"weekend","weekend"))</f>
        <v>weekend</v>
      </c>
      <c r="L546" s="3" t="str">
        <f>IF(C546=1,"Spring",IF(C546=2,"Summer",IF(C546=3,"Fall","Winter")))</f>
        <v>Spring</v>
      </c>
      <c r="M546" s="3">
        <f>SUM(J546:J570)</f>
        <v>5.2799999999999994</v>
      </c>
      <c r="N546" s="3">
        <f>AVERAGE(J546:J1155)</f>
        <v>0.20545454545454536</v>
      </c>
      <c r="O546" s="3">
        <f>COUNT(J546:J1155)</f>
        <v>66</v>
      </c>
      <c r="P546" s="3" t="str">
        <f>TEXT(J546,"0.00")</f>
        <v>0.14</v>
      </c>
      <c r="Q546" s="3" t="str">
        <f>LEFT(L546,3)</f>
        <v>Spr</v>
      </c>
      <c r="R546" s="7" t="str">
        <f>RIGHT(L546,3)</f>
        <v>ing</v>
      </c>
      <c r="S546" s="8">
        <f>LEN(L546)</f>
        <v>6</v>
      </c>
      <c r="T546" s="36" t="str">
        <f>A546&amp;"|"&amp;B546&amp;"|"&amp;F546</f>
        <v>545|24-01-2011|20</v>
      </c>
      <c r="V546" s="32">
        <f>VLOOKUP(A546,Sheet2!A:H,3,FALSE)</f>
        <v>0.1515</v>
      </c>
      <c r="W546" s="32">
        <f>VLOOKUP(A546,Sheet2!A:H,4,FALSE)</f>
        <v>0.63</v>
      </c>
      <c r="X546" s="32">
        <f>VLOOKUP(A546,Sheet2!A:H,7,FALSE)</f>
        <v>53</v>
      </c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">
        <v>546</v>
      </c>
      <c r="B547" s="4" t="s">
        <v>38</v>
      </c>
      <c r="C547" s="4">
        <v>1</v>
      </c>
      <c r="D547" s="4">
        <v>0</v>
      </c>
      <c r="E547" s="4">
        <v>1</v>
      </c>
      <c r="F547" s="4">
        <v>21</v>
      </c>
      <c r="G547" s="4" t="b">
        <v>0</v>
      </c>
      <c r="H547" s="4">
        <v>1</v>
      </c>
      <c r="I547" s="4">
        <v>1</v>
      </c>
      <c r="J547" s="4">
        <v>0.14000000000000001</v>
      </c>
      <c r="K547" s="6" t="str">
        <f>IF(H547=0,"weekend",IF(H547=6,"weekend","weekend"))</f>
        <v>weekend</v>
      </c>
      <c r="L547" s="3" t="str">
        <f>IF(C547=1,"Spring",IF(C547=2,"Summer",IF(C547=3,"Fall","Winter")))</f>
        <v>Spring</v>
      </c>
      <c r="M547" s="3">
        <f>SUM(J547:J571)</f>
        <v>5.3599999999999985</v>
      </c>
      <c r="N547" s="3">
        <f>AVERAGE(J547:J1156)</f>
        <v>0.20646153846153836</v>
      </c>
      <c r="O547" s="3">
        <f>COUNT(J547:J1156)</f>
        <v>65</v>
      </c>
      <c r="P547" s="3" t="str">
        <f>TEXT(J547,"0.00")</f>
        <v>0.14</v>
      </c>
      <c r="Q547" s="3" t="str">
        <f>LEFT(L547,3)</f>
        <v>Spr</v>
      </c>
      <c r="R547" s="7" t="str">
        <f>RIGHT(L547,3)</f>
        <v>ing</v>
      </c>
      <c r="S547" s="8">
        <f>LEN(L547)</f>
        <v>6</v>
      </c>
      <c r="T547" s="36" t="str">
        <f>A547&amp;"|"&amp;B547&amp;"|"&amp;F547</f>
        <v>546|24-01-2011|21</v>
      </c>
      <c r="V547" s="32">
        <f>VLOOKUP(A547,Sheet2!A:H,3,FALSE)</f>
        <v>0.13639999999999999</v>
      </c>
      <c r="W547" s="32">
        <f>VLOOKUP(A547,Sheet2!A:H,4,FALSE)</f>
        <v>0.63</v>
      </c>
      <c r="X547" s="32">
        <f>VLOOKUP(A547,Sheet2!A:H,7,FALSE)</f>
        <v>32</v>
      </c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">
        <v>547</v>
      </c>
      <c r="B548" s="4" t="s">
        <v>38</v>
      </c>
      <c r="C548" s="4">
        <v>1</v>
      </c>
      <c r="D548" s="4">
        <v>0</v>
      </c>
      <c r="E548" s="4">
        <v>1</v>
      </c>
      <c r="F548" s="4">
        <v>22</v>
      </c>
      <c r="G548" s="4" t="b">
        <v>0</v>
      </c>
      <c r="H548" s="4">
        <v>1</v>
      </c>
      <c r="I548" s="4">
        <v>2</v>
      </c>
      <c r="J548" s="4">
        <v>0.14000000000000001</v>
      </c>
      <c r="K548" s="6" t="str">
        <f>IF(H548=0,"weekend",IF(H548=6,"weekend","weekend"))</f>
        <v>weekend</v>
      </c>
      <c r="L548" s="3" t="str">
        <f>IF(C548=1,"Spring",IF(C548=2,"Summer",IF(C548=3,"Fall","Winter")))</f>
        <v>Spring</v>
      </c>
      <c r="M548" s="3">
        <f>SUM(J548:J572)</f>
        <v>5.4399999999999986</v>
      </c>
      <c r="N548" s="3">
        <f>AVERAGE(J548:J1157)</f>
        <v>0.20749999999999988</v>
      </c>
      <c r="O548" s="3">
        <f>COUNT(J548:J1157)</f>
        <v>64</v>
      </c>
      <c r="P548" s="3" t="str">
        <f>TEXT(J548,"0.00")</f>
        <v>0.14</v>
      </c>
      <c r="Q548" s="3" t="str">
        <f>LEFT(L548,3)</f>
        <v>Spr</v>
      </c>
      <c r="R548" s="7" t="str">
        <f>RIGHT(L548,3)</f>
        <v>ing</v>
      </c>
      <c r="S548" s="8">
        <f>LEN(L548)</f>
        <v>6</v>
      </c>
      <c r="T548" s="36" t="str">
        <f>A548&amp;"|"&amp;B548&amp;"|"&amp;F548</f>
        <v>547|24-01-2011|22</v>
      </c>
      <c r="V548" s="32">
        <f>VLOOKUP(A548,Sheet2!A:H,3,FALSE)</f>
        <v>0.1515</v>
      </c>
      <c r="W548" s="32">
        <f>VLOOKUP(A548,Sheet2!A:H,4,FALSE)</f>
        <v>0.64</v>
      </c>
      <c r="X548" s="32">
        <f>VLOOKUP(A548,Sheet2!A:H,7,FALSE)</f>
        <v>21</v>
      </c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">
        <v>548</v>
      </c>
      <c r="B549" s="4" t="s">
        <v>38</v>
      </c>
      <c r="C549" s="4">
        <v>1</v>
      </c>
      <c r="D549" s="4">
        <v>0</v>
      </c>
      <c r="E549" s="4">
        <v>1</v>
      </c>
      <c r="F549" s="4">
        <v>23</v>
      </c>
      <c r="G549" s="4" t="b">
        <v>0</v>
      </c>
      <c r="H549" s="4">
        <v>1</v>
      </c>
      <c r="I549" s="4">
        <v>2</v>
      </c>
      <c r="J549" s="4">
        <v>0.16</v>
      </c>
      <c r="K549" s="6" t="str">
        <f>IF(H549=0,"weekend",IF(H549=6,"weekend","weekend"))</f>
        <v>weekend</v>
      </c>
      <c r="L549" s="3" t="str">
        <f>IF(C549=1,"Spring",IF(C549=2,"Summer",IF(C549=3,"Fall","Winter")))</f>
        <v>Spring</v>
      </c>
      <c r="M549" s="3">
        <f>SUM(J549:J573)</f>
        <v>5.5199999999999978</v>
      </c>
      <c r="N549" s="3">
        <f>AVERAGE(J549:J1158)</f>
        <v>0.20857142857142844</v>
      </c>
      <c r="O549" s="3">
        <f>COUNT(J549:J1158)</f>
        <v>63</v>
      </c>
      <c r="P549" s="3" t="str">
        <f>TEXT(J549,"0.00")</f>
        <v>0.16</v>
      </c>
      <c r="Q549" s="3" t="str">
        <f>LEFT(L549,3)</f>
        <v>Spr</v>
      </c>
      <c r="R549" s="7" t="str">
        <f>RIGHT(L549,3)</f>
        <v>ing</v>
      </c>
      <c r="S549" s="8">
        <f>LEN(L549)</f>
        <v>6</v>
      </c>
      <c r="T549" s="36" t="str">
        <f>A549&amp;"|"&amp;B549&amp;"|"&amp;F549</f>
        <v>548|24-01-2011|23</v>
      </c>
      <c r="V549" s="32">
        <f>VLOOKUP(A549,Sheet2!A:H,3,FALSE)</f>
        <v>0.13639999999999999</v>
      </c>
      <c r="W549" s="32">
        <f>VLOOKUP(A549,Sheet2!A:H,4,FALSE)</f>
        <v>0.69</v>
      </c>
      <c r="X549" s="32">
        <f>VLOOKUP(A549,Sheet2!A:H,7,FALSE)</f>
        <v>6</v>
      </c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">
        <v>549</v>
      </c>
      <c r="B550" s="4" t="s">
        <v>39</v>
      </c>
      <c r="C550" s="4">
        <v>1</v>
      </c>
      <c r="D550" s="4">
        <v>0</v>
      </c>
      <c r="E550" s="4">
        <v>1</v>
      </c>
      <c r="F550" s="4">
        <v>0</v>
      </c>
      <c r="G550" s="4" t="b">
        <v>0</v>
      </c>
      <c r="H550" s="4">
        <v>2</v>
      </c>
      <c r="I550" s="4">
        <v>2</v>
      </c>
      <c r="J550" s="4">
        <v>0.16</v>
      </c>
      <c r="K550" s="6" t="str">
        <f>IF(H550=0,"weekend",IF(H550=6,"weekend","weekend"))</f>
        <v>weekend</v>
      </c>
      <c r="L550" s="3" t="str">
        <f>IF(C550=1,"Spring",IF(C550=2,"Summer",IF(C550=3,"Fall","Winter")))</f>
        <v>Spring</v>
      </c>
      <c r="M550" s="3">
        <f>SUM(J550:J574)</f>
        <v>5.5999999999999988</v>
      </c>
      <c r="N550" s="3">
        <f>AVERAGE(J550:J1159)</f>
        <v>0.20935483870967728</v>
      </c>
      <c r="O550" s="3">
        <f>COUNT(J550:J1159)</f>
        <v>62</v>
      </c>
      <c r="P550" s="3" t="str">
        <f>TEXT(J550,"0.00")</f>
        <v>0.16</v>
      </c>
      <c r="Q550" s="3" t="str">
        <f>LEFT(L550,3)</f>
        <v>Spr</v>
      </c>
      <c r="R550" s="7" t="str">
        <f>RIGHT(L550,3)</f>
        <v>ing</v>
      </c>
      <c r="S550" s="8">
        <f>LEN(L550)</f>
        <v>6</v>
      </c>
      <c r="T550" s="36" t="str">
        <f>A550&amp;"|"&amp;B550&amp;"|"&amp;F550</f>
        <v>549|25-01-2011|0</v>
      </c>
      <c r="V550" s="32">
        <f>VLOOKUP(A550,Sheet2!A:H,3,FALSE)</f>
        <v>0.16669999999999999</v>
      </c>
      <c r="W550" s="32">
        <f>VLOOKUP(A550,Sheet2!A:H,4,FALSE)</f>
        <v>0.69</v>
      </c>
      <c r="X550" s="32">
        <f>VLOOKUP(A550,Sheet2!A:H,7,FALSE)</f>
        <v>5</v>
      </c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">
        <v>550</v>
      </c>
      <c r="B551" s="4" t="s">
        <v>39</v>
      </c>
      <c r="C551" s="4">
        <v>1</v>
      </c>
      <c r="D551" s="4">
        <v>0</v>
      </c>
      <c r="E551" s="4">
        <v>1</v>
      </c>
      <c r="F551" s="4">
        <v>1</v>
      </c>
      <c r="G551" s="4" t="b">
        <v>0</v>
      </c>
      <c r="H551" s="4">
        <v>2</v>
      </c>
      <c r="I551" s="4">
        <v>2</v>
      </c>
      <c r="J551" s="4">
        <v>0.16</v>
      </c>
      <c r="K551" s="6" t="str">
        <f>IF(H551=0,"weekend",IF(H551=6,"weekend","weekend"))</f>
        <v>weekend</v>
      </c>
      <c r="L551" s="3" t="str">
        <f>IF(C551=1,"Spring",IF(C551=2,"Summer",IF(C551=3,"Fall","Winter")))</f>
        <v>Spring</v>
      </c>
      <c r="M551" s="3">
        <f>SUM(J551:J575)</f>
        <v>5.6599999999999984</v>
      </c>
      <c r="N551" s="3">
        <f>AVERAGE(J551:J1160)</f>
        <v>0.21016393442622935</v>
      </c>
      <c r="O551" s="3">
        <f>COUNT(J551:J1160)</f>
        <v>61</v>
      </c>
      <c r="P551" s="3" t="str">
        <f>TEXT(J551,"0.00")</f>
        <v>0.16</v>
      </c>
      <c r="Q551" s="3" t="str">
        <f>LEFT(L551,3)</f>
        <v>Spr</v>
      </c>
      <c r="R551" s="7" t="str">
        <f>RIGHT(L551,3)</f>
        <v>ing</v>
      </c>
      <c r="S551" s="8">
        <f>LEN(L551)</f>
        <v>6</v>
      </c>
      <c r="T551" s="36" t="str">
        <f>A551&amp;"|"&amp;B551&amp;"|"&amp;F551</f>
        <v>550|25-01-2011|1</v>
      </c>
      <c r="V551" s="32">
        <f>VLOOKUP(A551,Sheet2!A:H,3,FALSE)</f>
        <v>0.1515</v>
      </c>
      <c r="W551" s="32">
        <f>VLOOKUP(A551,Sheet2!A:H,4,FALSE)</f>
        <v>0.69</v>
      </c>
      <c r="X551" s="32">
        <f>VLOOKUP(A551,Sheet2!A:H,7,FALSE)</f>
        <v>2</v>
      </c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">
        <v>551</v>
      </c>
      <c r="B552" s="4" t="s">
        <v>39</v>
      </c>
      <c r="C552" s="4">
        <v>1</v>
      </c>
      <c r="D552" s="4">
        <v>0</v>
      </c>
      <c r="E552" s="4">
        <v>1</v>
      </c>
      <c r="F552" s="4">
        <v>2</v>
      </c>
      <c r="G552" s="4" t="b">
        <v>0</v>
      </c>
      <c r="H552" s="4">
        <v>2</v>
      </c>
      <c r="I552" s="4">
        <v>1</v>
      </c>
      <c r="J552" s="4">
        <v>0.16</v>
      </c>
      <c r="K552" s="6" t="str">
        <f>IF(H552=0,"weekend",IF(H552=6,"weekend","weekend"))</f>
        <v>weekend</v>
      </c>
      <c r="L552" s="3" t="str">
        <f>IF(C552=1,"Spring",IF(C552=2,"Summer",IF(C552=3,"Fall","Winter")))</f>
        <v>Spring</v>
      </c>
      <c r="M552" s="3">
        <f>SUM(J552:J576)</f>
        <v>5.6999999999999993</v>
      </c>
      <c r="N552" s="3">
        <f>AVERAGE(J552:J1161)</f>
        <v>0.21099999999999985</v>
      </c>
      <c r="O552" s="3">
        <f>COUNT(J552:J1161)</f>
        <v>60</v>
      </c>
      <c r="P552" s="3" t="str">
        <f>TEXT(J552,"0.00")</f>
        <v>0.16</v>
      </c>
      <c r="Q552" s="3" t="str">
        <f>LEFT(L552,3)</f>
        <v>Spr</v>
      </c>
      <c r="R552" s="7" t="str">
        <f>RIGHT(L552,3)</f>
        <v>ing</v>
      </c>
      <c r="S552" s="8">
        <f>LEN(L552)</f>
        <v>6</v>
      </c>
      <c r="T552" s="36" t="str">
        <f>A552&amp;"|"&amp;B552&amp;"|"&amp;F552</f>
        <v>551|25-01-2011|2</v>
      </c>
      <c r="V552" s="32">
        <f>VLOOKUP(A552,Sheet2!A:H,3,FALSE)</f>
        <v>0.16669999999999999</v>
      </c>
      <c r="W552" s="32">
        <f>VLOOKUP(A552,Sheet2!A:H,4,FALSE)</f>
        <v>0.74</v>
      </c>
      <c r="X552" s="32">
        <f>VLOOKUP(A552,Sheet2!A:H,7,FALSE)</f>
        <v>1</v>
      </c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">
        <v>552</v>
      </c>
      <c r="B553" s="4" t="s">
        <v>39</v>
      </c>
      <c r="C553" s="4">
        <v>1</v>
      </c>
      <c r="D553" s="4">
        <v>0</v>
      </c>
      <c r="E553" s="4">
        <v>1</v>
      </c>
      <c r="F553" s="4">
        <v>4</v>
      </c>
      <c r="G553" s="4" t="b">
        <v>0</v>
      </c>
      <c r="H553" s="4">
        <v>2</v>
      </c>
      <c r="I553" s="4">
        <v>1</v>
      </c>
      <c r="J553" s="4">
        <v>0.14000000000000001</v>
      </c>
      <c r="K553" s="6" t="str">
        <f>IF(H553=0,"weekend",IF(H553=6,"weekend","weekend"))</f>
        <v>weekend</v>
      </c>
      <c r="L553" s="3" t="str">
        <f>IF(C553=1,"Spring",IF(C553=2,"Summer",IF(C553=3,"Fall","Winter")))</f>
        <v>Spring</v>
      </c>
      <c r="M553" s="3">
        <f>SUM(J553:J577)</f>
        <v>5.7399999999999993</v>
      </c>
      <c r="N553" s="3">
        <f>AVERAGE(J553:J1162)</f>
        <v>0.21186440677966087</v>
      </c>
      <c r="O553" s="3">
        <f>COUNT(J553:J1162)</f>
        <v>59</v>
      </c>
      <c r="P553" s="3" t="str">
        <f>TEXT(J553,"0.00")</f>
        <v>0.14</v>
      </c>
      <c r="Q553" s="3" t="str">
        <f>LEFT(L553,3)</f>
        <v>Spr</v>
      </c>
      <c r="R553" s="7" t="str">
        <f>RIGHT(L553,3)</f>
        <v>ing</v>
      </c>
      <c r="S553" s="8">
        <f>LEN(L553)</f>
        <v>6</v>
      </c>
      <c r="T553" s="36" t="str">
        <f>A553&amp;"|"&amp;B553&amp;"|"&amp;F553</f>
        <v>552|25-01-2011|4</v>
      </c>
      <c r="V553" s="32">
        <f>VLOOKUP(A553,Sheet2!A:H,3,FALSE)</f>
        <v>0.13639999999999999</v>
      </c>
      <c r="W553" s="32">
        <f>VLOOKUP(A553,Sheet2!A:H,4,FALSE)</f>
        <v>0.74</v>
      </c>
      <c r="X553" s="32">
        <f>VLOOKUP(A553,Sheet2!A:H,7,FALSE)</f>
        <v>9</v>
      </c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">
        <v>553</v>
      </c>
      <c r="B554" s="4" t="s">
        <v>39</v>
      </c>
      <c r="C554" s="4">
        <v>1</v>
      </c>
      <c r="D554" s="4">
        <v>0</v>
      </c>
      <c r="E554" s="4">
        <v>1</v>
      </c>
      <c r="F554" s="4">
        <v>5</v>
      </c>
      <c r="G554" s="4" t="b">
        <v>0</v>
      </c>
      <c r="H554" s="4">
        <v>2</v>
      </c>
      <c r="I554" s="4">
        <v>1</v>
      </c>
      <c r="J554" s="4">
        <v>0.14000000000000001</v>
      </c>
      <c r="K554" s="6" t="str">
        <f>IF(H554=0,"weekend",IF(H554=6,"weekend","weekend"))</f>
        <v>weekend</v>
      </c>
      <c r="L554" s="3" t="str">
        <f>IF(C554=1,"Spring",IF(C554=2,"Summer",IF(C554=3,"Fall","Winter")))</f>
        <v>Spring</v>
      </c>
      <c r="M554" s="3">
        <f>SUM(J554:J578)</f>
        <v>5.8199999999999994</v>
      </c>
      <c r="N554" s="3">
        <f>AVERAGE(J554:J1163)</f>
        <v>0.21310344827586192</v>
      </c>
      <c r="O554" s="3">
        <f>COUNT(J554:J1163)</f>
        <v>58</v>
      </c>
      <c r="P554" s="3" t="str">
        <f>TEXT(J554,"0.00")</f>
        <v>0.14</v>
      </c>
      <c r="Q554" s="3" t="str">
        <f>LEFT(L554,3)</f>
        <v>Spr</v>
      </c>
      <c r="R554" s="7" t="str">
        <f>RIGHT(L554,3)</f>
        <v>ing</v>
      </c>
      <c r="S554" s="8">
        <f>LEN(L554)</f>
        <v>6</v>
      </c>
      <c r="T554" s="36" t="str">
        <f>A554&amp;"|"&amp;B554&amp;"|"&amp;F554</f>
        <v>553|25-01-2011|5</v>
      </c>
      <c r="V554" s="32">
        <f>VLOOKUP(A554,Sheet2!A:H,3,FALSE)</f>
        <v>0.18179999999999999</v>
      </c>
      <c r="W554" s="32">
        <f>VLOOKUP(A554,Sheet2!A:H,4,FALSE)</f>
        <v>0.74</v>
      </c>
      <c r="X554" s="32">
        <f>VLOOKUP(A554,Sheet2!A:H,7,FALSE)</f>
        <v>35</v>
      </c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">
        <v>554</v>
      </c>
      <c r="B555" s="4" t="s">
        <v>39</v>
      </c>
      <c r="C555" s="4">
        <v>1</v>
      </c>
      <c r="D555" s="4">
        <v>0</v>
      </c>
      <c r="E555" s="4">
        <v>1</v>
      </c>
      <c r="F555" s="4">
        <v>6</v>
      </c>
      <c r="G555" s="4" t="b">
        <v>0</v>
      </c>
      <c r="H555" s="4">
        <v>2</v>
      </c>
      <c r="I555" s="4">
        <v>1</v>
      </c>
      <c r="J555" s="4">
        <v>0.16</v>
      </c>
      <c r="K555" s="6" t="str">
        <f>IF(H555=0,"weekend",IF(H555=6,"weekend","weekend"))</f>
        <v>weekend</v>
      </c>
      <c r="L555" s="3" t="str">
        <f>IF(C555=1,"Spring",IF(C555=2,"Summer",IF(C555=3,"Fall","Winter")))</f>
        <v>Spring</v>
      </c>
      <c r="M555" s="3">
        <f>SUM(J555:J579)</f>
        <v>5.8999999999999986</v>
      </c>
      <c r="N555" s="3">
        <f>AVERAGE(J555:J1164)</f>
        <v>0.21438596491228051</v>
      </c>
      <c r="O555" s="3">
        <f>COUNT(J555:J1164)</f>
        <v>57</v>
      </c>
      <c r="P555" s="3" t="str">
        <f>TEXT(J555,"0.00")</f>
        <v>0.16</v>
      </c>
      <c r="Q555" s="3" t="str">
        <f>LEFT(L555,3)</f>
        <v>Spr</v>
      </c>
      <c r="R555" s="7" t="str">
        <f>RIGHT(L555,3)</f>
        <v>ing</v>
      </c>
      <c r="S555" s="8">
        <f>LEN(L555)</f>
        <v>6</v>
      </c>
      <c r="T555" s="36" t="str">
        <f>A555&amp;"|"&amp;B555&amp;"|"&amp;F555</f>
        <v>554|25-01-2011|6</v>
      </c>
      <c r="V555" s="32">
        <f>VLOOKUP(A555,Sheet2!A:H,3,FALSE)</f>
        <v>0.1515</v>
      </c>
      <c r="W555" s="32">
        <f>VLOOKUP(A555,Sheet2!A:H,4,FALSE)</f>
        <v>0.74</v>
      </c>
      <c r="X555" s="32">
        <f>VLOOKUP(A555,Sheet2!A:H,7,FALSE)</f>
        <v>103</v>
      </c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">
        <v>555</v>
      </c>
      <c r="B556" s="4" t="s">
        <v>39</v>
      </c>
      <c r="C556" s="4">
        <v>1</v>
      </c>
      <c r="D556" s="4">
        <v>0</v>
      </c>
      <c r="E556" s="4">
        <v>1</v>
      </c>
      <c r="F556" s="4">
        <v>7</v>
      </c>
      <c r="G556" s="4" t="b">
        <v>0</v>
      </c>
      <c r="H556" s="4">
        <v>2</v>
      </c>
      <c r="I556" s="4">
        <v>1</v>
      </c>
      <c r="J556" s="4">
        <v>0.16</v>
      </c>
      <c r="K556" s="6" t="str">
        <f>IF(H556=0,"weekend",IF(H556=6,"weekend","weekend"))</f>
        <v>weekend</v>
      </c>
      <c r="L556" s="3" t="str">
        <f>IF(C556=1,"Spring",IF(C556=2,"Summer",IF(C556=3,"Fall","Winter")))</f>
        <v>Spring</v>
      </c>
      <c r="M556" s="3">
        <f>SUM(J556:J580)</f>
        <v>5.9599999999999991</v>
      </c>
      <c r="N556" s="3">
        <f>AVERAGE(J556:J1165)</f>
        <v>0.21535714285714266</v>
      </c>
      <c r="O556" s="3">
        <f>COUNT(J556:J1165)</f>
        <v>56</v>
      </c>
      <c r="P556" s="3" t="str">
        <f>TEXT(J556,"0.00")</f>
        <v>0.16</v>
      </c>
      <c r="Q556" s="3" t="str">
        <f>LEFT(L556,3)</f>
        <v>Spr</v>
      </c>
      <c r="R556" s="7" t="str">
        <f>RIGHT(L556,3)</f>
        <v>ing</v>
      </c>
      <c r="S556" s="8">
        <f>LEN(L556)</f>
        <v>6</v>
      </c>
      <c r="T556" s="36" t="str">
        <f>A556&amp;"|"&amp;B556&amp;"|"&amp;F556</f>
        <v>555|25-01-2011|7</v>
      </c>
      <c r="V556" s="32">
        <f>VLOOKUP(A556,Sheet2!A:H,3,FALSE)</f>
        <v>0.18179999999999999</v>
      </c>
      <c r="W556" s="32">
        <f>VLOOKUP(A556,Sheet2!A:H,4,FALSE)</f>
        <v>0.74</v>
      </c>
      <c r="X556" s="32">
        <f>VLOOKUP(A556,Sheet2!A:H,7,FALSE)</f>
        <v>233</v>
      </c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">
        <v>556</v>
      </c>
      <c r="B557" s="4" t="s">
        <v>39</v>
      </c>
      <c r="C557" s="4">
        <v>1</v>
      </c>
      <c r="D557" s="4">
        <v>0</v>
      </c>
      <c r="E557" s="4">
        <v>1</v>
      </c>
      <c r="F557" s="4">
        <v>8</v>
      </c>
      <c r="G557" s="4" t="b">
        <v>0</v>
      </c>
      <c r="H557" s="4">
        <v>2</v>
      </c>
      <c r="I557" s="4">
        <v>2</v>
      </c>
      <c r="J557" s="4">
        <v>0.16</v>
      </c>
      <c r="K557" s="6" t="str">
        <f>IF(H557=0,"weekend",IF(H557=6,"weekend","weekend"))</f>
        <v>weekend</v>
      </c>
      <c r="L557" s="3" t="str">
        <f>IF(C557=1,"Spring",IF(C557=2,"Summer",IF(C557=3,"Fall","Winter")))</f>
        <v>Spring</v>
      </c>
      <c r="M557" s="3">
        <f>SUM(J557:J581)</f>
        <v>6.02</v>
      </c>
      <c r="N557" s="3">
        <f>AVERAGE(J557:J1166)</f>
        <v>0.2163636363636362</v>
      </c>
      <c r="O557" s="3">
        <f>COUNT(J557:J1166)</f>
        <v>55</v>
      </c>
      <c r="P557" s="3" t="str">
        <f>TEXT(J557,"0.00")</f>
        <v>0.16</v>
      </c>
      <c r="Q557" s="3" t="str">
        <f>LEFT(L557,3)</f>
        <v>Spr</v>
      </c>
      <c r="R557" s="7" t="str">
        <f>RIGHT(L557,3)</f>
        <v>ing</v>
      </c>
      <c r="S557" s="8">
        <f>LEN(L557)</f>
        <v>6</v>
      </c>
      <c r="T557" s="36" t="str">
        <f>A557&amp;"|"&amp;B557&amp;"|"&amp;F557</f>
        <v>556|25-01-2011|8</v>
      </c>
      <c r="V557" s="32">
        <f>VLOOKUP(A557,Sheet2!A:H,3,FALSE)</f>
        <v>0.2273</v>
      </c>
      <c r="W557" s="32">
        <f>VLOOKUP(A557,Sheet2!A:H,4,FALSE)</f>
        <v>0.64</v>
      </c>
      <c r="X557" s="32">
        <f>VLOOKUP(A557,Sheet2!A:H,7,FALSE)</f>
        <v>134</v>
      </c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">
        <v>557</v>
      </c>
      <c r="B558" s="4" t="s">
        <v>39</v>
      </c>
      <c r="C558" s="4">
        <v>1</v>
      </c>
      <c r="D558" s="4">
        <v>0</v>
      </c>
      <c r="E558" s="4">
        <v>1</v>
      </c>
      <c r="F558" s="4">
        <v>9</v>
      </c>
      <c r="G558" s="4" t="b">
        <v>0</v>
      </c>
      <c r="H558" s="4">
        <v>2</v>
      </c>
      <c r="I558" s="4">
        <v>2</v>
      </c>
      <c r="J558" s="4">
        <v>0.2</v>
      </c>
      <c r="K558" s="6" t="str">
        <f>IF(H558=0,"weekend",IF(H558=6,"weekend","weekend"))</f>
        <v>weekend</v>
      </c>
      <c r="L558" s="3" t="str">
        <f>IF(C558=1,"Spring",IF(C558=2,"Summer",IF(C558=3,"Fall","Winter")))</f>
        <v>Spring</v>
      </c>
      <c r="M558" s="3">
        <f>SUM(J558:J582)</f>
        <v>6.0799999999999992</v>
      </c>
      <c r="N558" s="3">
        <f>AVERAGE(J558:J1167)</f>
        <v>0.21740740740740724</v>
      </c>
      <c r="O558" s="3">
        <f>COUNT(J558:J1167)</f>
        <v>54</v>
      </c>
      <c r="P558" s="3" t="str">
        <f>TEXT(J558,"0.00")</f>
        <v>0.20</v>
      </c>
      <c r="Q558" s="3" t="str">
        <f>LEFT(L558,3)</f>
        <v>Spr</v>
      </c>
      <c r="R558" s="7" t="str">
        <f>RIGHT(L558,3)</f>
        <v>ing</v>
      </c>
      <c r="S558" s="8">
        <f>LEN(L558)</f>
        <v>6</v>
      </c>
      <c r="T558" s="36" t="str">
        <f>A558&amp;"|"&amp;B558&amp;"|"&amp;F558</f>
        <v>557|25-01-2011|9</v>
      </c>
      <c r="V558" s="32">
        <f>VLOOKUP(A558,Sheet2!A:H,3,FALSE)</f>
        <v>0.2424</v>
      </c>
      <c r="W558" s="32">
        <f>VLOOKUP(A558,Sheet2!A:H,4,FALSE)</f>
        <v>0.6</v>
      </c>
      <c r="X558" s="32">
        <f>VLOOKUP(A558,Sheet2!A:H,7,FALSE)</f>
        <v>49</v>
      </c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">
        <v>558</v>
      </c>
      <c r="B559" s="4" t="s">
        <v>39</v>
      </c>
      <c r="C559" s="4">
        <v>1</v>
      </c>
      <c r="D559" s="4">
        <v>0</v>
      </c>
      <c r="E559" s="4">
        <v>1</v>
      </c>
      <c r="F559" s="4">
        <v>10</v>
      </c>
      <c r="G559" s="4" t="b">
        <v>0</v>
      </c>
      <c r="H559" s="4">
        <v>2</v>
      </c>
      <c r="I559" s="4">
        <v>2</v>
      </c>
      <c r="J559" s="4">
        <v>0.22</v>
      </c>
      <c r="K559" s="6" t="str">
        <f>IF(H559=0,"weekend",IF(H559=6,"weekend","weekend"))</f>
        <v>weekend</v>
      </c>
      <c r="L559" s="3" t="str">
        <f>IF(C559=1,"Spring",IF(C559=2,"Summer",IF(C559=3,"Fall","Winter")))</f>
        <v>Spring</v>
      </c>
      <c r="M559" s="3">
        <f>SUM(J559:J583)</f>
        <v>6.1</v>
      </c>
      <c r="N559" s="3">
        <f>AVERAGE(J559:J1168)</f>
        <v>0.21773584905660362</v>
      </c>
      <c r="O559" s="3">
        <f>COUNT(J559:J1168)</f>
        <v>53</v>
      </c>
      <c r="P559" s="3" t="str">
        <f>TEXT(J559,"0.00")</f>
        <v>0.22</v>
      </c>
      <c r="Q559" s="3" t="str">
        <f>LEFT(L559,3)</f>
        <v>Spr</v>
      </c>
      <c r="R559" s="7" t="str">
        <f>RIGHT(L559,3)</f>
        <v>ing</v>
      </c>
      <c r="S559" s="8">
        <f>LEN(L559)</f>
        <v>6</v>
      </c>
      <c r="T559" s="36" t="str">
        <f>A559&amp;"|"&amp;B559&amp;"|"&amp;F559</f>
        <v>558|25-01-2011|10</v>
      </c>
      <c r="V559" s="32">
        <f>VLOOKUP(A559,Sheet2!A:H,3,FALSE)</f>
        <v>0.2424</v>
      </c>
      <c r="W559" s="32">
        <f>VLOOKUP(A559,Sheet2!A:H,4,FALSE)</f>
        <v>0.6</v>
      </c>
      <c r="X559" s="32">
        <f>VLOOKUP(A559,Sheet2!A:H,7,FALSE)</f>
        <v>55</v>
      </c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">
        <v>559</v>
      </c>
      <c r="B560" s="4" t="s">
        <v>39</v>
      </c>
      <c r="C560" s="4">
        <v>1</v>
      </c>
      <c r="D560" s="4">
        <v>0</v>
      </c>
      <c r="E560" s="4">
        <v>1</v>
      </c>
      <c r="F560" s="4">
        <v>11</v>
      </c>
      <c r="G560" s="4" t="b">
        <v>0</v>
      </c>
      <c r="H560" s="4">
        <v>2</v>
      </c>
      <c r="I560" s="4">
        <v>2</v>
      </c>
      <c r="J560" s="4">
        <v>0.24</v>
      </c>
      <c r="K560" s="6" t="str">
        <f>IF(H560=0,"weekend",IF(H560=6,"weekend","weekend"))</f>
        <v>weekend</v>
      </c>
      <c r="L560" s="3" t="str">
        <f>IF(C560=1,"Spring",IF(C560=2,"Summer",IF(C560=3,"Fall","Winter")))</f>
        <v>Spring</v>
      </c>
      <c r="M560" s="3">
        <f>SUM(J560:J584)</f>
        <v>6.0999999999999988</v>
      </c>
      <c r="N560" s="3">
        <f>AVERAGE(J560:J1169)</f>
        <v>0.21769230769230757</v>
      </c>
      <c r="O560" s="3">
        <f>COUNT(J560:J1169)</f>
        <v>52</v>
      </c>
      <c r="P560" s="3" t="str">
        <f>TEXT(J560,"0.00")</f>
        <v>0.24</v>
      </c>
      <c r="Q560" s="3" t="str">
        <f>LEFT(L560,3)</f>
        <v>Spr</v>
      </c>
      <c r="R560" s="7" t="str">
        <f>RIGHT(L560,3)</f>
        <v>ing</v>
      </c>
      <c r="S560" s="8">
        <f>LEN(L560)</f>
        <v>6</v>
      </c>
      <c r="T560" s="36" t="str">
        <f>A560&amp;"|"&amp;B560&amp;"|"&amp;F560</f>
        <v>559|25-01-2011|11</v>
      </c>
      <c r="V560" s="32">
        <f>VLOOKUP(A560,Sheet2!A:H,3,FALSE)</f>
        <v>0.28789999999999999</v>
      </c>
      <c r="W560" s="32">
        <f>VLOOKUP(A560,Sheet2!A:H,4,FALSE)</f>
        <v>0.56000000000000005</v>
      </c>
      <c r="X560" s="32">
        <f>VLOOKUP(A560,Sheet2!A:H,7,FALSE)</f>
        <v>85</v>
      </c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">
        <v>560</v>
      </c>
      <c r="B561" s="4" t="s">
        <v>39</v>
      </c>
      <c r="C561" s="4">
        <v>1</v>
      </c>
      <c r="D561" s="4">
        <v>0</v>
      </c>
      <c r="E561" s="4">
        <v>1</v>
      </c>
      <c r="F561" s="4">
        <v>12</v>
      </c>
      <c r="G561" s="4" t="b">
        <v>0</v>
      </c>
      <c r="H561" s="4">
        <v>2</v>
      </c>
      <c r="I561" s="4">
        <v>2</v>
      </c>
      <c r="J561" s="4">
        <v>0.26</v>
      </c>
      <c r="K561" s="6" t="str">
        <f>IF(H561=0,"weekend",IF(H561=6,"weekend","weekend"))</f>
        <v>weekend</v>
      </c>
      <c r="L561" s="3" t="str">
        <f>IF(C561=1,"Spring",IF(C561=2,"Summer",IF(C561=3,"Fall","Winter")))</f>
        <v>Spring</v>
      </c>
      <c r="M561" s="3">
        <f>SUM(J561:J585)</f>
        <v>6.0799999999999992</v>
      </c>
      <c r="N561" s="3">
        <f>AVERAGE(J561:J1170)</f>
        <v>0.21725490196078417</v>
      </c>
      <c r="O561" s="3">
        <f>COUNT(J561:J1170)</f>
        <v>51</v>
      </c>
      <c r="P561" s="3" t="str">
        <f>TEXT(J561,"0.00")</f>
        <v>0.26</v>
      </c>
      <c r="Q561" s="3" t="str">
        <f>LEFT(L561,3)</f>
        <v>Spr</v>
      </c>
      <c r="R561" s="7" t="str">
        <f>RIGHT(L561,3)</f>
        <v>ing</v>
      </c>
      <c r="S561" s="8">
        <f>LEN(L561)</f>
        <v>6</v>
      </c>
      <c r="T561" s="36" t="str">
        <f>A561&amp;"|"&amp;B561&amp;"|"&amp;F561</f>
        <v>560|25-01-2011|12</v>
      </c>
      <c r="V561" s="32">
        <f>VLOOKUP(A561,Sheet2!A:H,3,FALSE)</f>
        <v>0.2727</v>
      </c>
      <c r="W561" s="32">
        <f>VLOOKUP(A561,Sheet2!A:H,4,FALSE)</f>
        <v>0.56000000000000005</v>
      </c>
      <c r="X561" s="32">
        <f>VLOOKUP(A561,Sheet2!A:H,7,FALSE)</f>
        <v>72</v>
      </c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">
        <v>561</v>
      </c>
      <c r="B562" s="4" t="s">
        <v>39</v>
      </c>
      <c r="C562" s="4">
        <v>1</v>
      </c>
      <c r="D562" s="4">
        <v>0</v>
      </c>
      <c r="E562" s="4">
        <v>1</v>
      </c>
      <c r="F562" s="4">
        <v>13</v>
      </c>
      <c r="G562" s="4" t="b">
        <v>0</v>
      </c>
      <c r="H562" s="4">
        <v>2</v>
      </c>
      <c r="I562" s="4">
        <v>2</v>
      </c>
      <c r="J562" s="4">
        <v>0.26</v>
      </c>
      <c r="K562" s="6" t="str">
        <f>IF(H562=0,"weekend",IF(H562=6,"weekend","weekend"))</f>
        <v>weekend</v>
      </c>
      <c r="L562" s="3" t="str">
        <f>IF(C562=1,"Spring",IF(C562=2,"Summer",IF(C562=3,"Fall","Winter")))</f>
        <v>Spring</v>
      </c>
      <c r="M562" s="3">
        <f>SUM(J562:J586)</f>
        <v>6.0399999999999991</v>
      </c>
      <c r="N562" s="3">
        <f>AVERAGE(J562:J1171)</f>
        <v>0.21639999999999987</v>
      </c>
      <c r="O562" s="3">
        <f>COUNT(J562:J1171)</f>
        <v>50</v>
      </c>
      <c r="P562" s="3" t="str">
        <f>TEXT(J562,"0.00")</f>
        <v>0.26</v>
      </c>
      <c r="Q562" s="3" t="str">
        <f>LEFT(L562,3)</f>
        <v>Spr</v>
      </c>
      <c r="R562" s="7" t="str">
        <f>RIGHT(L562,3)</f>
        <v>ing</v>
      </c>
      <c r="S562" s="8">
        <f>LEN(L562)</f>
        <v>6</v>
      </c>
      <c r="T562" s="36" t="str">
        <f>A562&amp;"|"&amp;B562&amp;"|"&amp;F562</f>
        <v>561|25-01-2011|13</v>
      </c>
      <c r="V562" s="32">
        <f>VLOOKUP(A562,Sheet2!A:H,3,FALSE)</f>
        <v>0.33329999999999999</v>
      </c>
      <c r="W562" s="32">
        <f>VLOOKUP(A562,Sheet2!A:H,4,FALSE)</f>
        <v>0.45</v>
      </c>
      <c r="X562" s="32">
        <f>VLOOKUP(A562,Sheet2!A:H,7,FALSE)</f>
        <v>57</v>
      </c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">
        <v>562</v>
      </c>
      <c r="B563" s="4" t="s">
        <v>39</v>
      </c>
      <c r="C563" s="4">
        <v>1</v>
      </c>
      <c r="D563" s="4">
        <v>0</v>
      </c>
      <c r="E563" s="4">
        <v>1</v>
      </c>
      <c r="F563" s="4">
        <v>14</v>
      </c>
      <c r="G563" s="4" t="b">
        <v>0</v>
      </c>
      <c r="H563" s="4">
        <v>2</v>
      </c>
      <c r="I563" s="4">
        <v>2</v>
      </c>
      <c r="J563" s="4">
        <v>0.3</v>
      </c>
      <c r="K563" s="6" t="str">
        <f>IF(H563=0,"weekend",IF(H563=6,"weekend","weekend"))</f>
        <v>weekend</v>
      </c>
      <c r="L563" s="3" t="str">
        <f>IF(C563=1,"Spring",IF(C563=2,"Summer",IF(C563=3,"Fall","Winter")))</f>
        <v>Spring</v>
      </c>
      <c r="M563" s="3">
        <f>SUM(J563:J587)</f>
        <v>5.9999999999999991</v>
      </c>
      <c r="N563" s="3">
        <f>AVERAGE(J563:J1172)</f>
        <v>0.21551020408163254</v>
      </c>
      <c r="O563" s="3">
        <f>COUNT(J563:J1172)</f>
        <v>49</v>
      </c>
      <c r="P563" s="3" t="str">
        <f>TEXT(J563,"0.00")</f>
        <v>0.30</v>
      </c>
      <c r="Q563" s="3" t="str">
        <f>LEFT(L563,3)</f>
        <v>Spr</v>
      </c>
      <c r="R563" s="7" t="str">
        <f>RIGHT(L563,3)</f>
        <v>ing</v>
      </c>
      <c r="S563" s="8">
        <f>LEN(L563)</f>
        <v>6</v>
      </c>
      <c r="T563" s="36" t="str">
        <f>A563&amp;"|"&amp;B563&amp;"|"&amp;F563</f>
        <v>562|25-01-2011|14</v>
      </c>
      <c r="V563" s="32">
        <f>VLOOKUP(A563,Sheet2!A:H,3,FALSE)</f>
        <v>0.34849999999999998</v>
      </c>
      <c r="W563" s="32">
        <f>VLOOKUP(A563,Sheet2!A:H,4,FALSE)</f>
        <v>0.42</v>
      </c>
      <c r="X563" s="32">
        <f>VLOOKUP(A563,Sheet2!A:H,7,FALSE)</f>
        <v>63</v>
      </c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">
        <v>563</v>
      </c>
      <c r="B564" s="4" t="s">
        <v>39</v>
      </c>
      <c r="C564" s="4">
        <v>1</v>
      </c>
      <c r="D564" s="4">
        <v>0</v>
      </c>
      <c r="E564" s="4">
        <v>1</v>
      </c>
      <c r="F564" s="4">
        <v>15</v>
      </c>
      <c r="G564" s="4" t="b">
        <v>0</v>
      </c>
      <c r="H564" s="4">
        <v>2</v>
      </c>
      <c r="I564" s="4">
        <v>2</v>
      </c>
      <c r="J564" s="4">
        <v>0.32</v>
      </c>
      <c r="K564" s="6" t="str">
        <f>IF(H564=0,"weekend",IF(H564=6,"weekend","weekend"))</f>
        <v>weekend</v>
      </c>
      <c r="L564" s="3" t="str">
        <f>IF(C564=1,"Spring",IF(C564=2,"Summer",IF(C564=3,"Fall","Winter")))</f>
        <v>Spring</v>
      </c>
      <c r="M564" s="3">
        <f>SUM(J564:J588)</f>
        <v>5.9</v>
      </c>
      <c r="N564" s="3">
        <f>AVERAGE(J564:J1173)</f>
        <v>0.21374999999999991</v>
      </c>
      <c r="O564" s="3">
        <f>COUNT(J564:J1173)</f>
        <v>48</v>
      </c>
      <c r="P564" s="3" t="str">
        <f>TEXT(J564,"0.00")</f>
        <v>0.32</v>
      </c>
      <c r="Q564" s="3" t="str">
        <f>LEFT(L564,3)</f>
        <v>Spr</v>
      </c>
      <c r="R564" s="7" t="str">
        <f>RIGHT(L564,3)</f>
        <v>ing</v>
      </c>
      <c r="S564" s="8">
        <f>LEN(L564)</f>
        <v>6</v>
      </c>
      <c r="T564" s="36" t="str">
        <f>A564&amp;"|"&amp;B564&amp;"|"&amp;F564</f>
        <v>563|25-01-2011|15</v>
      </c>
      <c r="V564" s="32">
        <f>VLOOKUP(A564,Sheet2!A:H,3,FALSE)</f>
        <v>0.34849999999999998</v>
      </c>
      <c r="W564" s="32">
        <f>VLOOKUP(A564,Sheet2!A:H,4,FALSE)</f>
        <v>0.42</v>
      </c>
      <c r="X564" s="32">
        <f>VLOOKUP(A564,Sheet2!A:H,7,FALSE)</f>
        <v>102</v>
      </c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">
        <v>564</v>
      </c>
      <c r="B565" s="4" t="s">
        <v>39</v>
      </c>
      <c r="C565" s="4">
        <v>1</v>
      </c>
      <c r="D565" s="4">
        <v>0</v>
      </c>
      <c r="E565" s="4">
        <v>1</v>
      </c>
      <c r="F565" s="4">
        <v>16</v>
      </c>
      <c r="G565" s="4" t="b">
        <v>0</v>
      </c>
      <c r="H565" s="4">
        <v>2</v>
      </c>
      <c r="I565" s="4">
        <v>2</v>
      </c>
      <c r="J565" s="4">
        <v>0.32</v>
      </c>
      <c r="K565" s="6" t="str">
        <f>IF(H565=0,"weekend",IF(H565=6,"weekend","weekend"))</f>
        <v>weekend</v>
      </c>
      <c r="L565" s="3" t="str">
        <f>IF(C565=1,"Spring",IF(C565=2,"Summer",IF(C565=3,"Fall","Winter")))</f>
        <v>Spring</v>
      </c>
      <c r="M565" s="3">
        <f>SUM(J565:J589)</f>
        <v>5.8</v>
      </c>
      <c r="N565" s="3">
        <f>AVERAGE(J565:J1174)</f>
        <v>0.21148936170212762</v>
      </c>
      <c r="O565" s="3">
        <f>COUNT(J565:J1174)</f>
        <v>47</v>
      </c>
      <c r="P565" s="3" t="str">
        <f>TEXT(J565,"0.00")</f>
        <v>0.32</v>
      </c>
      <c r="Q565" s="3" t="str">
        <f>LEFT(L565,3)</f>
        <v>Spr</v>
      </c>
      <c r="R565" s="7" t="str">
        <f>RIGHT(L565,3)</f>
        <v>ing</v>
      </c>
      <c r="S565" s="8">
        <f>LEN(L565)</f>
        <v>6</v>
      </c>
      <c r="T565" s="36" t="str">
        <f>A565&amp;"|"&amp;B565&amp;"|"&amp;F565</f>
        <v>564|25-01-2011|16</v>
      </c>
      <c r="V565" s="32">
        <f>VLOOKUP(A565,Sheet2!A:H,3,FALSE)</f>
        <v>0.33329999999999999</v>
      </c>
      <c r="W565" s="32">
        <f>VLOOKUP(A565,Sheet2!A:H,4,FALSE)</f>
        <v>0.45</v>
      </c>
      <c r="X565" s="32">
        <f>VLOOKUP(A565,Sheet2!A:H,7,FALSE)</f>
        <v>208</v>
      </c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">
        <v>565</v>
      </c>
      <c r="B566" s="4" t="s">
        <v>39</v>
      </c>
      <c r="C566" s="4">
        <v>1</v>
      </c>
      <c r="D566" s="4">
        <v>0</v>
      </c>
      <c r="E566" s="4">
        <v>1</v>
      </c>
      <c r="F566" s="4">
        <v>17</v>
      </c>
      <c r="G566" s="4" t="b">
        <v>0</v>
      </c>
      <c r="H566" s="4">
        <v>2</v>
      </c>
      <c r="I566" s="4">
        <v>1</v>
      </c>
      <c r="J566" s="4">
        <v>0.3</v>
      </c>
      <c r="K566" s="6" t="str">
        <f>IF(H566=0,"weekend",IF(H566=6,"weekend","weekend"))</f>
        <v>weekend</v>
      </c>
      <c r="L566" s="3" t="str">
        <f>IF(C566=1,"Spring",IF(C566=2,"Summer",IF(C566=3,"Fall","Winter")))</f>
        <v>Spring</v>
      </c>
      <c r="M566" s="3">
        <f>SUM(J566:J590)</f>
        <v>5.7</v>
      </c>
      <c r="N566" s="3">
        <f>AVERAGE(J566:J1175)</f>
        <v>0.20913043478260865</v>
      </c>
      <c r="O566" s="3">
        <f>COUNT(J566:J1175)</f>
        <v>46</v>
      </c>
      <c r="P566" s="3" t="str">
        <f>TEXT(J566,"0.00")</f>
        <v>0.30</v>
      </c>
      <c r="Q566" s="3" t="str">
        <f>LEFT(L566,3)</f>
        <v>Spr</v>
      </c>
      <c r="R566" s="7" t="str">
        <f>RIGHT(L566,3)</f>
        <v>ing</v>
      </c>
      <c r="S566" s="8">
        <f>LEN(L566)</f>
        <v>6</v>
      </c>
      <c r="T566" s="36" t="str">
        <f>A566&amp;"|"&amp;B566&amp;"|"&amp;F566</f>
        <v>565|25-01-2011|17</v>
      </c>
      <c r="V566" s="32">
        <f>VLOOKUP(A566,Sheet2!A:H,3,FALSE)</f>
        <v>0.31819999999999998</v>
      </c>
      <c r="W566" s="32">
        <f>VLOOKUP(A566,Sheet2!A:H,4,FALSE)</f>
        <v>0.49</v>
      </c>
      <c r="X566" s="32">
        <f>VLOOKUP(A566,Sheet2!A:H,7,FALSE)</f>
        <v>218</v>
      </c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">
        <v>566</v>
      </c>
      <c r="B567" s="4" t="s">
        <v>39</v>
      </c>
      <c r="C567" s="4">
        <v>1</v>
      </c>
      <c r="D567" s="4">
        <v>0</v>
      </c>
      <c r="E567" s="4">
        <v>1</v>
      </c>
      <c r="F567" s="4">
        <v>18</v>
      </c>
      <c r="G567" s="4" t="b">
        <v>0</v>
      </c>
      <c r="H567" s="4">
        <v>2</v>
      </c>
      <c r="I567" s="4">
        <v>2</v>
      </c>
      <c r="J567" s="4">
        <v>0.3</v>
      </c>
      <c r="K567" s="6" t="str">
        <f>IF(H567=0,"weekend",IF(H567=6,"weekend","weekend"))</f>
        <v>weekend</v>
      </c>
      <c r="L567" s="3" t="str">
        <f>IF(C567=1,"Spring",IF(C567=2,"Summer",IF(C567=3,"Fall","Winter")))</f>
        <v>Spring</v>
      </c>
      <c r="M567" s="3">
        <f>SUM(J567:J591)</f>
        <v>5.6000000000000005</v>
      </c>
      <c r="N567" s="3">
        <f>AVERAGE(J567:J1176)</f>
        <v>0.20711111111111108</v>
      </c>
      <c r="O567" s="3">
        <f>COUNT(J567:J1176)</f>
        <v>45</v>
      </c>
      <c r="P567" s="3" t="str">
        <f>TEXT(J567,"0.00")</f>
        <v>0.30</v>
      </c>
      <c r="Q567" s="3" t="str">
        <f>LEFT(L567,3)</f>
        <v>Spr</v>
      </c>
      <c r="R567" s="7" t="str">
        <f>RIGHT(L567,3)</f>
        <v>ing</v>
      </c>
      <c r="S567" s="8">
        <f>LEN(L567)</f>
        <v>6</v>
      </c>
      <c r="T567" s="36" t="str">
        <f>A567&amp;"|"&amp;B567&amp;"|"&amp;F567</f>
        <v>566|25-01-2011|18</v>
      </c>
      <c r="V567" s="32">
        <f>VLOOKUP(A567,Sheet2!A:H,3,FALSE)</f>
        <v>0.2576</v>
      </c>
      <c r="W567" s="32">
        <f>VLOOKUP(A567,Sheet2!A:H,4,FALSE)</f>
        <v>0.65</v>
      </c>
      <c r="X567" s="32">
        <f>VLOOKUP(A567,Sheet2!A:H,7,FALSE)</f>
        <v>133</v>
      </c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">
        <v>567</v>
      </c>
      <c r="B568" s="4" t="s">
        <v>39</v>
      </c>
      <c r="C568" s="4">
        <v>1</v>
      </c>
      <c r="D568" s="4">
        <v>0</v>
      </c>
      <c r="E568" s="4">
        <v>1</v>
      </c>
      <c r="F568" s="4">
        <v>19</v>
      </c>
      <c r="G568" s="4" t="b">
        <v>0</v>
      </c>
      <c r="H568" s="4">
        <v>2</v>
      </c>
      <c r="I568" s="4">
        <v>2</v>
      </c>
      <c r="J568" s="4">
        <v>0.26</v>
      </c>
      <c r="K568" s="6" t="str">
        <f>IF(H568=0,"weekend",IF(H568=6,"weekend","weekend"))</f>
        <v>weekend</v>
      </c>
      <c r="L568" s="3" t="str">
        <f>IF(C568=1,"Spring",IF(C568=2,"Summer",IF(C568=3,"Fall","Winter")))</f>
        <v>Spring</v>
      </c>
      <c r="M568" s="3">
        <f>SUM(J568:J592)</f>
        <v>5.5000000000000009</v>
      </c>
      <c r="N568" s="3">
        <f>AVERAGE(J568:J1177)</f>
        <v>0.20499999999999999</v>
      </c>
      <c r="O568" s="3">
        <f>COUNT(J568:J1177)</f>
        <v>44</v>
      </c>
      <c r="P568" s="3" t="str">
        <f>TEXT(J568,"0.00")</f>
        <v>0.26</v>
      </c>
      <c r="Q568" s="3" t="str">
        <f>LEFT(L568,3)</f>
        <v>Spr</v>
      </c>
      <c r="R568" s="7" t="str">
        <f>RIGHT(L568,3)</f>
        <v>ing</v>
      </c>
      <c r="S568" s="8">
        <f>LEN(L568)</f>
        <v>6</v>
      </c>
      <c r="T568" s="36" t="str">
        <f>A568&amp;"|"&amp;B568&amp;"|"&amp;F568</f>
        <v>567|25-01-2011|19</v>
      </c>
      <c r="V568" s="32">
        <f>VLOOKUP(A568,Sheet2!A:H,3,FALSE)</f>
        <v>0.2273</v>
      </c>
      <c r="W568" s="32">
        <f>VLOOKUP(A568,Sheet2!A:H,4,FALSE)</f>
        <v>0.65</v>
      </c>
      <c r="X568" s="32">
        <f>VLOOKUP(A568,Sheet2!A:H,7,FALSE)</f>
        <v>103</v>
      </c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">
        <v>568</v>
      </c>
      <c r="B569" s="4" t="s">
        <v>39</v>
      </c>
      <c r="C569" s="4">
        <v>1</v>
      </c>
      <c r="D569" s="4">
        <v>0</v>
      </c>
      <c r="E569" s="4">
        <v>1</v>
      </c>
      <c r="F569" s="4">
        <v>20</v>
      </c>
      <c r="G569" s="4" t="b">
        <v>0</v>
      </c>
      <c r="H569" s="4">
        <v>2</v>
      </c>
      <c r="I569" s="4">
        <v>1</v>
      </c>
      <c r="J569" s="4">
        <v>0.24</v>
      </c>
      <c r="K569" s="6" t="str">
        <f>IF(H569=0,"weekend",IF(H569=6,"weekend","weekend"))</f>
        <v>weekend</v>
      </c>
      <c r="L569" s="3" t="str">
        <f>IF(C569=1,"Spring",IF(C569=2,"Summer",IF(C569=3,"Fall","Winter")))</f>
        <v>Spring</v>
      </c>
      <c r="M569" s="3">
        <f>SUM(J569:J593)</f>
        <v>5.4200000000000008</v>
      </c>
      <c r="N569" s="3">
        <f>AVERAGE(J569:J1178)</f>
        <v>0.20372093023255813</v>
      </c>
      <c r="O569" s="3">
        <f>COUNT(J569:J1178)</f>
        <v>43</v>
      </c>
      <c r="P569" s="3" t="str">
        <f>TEXT(J569,"0.00")</f>
        <v>0.24</v>
      </c>
      <c r="Q569" s="3" t="str">
        <f>LEFT(L569,3)</f>
        <v>Spr</v>
      </c>
      <c r="R569" s="7" t="str">
        <f>RIGHT(L569,3)</f>
        <v>ing</v>
      </c>
      <c r="S569" s="8">
        <f>LEN(L569)</f>
        <v>6</v>
      </c>
      <c r="T569" s="36" t="str">
        <f>A569&amp;"|"&amp;B569&amp;"|"&amp;F569</f>
        <v>568|25-01-2011|20</v>
      </c>
      <c r="V569" s="32">
        <f>VLOOKUP(A569,Sheet2!A:H,3,FALSE)</f>
        <v>0.2273</v>
      </c>
      <c r="W569" s="32">
        <f>VLOOKUP(A569,Sheet2!A:H,4,FALSE)</f>
        <v>0.65</v>
      </c>
      <c r="X569" s="32">
        <f>VLOOKUP(A569,Sheet2!A:H,7,FALSE)</f>
        <v>40</v>
      </c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">
        <v>569</v>
      </c>
      <c r="B570" s="4" t="s">
        <v>39</v>
      </c>
      <c r="C570" s="4">
        <v>1</v>
      </c>
      <c r="D570" s="4">
        <v>0</v>
      </c>
      <c r="E570" s="4">
        <v>1</v>
      </c>
      <c r="F570" s="4">
        <v>21</v>
      </c>
      <c r="G570" s="4" t="b">
        <v>0</v>
      </c>
      <c r="H570" s="4">
        <v>2</v>
      </c>
      <c r="I570" s="4">
        <v>1</v>
      </c>
      <c r="J570" s="4">
        <v>0.24</v>
      </c>
      <c r="K570" s="6" t="str">
        <f>IF(H570=0,"weekend",IF(H570=6,"weekend","weekend"))</f>
        <v>weekend</v>
      </c>
      <c r="L570" s="3" t="str">
        <f>IF(C570=1,"Spring",IF(C570=2,"Summer",IF(C570=3,"Fall","Winter")))</f>
        <v>Spring</v>
      </c>
      <c r="M570" s="3">
        <f>SUM(J570:J594)</f>
        <v>5.36</v>
      </c>
      <c r="N570" s="3">
        <f>AVERAGE(J570:J1179)</f>
        <v>0.20285714285714285</v>
      </c>
      <c r="O570" s="3">
        <f>COUNT(J570:J1179)</f>
        <v>42</v>
      </c>
      <c r="P570" s="3" t="str">
        <f>TEXT(J570,"0.00")</f>
        <v>0.24</v>
      </c>
      <c r="Q570" s="3" t="str">
        <f>LEFT(L570,3)</f>
        <v>Spr</v>
      </c>
      <c r="R570" s="7" t="str">
        <f>RIGHT(L570,3)</f>
        <v>ing</v>
      </c>
      <c r="S570" s="8">
        <f>LEN(L570)</f>
        <v>6</v>
      </c>
      <c r="T570" s="36" t="str">
        <f>A570&amp;"|"&amp;B570&amp;"|"&amp;F570</f>
        <v>569|25-01-2011|21</v>
      </c>
      <c r="V570" s="32">
        <f>VLOOKUP(A570,Sheet2!A:H,3,FALSE)</f>
        <v>0.2273</v>
      </c>
      <c r="W570" s="32">
        <f>VLOOKUP(A570,Sheet2!A:H,4,FALSE)</f>
        <v>0.64</v>
      </c>
      <c r="X570" s="32">
        <f>VLOOKUP(A570,Sheet2!A:H,7,FALSE)</f>
        <v>49</v>
      </c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">
        <v>570</v>
      </c>
      <c r="B571" s="4" t="s">
        <v>39</v>
      </c>
      <c r="C571" s="4">
        <v>1</v>
      </c>
      <c r="D571" s="4">
        <v>0</v>
      </c>
      <c r="E571" s="4">
        <v>1</v>
      </c>
      <c r="F571" s="4">
        <v>22</v>
      </c>
      <c r="G571" s="4" t="b">
        <v>0</v>
      </c>
      <c r="H571" s="4">
        <v>2</v>
      </c>
      <c r="I571" s="4">
        <v>1</v>
      </c>
      <c r="J571" s="4">
        <v>0.22</v>
      </c>
      <c r="K571" s="6" t="str">
        <f>IF(H571=0,"weekend",IF(H571=6,"weekend","weekend"))</f>
        <v>weekend</v>
      </c>
      <c r="L571" s="3" t="str">
        <f>IF(C571=1,"Spring",IF(C571=2,"Summer",IF(C571=3,"Fall","Winter")))</f>
        <v>Spring</v>
      </c>
      <c r="M571" s="3">
        <f>SUM(J571:J595)</f>
        <v>5.3000000000000007</v>
      </c>
      <c r="N571" s="3">
        <f>AVERAGE(J571:J1180)</f>
        <v>0.20195121951219511</v>
      </c>
      <c r="O571" s="3">
        <f>COUNT(J571:J1180)</f>
        <v>41</v>
      </c>
      <c r="P571" s="3" t="str">
        <f>TEXT(J571,"0.00")</f>
        <v>0.22</v>
      </c>
      <c r="Q571" s="3" t="str">
        <f>LEFT(L571,3)</f>
        <v>Spr</v>
      </c>
      <c r="R571" s="7" t="str">
        <f>RIGHT(L571,3)</f>
        <v>ing</v>
      </c>
      <c r="S571" s="8">
        <f>LEN(L571)</f>
        <v>6</v>
      </c>
      <c r="T571" s="36" t="str">
        <f>A571&amp;"|"&amp;B571&amp;"|"&amp;F571</f>
        <v>570|25-01-2011|22</v>
      </c>
      <c r="V571" s="32">
        <f>VLOOKUP(A571,Sheet2!A:H,3,FALSE)</f>
        <v>0.2273</v>
      </c>
      <c r="W571" s="32">
        <f>VLOOKUP(A571,Sheet2!A:H,4,FALSE)</f>
        <v>0.64</v>
      </c>
      <c r="X571" s="32">
        <f>VLOOKUP(A571,Sheet2!A:H,7,FALSE)</f>
        <v>37</v>
      </c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">
        <v>571</v>
      </c>
      <c r="B572" s="4" t="s">
        <v>39</v>
      </c>
      <c r="C572" s="4">
        <v>1</v>
      </c>
      <c r="D572" s="4">
        <v>0</v>
      </c>
      <c r="E572" s="4">
        <v>1</v>
      </c>
      <c r="F572" s="4">
        <v>23</v>
      </c>
      <c r="G572" s="4" t="b">
        <v>0</v>
      </c>
      <c r="H572" s="4">
        <v>2</v>
      </c>
      <c r="I572" s="4">
        <v>2</v>
      </c>
      <c r="J572" s="4">
        <v>0.22</v>
      </c>
      <c r="K572" s="6" t="str">
        <f>IF(H572=0,"weekend",IF(H572=6,"weekend","weekend"))</f>
        <v>weekend</v>
      </c>
      <c r="L572" s="3" t="str">
        <f>IF(C572=1,"Spring",IF(C572=2,"Summer",IF(C572=3,"Fall","Winter")))</f>
        <v>Spring</v>
      </c>
      <c r="M572" s="3">
        <f>SUM(J572:J596)</f>
        <v>5.2600000000000007</v>
      </c>
      <c r="N572" s="3">
        <f>AVERAGE(J572:J1181)</f>
        <v>0.20149999999999996</v>
      </c>
      <c r="O572" s="3">
        <f>COUNT(J572:J1181)</f>
        <v>40</v>
      </c>
      <c r="P572" s="3" t="str">
        <f>TEXT(J572,"0.00")</f>
        <v>0.22</v>
      </c>
      <c r="Q572" s="3" t="str">
        <f>LEFT(L572,3)</f>
        <v>Spr</v>
      </c>
      <c r="R572" s="7" t="str">
        <f>RIGHT(L572,3)</f>
        <v>ing</v>
      </c>
      <c r="S572" s="8">
        <f>LEN(L572)</f>
        <v>6</v>
      </c>
      <c r="T572" s="36" t="str">
        <f>A572&amp;"|"&amp;B572&amp;"|"&amp;F572</f>
        <v>571|25-01-2011|23</v>
      </c>
      <c r="V572" s="32">
        <f>VLOOKUP(A572,Sheet2!A:H,3,FALSE)</f>
        <v>0.2273</v>
      </c>
      <c r="W572" s="32">
        <f>VLOOKUP(A572,Sheet2!A:H,4,FALSE)</f>
        <v>0.69</v>
      </c>
      <c r="X572" s="32">
        <f>VLOOKUP(A572,Sheet2!A:H,7,FALSE)</f>
        <v>14</v>
      </c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">
        <v>572</v>
      </c>
      <c r="B573" s="4" t="s">
        <v>40</v>
      </c>
      <c r="C573" s="4">
        <v>1</v>
      </c>
      <c r="D573" s="4">
        <v>0</v>
      </c>
      <c r="E573" s="4">
        <v>1</v>
      </c>
      <c r="F573" s="4">
        <v>0</v>
      </c>
      <c r="G573" s="4" t="b">
        <v>0</v>
      </c>
      <c r="H573" s="4">
        <v>3</v>
      </c>
      <c r="I573" s="4">
        <v>2</v>
      </c>
      <c r="J573" s="4">
        <v>0.22</v>
      </c>
      <c r="K573" s="6" t="str">
        <f>IF(H573=0,"weekend",IF(H573=6,"weekend","weekend"))</f>
        <v>weekend</v>
      </c>
      <c r="L573" s="3" t="str">
        <f>IF(C573=1,"Spring",IF(C573=2,"Summer",IF(C573=3,"Fall","Winter")))</f>
        <v>Spring</v>
      </c>
      <c r="M573" s="3">
        <f>SUM(J573:J597)</f>
        <v>5.24</v>
      </c>
      <c r="N573" s="3">
        <f>AVERAGE(J573:J1182)</f>
        <v>0.20102564102564099</v>
      </c>
      <c r="O573" s="3">
        <f>COUNT(J573:J1182)</f>
        <v>39</v>
      </c>
      <c r="P573" s="3" t="str">
        <f>TEXT(J573,"0.00")</f>
        <v>0.22</v>
      </c>
      <c r="Q573" s="3" t="str">
        <f>LEFT(L573,3)</f>
        <v>Spr</v>
      </c>
      <c r="R573" s="7" t="str">
        <f>RIGHT(L573,3)</f>
        <v>ing</v>
      </c>
      <c r="S573" s="8">
        <f>LEN(L573)</f>
        <v>6</v>
      </c>
      <c r="T573" s="36" t="str">
        <f>A573&amp;"|"&amp;B573&amp;"|"&amp;F573</f>
        <v>572|26-01-2011|0</v>
      </c>
      <c r="V573" s="32">
        <f>VLOOKUP(A573,Sheet2!A:H,3,FALSE)</f>
        <v>0.2424</v>
      </c>
      <c r="W573" s="32">
        <f>VLOOKUP(A573,Sheet2!A:H,4,FALSE)</f>
        <v>0.65</v>
      </c>
      <c r="X573" s="32">
        <f>VLOOKUP(A573,Sheet2!A:H,7,FALSE)</f>
        <v>5</v>
      </c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">
        <v>573</v>
      </c>
      <c r="B574" s="4" t="s">
        <v>40</v>
      </c>
      <c r="C574" s="4">
        <v>1</v>
      </c>
      <c r="D574" s="4">
        <v>0</v>
      </c>
      <c r="E574" s="4">
        <v>1</v>
      </c>
      <c r="F574" s="4">
        <v>1</v>
      </c>
      <c r="G574" s="4" t="b">
        <v>0</v>
      </c>
      <c r="H574" s="4">
        <v>3</v>
      </c>
      <c r="I574" s="4">
        <v>2</v>
      </c>
      <c r="J574" s="4">
        <v>0.24</v>
      </c>
      <c r="K574" s="6" t="str">
        <f>IF(H574=0,"weekend",IF(H574=6,"weekend","weekend"))</f>
        <v>weekend</v>
      </c>
      <c r="L574" s="3" t="str">
        <f>IF(C574=1,"Spring",IF(C574=2,"Summer",IF(C574=3,"Fall","Winter")))</f>
        <v>Spring</v>
      </c>
      <c r="M574" s="3">
        <f>SUM(J574:J598)</f>
        <v>5.2200000000000006</v>
      </c>
      <c r="N574" s="3">
        <f>AVERAGE(J574:J1183)</f>
        <v>0.20052631578947366</v>
      </c>
      <c r="O574" s="3">
        <f>COUNT(J574:J1183)</f>
        <v>38</v>
      </c>
      <c r="P574" s="3" t="str">
        <f>TEXT(J574,"0.00")</f>
        <v>0.24</v>
      </c>
      <c r="Q574" s="3" t="str">
        <f>LEFT(L574,3)</f>
        <v>Spr</v>
      </c>
      <c r="R574" s="7" t="str">
        <f>RIGHT(L574,3)</f>
        <v>ing</v>
      </c>
      <c r="S574" s="8">
        <f>LEN(L574)</f>
        <v>6</v>
      </c>
      <c r="T574" s="36" t="str">
        <f>A574&amp;"|"&amp;B574&amp;"|"&amp;F574</f>
        <v>573|26-01-2011|1</v>
      </c>
      <c r="V574" s="32">
        <f>VLOOKUP(A574,Sheet2!A:H,3,FALSE)</f>
        <v>0.2273</v>
      </c>
      <c r="W574" s="32">
        <f>VLOOKUP(A574,Sheet2!A:H,4,FALSE)</f>
        <v>0.69</v>
      </c>
      <c r="X574" s="32">
        <f>VLOOKUP(A574,Sheet2!A:H,7,FALSE)</f>
        <v>7</v>
      </c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">
        <v>574</v>
      </c>
      <c r="B575" s="4" t="s">
        <v>40</v>
      </c>
      <c r="C575" s="4">
        <v>1</v>
      </c>
      <c r="D575" s="4">
        <v>0</v>
      </c>
      <c r="E575" s="4">
        <v>1</v>
      </c>
      <c r="F575" s="4">
        <v>2</v>
      </c>
      <c r="G575" s="4" t="b">
        <v>0</v>
      </c>
      <c r="H575" s="4">
        <v>3</v>
      </c>
      <c r="I575" s="4">
        <v>3</v>
      </c>
      <c r="J575" s="4">
        <v>0.22</v>
      </c>
      <c r="K575" s="6" t="str">
        <f>IF(H575=0,"weekend",IF(H575=6,"weekend","weekend"))</f>
        <v>weekend</v>
      </c>
      <c r="L575" s="3" t="str">
        <f>IF(C575=1,"Spring",IF(C575=2,"Summer",IF(C575=3,"Fall","Winter")))</f>
        <v>Spring</v>
      </c>
      <c r="M575" s="3">
        <f>SUM(J575:J599)</f>
        <v>5.1800000000000015</v>
      </c>
      <c r="N575" s="3">
        <f>AVERAGE(J575:J1184)</f>
        <v>0.19945945945945945</v>
      </c>
      <c r="O575" s="3">
        <f>COUNT(J575:J1184)</f>
        <v>37</v>
      </c>
      <c r="P575" s="3" t="str">
        <f>TEXT(J575,"0.00")</f>
        <v>0.22</v>
      </c>
      <c r="Q575" s="3" t="str">
        <f>LEFT(L575,3)</f>
        <v>Spr</v>
      </c>
      <c r="R575" s="7" t="str">
        <f>RIGHT(L575,3)</f>
        <v>ing</v>
      </c>
      <c r="S575" s="8">
        <f>LEN(L575)</f>
        <v>6</v>
      </c>
      <c r="T575" s="36" t="str">
        <f>A575&amp;"|"&amp;B575&amp;"|"&amp;F575</f>
        <v>574|26-01-2011|2</v>
      </c>
      <c r="V575" s="32">
        <f>VLOOKUP(A575,Sheet2!A:H,3,FALSE)</f>
        <v>0.18179999999999999</v>
      </c>
      <c r="W575" s="32">
        <f>VLOOKUP(A575,Sheet2!A:H,4,FALSE)</f>
        <v>0.86</v>
      </c>
      <c r="X575" s="32">
        <f>VLOOKUP(A575,Sheet2!A:H,7,FALSE)</f>
        <v>1</v>
      </c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">
        <v>575</v>
      </c>
      <c r="B576" s="4" t="s">
        <v>40</v>
      </c>
      <c r="C576" s="4">
        <v>1</v>
      </c>
      <c r="D576" s="4">
        <v>0</v>
      </c>
      <c r="E576" s="4">
        <v>1</v>
      </c>
      <c r="F576" s="4">
        <v>5</v>
      </c>
      <c r="G576" s="4" t="b">
        <v>0</v>
      </c>
      <c r="H576" s="4">
        <v>3</v>
      </c>
      <c r="I576" s="4">
        <v>3</v>
      </c>
      <c r="J576" s="4">
        <v>0.2</v>
      </c>
      <c r="K576" s="6" t="str">
        <f>IF(H576=0,"weekend",IF(H576=6,"weekend","weekend"))</f>
        <v>weekend</v>
      </c>
      <c r="L576" s="3" t="str">
        <f>IF(C576=1,"Spring",IF(C576=2,"Summer",IF(C576=3,"Fall","Winter")))</f>
        <v>Spring</v>
      </c>
      <c r="M576" s="3">
        <f>SUM(J576:J600)</f>
        <v>5.1600000000000019</v>
      </c>
      <c r="N576" s="3">
        <f>AVERAGE(J576:J1185)</f>
        <v>0.19888888888888889</v>
      </c>
      <c r="O576" s="3">
        <f>COUNT(J576:J1185)</f>
        <v>36</v>
      </c>
      <c r="P576" s="3" t="str">
        <f>TEXT(J576,"0.00")</f>
        <v>0.20</v>
      </c>
      <c r="Q576" s="3" t="str">
        <f>LEFT(L576,3)</f>
        <v>Spr</v>
      </c>
      <c r="R576" s="7" t="str">
        <f>RIGHT(L576,3)</f>
        <v>ing</v>
      </c>
      <c r="S576" s="8">
        <f>LEN(L576)</f>
        <v>6</v>
      </c>
      <c r="T576" s="36" t="str">
        <f>A576&amp;"|"&amp;B576&amp;"|"&amp;F576</f>
        <v>575|26-01-2011|5</v>
      </c>
      <c r="V576" s="32">
        <f>VLOOKUP(A576,Sheet2!A:H,3,FALSE)</f>
        <v>0.18179999999999999</v>
      </c>
      <c r="W576" s="32">
        <f>VLOOKUP(A576,Sheet2!A:H,4,FALSE)</f>
        <v>0.86</v>
      </c>
      <c r="X576" s="32">
        <f>VLOOKUP(A576,Sheet2!A:H,7,FALSE)</f>
        <v>8</v>
      </c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">
        <v>576</v>
      </c>
      <c r="B577" s="4" t="s">
        <v>40</v>
      </c>
      <c r="C577" s="4">
        <v>1</v>
      </c>
      <c r="D577" s="4">
        <v>0</v>
      </c>
      <c r="E577" s="4">
        <v>1</v>
      </c>
      <c r="F577" s="4">
        <v>6</v>
      </c>
      <c r="G577" s="4" t="b">
        <v>0</v>
      </c>
      <c r="H577" s="4">
        <v>3</v>
      </c>
      <c r="I577" s="4">
        <v>3</v>
      </c>
      <c r="J577" s="4">
        <v>0.2</v>
      </c>
      <c r="K577" s="6" t="str">
        <f>IF(H577=0,"weekend",IF(H577=6,"weekend","weekend"))</f>
        <v>weekend</v>
      </c>
      <c r="L577" s="3" t="str">
        <f>IF(C577=1,"Spring",IF(C577=2,"Summer",IF(C577=3,"Fall","Winter")))</f>
        <v>Spring</v>
      </c>
      <c r="M577" s="3">
        <f>SUM(J577:J601)</f>
        <v>5.1400000000000023</v>
      </c>
      <c r="N577" s="3">
        <f>AVERAGE(J577:J1186)</f>
        <v>0.19885714285714287</v>
      </c>
      <c r="O577" s="3">
        <f>COUNT(J577:J1186)</f>
        <v>35</v>
      </c>
      <c r="P577" s="3" t="str">
        <f>TEXT(J577,"0.00")</f>
        <v>0.20</v>
      </c>
      <c r="Q577" s="3" t="str">
        <f>LEFT(L577,3)</f>
        <v>Spr</v>
      </c>
      <c r="R577" s="7" t="str">
        <f>RIGHT(L577,3)</f>
        <v>ing</v>
      </c>
      <c r="S577" s="8">
        <f>LEN(L577)</f>
        <v>6</v>
      </c>
      <c r="T577" s="36" t="str">
        <f>A577&amp;"|"&amp;B577&amp;"|"&amp;F577</f>
        <v>576|26-01-2011|6</v>
      </c>
      <c r="V577" s="32">
        <f>VLOOKUP(A577,Sheet2!A:H,3,FALSE)</f>
        <v>0.21210000000000001</v>
      </c>
      <c r="W577" s="32">
        <f>VLOOKUP(A577,Sheet2!A:H,4,FALSE)</f>
        <v>0.87</v>
      </c>
      <c r="X577" s="32">
        <f>VLOOKUP(A577,Sheet2!A:H,7,FALSE)</f>
        <v>29</v>
      </c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">
        <v>577</v>
      </c>
      <c r="B578" s="4" t="s">
        <v>40</v>
      </c>
      <c r="C578" s="4">
        <v>1</v>
      </c>
      <c r="D578" s="4">
        <v>0</v>
      </c>
      <c r="E578" s="4">
        <v>1</v>
      </c>
      <c r="F578" s="4">
        <v>7</v>
      </c>
      <c r="G578" s="4" t="b">
        <v>0</v>
      </c>
      <c r="H578" s="4">
        <v>3</v>
      </c>
      <c r="I578" s="4">
        <v>3</v>
      </c>
      <c r="J578" s="4">
        <v>0.22</v>
      </c>
      <c r="K578" s="6" t="str">
        <f>IF(H578=0,"weekend",IF(H578=6,"weekend","weekend"))</f>
        <v>weekend</v>
      </c>
      <c r="L578" s="3" t="str">
        <f>IF(C578=1,"Spring",IF(C578=2,"Summer",IF(C578=3,"Fall","Winter")))</f>
        <v>Spring</v>
      </c>
      <c r="M578" s="3">
        <f>SUM(J578:J602)</f>
        <v>5.1200000000000019</v>
      </c>
      <c r="N578" s="3">
        <f>AVERAGE(J578:J1187)</f>
        <v>0.19882352941176473</v>
      </c>
      <c r="O578" s="3">
        <f>COUNT(J578:J1187)</f>
        <v>34</v>
      </c>
      <c r="P578" s="3" t="str">
        <f>TEXT(J578,"0.00")</f>
        <v>0.22</v>
      </c>
      <c r="Q578" s="3" t="str">
        <f>LEFT(L578,3)</f>
        <v>Spr</v>
      </c>
      <c r="R578" s="7" t="str">
        <f>RIGHT(L578,3)</f>
        <v>ing</v>
      </c>
      <c r="S578" s="8">
        <f>LEN(L578)</f>
        <v>6</v>
      </c>
      <c r="T578" s="36" t="str">
        <f>A578&amp;"|"&amp;B578&amp;"|"&amp;F578</f>
        <v>577|26-01-2011|7</v>
      </c>
      <c r="V578" s="32">
        <f>VLOOKUP(A578,Sheet2!A:H,3,FALSE)</f>
        <v>0.21210000000000001</v>
      </c>
      <c r="W578" s="32">
        <f>VLOOKUP(A578,Sheet2!A:H,4,FALSE)</f>
        <v>0.87</v>
      </c>
      <c r="X578" s="32">
        <f>VLOOKUP(A578,Sheet2!A:H,7,FALSE)</f>
        <v>69</v>
      </c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">
        <v>578</v>
      </c>
      <c r="B579" s="4" t="s">
        <v>40</v>
      </c>
      <c r="C579" s="4">
        <v>1</v>
      </c>
      <c r="D579" s="4">
        <v>0</v>
      </c>
      <c r="E579" s="4">
        <v>1</v>
      </c>
      <c r="F579" s="4">
        <v>8</v>
      </c>
      <c r="G579" s="4" t="b">
        <v>0</v>
      </c>
      <c r="H579" s="4">
        <v>3</v>
      </c>
      <c r="I579" s="4">
        <v>3</v>
      </c>
      <c r="J579" s="4">
        <v>0.22</v>
      </c>
      <c r="K579" s="6" t="str">
        <f>IF(H579=0,"weekend",IF(H579=6,"weekend","weekend"))</f>
        <v>weekend</v>
      </c>
      <c r="L579" s="3" t="str">
        <f>IF(C579=1,"Spring",IF(C579=2,"Summer",IF(C579=3,"Fall","Winter")))</f>
        <v>Spring</v>
      </c>
      <c r="M579" s="3">
        <f>SUM(J579:J603)</f>
        <v>5.0600000000000014</v>
      </c>
      <c r="N579" s="3">
        <f>AVERAGE(J579:J1188)</f>
        <v>0.19818181818181818</v>
      </c>
      <c r="O579" s="3">
        <f>COUNT(J579:J1188)</f>
        <v>33</v>
      </c>
      <c r="P579" s="3" t="str">
        <f>TEXT(J579,"0.00")</f>
        <v>0.22</v>
      </c>
      <c r="Q579" s="3" t="str">
        <f>LEFT(L579,3)</f>
        <v>Spr</v>
      </c>
      <c r="R579" s="7" t="str">
        <f>RIGHT(L579,3)</f>
        <v>ing</v>
      </c>
      <c r="S579" s="8">
        <f>LEN(L579)</f>
        <v>6</v>
      </c>
      <c r="T579" s="36" t="str">
        <f>A579&amp;"|"&amp;B579&amp;"|"&amp;F579</f>
        <v>578|26-01-2011|8</v>
      </c>
      <c r="V579" s="32">
        <f>VLOOKUP(A579,Sheet2!A:H,3,FALSE)</f>
        <v>0.21210000000000001</v>
      </c>
      <c r="W579" s="32">
        <f>VLOOKUP(A579,Sheet2!A:H,4,FALSE)</f>
        <v>0.87</v>
      </c>
      <c r="X579" s="32">
        <f>VLOOKUP(A579,Sheet2!A:H,7,FALSE)</f>
        <v>55</v>
      </c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">
        <v>579</v>
      </c>
      <c r="B580" s="4" t="s">
        <v>40</v>
      </c>
      <c r="C580" s="4">
        <v>1</v>
      </c>
      <c r="D580" s="4">
        <v>0</v>
      </c>
      <c r="E580" s="4">
        <v>1</v>
      </c>
      <c r="F580" s="4">
        <v>9</v>
      </c>
      <c r="G580" s="4" t="b">
        <v>0</v>
      </c>
      <c r="H580" s="4">
        <v>3</v>
      </c>
      <c r="I580" s="4">
        <v>3</v>
      </c>
      <c r="J580" s="4">
        <v>0.22</v>
      </c>
      <c r="K580" s="6" t="str">
        <f>IF(H580=0,"weekend",IF(H580=6,"weekend","weekend"))</f>
        <v>weekend</v>
      </c>
      <c r="L580" s="3" t="str">
        <f>IF(C580=1,"Spring",IF(C580=2,"Summer",IF(C580=3,"Fall","Winter")))</f>
        <v>Spring</v>
      </c>
      <c r="M580" s="3">
        <f>SUM(J580:J604)</f>
        <v>5.0000000000000018</v>
      </c>
      <c r="N580" s="3">
        <f>AVERAGE(J580:J1189)</f>
        <v>0.19750000000000001</v>
      </c>
      <c r="O580" s="3">
        <f>COUNT(J580:J1189)</f>
        <v>32</v>
      </c>
      <c r="P580" s="3" t="str">
        <f>TEXT(J580,"0.00")</f>
        <v>0.22</v>
      </c>
      <c r="Q580" s="3" t="str">
        <f>LEFT(L580,3)</f>
        <v>Spr</v>
      </c>
      <c r="R580" s="7" t="str">
        <f>RIGHT(L580,3)</f>
        <v>ing</v>
      </c>
      <c r="S580" s="8">
        <f>LEN(L580)</f>
        <v>6</v>
      </c>
      <c r="T580" s="36" t="str">
        <f>A580&amp;"|"&amp;B580&amp;"|"&amp;F580</f>
        <v>579|26-01-2011|9</v>
      </c>
      <c r="V580" s="32">
        <f>VLOOKUP(A580,Sheet2!A:H,3,FALSE)</f>
        <v>0.21210000000000001</v>
      </c>
      <c r="W580" s="32">
        <f>VLOOKUP(A580,Sheet2!A:H,4,FALSE)</f>
        <v>0.93</v>
      </c>
      <c r="X580" s="32">
        <f>VLOOKUP(A580,Sheet2!A:H,7,FALSE)</f>
        <v>26</v>
      </c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">
        <v>580</v>
      </c>
      <c r="B581" s="4" t="s">
        <v>40</v>
      </c>
      <c r="C581" s="4">
        <v>1</v>
      </c>
      <c r="D581" s="4">
        <v>0</v>
      </c>
      <c r="E581" s="4">
        <v>1</v>
      </c>
      <c r="F581" s="4">
        <v>10</v>
      </c>
      <c r="G581" s="4" t="b">
        <v>0</v>
      </c>
      <c r="H581" s="4">
        <v>3</v>
      </c>
      <c r="I581" s="4">
        <v>3</v>
      </c>
      <c r="J581" s="4">
        <v>0.22</v>
      </c>
      <c r="K581" s="6" t="str">
        <f>IF(H581=0,"weekend",IF(H581=6,"weekend","weekend"))</f>
        <v>weekend</v>
      </c>
      <c r="L581" s="3" t="str">
        <f>IF(C581=1,"Spring",IF(C581=2,"Summer",IF(C581=3,"Fall","Winter")))</f>
        <v>Spring</v>
      </c>
      <c r="M581" s="3">
        <f>SUM(J581:J605)</f>
        <v>4.9600000000000009</v>
      </c>
      <c r="N581" s="3">
        <f>AVERAGE(J581:J1190)</f>
        <v>0.19677419354838707</v>
      </c>
      <c r="O581" s="3">
        <f>COUNT(J581:J1190)</f>
        <v>31</v>
      </c>
      <c r="P581" s="3" t="str">
        <f>TEXT(J581,"0.00")</f>
        <v>0.22</v>
      </c>
      <c r="Q581" s="3" t="str">
        <f>LEFT(L581,3)</f>
        <v>Spr</v>
      </c>
      <c r="R581" s="7" t="str">
        <f>RIGHT(L581,3)</f>
        <v>ing</v>
      </c>
      <c r="S581" s="8">
        <f>LEN(L581)</f>
        <v>6</v>
      </c>
      <c r="T581" s="36" t="str">
        <f>A581&amp;"|"&amp;B581&amp;"|"&amp;F581</f>
        <v>580|26-01-2011|10</v>
      </c>
      <c r="V581" s="32">
        <f>VLOOKUP(A581,Sheet2!A:H,3,FALSE)</f>
        <v>0.19700000000000001</v>
      </c>
      <c r="W581" s="32">
        <f>VLOOKUP(A581,Sheet2!A:H,4,FALSE)</f>
        <v>0.93</v>
      </c>
      <c r="X581" s="32">
        <f>VLOOKUP(A581,Sheet2!A:H,7,FALSE)</f>
        <v>35</v>
      </c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">
        <v>581</v>
      </c>
      <c r="B582" s="4" t="s">
        <v>40</v>
      </c>
      <c r="C582" s="4">
        <v>1</v>
      </c>
      <c r="D582" s="4">
        <v>0</v>
      </c>
      <c r="E582" s="4">
        <v>1</v>
      </c>
      <c r="F582" s="4">
        <v>11</v>
      </c>
      <c r="G582" s="4" t="b">
        <v>0</v>
      </c>
      <c r="H582" s="4">
        <v>3</v>
      </c>
      <c r="I582" s="4">
        <v>3</v>
      </c>
      <c r="J582" s="4">
        <v>0.22</v>
      </c>
      <c r="K582" s="6" t="str">
        <f>IF(H582=0,"weekend",IF(H582=6,"weekend","weekend"))</f>
        <v>weekend</v>
      </c>
      <c r="L582" s="3" t="str">
        <f>IF(C582=1,"Spring",IF(C582=2,"Summer",IF(C582=3,"Fall","Winter")))</f>
        <v>Spring</v>
      </c>
      <c r="M582" s="3">
        <f>SUM(J582:J606)</f>
        <v>4.9200000000000008</v>
      </c>
      <c r="N582" s="3">
        <f>AVERAGE(J582:J1191)</f>
        <v>0.19600000000000001</v>
      </c>
      <c r="O582" s="3">
        <f>COUNT(J582:J1191)</f>
        <v>30</v>
      </c>
      <c r="P582" s="3" t="str">
        <f>TEXT(J582,"0.00")</f>
        <v>0.22</v>
      </c>
      <c r="Q582" s="3" t="str">
        <f>LEFT(L582,3)</f>
        <v>Spr</v>
      </c>
      <c r="R582" s="7" t="str">
        <f>RIGHT(L582,3)</f>
        <v>ing</v>
      </c>
      <c r="S582" s="8">
        <f>LEN(L582)</f>
        <v>6</v>
      </c>
      <c r="T582" s="36" t="str">
        <f>A582&amp;"|"&amp;B582&amp;"|"&amp;F582</f>
        <v>581|26-01-2011|11</v>
      </c>
      <c r="V582" s="32">
        <f>VLOOKUP(A582,Sheet2!A:H,3,FALSE)</f>
        <v>0.19700000000000001</v>
      </c>
      <c r="W582" s="32">
        <f>VLOOKUP(A582,Sheet2!A:H,4,FALSE)</f>
        <v>0.93</v>
      </c>
      <c r="X582" s="32">
        <f>VLOOKUP(A582,Sheet2!A:H,7,FALSE)</f>
        <v>41</v>
      </c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">
        <v>582</v>
      </c>
      <c r="B583" s="4" t="s">
        <v>40</v>
      </c>
      <c r="C583" s="4">
        <v>1</v>
      </c>
      <c r="D583" s="4">
        <v>0</v>
      </c>
      <c r="E583" s="4">
        <v>1</v>
      </c>
      <c r="F583" s="4">
        <v>12</v>
      </c>
      <c r="G583" s="4" t="b">
        <v>0</v>
      </c>
      <c r="H583" s="4">
        <v>3</v>
      </c>
      <c r="I583" s="4">
        <v>3</v>
      </c>
      <c r="J583" s="4">
        <v>0.22</v>
      </c>
      <c r="K583" s="6" t="str">
        <f>IF(H583=0,"weekend",IF(H583=6,"weekend","weekend"))</f>
        <v>weekend</v>
      </c>
      <c r="L583" s="3" t="str">
        <f>IF(C583=1,"Spring",IF(C583=2,"Summer",IF(C583=3,"Fall","Winter")))</f>
        <v>Spring</v>
      </c>
      <c r="M583" s="3">
        <f>SUM(J583:J607)</f>
        <v>4.8800000000000008</v>
      </c>
      <c r="N583" s="3">
        <f>AVERAGE(J583:J1192)</f>
        <v>0.19517241379310346</v>
      </c>
      <c r="O583" s="3">
        <f>COUNT(J583:J1192)</f>
        <v>29</v>
      </c>
      <c r="P583" s="3" t="str">
        <f>TEXT(J583,"0.00")</f>
        <v>0.22</v>
      </c>
      <c r="Q583" s="3" t="str">
        <f>LEFT(L583,3)</f>
        <v>Spr</v>
      </c>
      <c r="R583" s="7" t="str">
        <f>RIGHT(L583,3)</f>
        <v>ing</v>
      </c>
      <c r="S583" s="8">
        <f>LEN(L583)</f>
        <v>6</v>
      </c>
      <c r="T583" s="36" t="str">
        <f>A583&amp;"|"&amp;B583&amp;"|"&amp;F583</f>
        <v>582|26-01-2011|12</v>
      </c>
      <c r="V583" s="32">
        <f>VLOOKUP(A583,Sheet2!A:H,3,FALSE)</f>
        <v>0.19700000000000001</v>
      </c>
      <c r="W583" s="32">
        <f>VLOOKUP(A583,Sheet2!A:H,4,FALSE)</f>
        <v>0.93</v>
      </c>
      <c r="X583" s="32">
        <f>VLOOKUP(A583,Sheet2!A:H,7,FALSE)</f>
        <v>43</v>
      </c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">
        <v>583</v>
      </c>
      <c r="B584" s="4" t="s">
        <v>40</v>
      </c>
      <c r="C584" s="4">
        <v>1</v>
      </c>
      <c r="D584" s="4">
        <v>0</v>
      </c>
      <c r="E584" s="4">
        <v>1</v>
      </c>
      <c r="F584" s="4">
        <v>13</v>
      </c>
      <c r="G584" s="4" t="b">
        <v>0</v>
      </c>
      <c r="H584" s="4">
        <v>3</v>
      </c>
      <c r="I584" s="4">
        <v>3</v>
      </c>
      <c r="J584" s="4">
        <v>0.22</v>
      </c>
      <c r="K584" s="6" t="str">
        <f>IF(H584=0,"weekend",IF(H584=6,"weekend","weekend"))</f>
        <v>weekend</v>
      </c>
      <c r="L584" s="3" t="str">
        <f>IF(C584=1,"Spring",IF(C584=2,"Summer",IF(C584=3,"Fall","Winter")))</f>
        <v>Spring</v>
      </c>
      <c r="M584" s="3">
        <f>SUM(J584:J608)</f>
        <v>4.8400000000000007</v>
      </c>
      <c r="N584" s="3">
        <f>AVERAGE(J584:J1193)</f>
        <v>0.19428571428571431</v>
      </c>
      <c r="O584" s="3">
        <f>COUNT(J584:J1193)</f>
        <v>28</v>
      </c>
      <c r="P584" s="3" t="str">
        <f>TEXT(J584,"0.00")</f>
        <v>0.22</v>
      </c>
      <c r="Q584" s="3" t="str">
        <f>LEFT(L584,3)</f>
        <v>Spr</v>
      </c>
      <c r="R584" s="7" t="str">
        <f>RIGHT(L584,3)</f>
        <v>ing</v>
      </c>
      <c r="S584" s="8">
        <f>LEN(L584)</f>
        <v>6</v>
      </c>
      <c r="T584" s="36" t="str">
        <f>A584&amp;"|"&amp;B584&amp;"|"&amp;F584</f>
        <v>583|26-01-2011|13</v>
      </c>
      <c r="V584" s="32">
        <f>VLOOKUP(A584,Sheet2!A:H,3,FALSE)</f>
        <v>0.19700000000000001</v>
      </c>
      <c r="W584" s="32">
        <f>VLOOKUP(A584,Sheet2!A:H,4,FALSE)</f>
        <v>0.93</v>
      </c>
      <c r="X584" s="32">
        <f>VLOOKUP(A584,Sheet2!A:H,7,FALSE)</f>
        <v>36</v>
      </c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">
        <v>584</v>
      </c>
      <c r="B585" s="4" t="s">
        <v>40</v>
      </c>
      <c r="C585" s="4">
        <v>1</v>
      </c>
      <c r="D585" s="4">
        <v>0</v>
      </c>
      <c r="E585" s="4">
        <v>1</v>
      </c>
      <c r="F585" s="4">
        <v>14</v>
      </c>
      <c r="G585" s="4" t="b">
        <v>0</v>
      </c>
      <c r="H585" s="4">
        <v>3</v>
      </c>
      <c r="I585" s="4">
        <v>3</v>
      </c>
      <c r="J585" s="4">
        <v>0.22</v>
      </c>
      <c r="K585" s="6" t="str">
        <f>IF(H585=0,"weekend",IF(H585=6,"weekend","weekend"))</f>
        <v>weekend</v>
      </c>
      <c r="L585" s="3" t="str">
        <f>IF(C585=1,"Spring",IF(C585=2,"Summer",IF(C585=3,"Fall","Winter")))</f>
        <v>Spring</v>
      </c>
      <c r="M585" s="3">
        <f>SUM(J585:J609)</f>
        <v>4.8000000000000007</v>
      </c>
      <c r="N585" s="3">
        <f>AVERAGE(J585:J1194)</f>
        <v>0.19333333333333336</v>
      </c>
      <c r="O585" s="3">
        <f>COUNT(J585:J1194)</f>
        <v>27</v>
      </c>
      <c r="P585" s="3" t="str">
        <f>TEXT(J585,"0.00")</f>
        <v>0.22</v>
      </c>
      <c r="Q585" s="3" t="str">
        <f>LEFT(L585,3)</f>
        <v>Spr</v>
      </c>
      <c r="R585" s="7" t="str">
        <f>RIGHT(L585,3)</f>
        <v>ing</v>
      </c>
      <c r="S585" s="8">
        <f>LEN(L585)</f>
        <v>6</v>
      </c>
      <c r="T585" s="36" t="str">
        <f>A585&amp;"|"&amp;B585&amp;"|"&amp;F585</f>
        <v>584|26-01-2011|14</v>
      </c>
      <c r="V585" s="32">
        <f>VLOOKUP(A585,Sheet2!A:H,3,FALSE)</f>
        <v>0.18179999999999999</v>
      </c>
      <c r="W585" s="32">
        <f>VLOOKUP(A585,Sheet2!A:H,4,FALSE)</f>
        <v>0.93</v>
      </c>
      <c r="X585" s="32">
        <f>VLOOKUP(A585,Sheet2!A:H,7,FALSE)</f>
        <v>42</v>
      </c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">
        <v>585</v>
      </c>
      <c r="B586" s="4" t="s">
        <v>40</v>
      </c>
      <c r="C586" s="4">
        <v>1</v>
      </c>
      <c r="D586" s="4">
        <v>0</v>
      </c>
      <c r="E586" s="4">
        <v>1</v>
      </c>
      <c r="F586" s="4">
        <v>15</v>
      </c>
      <c r="G586" s="4" t="b">
        <v>0</v>
      </c>
      <c r="H586" s="4">
        <v>3</v>
      </c>
      <c r="I586" s="4">
        <v>3</v>
      </c>
      <c r="J586" s="4">
        <v>0.22</v>
      </c>
      <c r="K586" s="6" t="str">
        <f>IF(H586=0,"weekend",IF(H586=6,"weekend","weekend"))</f>
        <v>weekend</v>
      </c>
      <c r="L586" s="3" t="str">
        <f>IF(C586=1,"Spring",IF(C586=2,"Summer",IF(C586=3,"Fall","Winter")))</f>
        <v>Spring</v>
      </c>
      <c r="M586" s="3">
        <f>SUM(J586:J610)</f>
        <v>4.8000000000000007</v>
      </c>
      <c r="N586" s="3">
        <f>AVERAGE(J586:J1195)</f>
        <v>0.19230769230769235</v>
      </c>
      <c r="O586" s="3">
        <f>COUNT(J586:J1195)</f>
        <v>26</v>
      </c>
      <c r="P586" s="3" t="str">
        <f>TEXT(J586,"0.00")</f>
        <v>0.22</v>
      </c>
      <c r="Q586" s="3" t="str">
        <f>LEFT(L586,3)</f>
        <v>Spr</v>
      </c>
      <c r="R586" s="7" t="str">
        <f>RIGHT(L586,3)</f>
        <v>ing</v>
      </c>
      <c r="S586" s="8">
        <f>LEN(L586)</f>
        <v>6</v>
      </c>
      <c r="T586" s="36" t="str">
        <f>A586&amp;"|"&amp;B586&amp;"|"&amp;F586</f>
        <v>585|26-01-2011|15</v>
      </c>
      <c r="V586" s="32">
        <f>VLOOKUP(A586,Sheet2!A:H,3,FALSE)</f>
        <v>0.19700000000000001</v>
      </c>
      <c r="W586" s="32">
        <f>VLOOKUP(A586,Sheet2!A:H,4,FALSE)</f>
        <v>0.93</v>
      </c>
      <c r="X586" s="32">
        <f>VLOOKUP(A586,Sheet2!A:H,7,FALSE)</f>
        <v>35</v>
      </c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">
        <v>586</v>
      </c>
      <c r="B587" s="4" t="s">
        <v>40</v>
      </c>
      <c r="C587" s="4">
        <v>1</v>
      </c>
      <c r="D587" s="4">
        <v>0</v>
      </c>
      <c r="E587" s="4">
        <v>1</v>
      </c>
      <c r="F587" s="4">
        <v>16</v>
      </c>
      <c r="G587" s="4" t="b">
        <v>0</v>
      </c>
      <c r="H587" s="4">
        <v>3</v>
      </c>
      <c r="I587" s="4">
        <v>4</v>
      </c>
      <c r="J587" s="4">
        <v>0.22</v>
      </c>
      <c r="K587" s="6" t="str">
        <f>IF(H587=0,"weekend",IF(H587=6,"weekend","weekend"))</f>
        <v>weekend</v>
      </c>
      <c r="L587" s="3" t="str">
        <f>IF(C587=1,"Spring",IF(C587=2,"Summer",IF(C587=3,"Fall","Winter")))</f>
        <v>Spring</v>
      </c>
      <c r="M587" s="3">
        <f>SUM(J587:J611)</f>
        <v>4.78</v>
      </c>
      <c r="N587" s="3">
        <f>AVERAGE(J587:J1196)</f>
        <v>0.19120000000000001</v>
      </c>
      <c r="O587" s="3">
        <f>COUNT(J587:J1196)</f>
        <v>25</v>
      </c>
      <c r="P587" s="3" t="str">
        <f>TEXT(J587,"0.00")</f>
        <v>0.22</v>
      </c>
      <c r="Q587" s="3" t="str">
        <f>LEFT(L587,3)</f>
        <v>Spr</v>
      </c>
      <c r="R587" s="7" t="str">
        <f>RIGHT(L587,3)</f>
        <v>ing</v>
      </c>
      <c r="S587" s="8">
        <f>LEN(L587)</f>
        <v>6</v>
      </c>
      <c r="T587" s="36" t="str">
        <f>A587&amp;"|"&amp;B587&amp;"|"&amp;F587</f>
        <v>586|26-01-2011|16</v>
      </c>
      <c r="V587" s="32">
        <f>VLOOKUP(A587,Sheet2!A:H,3,FALSE)</f>
        <v>0.18179999999999999</v>
      </c>
      <c r="W587" s="32">
        <f>VLOOKUP(A587,Sheet2!A:H,4,FALSE)</f>
        <v>0.93</v>
      </c>
      <c r="X587" s="32">
        <f>VLOOKUP(A587,Sheet2!A:H,7,FALSE)</f>
        <v>26</v>
      </c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">
        <v>587</v>
      </c>
      <c r="B588" s="4" t="s">
        <v>40</v>
      </c>
      <c r="C588" s="4">
        <v>1</v>
      </c>
      <c r="D588" s="4">
        <v>0</v>
      </c>
      <c r="E588" s="4">
        <v>1</v>
      </c>
      <c r="F588" s="4">
        <v>17</v>
      </c>
      <c r="G588" s="4" t="b">
        <v>0</v>
      </c>
      <c r="H588" s="4">
        <v>3</v>
      </c>
      <c r="I588" s="4">
        <v>3</v>
      </c>
      <c r="J588" s="4">
        <v>0.2</v>
      </c>
      <c r="K588" s="6" t="str">
        <f>IF(H588=0,"weekend",IF(H588=6,"weekend","weekend"))</f>
        <v>weekend</v>
      </c>
      <c r="L588" s="3" t="str">
        <f>IF(C588=1,"Spring",IF(C588=2,"Summer",IF(C588=3,"Fall","Winter")))</f>
        <v>Spring</v>
      </c>
      <c r="M588" s="3">
        <f>SUM(J588:J612)</f>
        <v>4.5600000000000014</v>
      </c>
      <c r="N588" s="3">
        <f>AVERAGE(J588:J1197)</f>
        <v>0.19000000000000006</v>
      </c>
      <c r="O588" s="3">
        <f>COUNT(J588:J1197)</f>
        <v>24</v>
      </c>
      <c r="P588" s="3" t="str">
        <f>TEXT(J588,"0.00")</f>
        <v>0.20</v>
      </c>
      <c r="Q588" s="3" t="str">
        <f>LEFT(L588,3)</f>
        <v>Spr</v>
      </c>
      <c r="R588" s="7" t="str">
        <f>RIGHT(L588,3)</f>
        <v>ing</v>
      </c>
      <c r="S588" s="8">
        <f>LEN(L588)</f>
        <v>6</v>
      </c>
      <c r="T588" s="36" t="str">
        <f>A588&amp;"|"&amp;B588&amp;"|"&amp;F588</f>
        <v>587|26-01-2011|17</v>
      </c>
      <c r="V588" s="32">
        <f>VLOOKUP(A588,Sheet2!A:H,3,FALSE)</f>
        <v>0.2273</v>
      </c>
      <c r="W588" s="32">
        <f>VLOOKUP(A588,Sheet2!A:H,4,FALSE)</f>
        <v>0.55000000000000004</v>
      </c>
      <c r="X588" s="32">
        <f>VLOOKUP(A588,Sheet2!A:H,7,FALSE)</f>
        <v>23</v>
      </c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">
        <v>588</v>
      </c>
      <c r="B589" s="4" t="s">
        <v>41</v>
      </c>
      <c r="C589" s="4">
        <v>1</v>
      </c>
      <c r="D589" s="4">
        <v>0</v>
      </c>
      <c r="E589" s="4">
        <v>1</v>
      </c>
      <c r="F589" s="4">
        <v>16</v>
      </c>
      <c r="G589" s="4" t="b">
        <v>0</v>
      </c>
      <c r="H589" s="4">
        <v>4</v>
      </c>
      <c r="I589" s="4">
        <v>1</v>
      </c>
      <c r="J589" s="4">
        <v>0.22</v>
      </c>
      <c r="K589" s="6" t="str">
        <f>IF(H589=0,"weekend",IF(H589=6,"weekend","weekend"))</f>
        <v>weekend</v>
      </c>
      <c r="L589" s="3" t="str">
        <f>IF(C589=1,"Spring",IF(C589=2,"Summer",IF(C589=3,"Fall","Winter")))</f>
        <v>Spring</v>
      </c>
      <c r="M589" s="3">
        <f>SUM(J589:J613)</f>
        <v>4.3600000000000012</v>
      </c>
      <c r="N589" s="3">
        <f>AVERAGE(J589:J1198)</f>
        <v>0.18956521739130441</v>
      </c>
      <c r="O589" s="3">
        <f>COUNT(J589:J1198)</f>
        <v>23</v>
      </c>
      <c r="P589" s="3" t="str">
        <f>TEXT(J589,"0.00")</f>
        <v>0.22</v>
      </c>
      <c r="Q589" s="3" t="str">
        <f>LEFT(L589,3)</f>
        <v>Spr</v>
      </c>
      <c r="R589" s="7" t="str">
        <f>RIGHT(L589,3)</f>
        <v>ing</v>
      </c>
      <c r="S589" s="8">
        <f>LEN(L589)</f>
        <v>6</v>
      </c>
      <c r="T589" s="36" t="str">
        <f>A589&amp;"|"&amp;B589&amp;"|"&amp;F589</f>
        <v>588|27-01-2011|16</v>
      </c>
      <c r="V589" s="32">
        <f>VLOOKUP(A589,Sheet2!A:H,3,FALSE)</f>
        <v>0.2424</v>
      </c>
      <c r="W589" s="32">
        <f>VLOOKUP(A589,Sheet2!A:H,4,FALSE)</f>
        <v>0.55000000000000004</v>
      </c>
      <c r="X589" s="32">
        <f>VLOOKUP(A589,Sheet2!A:H,7,FALSE)</f>
        <v>82</v>
      </c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">
        <v>589</v>
      </c>
      <c r="B590" s="4" t="s">
        <v>41</v>
      </c>
      <c r="C590" s="4">
        <v>1</v>
      </c>
      <c r="D590" s="4">
        <v>0</v>
      </c>
      <c r="E590" s="4">
        <v>1</v>
      </c>
      <c r="F590" s="4">
        <v>17</v>
      </c>
      <c r="G590" s="4" t="b">
        <v>0</v>
      </c>
      <c r="H590" s="4">
        <v>4</v>
      </c>
      <c r="I590" s="4">
        <v>1</v>
      </c>
      <c r="J590" s="4">
        <v>0.22</v>
      </c>
      <c r="K590" s="6" t="str">
        <f>IF(H590=0,"weekend",IF(H590=6,"weekend","weekend"))</f>
        <v>weekend</v>
      </c>
      <c r="L590" s="3" t="str">
        <f>IF(C590=1,"Spring",IF(C590=2,"Summer",IF(C590=3,"Fall","Winter")))</f>
        <v>Spring</v>
      </c>
      <c r="M590" s="3">
        <f>SUM(J590:J614)</f>
        <v>4.1400000000000015</v>
      </c>
      <c r="N590" s="3">
        <f>AVERAGE(J590:J1199)</f>
        <v>0.18818181818181826</v>
      </c>
      <c r="O590" s="3">
        <f>COUNT(J590:J1199)</f>
        <v>22</v>
      </c>
      <c r="P590" s="3" t="str">
        <f>TEXT(J590,"0.00")</f>
        <v>0.22</v>
      </c>
      <c r="Q590" s="3" t="str">
        <f>LEFT(L590,3)</f>
        <v>Spr</v>
      </c>
      <c r="R590" s="7" t="str">
        <f>RIGHT(L590,3)</f>
        <v>ing</v>
      </c>
      <c r="S590" s="8">
        <f>LEN(L590)</f>
        <v>6</v>
      </c>
      <c r="T590" s="36" t="str">
        <f>A590&amp;"|"&amp;B590&amp;"|"&amp;F590</f>
        <v>589|27-01-2011|17</v>
      </c>
      <c r="V590" s="32">
        <f>VLOOKUP(A590,Sheet2!A:H,3,FALSE)</f>
        <v>0.2273</v>
      </c>
      <c r="W590" s="32">
        <f>VLOOKUP(A590,Sheet2!A:H,4,FALSE)</f>
        <v>0.69</v>
      </c>
      <c r="X590" s="32">
        <f>VLOOKUP(A590,Sheet2!A:H,7,FALSE)</f>
        <v>101</v>
      </c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">
        <v>590</v>
      </c>
      <c r="B591" s="4" t="s">
        <v>41</v>
      </c>
      <c r="C591" s="4">
        <v>1</v>
      </c>
      <c r="D591" s="4">
        <v>0</v>
      </c>
      <c r="E591" s="4">
        <v>1</v>
      </c>
      <c r="F591" s="4">
        <v>18</v>
      </c>
      <c r="G591" s="4" t="b">
        <v>0</v>
      </c>
      <c r="H591" s="4">
        <v>4</v>
      </c>
      <c r="I591" s="4">
        <v>1</v>
      </c>
      <c r="J591" s="4">
        <v>0.2</v>
      </c>
      <c r="K591" s="6" t="str">
        <f>IF(H591=0,"weekend",IF(H591=6,"weekend","weekend"))</f>
        <v>weekend</v>
      </c>
      <c r="L591" s="3" t="str">
        <f>IF(C591=1,"Spring",IF(C591=2,"Summer",IF(C591=3,"Fall","Winter")))</f>
        <v>Spring</v>
      </c>
      <c r="M591" s="3">
        <f>SUM(J591:J615)</f>
        <v>3.9200000000000013</v>
      </c>
      <c r="N591" s="3">
        <f>AVERAGE(J591:J1200)</f>
        <v>0.18666666666666673</v>
      </c>
      <c r="O591" s="3">
        <f>COUNT(J591:J1200)</f>
        <v>21</v>
      </c>
      <c r="P591" s="3" t="str">
        <f>TEXT(J591,"0.00")</f>
        <v>0.20</v>
      </c>
      <c r="Q591" s="3" t="str">
        <f>LEFT(L591,3)</f>
        <v>Spr</v>
      </c>
      <c r="R591" s="7" t="str">
        <f>RIGHT(L591,3)</f>
        <v>ing</v>
      </c>
      <c r="S591" s="8">
        <f>LEN(L591)</f>
        <v>6</v>
      </c>
      <c r="T591" s="36" t="str">
        <f>A591&amp;"|"&amp;B591&amp;"|"&amp;F591</f>
        <v>590|27-01-2011|18</v>
      </c>
      <c r="V591" s="32">
        <f>VLOOKUP(A591,Sheet2!A:H,3,FALSE)</f>
        <v>0.2273</v>
      </c>
      <c r="W591" s="32">
        <f>VLOOKUP(A591,Sheet2!A:H,4,FALSE)</f>
        <v>0.69</v>
      </c>
      <c r="X591" s="32">
        <f>VLOOKUP(A591,Sheet2!A:H,7,FALSE)</f>
        <v>76</v>
      </c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">
        <v>591</v>
      </c>
      <c r="B592" s="4" t="s">
        <v>41</v>
      </c>
      <c r="C592" s="4">
        <v>1</v>
      </c>
      <c r="D592" s="4">
        <v>0</v>
      </c>
      <c r="E592" s="4">
        <v>1</v>
      </c>
      <c r="F592" s="4">
        <v>19</v>
      </c>
      <c r="G592" s="4" t="b">
        <v>0</v>
      </c>
      <c r="H592" s="4">
        <v>4</v>
      </c>
      <c r="I592" s="4">
        <v>1</v>
      </c>
      <c r="J592" s="4">
        <v>0.2</v>
      </c>
      <c r="K592" s="6" t="str">
        <f>IF(H592=0,"weekend",IF(H592=6,"weekend","weekend"))</f>
        <v>weekend</v>
      </c>
      <c r="L592" s="3" t="str">
        <f>IF(C592=1,"Spring",IF(C592=2,"Summer",IF(C592=3,"Fall","Winter")))</f>
        <v>Spring</v>
      </c>
      <c r="M592" s="3">
        <f>SUM(J592:J616)</f>
        <v>3.7200000000000011</v>
      </c>
      <c r="N592" s="3">
        <f>AVERAGE(J592:J1201)</f>
        <v>0.18600000000000005</v>
      </c>
      <c r="O592" s="3">
        <f>COUNT(J592:J1201)</f>
        <v>20</v>
      </c>
      <c r="P592" s="3" t="str">
        <f>TEXT(J592,"0.00")</f>
        <v>0.20</v>
      </c>
      <c r="Q592" s="3" t="str">
        <f>LEFT(L592,3)</f>
        <v>Spr</v>
      </c>
      <c r="R592" s="7" t="str">
        <f>RIGHT(L592,3)</f>
        <v>ing</v>
      </c>
      <c r="S592" s="8">
        <f>LEN(L592)</f>
        <v>6</v>
      </c>
      <c r="T592" s="36" t="str">
        <f>A592&amp;"|"&amp;B592&amp;"|"&amp;F592</f>
        <v>591|27-01-2011|19</v>
      </c>
      <c r="V592" s="32">
        <f>VLOOKUP(A592,Sheet2!A:H,3,FALSE)</f>
        <v>0.21210000000000001</v>
      </c>
      <c r="W592" s="32">
        <f>VLOOKUP(A592,Sheet2!A:H,4,FALSE)</f>
        <v>0.74</v>
      </c>
      <c r="X592" s="32">
        <f>VLOOKUP(A592,Sheet2!A:H,7,FALSE)</f>
        <v>55</v>
      </c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">
        <v>592</v>
      </c>
      <c r="B593" s="4" t="s">
        <v>41</v>
      </c>
      <c r="C593" s="4">
        <v>1</v>
      </c>
      <c r="D593" s="4">
        <v>0</v>
      </c>
      <c r="E593" s="4">
        <v>1</v>
      </c>
      <c r="F593" s="4">
        <v>20</v>
      </c>
      <c r="G593" s="4" t="b">
        <v>0</v>
      </c>
      <c r="H593" s="4">
        <v>4</v>
      </c>
      <c r="I593" s="4">
        <v>1</v>
      </c>
      <c r="J593" s="4">
        <v>0.18</v>
      </c>
      <c r="K593" s="6" t="str">
        <f>IF(H593=0,"weekend",IF(H593=6,"weekend","weekend"))</f>
        <v>weekend</v>
      </c>
      <c r="L593" s="3" t="str">
        <f>IF(C593=1,"Spring",IF(C593=2,"Summer",IF(C593=3,"Fall","Winter")))</f>
        <v>Spring</v>
      </c>
      <c r="M593" s="3">
        <f>SUM(J593:J617)</f>
        <v>3.5200000000000009</v>
      </c>
      <c r="N593" s="3">
        <f>AVERAGE(J593:J1202)</f>
        <v>0.18526315789473688</v>
      </c>
      <c r="O593" s="3">
        <f>COUNT(J593:J1202)</f>
        <v>19</v>
      </c>
      <c r="P593" s="3" t="str">
        <f>TEXT(J593,"0.00")</f>
        <v>0.18</v>
      </c>
      <c r="Q593" s="3" t="str">
        <f>LEFT(L593,3)</f>
        <v>Spr</v>
      </c>
      <c r="R593" s="7" t="str">
        <f>RIGHT(L593,3)</f>
        <v>ing</v>
      </c>
      <c r="S593" s="8">
        <f>LEN(L593)</f>
        <v>6</v>
      </c>
      <c r="T593" s="36" t="str">
        <f>A593&amp;"|"&amp;B593&amp;"|"&amp;F593</f>
        <v>592|27-01-2011|20</v>
      </c>
      <c r="V593" s="32">
        <f>VLOOKUP(A593,Sheet2!A:H,3,FALSE)</f>
        <v>0.21210000000000001</v>
      </c>
      <c r="W593" s="32">
        <f>VLOOKUP(A593,Sheet2!A:H,4,FALSE)</f>
        <v>0.74</v>
      </c>
      <c r="X593" s="32">
        <f>VLOOKUP(A593,Sheet2!A:H,7,FALSE)</f>
        <v>36</v>
      </c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">
        <v>593</v>
      </c>
      <c r="B594" s="4" t="s">
        <v>41</v>
      </c>
      <c r="C594" s="4">
        <v>1</v>
      </c>
      <c r="D594" s="4">
        <v>0</v>
      </c>
      <c r="E594" s="4">
        <v>1</v>
      </c>
      <c r="F594" s="4">
        <v>21</v>
      </c>
      <c r="G594" s="4" t="b">
        <v>0</v>
      </c>
      <c r="H594" s="4">
        <v>4</v>
      </c>
      <c r="I594" s="4">
        <v>1</v>
      </c>
      <c r="J594" s="4">
        <v>0.18</v>
      </c>
      <c r="K594" s="6" t="str">
        <f>IF(H594=0,"weekend",IF(H594=6,"weekend","weekend"))</f>
        <v>weekend</v>
      </c>
      <c r="L594" s="3" t="str">
        <f>IF(C594=1,"Spring",IF(C594=2,"Summer",IF(C594=3,"Fall","Winter")))</f>
        <v>Spring</v>
      </c>
      <c r="M594" s="3">
        <f>SUM(J594:J618)</f>
        <v>3.3400000000000007</v>
      </c>
      <c r="N594" s="3">
        <f>AVERAGE(J594:J1203)</f>
        <v>0.18555555555555558</v>
      </c>
      <c r="O594" s="3">
        <f>COUNT(J594:J1203)</f>
        <v>18</v>
      </c>
      <c r="P594" s="3" t="str">
        <f>TEXT(J594,"0.00")</f>
        <v>0.18</v>
      </c>
      <c r="Q594" s="3" t="str">
        <f>LEFT(L594,3)</f>
        <v>Spr</v>
      </c>
      <c r="R594" s="7" t="str">
        <f>RIGHT(L594,3)</f>
        <v>ing</v>
      </c>
      <c r="S594" s="8">
        <f>LEN(L594)</f>
        <v>6</v>
      </c>
      <c r="T594" s="36" t="str">
        <f>A594&amp;"|"&amp;B594&amp;"|"&amp;F594</f>
        <v>593|27-01-2011|21</v>
      </c>
      <c r="V594" s="32">
        <f>VLOOKUP(A594,Sheet2!A:H,3,FALSE)</f>
        <v>0.21210000000000001</v>
      </c>
      <c r="W594" s="32">
        <f>VLOOKUP(A594,Sheet2!A:H,4,FALSE)</f>
        <v>0.74</v>
      </c>
      <c r="X594" s="32">
        <f>VLOOKUP(A594,Sheet2!A:H,7,FALSE)</f>
        <v>27</v>
      </c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">
        <v>594</v>
      </c>
      <c r="B595" s="4" t="s">
        <v>41</v>
      </c>
      <c r="C595" s="4">
        <v>1</v>
      </c>
      <c r="D595" s="4">
        <v>0</v>
      </c>
      <c r="E595" s="4">
        <v>1</v>
      </c>
      <c r="F595" s="4">
        <v>22</v>
      </c>
      <c r="G595" s="4" t="b">
        <v>0</v>
      </c>
      <c r="H595" s="4">
        <v>4</v>
      </c>
      <c r="I595" s="4">
        <v>1</v>
      </c>
      <c r="J595" s="4">
        <v>0.18</v>
      </c>
      <c r="K595" s="6" t="str">
        <f>IF(H595=0,"weekend",IF(H595=6,"weekend","weekend"))</f>
        <v>weekend</v>
      </c>
      <c r="L595" s="3" t="str">
        <f>IF(C595=1,"Spring",IF(C595=2,"Summer",IF(C595=3,"Fall","Winter")))</f>
        <v>Spring</v>
      </c>
      <c r="M595" s="3">
        <f>SUM(J595:J619)</f>
        <v>3.1600000000000006</v>
      </c>
      <c r="N595" s="3">
        <f>AVERAGE(J595:J1204)</f>
        <v>0.1858823529411765</v>
      </c>
      <c r="O595" s="3">
        <f>COUNT(J595:J1204)</f>
        <v>17</v>
      </c>
      <c r="P595" s="3" t="str">
        <f>TEXT(J595,"0.00")</f>
        <v>0.18</v>
      </c>
      <c r="Q595" s="3" t="str">
        <f>LEFT(L595,3)</f>
        <v>Spr</v>
      </c>
      <c r="R595" s="7" t="str">
        <f>RIGHT(L595,3)</f>
        <v>ing</v>
      </c>
      <c r="S595" s="8">
        <f>LEN(L595)</f>
        <v>6</v>
      </c>
      <c r="T595" s="36" t="str">
        <f>A595&amp;"|"&amp;B595&amp;"|"&amp;F595</f>
        <v>594|27-01-2011|22</v>
      </c>
      <c r="V595" s="32">
        <f>VLOOKUP(A595,Sheet2!A:H,3,FALSE)</f>
        <v>0.19700000000000001</v>
      </c>
      <c r="W595" s="32">
        <f>VLOOKUP(A595,Sheet2!A:H,4,FALSE)</f>
        <v>0.8</v>
      </c>
      <c r="X595" s="32">
        <f>VLOOKUP(A595,Sheet2!A:H,7,FALSE)</f>
        <v>16</v>
      </c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">
        <v>595</v>
      </c>
      <c r="B596" s="4" t="s">
        <v>41</v>
      </c>
      <c r="C596" s="4">
        <v>1</v>
      </c>
      <c r="D596" s="4">
        <v>0</v>
      </c>
      <c r="E596" s="4">
        <v>1</v>
      </c>
      <c r="F596" s="4">
        <v>23</v>
      </c>
      <c r="G596" s="4" t="b">
        <v>0</v>
      </c>
      <c r="H596" s="4">
        <v>4</v>
      </c>
      <c r="I596" s="4">
        <v>1</v>
      </c>
      <c r="J596" s="4">
        <v>0.18</v>
      </c>
      <c r="K596" s="6" t="str">
        <f>IF(H596=0,"weekend",IF(H596=6,"weekend","weekend"))</f>
        <v>weekend</v>
      </c>
      <c r="L596" s="3" t="str">
        <f>IF(C596=1,"Spring",IF(C596=2,"Summer",IF(C596=3,"Fall","Winter")))</f>
        <v>Spring</v>
      </c>
      <c r="M596" s="3">
        <f>SUM(J596:J620)</f>
        <v>2.9800000000000004</v>
      </c>
      <c r="N596" s="3">
        <f>AVERAGE(J596:J1205)</f>
        <v>0.18625000000000003</v>
      </c>
      <c r="O596" s="3">
        <f>COUNT(J596:J1205)</f>
        <v>16</v>
      </c>
      <c r="P596" s="3" t="str">
        <f>TEXT(J596,"0.00")</f>
        <v>0.18</v>
      </c>
      <c r="Q596" s="3" t="str">
        <f>LEFT(L596,3)</f>
        <v>Spr</v>
      </c>
      <c r="R596" s="7" t="str">
        <f>RIGHT(L596,3)</f>
        <v>ing</v>
      </c>
      <c r="S596" s="8">
        <f>LEN(L596)</f>
        <v>6</v>
      </c>
      <c r="T596" s="36" t="str">
        <f>A596&amp;"|"&amp;B596&amp;"|"&amp;F596</f>
        <v>595|27-01-2011|23</v>
      </c>
      <c r="V596" s="32">
        <f>VLOOKUP(A596,Sheet2!A:H,3,FALSE)</f>
        <v>0.21210000000000001</v>
      </c>
      <c r="W596" s="32">
        <f>VLOOKUP(A596,Sheet2!A:H,4,FALSE)</f>
        <v>0.75</v>
      </c>
      <c r="X596" s="32">
        <f>VLOOKUP(A596,Sheet2!A:H,7,FALSE)</f>
        <v>9</v>
      </c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">
        <v>596</v>
      </c>
      <c r="B597" s="4" t="s">
        <v>42</v>
      </c>
      <c r="C597" s="4">
        <v>1</v>
      </c>
      <c r="D597" s="4">
        <v>0</v>
      </c>
      <c r="E597" s="4">
        <v>1</v>
      </c>
      <c r="F597" s="4">
        <v>0</v>
      </c>
      <c r="G597" s="4" t="b">
        <v>0</v>
      </c>
      <c r="H597" s="4">
        <v>5</v>
      </c>
      <c r="I597" s="4">
        <v>2</v>
      </c>
      <c r="J597" s="4">
        <v>0.2</v>
      </c>
      <c r="K597" s="6" t="str">
        <f>IF(H597=0,"weekend",IF(H597=6,"weekend","weekend"))</f>
        <v>weekend</v>
      </c>
      <c r="L597" s="3" t="str">
        <f>IF(C597=1,"Spring",IF(C597=2,"Summer",IF(C597=3,"Fall","Winter")))</f>
        <v>Spring</v>
      </c>
      <c r="M597" s="3">
        <f>SUM(J597:J621)</f>
        <v>2.8000000000000003</v>
      </c>
      <c r="N597" s="3">
        <f>AVERAGE(J597:J1206)</f>
        <v>0.18666666666666668</v>
      </c>
      <c r="O597" s="3">
        <f>COUNT(J597:J1206)</f>
        <v>15</v>
      </c>
      <c r="P597" s="3" t="str">
        <f>TEXT(J597,"0.00")</f>
        <v>0.20</v>
      </c>
      <c r="Q597" s="3" t="str">
        <f>LEFT(L597,3)</f>
        <v>Spr</v>
      </c>
      <c r="R597" s="7" t="str">
        <f>RIGHT(L597,3)</f>
        <v>ing</v>
      </c>
      <c r="S597" s="8">
        <f>LEN(L597)</f>
        <v>6</v>
      </c>
      <c r="T597" s="36" t="str">
        <f>A597&amp;"|"&amp;B597&amp;"|"&amp;F597</f>
        <v>596|28-01-2011|0</v>
      </c>
      <c r="V597" s="32">
        <f>VLOOKUP(A597,Sheet2!A:H,3,FALSE)</f>
        <v>0.21210000000000001</v>
      </c>
      <c r="W597" s="32">
        <f>VLOOKUP(A597,Sheet2!A:H,4,FALSE)</f>
        <v>0.75</v>
      </c>
      <c r="X597" s="32">
        <f>VLOOKUP(A597,Sheet2!A:H,7,FALSE)</f>
        <v>2</v>
      </c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">
        <v>597</v>
      </c>
      <c r="B598" s="4" t="s">
        <v>42</v>
      </c>
      <c r="C598" s="4">
        <v>1</v>
      </c>
      <c r="D598" s="4">
        <v>0</v>
      </c>
      <c r="E598" s="4">
        <v>1</v>
      </c>
      <c r="F598" s="4">
        <v>1</v>
      </c>
      <c r="G598" s="4" t="b">
        <v>0</v>
      </c>
      <c r="H598" s="4">
        <v>5</v>
      </c>
      <c r="I598" s="4">
        <v>2</v>
      </c>
      <c r="J598" s="4">
        <v>0.2</v>
      </c>
      <c r="K598" s="6" t="str">
        <f>IF(H598=0,"weekend",IF(H598=6,"weekend","weekend"))</f>
        <v>weekend</v>
      </c>
      <c r="L598" s="3" t="str">
        <f>IF(C598=1,"Spring",IF(C598=2,"Summer",IF(C598=3,"Fall","Winter")))</f>
        <v>Spring</v>
      </c>
      <c r="M598" s="3">
        <f>SUM(J598:J622)</f>
        <v>2.6</v>
      </c>
      <c r="N598" s="3">
        <f>AVERAGE(J598:J1207)</f>
        <v>0.18571428571428572</v>
      </c>
      <c r="O598" s="3">
        <f>COUNT(J598:J1207)</f>
        <v>14</v>
      </c>
      <c r="P598" s="3" t="str">
        <f>TEXT(J598,"0.00")</f>
        <v>0.20</v>
      </c>
      <c r="Q598" s="3" t="str">
        <f>LEFT(L598,3)</f>
        <v>Spr</v>
      </c>
      <c r="R598" s="7" t="str">
        <f>RIGHT(L598,3)</f>
        <v>ing</v>
      </c>
      <c r="S598" s="8">
        <f>LEN(L598)</f>
        <v>6</v>
      </c>
      <c r="T598" s="36" t="str">
        <f>A598&amp;"|"&amp;B598&amp;"|"&amp;F598</f>
        <v>597|28-01-2011|1</v>
      </c>
      <c r="V598" s="32">
        <f>VLOOKUP(A598,Sheet2!A:H,3,FALSE)</f>
        <v>0.21210000000000001</v>
      </c>
      <c r="W598" s="32">
        <f>VLOOKUP(A598,Sheet2!A:H,4,FALSE)</f>
        <v>0.75</v>
      </c>
      <c r="X598" s="32">
        <f>VLOOKUP(A598,Sheet2!A:H,7,FALSE)</f>
        <v>2</v>
      </c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">
        <v>598</v>
      </c>
      <c r="B599" s="4" t="s">
        <v>42</v>
      </c>
      <c r="C599" s="4">
        <v>1</v>
      </c>
      <c r="D599" s="4">
        <v>0</v>
      </c>
      <c r="E599" s="4">
        <v>1</v>
      </c>
      <c r="F599" s="4">
        <v>2</v>
      </c>
      <c r="G599" s="4" t="b">
        <v>0</v>
      </c>
      <c r="H599" s="4">
        <v>5</v>
      </c>
      <c r="I599" s="4">
        <v>2</v>
      </c>
      <c r="J599" s="4">
        <v>0.2</v>
      </c>
      <c r="K599" s="6" t="str">
        <f>IF(H599=0,"weekend",IF(H599=6,"weekend","weekend"))</f>
        <v>weekend</v>
      </c>
      <c r="L599" s="3" t="str">
        <f>IF(C599=1,"Spring",IF(C599=2,"Summer",IF(C599=3,"Fall","Winter")))</f>
        <v>Spring</v>
      </c>
      <c r="M599" s="3">
        <f>SUM(J599:J623)</f>
        <v>2.4</v>
      </c>
      <c r="N599" s="3">
        <f>AVERAGE(J599:J1208)</f>
        <v>0.1846153846153846</v>
      </c>
      <c r="O599" s="3">
        <f>COUNT(J599:J1208)</f>
        <v>13</v>
      </c>
      <c r="P599" s="3" t="str">
        <f>TEXT(J599,"0.00")</f>
        <v>0.20</v>
      </c>
      <c r="Q599" s="3" t="str">
        <f>LEFT(L599,3)</f>
        <v>Spr</v>
      </c>
      <c r="R599" s="7" t="str">
        <f>RIGHT(L599,3)</f>
        <v>ing</v>
      </c>
      <c r="S599" s="8">
        <f>LEN(L599)</f>
        <v>6</v>
      </c>
      <c r="T599" s="36" t="str">
        <f>A599&amp;"|"&amp;B599&amp;"|"&amp;F599</f>
        <v>598|28-01-2011|2</v>
      </c>
      <c r="V599" s="32">
        <f>VLOOKUP(A599,Sheet2!A:H,3,FALSE)</f>
        <v>0.2273</v>
      </c>
      <c r="W599" s="32">
        <f>VLOOKUP(A599,Sheet2!A:H,4,FALSE)</f>
        <v>0.75</v>
      </c>
      <c r="X599" s="32">
        <f>VLOOKUP(A599,Sheet2!A:H,7,FALSE)</f>
        <v>0</v>
      </c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">
        <v>599</v>
      </c>
      <c r="B600" s="4" t="s">
        <v>42</v>
      </c>
      <c r="C600" s="4">
        <v>1</v>
      </c>
      <c r="D600" s="4">
        <v>0</v>
      </c>
      <c r="E600" s="4">
        <v>1</v>
      </c>
      <c r="F600" s="4">
        <v>3</v>
      </c>
      <c r="G600" s="4" t="b">
        <v>0</v>
      </c>
      <c r="H600" s="4">
        <v>5</v>
      </c>
      <c r="I600" s="4">
        <v>2</v>
      </c>
      <c r="J600" s="4">
        <v>0.2</v>
      </c>
      <c r="K600" s="6" t="str">
        <f>IF(H600=0,"weekend",IF(H600=6,"weekend","weekend"))</f>
        <v>weekend</v>
      </c>
      <c r="L600" s="3" t="str">
        <f>IF(C600=1,"Spring",IF(C600=2,"Summer",IF(C600=3,"Fall","Winter")))</f>
        <v>Spring</v>
      </c>
      <c r="M600" s="3">
        <f>SUM(J600:J624)</f>
        <v>2.1999999999999997</v>
      </c>
      <c r="N600" s="3">
        <f>AVERAGE(J600:J1209)</f>
        <v>0.18333333333333332</v>
      </c>
      <c r="O600" s="3">
        <f>COUNT(J600:J1209)</f>
        <v>12</v>
      </c>
      <c r="P600" s="3" t="str">
        <f>TEXT(J600,"0.00")</f>
        <v>0.20</v>
      </c>
      <c r="Q600" s="3" t="str">
        <f>LEFT(L600,3)</f>
        <v>Spr</v>
      </c>
      <c r="R600" s="7" t="str">
        <f>RIGHT(L600,3)</f>
        <v>ing</v>
      </c>
      <c r="S600" s="8">
        <f>LEN(L600)</f>
        <v>6</v>
      </c>
      <c r="T600" s="36" t="str">
        <f>A600&amp;"|"&amp;B600&amp;"|"&amp;F600</f>
        <v>599|28-01-2011|3</v>
      </c>
      <c r="V600" s="32">
        <f>VLOOKUP(A600,Sheet2!A:H,3,FALSE)</f>
        <v>0.21210000000000001</v>
      </c>
      <c r="W600" s="32">
        <f>VLOOKUP(A600,Sheet2!A:H,4,FALSE)</f>
        <v>0.8</v>
      </c>
      <c r="X600" s="32">
        <f>VLOOKUP(A600,Sheet2!A:H,7,FALSE)</f>
        <v>4</v>
      </c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">
        <v>600</v>
      </c>
      <c r="B601" s="4" t="s">
        <v>42</v>
      </c>
      <c r="C601" s="4">
        <v>1</v>
      </c>
      <c r="D601" s="4">
        <v>0</v>
      </c>
      <c r="E601" s="4">
        <v>1</v>
      </c>
      <c r="F601" s="4">
        <v>5</v>
      </c>
      <c r="G601" s="4" t="b">
        <v>0</v>
      </c>
      <c r="H601" s="4">
        <v>5</v>
      </c>
      <c r="I601" s="4">
        <v>2</v>
      </c>
      <c r="J601" s="4">
        <v>0.18</v>
      </c>
      <c r="K601" s="6" t="str">
        <f>IF(H601=0,"weekend",IF(H601=6,"weekend","weekend"))</f>
        <v>weekend</v>
      </c>
      <c r="L601" s="3" t="str">
        <f>IF(C601=1,"Spring",IF(C601=2,"Summer",IF(C601=3,"Fall","Winter")))</f>
        <v>Spring</v>
      </c>
      <c r="M601" s="3">
        <f>SUM(J601:J625)</f>
        <v>1.9999999999999998</v>
      </c>
      <c r="N601" s="3">
        <f>AVERAGE(J601:J1210)</f>
        <v>0.1818181818181818</v>
      </c>
      <c r="O601" s="3">
        <f>COUNT(J601:J1210)</f>
        <v>11</v>
      </c>
      <c r="P601" s="3" t="str">
        <f>TEXT(J601,"0.00")</f>
        <v>0.18</v>
      </c>
      <c r="Q601" s="3" t="str">
        <f>LEFT(L601,3)</f>
        <v>Spr</v>
      </c>
      <c r="R601" s="7" t="str">
        <f>RIGHT(L601,3)</f>
        <v>ing</v>
      </c>
      <c r="S601" s="8">
        <f>LEN(L601)</f>
        <v>6</v>
      </c>
      <c r="T601" s="36" t="str">
        <f>A601&amp;"|"&amp;B601&amp;"|"&amp;F601</f>
        <v>600|28-01-2011|5</v>
      </c>
      <c r="V601" s="32">
        <f>VLOOKUP(A601,Sheet2!A:H,3,FALSE)</f>
        <v>0.19700000000000001</v>
      </c>
      <c r="W601" s="32">
        <f>VLOOKUP(A601,Sheet2!A:H,4,FALSE)</f>
        <v>0.8</v>
      </c>
      <c r="X601" s="32">
        <f>VLOOKUP(A601,Sheet2!A:H,7,FALSE)</f>
        <v>16</v>
      </c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">
        <v>601</v>
      </c>
      <c r="B602" s="4" t="s">
        <v>42</v>
      </c>
      <c r="C602" s="4">
        <v>1</v>
      </c>
      <c r="D602" s="4">
        <v>0</v>
      </c>
      <c r="E602" s="4">
        <v>1</v>
      </c>
      <c r="F602" s="4">
        <v>6</v>
      </c>
      <c r="G602" s="4" t="b">
        <v>0</v>
      </c>
      <c r="H602" s="4">
        <v>5</v>
      </c>
      <c r="I602" s="4">
        <v>2</v>
      </c>
      <c r="J602" s="4">
        <v>0.18</v>
      </c>
      <c r="K602" s="6" t="str">
        <f>IF(H602=0,"weekend",IF(H602=6,"weekend","weekend"))</f>
        <v>weekend</v>
      </c>
      <c r="L602" s="3" t="str">
        <f>IF(C602=1,"Spring",IF(C602=2,"Summer",IF(C602=3,"Fall","Winter")))</f>
        <v>Spring</v>
      </c>
      <c r="M602" s="3">
        <f>SUM(J602:J626)</f>
        <v>1.8199999999999996</v>
      </c>
      <c r="N602" s="3">
        <f>AVERAGE(J602:J1211)</f>
        <v>0.18199999999999997</v>
      </c>
      <c r="O602" s="3">
        <f>COUNT(J602:J1211)</f>
        <v>10</v>
      </c>
      <c r="P602" s="3" t="str">
        <f>TEXT(J602,"0.00")</f>
        <v>0.18</v>
      </c>
      <c r="Q602" s="3" t="str">
        <f>LEFT(L602,3)</f>
        <v>Spr</v>
      </c>
      <c r="R602" s="7" t="str">
        <f>RIGHT(L602,3)</f>
        <v>ing</v>
      </c>
      <c r="S602" s="8">
        <f>LEN(L602)</f>
        <v>6</v>
      </c>
      <c r="T602" s="36" t="str">
        <f>A602&amp;"|"&amp;B602&amp;"|"&amp;F602</f>
        <v>601|28-01-2011|6</v>
      </c>
      <c r="V602" s="32">
        <f>VLOOKUP(A602,Sheet2!A:H,3,FALSE)</f>
        <v>0.19700000000000001</v>
      </c>
      <c r="W602" s="32">
        <f>VLOOKUP(A602,Sheet2!A:H,4,FALSE)</f>
        <v>0.86</v>
      </c>
      <c r="X602" s="32">
        <f>VLOOKUP(A602,Sheet2!A:H,7,FALSE)</f>
        <v>58</v>
      </c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">
        <v>602</v>
      </c>
      <c r="B603" s="4" t="s">
        <v>42</v>
      </c>
      <c r="C603" s="4">
        <v>1</v>
      </c>
      <c r="D603" s="4">
        <v>0</v>
      </c>
      <c r="E603" s="4">
        <v>1</v>
      </c>
      <c r="F603" s="4">
        <v>7</v>
      </c>
      <c r="G603" s="4" t="b">
        <v>0</v>
      </c>
      <c r="H603" s="4">
        <v>5</v>
      </c>
      <c r="I603" s="4">
        <v>2</v>
      </c>
      <c r="J603" s="4">
        <v>0.16</v>
      </c>
      <c r="K603" s="6" t="str">
        <f>IF(H603=0,"weekend",IF(H603=6,"weekend","weekend"))</f>
        <v>weekend</v>
      </c>
      <c r="L603" s="3" t="str">
        <f>IF(C603=1,"Spring",IF(C603=2,"Summer",IF(C603=3,"Fall","Winter")))</f>
        <v>Spring</v>
      </c>
      <c r="M603" s="3">
        <f>SUM(J603:J627)</f>
        <v>1.6399999999999997</v>
      </c>
      <c r="N603" s="3">
        <f>AVERAGE(J603:J1212)</f>
        <v>0.18222222222222217</v>
      </c>
      <c r="O603" s="3">
        <f>COUNT(J603:J1212)</f>
        <v>9</v>
      </c>
      <c r="P603" s="3" t="str">
        <f>TEXT(J603,"0.00")</f>
        <v>0.16</v>
      </c>
      <c r="Q603" s="3" t="str">
        <f>LEFT(L603,3)</f>
        <v>Spr</v>
      </c>
      <c r="R603" s="7" t="str">
        <f>RIGHT(L603,3)</f>
        <v>ing</v>
      </c>
      <c r="S603" s="8">
        <f>LEN(L603)</f>
        <v>6</v>
      </c>
      <c r="T603" s="36" t="str">
        <f>A603&amp;"|"&amp;B603&amp;"|"&amp;F603</f>
        <v>602|28-01-2011|7</v>
      </c>
      <c r="V603" s="32">
        <f>VLOOKUP(A603,Sheet2!A:H,3,FALSE)</f>
        <v>0.19700000000000001</v>
      </c>
      <c r="W603" s="32">
        <f>VLOOKUP(A603,Sheet2!A:H,4,FALSE)</f>
        <v>0.86</v>
      </c>
      <c r="X603" s="32">
        <f>VLOOKUP(A603,Sheet2!A:H,7,FALSE)</f>
        <v>155</v>
      </c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">
        <v>603</v>
      </c>
      <c r="B604" s="4" t="s">
        <v>42</v>
      </c>
      <c r="C604" s="4">
        <v>1</v>
      </c>
      <c r="D604" s="4">
        <v>0</v>
      </c>
      <c r="E604" s="4">
        <v>1</v>
      </c>
      <c r="F604" s="4">
        <v>8</v>
      </c>
      <c r="G604" s="4" t="b">
        <v>0</v>
      </c>
      <c r="H604" s="4">
        <v>5</v>
      </c>
      <c r="I604" s="4">
        <v>2</v>
      </c>
      <c r="J604" s="4">
        <v>0.16</v>
      </c>
      <c r="K604" s="6" t="str">
        <f>IF(H604=0,"weekend",IF(H604=6,"weekend","weekend"))</f>
        <v>weekend</v>
      </c>
      <c r="L604" s="3" t="str">
        <f>IF(C604=1,"Spring",IF(C604=2,"Summer",IF(C604=3,"Fall","Winter")))</f>
        <v>Spring</v>
      </c>
      <c r="M604" s="3">
        <f>SUM(J604:J628)</f>
        <v>1.4799999999999998</v>
      </c>
      <c r="N604" s="3">
        <f>AVERAGE(J604:J1213)</f>
        <v>0.18499999999999997</v>
      </c>
      <c r="O604" s="3">
        <f>COUNT(J604:J1213)</f>
        <v>8</v>
      </c>
      <c r="P604" s="3" t="str">
        <f>TEXT(J604,"0.00")</f>
        <v>0.16</v>
      </c>
      <c r="Q604" s="3" t="str">
        <f>LEFT(L604,3)</f>
        <v>Spr</v>
      </c>
      <c r="R604" s="7" t="str">
        <f>RIGHT(L604,3)</f>
        <v>ing</v>
      </c>
      <c r="S604" s="8">
        <f>LEN(L604)</f>
        <v>6</v>
      </c>
      <c r="T604" s="36" t="str">
        <f>A604&amp;"|"&amp;B604&amp;"|"&amp;F604</f>
        <v>603|28-01-2011|8</v>
      </c>
      <c r="V604" s="32">
        <f>VLOOKUP(A604,Sheet2!A:H,3,FALSE)</f>
        <v>0.21210000000000001</v>
      </c>
      <c r="W604" s="32">
        <f>VLOOKUP(A604,Sheet2!A:H,4,FALSE)</f>
        <v>0.86</v>
      </c>
      <c r="X604" s="32">
        <f>VLOOKUP(A604,Sheet2!A:H,7,FALSE)</f>
        <v>95</v>
      </c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">
        <v>604</v>
      </c>
      <c r="B605" s="4" t="s">
        <v>42</v>
      </c>
      <c r="C605" s="4">
        <v>1</v>
      </c>
      <c r="D605" s="4">
        <v>0</v>
      </c>
      <c r="E605" s="4">
        <v>1</v>
      </c>
      <c r="F605" s="4">
        <v>9</v>
      </c>
      <c r="G605" s="4" t="b">
        <v>0</v>
      </c>
      <c r="H605" s="4">
        <v>5</v>
      </c>
      <c r="I605" s="4">
        <v>3</v>
      </c>
      <c r="J605" s="4">
        <v>0.18</v>
      </c>
      <c r="K605" s="6" t="str">
        <f>IF(H605=0,"weekend",IF(H605=6,"weekend","weekend"))</f>
        <v>weekend</v>
      </c>
      <c r="L605" s="3" t="str">
        <f>IF(C605=1,"Spring",IF(C605=2,"Summer",IF(C605=3,"Fall","Winter")))</f>
        <v>Spring</v>
      </c>
      <c r="M605" s="3">
        <f>SUM(J605:J629)</f>
        <v>1.3199999999999998</v>
      </c>
      <c r="N605" s="3">
        <f>AVERAGE(J605:J1214)</f>
        <v>0.18857142857142856</v>
      </c>
      <c r="O605" s="3">
        <f>COUNT(J605:J1214)</f>
        <v>7</v>
      </c>
      <c r="P605" s="3" t="str">
        <f>TEXT(J605,"0.00")</f>
        <v>0.18</v>
      </c>
      <c r="Q605" s="3" t="str">
        <f>LEFT(L605,3)</f>
        <v>Spr</v>
      </c>
      <c r="R605" s="7" t="str">
        <f>RIGHT(L605,3)</f>
        <v>ing</v>
      </c>
      <c r="S605" s="8">
        <f>LEN(L605)</f>
        <v>6</v>
      </c>
      <c r="T605" s="36" t="str">
        <f>A605&amp;"|"&amp;B605&amp;"|"&amp;F605</f>
        <v>604|28-01-2011|9</v>
      </c>
      <c r="V605" s="32">
        <f>VLOOKUP(A605,Sheet2!A:H,3,FALSE)</f>
        <v>0.21210000000000001</v>
      </c>
      <c r="W605" s="32">
        <f>VLOOKUP(A605,Sheet2!A:H,4,FALSE)</f>
        <v>0.86</v>
      </c>
      <c r="X605" s="32">
        <f>VLOOKUP(A605,Sheet2!A:H,7,FALSE)</f>
        <v>49</v>
      </c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">
        <v>605</v>
      </c>
      <c r="B606" s="4" t="s">
        <v>42</v>
      </c>
      <c r="C606" s="4">
        <v>1</v>
      </c>
      <c r="D606" s="4">
        <v>0</v>
      </c>
      <c r="E606" s="4">
        <v>1</v>
      </c>
      <c r="F606" s="4">
        <v>10</v>
      </c>
      <c r="G606" s="4" t="b">
        <v>0</v>
      </c>
      <c r="H606" s="4">
        <v>5</v>
      </c>
      <c r="I606" s="4">
        <v>3</v>
      </c>
      <c r="J606" s="4">
        <v>0.18</v>
      </c>
      <c r="K606" s="6" t="str">
        <f>IF(H606=0,"weekend",IF(H606=6,"weekend","weekend"))</f>
        <v>weekend</v>
      </c>
      <c r="L606" s="3" t="str">
        <f>IF(C606=1,"Spring",IF(C606=2,"Summer",IF(C606=3,"Fall","Winter")))</f>
        <v>Spring</v>
      </c>
      <c r="M606" s="3">
        <f>SUM(J606:J630)</f>
        <v>1.1399999999999999</v>
      </c>
      <c r="N606" s="3">
        <f>AVERAGE(J606:J1215)</f>
        <v>0.18999999999999997</v>
      </c>
      <c r="O606" s="3">
        <f>COUNT(J606:J1215)</f>
        <v>6</v>
      </c>
      <c r="P606" s="3" t="str">
        <f>TEXT(J606,"0.00")</f>
        <v>0.18</v>
      </c>
      <c r="Q606" s="3" t="str">
        <f>LEFT(L606,3)</f>
        <v>Spr</v>
      </c>
      <c r="R606" s="7" t="str">
        <f>RIGHT(L606,3)</f>
        <v>ing</v>
      </c>
      <c r="S606" s="8">
        <f>LEN(L606)</f>
        <v>6</v>
      </c>
      <c r="T606" s="36" t="str">
        <f>A606&amp;"|"&amp;B606&amp;"|"&amp;F606</f>
        <v>605|28-01-2011|10</v>
      </c>
      <c r="V606" s="32">
        <f>VLOOKUP(A606,Sheet2!A:H,3,FALSE)</f>
        <v>0.21210000000000001</v>
      </c>
      <c r="W606" s="32">
        <f>VLOOKUP(A606,Sheet2!A:H,4,FALSE)</f>
        <v>0.93</v>
      </c>
      <c r="X606" s="32">
        <f>VLOOKUP(A606,Sheet2!A:H,7,FALSE)</f>
        <v>30</v>
      </c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">
        <v>606</v>
      </c>
      <c r="B607" s="4" t="s">
        <v>42</v>
      </c>
      <c r="C607" s="4">
        <v>1</v>
      </c>
      <c r="D607" s="4">
        <v>0</v>
      </c>
      <c r="E607" s="4">
        <v>1</v>
      </c>
      <c r="F607" s="4">
        <v>11</v>
      </c>
      <c r="G607" s="4" t="b">
        <v>0</v>
      </c>
      <c r="H607" s="4">
        <v>5</v>
      </c>
      <c r="I607" s="4">
        <v>3</v>
      </c>
      <c r="J607" s="4">
        <v>0.18</v>
      </c>
      <c r="K607" s="6" t="str">
        <f>IF(H607=0,"weekend",IF(H607=6,"weekend","weekend"))</f>
        <v>weekend</v>
      </c>
      <c r="L607" s="3" t="str">
        <f>IF(C607=1,"Spring",IF(C607=2,"Summer",IF(C607=3,"Fall","Winter")))</f>
        <v>Spring</v>
      </c>
      <c r="M607" s="3">
        <f>SUM(J607:J631)</f>
        <v>0.96</v>
      </c>
      <c r="N607" s="3">
        <f>AVERAGE(J607:J1216)</f>
        <v>0.192</v>
      </c>
      <c r="O607" s="3">
        <f>COUNT(J607:J1216)</f>
        <v>5</v>
      </c>
      <c r="P607" s="3" t="str">
        <f>TEXT(J607,"0.00")</f>
        <v>0.18</v>
      </c>
      <c r="Q607" s="3" t="str">
        <f>LEFT(L607,3)</f>
        <v>Spr</v>
      </c>
      <c r="R607" s="7" t="str">
        <f>RIGHT(L607,3)</f>
        <v>ing</v>
      </c>
      <c r="S607" s="8">
        <f>LEN(L607)</f>
        <v>6</v>
      </c>
      <c r="T607" s="36" t="str">
        <f>A607&amp;"|"&amp;B607&amp;"|"&amp;F607</f>
        <v>606|28-01-2011|11</v>
      </c>
      <c r="V607" s="32">
        <f>VLOOKUP(A607,Sheet2!A:H,3,FALSE)</f>
        <v>0.21210000000000001</v>
      </c>
      <c r="W607" s="32">
        <f>VLOOKUP(A607,Sheet2!A:H,4,FALSE)</f>
        <v>0.93</v>
      </c>
      <c r="X607" s="32">
        <f>VLOOKUP(A607,Sheet2!A:H,7,FALSE)</f>
        <v>28</v>
      </c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">
        <v>607</v>
      </c>
      <c r="B608" s="4" t="s">
        <v>42</v>
      </c>
      <c r="C608" s="4">
        <v>1</v>
      </c>
      <c r="D608" s="4">
        <v>0</v>
      </c>
      <c r="E608" s="4">
        <v>1</v>
      </c>
      <c r="F608" s="4">
        <v>12</v>
      </c>
      <c r="G608" s="4" t="b">
        <v>0</v>
      </c>
      <c r="H608" s="4">
        <v>5</v>
      </c>
      <c r="I608" s="4">
        <v>3</v>
      </c>
      <c r="J608" s="4">
        <v>0.18</v>
      </c>
      <c r="K608" s="6" t="str">
        <f>IF(H608=0,"weekend",IF(H608=6,"weekend","weekend"))</f>
        <v>weekend</v>
      </c>
      <c r="L608" s="3" t="str">
        <f>IF(C608=1,"Spring",IF(C608=2,"Summer",IF(C608=3,"Fall","Winter")))</f>
        <v>Spring</v>
      </c>
      <c r="M608" s="3">
        <f>SUM(J608:J632)</f>
        <v>0.78</v>
      </c>
      <c r="N608" s="3">
        <f>AVERAGE(J608:J1217)</f>
        <v>0.19500000000000001</v>
      </c>
      <c r="O608" s="3">
        <f>COUNT(J608:J1217)</f>
        <v>4</v>
      </c>
      <c r="P608" s="3" t="str">
        <f>TEXT(J608,"0.00")</f>
        <v>0.18</v>
      </c>
      <c r="Q608" s="3" t="str">
        <f>LEFT(L608,3)</f>
        <v>Spr</v>
      </c>
      <c r="R608" s="7" t="str">
        <f>RIGHT(L608,3)</f>
        <v>ing</v>
      </c>
      <c r="S608" s="8">
        <f>LEN(L608)</f>
        <v>6</v>
      </c>
      <c r="T608" s="36" t="str">
        <f>A608&amp;"|"&amp;B608&amp;"|"&amp;F608</f>
        <v>607|28-01-2011|12</v>
      </c>
      <c r="V608" s="32">
        <f>VLOOKUP(A608,Sheet2!A:H,3,FALSE)</f>
        <v>0.21210000000000001</v>
      </c>
      <c r="W608" s="32">
        <f>VLOOKUP(A608,Sheet2!A:H,4,FALSE)</f>
        <v>0.93</v>
      </c>
      <c r="X608" s="32">
        <f>VLOOKUP(A608,Sheet2!A:H,7,FALSE)</f>
        <v>31</v>
      </c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">
        <v>608</v>
      </c>
      <c r="B609" s="4" t="s">
        <v>42</v>
      </c>
      <c r="C609" s="4">
        <v>1</v>
      </c>
      <c r="D609" s="4">
        <v>0</v>
      </c>
      <c r="E609" s="4">
        <v>1</v>
      </c>
      <c r="F609" s="4">
        <v>13</v>
      </c>
      <c r="G609" s="4" t="b">
        <v>0</v>
      </c>
      <c r="H609" s="4">
        <v>5</v>
      </c>
      <c r="I609" s="4">
        <v>3</v>
      </c>
      <c r="J609" s="4">
        <v>0.18</v>
      </c>
      <c r="K609" s="6" t="str">
        <f>IF(H609=0,"weekend",IF(H609=6,"weekend","weekend"))</f>
        <v>weekend</v>
      </c>
      <c r="L609" s="3" t="str">
        <f>IF(C609=1,"Spring",IF(C609=2,"Summer",IF(C609=3,"Fall","Winter")))</f>
        <v>Spring</v>
      </c>
      <c r="M609" s="3">
        <f>SUM(J609:J633)</f>
        <v>0.60000000000000009</v>
      </c>
      <c r="N609" s="3">
        <f>AVERAGE(J609:J1218)</f>
        <v>0.20000000000000004</v>
      </c>
      <c r="O609" s="3">
        <f>COUNT(J609:J1218)</f>
        <v>3</v>
      </c>
      <c r="P609" s="3" t="str">
        <f>TEXT(J609,"0.00")</f>
        <v>0.18</v>
      </c>
      <c r="Q609" s="3" t="str">
        <f>LEFT(L609,3)</f>
        <v>Spr</v>
      </c>
      <c r="R609" s="7" t="str">
        <f>RIGHT(L609,3)</f>
        <v>ing</v>
      </c>
      <c r="S609" s="8">
        <f>LEN(L609)</f>
        <v>6</v>
      </c>
      <c r="T609" s="36" t="str">
        <f>A609&amp;"|"&amp;B609&amp;"|"&amp;F609</f>
        <v>608|28-01-2011|13</v>
      </c>
      <c r="V609" s="32">
        <f>VLOOKUP(A609,Sheet2!A:H,3,FALSE)</f>
        <v>0.2727</v>
      </c>
      <c r="W609" s="32">
        <f>VLOOKUP(A609,Sheet2!A:H,4,FALSE)</f>
        <v>0.8</v>
      </c>
      <c r="X609" s="32">
        <f>VLOOKUP(A609,Sheet2!A:H,7,FALSE)</f>
        <v>36</v>
      </c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">
        <v>609</v>
      </c>
      <c r="B610" s="4" t="s">
        <v>42</v>
      </c>
      <c r="C610" s="4">
        <v>1</v>
      </c>
      <c r="D610" s="4">
        <v>0</v>
      </c>
      <c r="E610" s="4">
        <v>1</v>
      </c>
      <c r="F610" s="4">
        <v>14</v>
      </c>
      <c r="G610" s="4" t="b">
        <v>0</v>
      </c>
      <c r="H610" s="4">
        <v>5</v>
      </c>
      <c r="I610" s="4">
        <v>3</v>
      </c>
      <c r="J610" s="4">
        <v>0.22</v>
      </c>
      <c r="K610" s="6" t="str">
        <f>IF(H610=0,"weekend",IF(H610=6,"weekend","weekend"))</f>
        <v>weekend</v>
      </c>
      <c r="L610" s="3" t="str">
        <f>IF(C610=1,"Spring",IF(C610=2,"Summer",IF(C610=3,"Fall","Winter")))</f>
        <v>Spring</v>
      </c>
      <c r="M610" s="3">
        <f>SUM(J610:J634)</f>
        <v>0.42000000000000004</v>
      </c>
      <c r="N610" s="3">
        <f>AVERAGE(J610:J1219)</f>
        <v>0.21000000000000002</v>
      </c>
      <c r="O610" s="3">
        <f>COUNT(J610:J1219)</f>
        <v>2</v>
      </c>
      <c r="P610" s="3" t="str">
        <f>TEXT(J610,"0.00")</f>
        <v>0.22</v>
      </c>
      <c r="Q610" s="3" t="str">
        <f>LEFT(L610,3)</f>
        <v>Spr</v>
      </c>
      <c r="R610" s="7" t="str">
        <f>RIGHT(L610,3)</f>
        <v>ing</v>
      </c>
      <c r="S610" s="8">
        <f>LEN(L610)</f>
        <v>6</v>
      </c>
      <c r="T610" s="36" t="str">
        <f>A610&amp;"|"&amp;B610&amp;"|"&amp;F610</f>
        <v>609|28-01-2011|14</v>
      </c>
      <c r="V610" s="32">
        <f>VLOOKUP(A610,Sheet2!A:H,3,FALSE)</f>
        <v>0.2576</v>
      </c>
      <c r="W610" s="32">
        <f>VLOOKUP(A610,Sheet2!A:H,4,FALSE)</f>
        <v>0.86</v>
      </c>
      <c r="X610" s="32">
        <f>VLOOKUP(A610,Sheet2!A:H,7,FALSE)</f>
        <v>40</v>
      </c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">
        <v>610</v>
      </c>
      <c r="B611" s="4" t="s">
        <v>42</v>
      </c>
      <c r="C611" s="4">
        <v>1</v>
      </c>
      <c r="D611" s="4">
        <v>0</v>
      </c>
      <c r="E611" s="4">
        <v>1</v>
      </c>
      <c r="F611" s="4">
        <v>15</v>
      </c>
      <c r="G611" s="4" t="b">
        <v>0</v>
      </c>
      <c r="H611" s="4">
        <v>5</v>
      </c>
      <c r="I611" s="4">
        <v>2</v>
      </c>
      <c r="J611" s="4">
        <v>0.2</v>
      </c>
      <c r="K611" s="6" t="str">
        <f>IF(H611=0,"weekend",IF(H611=6,"weekend","weekend"))</f>
        <v>weekend</v>
      </c>
      <c r="L611" s="3" t="str">
        <f>IF(C611=1,"Spring",IF(C611=2,"Summer",IF(C611=3,"Fall","Winter")))</f>
        <v>Spring</v>
      </c>
      <c r="M611" s="3">
        <f>SUM(J611:J635)</f>
        <v>0.2</v>
      </c>
      <c r="N611" s="3">
        <f>AVERAGE(J611:J1220)</f>
        <v>0.2</v>
      </c>
      <c r="O611" s="3">
        <f>COUNT(J611:J1220)</f>
        <v>1</v>
      </c>
      <c r="P611" s="3" t="str">
        <f>TEXT(J611,"0.00")</f>
        <v>0.20</v>
      </c>
      <c r="Q611" s="3" t="str">
        <f>LEFT(L611,3)</f>
        <v>Spr</v>
      </c>
      <c r="R611" s="7" t="str">
        <f>RIGHT(L611,3)</f>
        <v>ing</v>
      </c>
      <c r="S611" s="8">
        <f>LEN(L611)</f>
        <v>6</v>
      </c>
      <c r="T611" s="36" t="str">
        <f>A611&amp;"|"&amp;B611&amp;"|"&amp;F611</f>
        <v>610|28-01-2011|15</v>
      </c>
      <c r="V611" s="32" t="e">
        <f>VLOOKUP(A611,Sheet2!A:H,3,FALSE)</f>
        <v>#N/A</v>
      </c>
      <c r="W611" s="32" t="e">
        <f>VLOOKUP(A611,Sheet2!A:H,4,FALSE)</f>
        <v>#N/A</v>
      </c>
      <c r="X611" s="32" t="e">
        <f>VLOOKUP(A611,Sheet2!A:H,7,FALSE)</f>
        <v>#N/A</v>
      </c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</sheetData>
  <conditionalFormatting sqref="M1:M611">
    <cfRule type="notContainsBlanks" dxfId="35" priority="4">
      <formula>LEN(TRIM(M1))&gt;0</formula>
    </cfRule>
    <cfRule type="cellIs" dxfId="34" priority="7" operator="greaterThan">
      <formula>"m10"</formula>
    </cfRule>
  </conditionalFormatting>
  <conditionalFormatting sqref="N1:N611">
    <cfRule type="notContainsBlanks" dxfId="33" priority="5">
      <formula>LEN(TRIM(N1))&gt;0</formula>
    </cfRule>
    <cfRule type="cellIs" dxfId="32" priority="6" operator="greaterThan">
      <formula>"n10"</formula>
    </cfRule>
  </conditionalFormatting>
  <conditionalFormatting sqref="O1:O611">
    <cfRule type="cellIs" dxfId="31" priority="3" operator="greaterThan">
      <formula>10</formula>
    </cfRule>
  </conditionalFormatting>
  <conditionalFormatting sqref="P1:P611">
    <cfRule type="notContainsBlanks" dxfId="30" priority="2">
      <formula>LEN(TRIM(P1))&gt;0</formula>
    </cfRule>
  </conditionalFormatting>
  <conditionalFormatting sqref="Q1:Q611">
    <cfRule type="notContainsBlanks" dxfId="29" priority="1">
      <formula>LEN(TRIM(Q1))&gt;0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C8BF-4956-4B96-89AE-6C443AE461A7}">
  <dimension ref="A3:B614"/>
  <sheetViews>
    <sheetView topLeftCell="A4" workbookViewId="0">
      <selection activeCell="G21" sqref="G21"/>
    </sheetView>
  </sheetViews>
  <sheetFormatPr defaultRowHeight="15" x14ac:dyDescent="0.2"/>
  <cols>
    <col min="1" max="1" width="11.43359375" bestFit="1" customWidth="1"/>
    <col min="2" max="2" width="10.22265625" bestFit="1" customWidth="1"/>
  </cols>
  <sheetData>
    <row r="3" spans="1:2" x14ac:dyDescent="0.2">
      <c r="A3" s="39" t="s">
        <v>6</v>
      </c>
      <c r="B3" t="s">
        <v>47</v>
      </c>
    </row>
    <row r="4" spans="1:2" x14ac:dyDescent="0.2">
      <c r="A4">
        <v>1</v>
      </c>
      <c r="B4" s="38">
        <v>16</v>
      </c>
    </row>
    <row r="5" spans="1:2" x14ac:dyDescent="0.2">
      <c r="A5">
        <v>2</v>
      </c>
      <c r="B5" s="38">
        <v>40</v>
      </c>
    </row>
    <row r="6" spans="1:2" x14ac:dyDescent="0.2">
      <c r="A6">
        <v>3</v>
      </c>
      <c r="B6" s="38">
        <v>32</v>
      </c>
    </row>
    <row r="7" spans="1:2" x14ac:dyDescent="0.2">
      <c r="A7">
        <v>4</v>
      </c>
      <c r="B7" s="38">
        <v>13</v>
      </c>
    </row>
    <row r="8" spans="1:2" x14ac:dyDescent="0.2">
      <c r="A8">
        <v>5</v>
      </c>
      <c r="B8" s="38">
        <v>1</v>
      </c>
    </row>
    <row r="9" spans="1:2" x14ac:dyDescent="0.2">
      <c r="A9">
        <v>6</v>
      </c>
      <c r="B9" s="38">
        <v>1</v>
      </c>
    </row>
    <row r="10" spans="1:2" x14ac:dyDescent="0.2">
      <c r="A10">
        <v>7</v>
      </c>
      <c r="B10" s="38">
        <v>2</v>
      </c>
    </row>
    <row r="11" spans="1:2" x14ac:dyDescent="0.2">
      <c r="A11">
        <v>8</v>
      </c>
      <c r="B11" s="38">
        <v>3</v>
      </c>
    </row>
    <row r="12" spans="1:2" x14ac:dyDescent="0.2">
      <c r="A12">
        <v>9</v>
      </c>
      <c r="B12" s="38">
        <v>8</v>
      </c>
    </row>
    <row r="13" spans="1:2" x14ac:dyDescent="0.2">
      <c r="A13">
        <v>10</v>
      </c>
      <c r="B13" s="38">
        <v>14</v>
      </c>
    </row>
    <row r="14" spans="1:2" x14ac:dyDescent="0.2">
      <c r="A14">
        <v>11</v>
      </c>
      <c r="B14" s="38">
        <v>36</v>
      </c>
    </row>
    <row r="15" spans="1:2" x14ac:dyDescent="0.2">
      <c r="A15">
        <v>12</v>
      </c>
      <c r="B15" s="38">
        <v>56</v>
      </c>
    </row>
    <row r="16" spans="1:2" x14ac:dyDescent="0.2">
      <c r="A16">
        <v>13</v>
      </c>
      <c r="B16" s="38">
        <v>84</v>
      </c>
    </row>
    <row r="17" spans="1:2" x14ac:dyDescent="0.2">
      <c r="A17">
        <v>14</v>
      </c>
      <c r="B17" s="38">
        <v>94</v>
      </c>
    </row>
    <row r="18" spans="1:2" x14ac:dyDescent="0.2">
      <c r="A18">
        <v>15</v>
      </c>
      <c r="B18" s="38">
        <v>106</v>
      </c>
    </row>
    <row r="19" spans="1:2" x14ac:dyDescent="0.2">
      <c r="A19">
        <v>16</v>
      </c>
      <c r="B19" s="38">
        <v>110</v>
      </c>
    </row>
    <row r="20" spans="1:2" x14ac:dyDescent="0.2">
      <c r="A20">
        <v>17</v>
      </c>
      <c r="B20" s="38">
        <v>93</v>
      </c>
    </row>
    <row r="21" spans="1:2" x14ac:dyDescent="0.2">
      <c r="A21">
        <v>18</v>
      </c>
      <c r="B21" s="38">
        <v>67</v>
      </c>
    </row>
    <row r="22" spans="1:2" x14ac:dyDescent="0.2">
      <c r="A22">
        <v>19</v>
      </c>
      <c r="B22" s="38">
        <v>35</v>
      </c>
    </row>
    <row r="23" spans="1:2" x14ac:dyDescent="0.2">
      <c r="A23">
        <v>20</v>
      </c>
      <c r="B23" s="38">
        <v>37</v>
      </c>
    </row>
    <row r="24" spans="1:2" x14ac:dyDescent="0.2">
      <c r="A24">
        <v>21</v>
      </c>
      <c r="B24" s="38">
        <v>36</v>
      </c>
    </row>
    <row r="25" spans="1:2" x14ac:dyDescent="0.2">
      <c r="A25">
        <v>22</v>
      </c>
      <c r="B25" s="38">
        <v>34</v>
      </c>
    </row>
    <row r="26" spans="1:2" x14ac:dyDescent="0.2">
      <c r="A26">
        <v>23</v>
      </c>
      <c r="B26" s="38">
        <v>28</v>
      </c>
    </row>
    <row r="27" spans="1:2" x14ac:dyDescent="0.2">
      <c r="A27">
        <v>24</v>
      </c>
      <c r="B27" s="38">
        <v>39</v>
      </c>
    </row>
    <row r="28" spans="1:2" x14ac:dyDescent="0.2">
      <c r="A28">
        <v>25</v>
      </c>
      <c r="B28" s="38">
        <v>17</v>
      </c>
    </row>
    <row r="29" spans="1:2" x14ac:dyDescent="0.2">
      <c r="A29">
        <v>26</v>
      </c>
      <c r="B29" s="38">
        <v>17</v>
      </c>
    </row>
    <row r="30" spans="1:2" x14ac:dyDescent="0.2">
      <c r="A30">
        <v>27</v>
      </c>
      <c r="B30" s="38">
        <v>9</v>
      </c>
    </row>
    <row r="31" spans="1:2" x14ac:dyDescent="0.2">
      <c r="A31">
        <v>28</v>
      </c>
      <c r="B31" s="38">
        <v>6</v>
      </c>
    </row>
    <row r="32" spans="1:2" x14ac:dyDescent="0.2">
      <c r="A32">
        <v>29</v>
      </c>
      <c r="B32" s="38">
        <v>3</v>
      </c>
    </row>
    <row r="33" spans="1:2" x14ac:dyDescent="0.2">
      <c r="A33">
        <v>30</v>
      </c>
      <c r="B33" s="38">
        <v>2</v>
      </c>
    </row>
    <row r="34" spans="1:2" x14ac:dyDescent="0.2">
      <c r="A34">
        <v>31</v>
      </c>
      <c r="B34" s="38">
        <v>1</v>
      </c>
    </row>
    <row r="35" spans="1:2" x14ac:dyDescent="0.2">
      <c r="A35">
        <v>32</v>
      </c>
      <c r="B35" s="38">
        <v>8</v>
      </c>
    </row>
    <row r="36" spans="1:2" x14ac:dyDescent="0.2">
      <c r="A36">
        <v>33</v>
      </c>
      <c r="B36" s="38">
        <v>20</v>
      </c>
    </row>
    <row r="37" spans="1:2" x14ac:dyDescent="0.2">
      <c r="A37">
        <v>34</v>
      </c>
      <c r="B37" s="38">
        <v>53</v>
      </c>
    </row>
    <row r="38" spans="1:2" x14ac:dyDescent="0.2">
      <c r="A38">
        <v>35</v>
      </c>
      <c r="B38" s="38">
        <v>70</v>
      </c>
    </row>
    <row r="39" spans="1:2" x14ac:dyDescent="0.2">
      <c r="A39">
        <v>36</v>
      </c>
      <c r="B39" s="38">
        <v>93</v>
      </c>
    </row>
    <row r="40" spans="1:2" x14ac:dyDescent="0.2">
      <c r="A40">
        <v>37</v>
      </c>
      <c r="B40" s="38">
        <v>75</v>
      </c>
    </row>
    <row r="41" spans="1:2" x14ac:dyDescent="0.2">
      <c r="A41">
        <v>38</v>
      </c>
      <c r="B41" s="38">
        <v>59</v>
      </c>
    </row>
    <row r="42" spans="1:2" x14ac:dyDescent="0.2">
      <c r="A42">
        <v>39</v>
      </c>
      <c r="B42" s="38">
        <v>74</v>
      </c>
    </row>
    <row r="43" spans="1:2" x14ac:dyDescent="0.2">
      <c r="A43">
        <v>40</v>
      </c>
      <c r="B43" s="38">
        <v>76</v>
      </c>
    </row>
    <row r="44" spans="1:2" x14ac:dyDescent="0.2">
      <c r="A44">
        <v>41</v>
      </c>
      <c r="B44" s="38">
        <v>65</v>
      </c>
    </row>
    <row r="45" spans="1:2" x14ac:dyDescent="0.2">
      <c r="A45">
        <v>42</v>
      </c>
      <c r="B45" s="38">
        <v>53</v>
      </c>
    </row>
    <row r="46" spans="1:2" x14ac:dyDescent="0.2">
      <c r="A46">
        <v>43</v>
      </c>
      <c r="B46" s="38">
        <v>30</v>
      </c>
    </row>
    <row r="47" spans="1:2" x14ac:dyDescent="0.2">
      <c r="A47">
        <v>44</v>
      </c>
      <c r="B47" s="38">
        <v>22</v>
      </c>
    </row>
    <row r="48" spans="1:2" x14ac:dyDescent="0.2">
      <c r="A48">
        <v>45</v>
      </c>
      <c r="B48" s="38">
        <v>31</v>
      </c>
    </row>
    <row r="49" spans="1:2" x14ac:dyDescent="0.2">
      <c r="A49">
        <v>46</v>
      </c>
      <c r="B49" s="38">
        <v>9</v>
      </c>
    </row>
    <row r="50" spans="1:2" x14ac:dyDescent="0.2">
      <c r="A50">
        <v>47</v>
      </c>
      <c r="B50" s="38">
        <v>8</v>
      </c>
    </row>
    <row r="51" spans="1:2" x14ac:dyDescent="0.2">
      <c r="A51">
        <v>48</v>
      </c>
      <c r="B51" s="38">
        <v>5</v>
      </c>
    </row>
    <row r="52" spans="1:2" x14ac:dyDescent="0.2">
      <c r="A52">
        <v>49</v>
      </c>
      <c r="B52" s="38">
        <v>2</v>
      </c>
    </row>
    <row r="53" spans="1:2" x14ac:dyDescent="0.2">
      <c r="A53">
        <v>50</v>
      </c>
      <c r="B53" s="38">
        <v>1</v>
      </c>
    </row>
    <row r="54" spans="1:2" x14ac:dyDescent="0.2">
      <c r="A54">
        <v>51</v>
      </c>
      <c r="B54" s="38">
        <v>3</v>
      </c>
    </row>
    <row r="55" spans="1:2" x14ac:dyDescent="0.2">
      <c r="A55">
        <v>52</v>
      </c>
      <c r="B55" s="38">
        <v>30</v>
      </c>
    </row>
    <row r="56" spans="1:2" x14ac:dyDescent="0.2">
      <c r="A56">
        <v>53</v>
      </c>
      <c r="B56" s="38">
        <v>64</v>
      </c>
    </row>
    <row r="57" spans="1:2" x14ac:dyDescent="0.2">
      <c r="A57">
        <v>54</v>
      </c>
      <c r="B57" s="38">
        <v>154</v>
      </c>
    </row>
    <row r="58" spans="1:2" x14ac:dyDescent="0.2">
      <c r="A58">
        <v>55</v>
      </c>
      <c r="B58" s="38">
        <v>88</v>
      </c>
    </row>
    <row r="59" spans="1:2" x14ac:dyDescent="0.2">
      <c r="A59">
        <v>56</v>
      </c>
      <c r="B59" s="38">
        <v>44</v>
      </c>
    </row>
    <row r="60" spans="1:2" x14ac:dyDescent="0.2">
      <c r="A60">
        <v>57</v>
      </c>
      <c r="B60" s="38">
        <v>51</v>
      </c>
    </row>
    <row r="61" spans="1:2" x14ac:dyDescent="0.2">
      <c r="A61">
        <v>58</v>
      </c>
      <c r="B61" s="38">
        <v>61</v>
      </c>
    </row>
    <row r="62" spans="1:2" x14ac:dyDescent="0.2">
      <c r="A62">
        <v>59</v>
      </c>
      <c r="B62" s="38">
        <v>61</v>
      </c>
    </row>
    <row r="63" spans="1:2" x14ac:dyDescent="0.2">
      <c r="A63">
        <v>60</v>
      </c>
      <c r="B63" s="38">
        <v>77</v>
      </c>
    </row>
    <row r="64" spans="1:2" x14ac:dyDescent="0.2">
      <c r="A64">
        <v>61</v>
      </c>
      <c r="B64" s="38">
        <v>72</v>
      </c>
    </row>
    <row r="65" spans="1:2" x14ac:dyDescent="0.2">
      <c r="A65">
        <v>62</v>
      </c>
      <c r="B65" s="38">
        <v>76</v>
      </c>
    </row>
    <row r="66" spans="1:2" x14ac:dyDescent="0.2">
      <c r="A66">
        <v>63</v>
      </c>
      <c r="B66" s="38">
        <v>157</v>
      </c>
    </row>
    <row r="67" spans="1:2" x14ac:dyDescent="0.2">
      <c r="A67">
        <v>64</v>
      </c>
      <c r="B67" s="38">
        <v>157</v>
      </c>
    </row>
    <row r="68" spans="1:2" x14ac:dyDescent="0.2">
      <c r="A68">
        <v>65</v>
      </c>
      <c r="B68" s="38">
        <v>110</v>
      </c>
    </row>
    <row r="69" spans="1:2" x14ac:dyDescent="0.2">
      <c r="A69">
        <v>66</v>
      </c>
      <c r="B69" s="38">
        <v>52</v>
      </c>
    </row>
    <row r="70" spans="1:2" x14ac:dyDescent="0.2">
      <c r="A70">
        <v>67</v>
      </c>
      <c r="B70" s="38">
        <v>52</v>
      </c>
    </row>
    <row r="71" spans="1:2" x14ac:dyDescent="0.2">
      <c r="A71">
        <v>68</v>
      </c>
      <c r="B71" s="38">
        <v>20</v>
      </c>
    </row>
    <row r="72" spans="1:2" x14ac:dyDescent="0.2">
      <c r="A72">
        <v>69</v>
      </c>
      <c r="B72" s="38">
        <v>12</v>
      </c>
    </row>
    <row r="73" spans="1:2" x14ac:dyDescent="0.2">
      <c r="A73">
        <v>70</v>
      </c>
      <c r="B73" s="38">
        <v>5</v>
      </c>
    </row>
    <row r="74" spans="1:2" x14ac:dyDescent="0.2">
      <c r="A74">
        <v>71</v>
      </c>
      <c r="B74" s="38">
        <v>2</v>
      </c>
    </row>
    <row r="75" spans="1:2" x14ac:dyDescent="0.2">
      <c r="A75">
        <v>72</v>
      </c>
      <c r="B75" s="38">
        <v>1</v>
      </c>
    </row>
    <row r="76" spans="1:2" x14ac:dyDescent="0.2">
      <c r="A76">
        <v>73</v>
      </c>
      <c r="B76" s="38">
        <v>2</v>
      </c>
    </row>
    <row r="77" spans="1:2" x14ac:dyDescent="0.2">
      <c r="A77">
        <v>74</v>
      </c>
      <c r="B77" s="38">
        <v>4</v>
      </c>
    </row>
    <row r="78" spans="1:2" x14ac:dyDescent="0.2">
      <c r="A78">
        <v>75</v>
      </c>
      <c r="B78" s="38">
        <v>36</v>
      </c>
    </row>
    <row r="79" spans="1:2" x14ac:dyDescent="0.2">
      <c r="A79">
        <v>76</v>
      </c>
      <c r="B79" s="38">
        <v>94</v>
      </c>
    </row>
    <row r="80" spans="1:2" x14ac:dyDescent="0.2">
      <c r="A80">
        <v>77</v>
      </c>
      <c r="B80" s="38">
        <v>179</v>
      </c>
    </row>
    <row r="81" spans="1:2" x14ac:dyDescent="0.2">
      <c r="A81">
        <v>78</v>
      </c>
      <c r="B81" s="38">
        <v>100</v>
      </c>
    </row>
    <row r="82" spans="1:2" x14ac:dyDescent="0.2">
      <c r="A82">
        <v>79</v>
      </c>
      <c r="B82" s="38">
        <v>42</v>
      </c>
    </row>
    <row r="83" spans="1:2" x14ac:dyDescent="0.2">
      <c r="A83">
        <v>80</v>
      </c>
      <c r="B83" s="38">
        <v>57</v>
      </c>
    </row>
    <row r="84" spans="1:2" x14ac:dyDescent="0.2">
      <c r="A84">
        <v>81</v>
      </c>
      <c r="B84" s="38">
        <v>78</v>
      </c>
    </row>
    <row r="85" spans="1:2" x14ac:dyDescent="0.2">
      <c r="A85">
        <v>82</v>
      </c>
      <c r="B85" s="38">
        <v>97</v>
      </c>
    </row>
    <row r="86" spans="1:2" x14ac:dyDescent="0.2">
      <c r="A86">
        <v>83</v>
      </c>
      <c r="B86" s="38">
        <v>63</v>
      </c>
    </row>
    <row r="87" spans="1:2" x14ac:dyDescent="0.2">
      <c r="A87">
        <v>84</v>
      </c>
      <c r="B87" s="38">
        <v>65</v>
      </c>
    </row>
    <row r="88" spans="1:2" x14ac:dyDescent="0.2">
      <c r="A88">
        <v>85</v>
      </c>
      <c r="B88" s="38">
        <v>83</v>
      </c>
    </row>
    <row r="89" spans="1:2" x14ac:dyDescent="0.2">
      <c r="A89">
        <v>86</v>
      </c>
      <c r="B89" s="38">
        <v>212</v>
      </c>
    </row>
    <row r="90" spans="1:2" x14ac:dyDescent="0.2">
      <c r="A90">
        <v>87</v>
      </c>
      <c r="B90" s="38">
        <v>182</v>
      </c>
    </row>
    <row r="91" spans="1:2" x14ac:dyDescent="0.2">
      <c r="A91">
        <v>88</v>
      </c>
      <c r="B91" s="38">
        <v>112</v>
      </c>
    </row>
    <row r="92" spans="1:2" x14ac:dyDescent="0.2">
      <c r="A92">
        <v>89</v>
      </c>
      <c r="B92" s="38">
        <v>54</v>
      </c>
    </row>
    <row r="93" spans="1:2" x14ac:dyDescent="0.2">
      <c r="A93">
        <v>90</v>
      </c>
      <c r="B93" s="38">
        <v>48</v>
      </c>
    </row>
    <row r="94" spans="1:2" x14ac:dyDescent="0.2">
      <c r="A94">
        <v>91</v>
      </c>
      <c r="B94" s="38">
        <v>35</v>
      </c>
    </row>
    <row r="95" spans="1:2" x14ac:dyDescent="0.2">
      <c r="A95">
        <v>92</v>
      </c>
      <c r="B95" s="38">
        <v>11</v>
      </c>
    </row>
    <row r="96" spans="1:2" x14ac:dyDescent="0.2">
      <c r="A96">
        <v>93</v>
      </c>
      <c r="B96" s="38">
        <v>6</v>
      </c>
    </row>
    <row r="97" spans="1:2" x14ac:dyDescent="0.2">
      <c r="A97">
        <v>94</v>
      </c>
      <c r="B97" s="38">
        <v>6</v>
      </c>
    </row>
    <row r="98" spans="1:2" x14ac:dyDescent="0.2">
      <c r="A98">
        <v>95</v>
      </c>
      <c r="B98" s="38">
        <v>2</v>
      </c>
    </row>
    <row r="99" spans="1:2" x14ac:dyDescent="0.2">
      <c r="A99">
        <v>96</v>
      </c>
      <c r="B99" s="38">
        <v>2</v>
      </c>
    </row>
    <row r="100" spans="1:2" x14ac:dyDescent="0.2">
      <c r="A100">
        <v>97</v>
      </c>
      <c r="B100" s="38">
        <v>3</v>
      </c>
    </row>
    <row r="101" spans="1:2" x14ac:dyDescent="0.2">
      <c r="A101">
        <v>98</v>
      </c>
      <c r="B101" s="38">
        <v>33</v>
      </c>
    </row>
    <row r="102" spans="1:2" x14ac:dyDescent="0.2">
      <c r="A102">
        <v>99</v>
      </c>
      <c r="B102" s="38">
        <v>88</v>
      </c>
    </row>
    <row r="103" spans="1:2" x14ac:dyDescent="0.2">
      <c r="A103">
        <v>100</v>
      </c>
      <c r="B103" s="38">
        <v>195</v>
      </c>
    </row>
    <row r="104" spans="1:2" x14ac:dyDescent="0.2">
      <c r="A104">
        <v>101</v>
      </c>
      <c r="B104" s="38">
        <v>115</v>
      </c>
    </row>
    <row r="105" spans="1:2" x14ac:dyDescent="0.2">
      <c r="A105">
        <v>102</v>
      </c>
      <c r="B105" s="38">
        <v>57</v>
      </c>
    </row>
    <row r="106" spans="1:2" x14ac:dyDescent="0.2">
      <c r="A106">
        <v>103</v>
      </c>
      <c r="B106" s="38">
        <v>46</v>
      </c>
    </row>
    <row r="107" spans="1:2" x14ac:dyDescent="0.2">
      <c r="A107">
        <v>104</v>
      </c>
      <c r="B107" s="38">
        <v>79</v>
      </c>
    </row>
    <row r="108" spans="1:2" x14ac:dyDescent="0.2">
      <c r="A108">
        <v>105</v>
      </c>
      <c r="B108" s="38">
        <v>71</v>
      </c>
    </row>
    <row r="109" spans="1:2" x14ac:dyDescent="0.2">
      <c r="A109">
        <v>106</v>
      </c>
      <c r="B109" s="38">
        <v>62</v>
      </c>
    </row>
    <row r="110" spans="1:2" x14ac:dyDescent="0.2">
      <c r="A110">
        <v>107</v>
      </c>
      <c r="B110" s="38">
        <v>62</v>
      </c>
    </row>
    <row r="111" spans="1:2" x14ac:dyDescent="0.2">
      <c r="A111">
        <v>108</v>
      </c>
      <c r="B111" s="38">
        <v>89</v>
      </c>
    </row>
    <row r="112" spans="1:2" x14ac:dyDescent="0.2">
      <c r="A112">
        <v>109</v>
      </c>
      <c r="B112" s="38">
        <v>190</v>
      </c>
    </row>
    <row r="113" spans="1:2" x14ac:dyDescent="0.2">
      <c r="A113">
        <v>110</v>
      </c>
      <c r="B113" s="38">
        <v>169</v>
      </c>
    </row>
    <row r="114" spans="1:2" x14ac:dyDescent="0.2">
      <c r="A114">
        <v>111</v>
      </c>
      <c r="B114" s="38">
        <v>132</v>
      </c>
    </row>
    <row r="115" spans="1:2" x14ac:dyDescent="0.2">
      <c r="A115">
        <v>112</v>
      </c>
      <c r="B115" s="38">
        <v>89</v>
      </c>
    </row>
    <row r="116" spans="1:2" x14ac:dyDescent="0.2">
      <c r="A116">
        <v>113</v>
      </c>
      <c r="B116" s="38">
        <v>43</v>
      </c>
    </row>
    <row r="117" spans="1:2" x14ac:dyDescent="0.2">
      <c r="A117">
        <v>114</v>
      </c>
      <c r="B117" s="38">
        <v>42</v>
      </c>
    </row>
    <row r="118" spans="1:2" x14ac:dyDescent="0.2">
      <c r="A118">
        <v>115</v>
      </c>
      <c r="B118" s="38">
        <v>19</v>
      </c>
    </row>
    <row r="119" spans="1:2" x14ac:dyDescent="0.2">
      <c r="A119">
        <v>116</v>
      </c>
      <c r="B119" s="38">
        <v>11</v>
      </c>
    </row>
    <row r="120" spans="1:2" x14ac:dyDescent="0.2">
      <c r="A120">
        <v>117</v>
      </c>
      <c r="B120" s="38">
        <v>4</v>
      </c>
    </row>
    <row r="121" spans="1:2" x14ac:dyDescent="0.2">
      <c r="A121">
        <v>118</v>
      </c>
      <c r="B121" s="38">
        <v>2</v>
      </c>
    </row>
    <row r="122" spans="1:2" x14ac:dyDescent="0.2">
      <c r="A122">
        <v>119</v>
      </c>
      <c r="B122" s="38">
        <v>1</v>
      </c>
    </row>
    <row r="123" spans="1:2" x14ac:dyDescent="0.2">
      <c r="A123">
        <v>120</v>
      </c>
      <c r="B123" s="38">
        <v>4</v>
      </c>
    </row>
    <row r="124" spans="1:2" x14ac:dyDescent="0.2">
      <c r="A124">
        <v>121</v>
      </c>
      <c r="B124" s="38">
        <v>36</v>
      </c>
    </row>
    <row r="125" spans="1:2" x14ac:dyDescent="0.2">
      <c r="A125">
        <v>122</v>
      </c>
      <c r="B125" s="38">
        <v>95</v>
      </c>
    </row>
    <row r="126" spans="1:2" x14ac:dyDescent="0.2">
      <c r="A126">
        <v>123</v>
      </c>
      <c r="B126" s="38">
        <v>219</v>
      </c>
    </row>
    <row r="127" spans="1:2" x14ac:dyDescent="0.2">
      <c r="A127">
        <v>124</v>
      </c>
      <c r="B127" s="38">
        <v>122</v>
      </c>
    </row>
    <row r="128" spans="1:2" x14ac:dyDescent="0.2">
      <c r="A128">
        <v>125</v>
      </c>
      <c r="B128" s="38">
        <v>45</v>
      </c>
    </row>
    <row r="129" spans="1:2" x14ac:dyDescent="0.2">
      <c r="A129">
        <v>126</v>
      </c>
      <c r="B129" s="38">
        <v>59</v>
      </c>
    </row>
    <row r="130" spans="1:2" x14ac:dyDescent="0.2">
      <c r="A130">
        <v>127</v>
      </c>
      <c r="B130" s="38">
        <v>84</v>
      </c>
    </row>
    <row r="131" spans="1:2" x14ac:dyDescent="0.2">
      <c r="A131">
        <v>128</v>
      </c>
      <c r="B131" s="38">
        <v>67</v>
      </c>
    </row>
    <row r="132" spans="1:2" x14ac:dyDescent="0.2">
      <c r="A132">
        <v>129</v>
      </c>
      <c r="B132" s="38">
        <v>70</v>
      </c>
    </row>
    <row r="133" spans="1:2" x14ac:dyDescent="0.2">
      <c r="A133">
        <v>130</v>
      </c>
      <c r="B133" s="38">
        <v>62</v>
      </c>
    </row>
    <row r="134" spans="1:2" x14ac:dyDescent="0.2">
      <c r="A134">
        <v>131</v>
      </c>
      <c r="B134" s="38">
        <v>86</v>
      </c>
    </row>
    <row r="135" spans="1:2" x14ac:dyDescent="0.2">
      <c r="A135">
        <v>132</v>
      </c>
      <c r="B135" s="38">
        <v>172</v>
      </c>
    </row>
    <row r="136" spans="1:2" x14ac:dyDescent="0.2">
      <c r="A136">
        <v>133</v>
      </c>
      <c r="B136" s="38">
        <v>163</v>
      </c>
    </row>
    <row r="137" spans="1:2" x14ac:dyDescent="0.2">
      <c r="A137">
        <v>134</v>
      </c>
      <c r="B137" s="38">
        <v>112</v>
      </c>
    </row>
    <row r="138" spans="1:2" x14ac:dyDescent="0.2">
      <c r="A138">
        <v>135</v>
      </c>
      <c r="B138" s="38">
        <v>69</v>
      </c>
    </row>
    <row r="139" spans="1:2" x14ac:dyDescent="0.2">
      <c r="A139">
        <v>136</v>
      </c>
      <c r="B139" s="38">
        <v>48</v>
      </c>
    </row>
    <row r="140" spans="1:2" x14ac:dyDescent="0.2">
      <c r="A140">
        <v>137</v>
      </c>
      <c r="B140" s="38">
        <v>52</v>
      </c>
    </row>
    <row r="141" spans="1:2" x14ac:dyDescent="0.2">
      <c r="A141">
        <v>138</v>
      </c>
      <c r="B141" s="38">
        <v>23</v>
      </c>
    </row>
    <row r="142" spans="1:2" x14ac:dyDescent="0.2">
      <c r="A142">
        <v>139</v>
      </c>
      <c r="B142" s="38">
        <v>17</v>
      </c>
    </row>
    <row r="143" spans="1:2" x14ac:dyDescent="0.2">
      <c r="A143">
        <v>140</v>
      </c>
      <c r="B143" s="38">
        <v>7</v>
      </c>
    </row>
    <row r="144" spans="1:2" x14ac:dyDescent="0.2">
      <c r="A144">
        <v>141</v>
      </c>
      <c r="B144" s="38">
        <v>1</v>
      </c>
    </row>
    <row r="145" spans="1:2" x14ac:dyDescent="0.2">
      <c r="A145">
        <v>142</v>
      </c>
      <c r="B145" s="38">
        <v>1</v>
      </c>
    </row>
    <row r="146" spans="1:2" x14ac:dyDescent="0.2">
      <c r="A146">
        <v>143</v>
      </c>
      <c r="B146" s="38">
        <v>5</v>
      </c>
    </row>
    <row r="147" spans="1:2" x14ac:dyDescent="0.2">
      <c r="A147">
        <v>144</v>
      </c>
      <c r="B147" s="38">
        <v>34</v>
      </c>
    </row>
    <row r="148" spans="1:2" x14ac:dyDescent="0.2">
      <c r="A148">
        <v>145</v>
      </c>
      <c r="B148" s="38">
        <v>84</v>
      </c>
    </row>
    <row r="149" spans="1:2" x14ac:dyDescent="0.2">
      <c r="A149">
        <v>146</v>
      </c>
      <c r="B149" s="38">
        <v>210</v>
      </c>
    </row>
    <row r="150" spans="1:2" x14ac:dyDescent="0.2">
      <c r="A150">
        <v>147</v>
      </c>
      <c r="B150" s="38">
        <v>134</v>
      </c>
    </row>
    <row r="151" spans="1:2" x14ac:dyDescent="0.2">
      <c r="A151">
        <v>148</v>
      </c>
      <c r="B151" s="38">
        <v>63</v>
      </c>
    </row>
    <row r="152" spans="1:2" x14ac:dyDescent="0.2">
      <c r="A152">
        <v>149</v>
      </c>
      <c r="B152" s="38">
        <v>67</v>
      </c>
    </row>
    <row r="153" spans="1:2" x14ac:dyDescent="0.2">
      <c r="A153">
        <v>150</v>
      </c>
      <c r="B153" s="38">
        <v>59</v>
      </c>
    </row>
    <row r="154" spans="1:2" x14ac:dyDescent="0.2">
      <c r="A154">
        <v>151</v>
      </c>
      <c r="B154" s="38">
        <v>73</v>
      </c>
    </row>
    <row r="155" spans="1:2" x14ac:dyDescent="0.2">
      <c r="A155">
        <v>152</v>
      </c>
      <c r="B155" s="38">
        <v>50</v>
      </c>
    </row>
    <row r="156" spans="1:2" x14ac:dyDescent="0.2">
      <c r="A156">
        <v>153</v>
      </c>
      <c r="B156" s="38">
        <v>72</v>
      </c>
    </row>
    <row r="157" spans="1:2" x14ac:dyDescent="0.2">
      <c r="A157">
        <v>154</v>
      </c>
      <c r="B157" s="38">
        <v>87</v>
      </c>
    </row>
    <row r="158" spans="1:2" x14ac:dyDescent="0.2">
      <c r="A158">
        <v>155</v>
      </c>
      <c r="B158" s="38">
        <v>187</v>
      </c>
    </row>
    <row r="159" spans="1:2" x14ac:dyDescent="0.2">
      <c r="A159">
        <v>156</v>
      </c>
      <c r="B159" s="38">
        <v>123</v>
      </c>
    </row>
    <row r="160" spans="1:2" x14ac:dyDescent="0.2">
      <c r="A160">
        <v>157</v>
      </c>
      <c r="B160" s="38">
        <v>95</v>
      </c>
    </row>
    <row r="161" spans="1:2" x14ac:dyDescent="0.2">
      <c r="A161">
        <v>158</v>
      </c>
      <c r="B161" s="38">
        <v>51</v>
      </c>
    </row>
    <row r="162" spans="1:2" x14ac:dyDescent="0.2">
      <c r="A162">
        <v>159</v>
      </c>
      <c r="B162" s="38">
        <v>39</v>
      </c>
    </row>
    <row r="163" spans="1:2" x14ac:dyDescent="0.2">
      <c r="A163">
        <v>160</v>
      </c>
      <c r="B163" s="38">
        <v>36</v>
      </c>
    </row>
    <row r="164" spans="1:2" x14ac:dyDescent="0.2">
      <c r="A164">
        <v>161</v>
      </c>
      <c r="B164" s="38">
        <v>15</v>
      </c>
    </row>
    <row r="165" spans="1:2" x14ac:dyDescent="0.2">
      <c r="A165">
        <v>162</v>
      </c>
      <c r="B165" s="38">
        <v>25</v>
      </c>
    </row>
    <row r="166" spans="1:2" x14ac:dyDescent="0.2">
      <c r="A166">
        <v>163</v>
      </c>
      <c r="B166" s="38">
        <v>16</v>
      </c>
    </row>
    <row r="167" spans="1:2" x14ac:dyDescent="0.2">
      <c r="A167">
        <v>164</v>
      </c>
      <c r="B167" s="38">
        <v>16</v>
      </c>
    </row>
    <row r="168" spans="1:2" x14ac:dyDescent="0.2">
      <c r="A168">
        <v>165</v>
      </c>
      <c r="B168" s="38">
        <v>7</v>
      </c>
    </row>
    <row r="169" spans="1:2" x14ac:dyDescent="0.2">
      <c r="A169">
        <v>166</v>
      </c>
      <c r="B169" s="38">
        <v>1</v>
      </c>
    </row>
    <row r="170" spans="1:2" x14ac:dyDescent="0.2">
      <c r="A170">
        <v>167</v>
      </c>
      <c r="B170" s="38">
        <v>5</v>
      </c>
    </row>
    <row r="171" spans="1:2" x14ac:dyDescent="0.2">
      <c r="A171">
        <v>168</v>
      </c>
      <c r="B171" s="38">
        <v>2</v>
      </c>
    </row>
    <row r="172" spans="1:2" x14ac:dyDescent="0.2">
      <c r="A172">
        <v>169</v>
      </c>
      <c r="B172" s="38">
        <v>9</v>
      </c>
    </row>
    <row r="173" spans="1:2" x14ac:dyDescent="0.2">
      <c r="A173">
        <v>170</v>
      </c>
      <c r="B173" s="38">
        <v>15</v>
      </c>
    </row>
    <row r="174" spans="1:2" x14ac:dyDescent="0.2">
      <c r="A174">
        <v>171</v>
      </c>
      <c r="B174" s="38">
        <v>20</v>
      </c>
    </row>
    <row r="175" spans="1:2" x14ac:dyDescent="0.2">
      <c r="A175">
        <v>172</v>
      </c>
      <c r="B175" s="38">
        <v>61</v>
      </c>
    </row>
    <row r="176" spans="1:2" x14ac:dyDescent="0.2">
      <c r="A176">
        <v>173</v>
      </c>
      <c r="B176" s="38">
        <v>62</v>
      </c>
    </row>
    <row r="177" spans="1:2" x14ac:dyDescent="0.2">
      <c r="A177">
        <v>174</v>
      </c>
      <c r="B177" s="38">
        <v>98</v>
      </c>
    </row>
    <row r="178" spans="1:2" x14ac:dyDescent="0.2">
      <c r="A178">
        <v>175</v>
      </c>
      <c r="B178" s="38">
        <v>102</v>
      </c>
    </row>
    <row r="179" spans="1:2" x14ac:dyDescent="0.2">
      <c r="A179">
        <v>176</v>
      </c>
      <c r="B179" s="38">
        <v>95</v>
      </c>
    </row>
    <row r="180" spans="1:2" x14ac:dyDescent="0.2">
      <c r="A180">
        <v>177</v>
      </c>
      <c r="B180" s="38">
        <v>74</v>
      </c>
    </row>
    <row r="181" spans="1:2" x14ac:dyDescent="0.2">
      <c r="A181">
        <v>178</v>
      </c>
      <c r="B181" s="38">
        <v>76</v>
      </c>
    </row>
    <row r="182" spans="1:2" x14ac:dyDescent="0.2">
      <c r="A182">
        <v>179</v>
      </c>
      <c r="B182" s="38">
        <v>69</v>
      </c>
    </row>
    <row r="183" spans="1:2" x14ac:dyDescent="0.2">
      <c r="A183">
        <v>180</v>
      </c>
      <c r="B183" s="38">
        <v>55</v>
      </c>
    </row>
    <row r="184" spans="1:2" x14ac:dyDescent="0.2">
      <c r="A184">
        <v>181</v>
      </c>
      <c r="B184" s="38">
        <v>30</v>
      </c>
    </row>
    <row r="185" spans="1:2" x14ac:dyDescent="0.2">
      <c r="A185">
        <v>182</v>
      </c>
      <c r="B185" s="38">
        <v>28</v>
      </c>
    </row>
    <row r="186" spans="1:2" x14ac:dyDescent="0.2">
      <c r="A186">
        <v>183</v>
      </c>
      <c r="B186" s="38">
        <v>37</v>
      </c>
    </row>
    <row r="187" spans="1:2" x14ac:dyDescent="0.2">
      <c r="A187">
        <v>184</v>
      </c>
      <c r="B187" s="38">
        <v>34</v>
      </c>
    </row>
    <row r="188" spans="1:2" x14ac:dyDescent="0.2">
      <c r="A188">
        <v>185</v>
      </c>
      <c r="B188" s="38">
        <v>22</v>
      </c>
    </row>
    <row r="189" spans="1:2" x14ac:dyDescent="0.2">
      <c r="A189">
        <v>186</v>
      </c>
      <c r="B189" s="38">
        <v>25</v>
      </c>
    </row>
    <row r="190" spans="1:2" x14ac:dyDescent="0.2">
      <c r="A190">
        <v>187</v>
      </c>
      <c r="B190" s="38">
        <v>12</v>
      </c>
    </row>
    <row r="191" spans="1:2" x14ac:dyDescent="0.2">
      <c r="A191">
        <v>188</v>
      </c>
      <c r="B191" s="38">
        <v>11</v>
      </c>
    </row>
    <row r="192" spans="1:2" x14ac:dyDescent="0.2">
      <c r="A192">
        <v>189</v>
      </c>
      <c r="B192" s="38">
        <v>4</v>
      </c>
    </row>
    <row r="193" spans="1:2" x14ac:dyDescent="0.2">
      <c r="A193">
        <v>190</v>
      </c>
      <c r="B193" s="38">
        <v>1</v>
      </c>
    </row>
    <row r="194" spans="1:2" x14ac:dyDescent="0.2">
      <c r="A194">
        <v>191</v>
      </c>
      <c r="B194" s="38">
        <v>1</v>
      </c>
    </row>
    <row r="195" spans="1:2" x14ac:dyDescent="0.2">
      <c r="A195">
        <v>192</v>
      </c>
      <c r="B195" s="38">
        <v>1</v>
      </c>
    </row>
    <row r="196" spans="1:2" x14ac:dyDescent="0.2">
      <c r="A196">
        <v>193</v>
      </c>
      <c r="B196" s="38">
        <v>6</v>
      </c>
    </row>
    <row r="197" spans="1:2" x14ac:dyDescent="0.2">
      <c r="A197">
        <v>194</v>
      </c>
      <c r="B197" s="38">
        <v>10</v>
      </c>
    </row>
    <row r="198" spans="1:2" x14ac:dyDescent="0.2">
      <c r="A198">
        <v>195</v>
      </c>
      <c r="B198" s="38">
        <v>19</v>
      </c>
    </row>
    <row r="199" spans="1:2" x14ac:dyDescent="0.2">
      <c r="A199">
        <v>196</v>
      </c>
      <c r="B199" s="38">
        <v>49</v>
      </c>
    </row>
    <row r="200" spans="1:2" x14ac:dyDescent="0.2">
      <c r="A200">
        <v>197</v>
      </c>
      <c r="B200" s="38">
        <v>49</v>
      </c>
    </row>
    <row r="201" spans="1:2" x14ac:dyDescent="0.2">
      <c r="A201">
        <v>198</v>
      </c>
      <c r="B201" s="38">
        <v>83</v>
      </c>
    </row>
    <row r="202" spans="1:2" x14ac:dyDescent="0.2">
      <c r="A202">
        <v>199</v>
      </c>
      <c r="B202" s="38">
        <v>75</v>
      </c>
    </row>
    <row r="203" spans="1:2" x14ac:dyDescent="0.2">
      <c r="A203">
        <v>200</v>
      </c>
      <c r="B203" s="38">
        <v>72</v>
      </c>
    </row>
    <row r="204" spans="1:2" x14ac:dyDescent="0.2">
      <c r="A204">
        <v>201</v>
      </c>
      <c r="B204" s="38">
        <v>82</v>
      </c>
    </row>
    <row r="205" spans="1:2" x14ac:dyDescent="0.2">
      <c r="A205">
        <v>202</v>
      </c>
      <c r="B205" s="38">
        <v>92</v>
      </c>
    </row>
    <row r="206" spans="1:2" x14ac:dyDescent="0.2">
      <c r="A206">
        <v>203</v>
      </c>
      <c r="B206" s="38">
        <v>62</v>
      </c>
    </row>
    <row r="207" spans="1:2" x14ac:dyDescent="0.2">
      <c r="A207">
        <v>204</v>
      </c>
      <c r="B207" s="38">
        <v>48</v>
      </c>
    </row>
    <row r="208" spans="1:2" x14ac:dyDescent="0.2">
      <c r="A208">
        <v>205</v>
      </c>
      <c r="B208" s="38">
        <v>41</v>
      </c>
    </row>
    <row r="209" spans="1:2" x14ac:dyDescent="0.2">
      <c r="A209">
        <v>206</v>
      </c>
      <c r="B209" s="38">
        <v>38</v>
      </c>
    </row>
    <row r="210" spans="1:2" x14ac:dyDescent="0.2">
      <c r="A210">
        <v>207</v>
      </c>
      <c r="B210" s="38">
        <v>20</v>
      </c>
    </row>
    <row r="211" spans="1:2" x14ac:dyDescent="0.2">
      <c r="A211">
        <v>208</v>
      </c>
      <c r="B211" s="38">
        <v>15</v>
      </c>
    </row>
    <row r="212" spans="1:2" x14ac:dyDescent="0.2">
      <c r="A212">
        <v>209</v>
      </c>
      <c r="B212" s="38">
        <v>6</v>
      </c>
    </row>
    <row r="213" spans="1:2" x14ac:dyDescent="0.2">
      <c r="A213">
        <v>210</v>
      </c>
      <c r="B213" s="38">
        <v>5</v>
      </c>
    </row>
    <row r="214" spans="1:2" x14ac:dyDescent="0.2">
      <c r="A214">
        <v>211</v>
      </c>
      <c r="B214" s="38">
        <v>1</v>
      </c>
    </row>
    <row r="215" spans="1:2" x14ac:dyDescent="0.2">
      <c r="A215">
        <v>212</v>
      </c>
      <c r="B215" s="38">
        <v>3</v>
      </c>
    </row>
    <row r="216" spans="1:2" x14ac:dyDescent="0.2">
      <c r="A216">
        <v>213</v>
      </c>
      <c r="B216" s="38">
        <v>1</v>
      </c>
    </row>
    <row r="217" spans="1:2" x14ac:dyDescent="0.2">
      <c r="A217">
        <v>214</v>
      </c>
      <c r="B217" s="38">
        <v>3</v>
      </c>
    </row>
    <row r="218" spans="1:2" x14ac:dyDescent="0.2">
      <c r="A218">
        <v>215</v>
      </c>
      <c r="B218" s="38">
        <v>3</v>
      </c>
    </row>
    <row r="219" spans="1:2" x14ac:dyDescent="0.2">
      <c r="A219">
        <v>216</v>
      </c>
      <c r="B219" s="38">
        <v>31</v>
      </c>
    </row>
    <row r="220" spans="1:2" x14ac:dyDescent="0.2">
      <c r="A220">
        <v>217</v>
      </c>
      <c r="B220" s="38">
        <v>77</v>
      </c>
    </row>
    <row r="221" spans="1:2" x14ac:dyDescent="0.2">
      <c r="A221">
        <v>218</v>
      </c>
      <c r="B221" s="38">
        <v>188</v>
      </c>
    </row>
    <row r="222" spans="1:2" x14ac:dyDescent="0.2">
      <c r="A222">
        <v>219</v>
      </c>
      <c r="B222" s="38">
        <v>94</v>
      </c>
    </row>
    <row r="223" spans="1:2" x14ac:dyDescent="0.2">
      <c r="A223">
        <v>220</v>
      </c>
      <c r="B223" s="38">
        <v>31</v>
      </c>
    </row>
    <row r="224" spans="1:2" x14ac:dyDescent="0.2">
      <c r="A224">
        <v>221</v>
      </c>
      <c r="B224" s="38">
        <v>30</v>
      </c>
    </row>
    <row r="225" spans="1:2" x14ac:dyDescent="0.2">
      <c r="A225">
        <v>222</v>
      </c>
      <c r="B225" s="38">
        <v>52</v>
      </c>
    </row>
    <row r="226" spans="1:2" x14ac:dyDescent="0.2">
      <c r="A226">
        <v>223</v>
      </c>
      <c r="B226" s="38">
        <v>54</v>
      </c>
    </row>
    <row r="227" spans="1:2" x14ac:dyDescent="0.2">
      <c r="A227">
        <v>224</v>
      </c>
      <c r="B227" s="38">
        <v>47</v>
      </c>
    </row>
    <row r="228" spans="1:2" x14ac:dyDescent="0.2">
      <c r="A228">
        <v>225</v>
      </c>
      <c r="B228" s="38">
        <v>45</v>
      </c>
    </row>
    <row r="229" spans="1:2" x14ac:dyDescent="0.2">
      <c r="A229">
        <v>226</v>
      </c>
      <c r="B229" s="38">
        <v>74</v>
      </c>
    </row>
    <row r="230" spans="1:2" x14ac:dyDescent="0.2">
      <c r="A230">
        <v>227</v>
      </c>
      <c r="B230" s="38">
        <v>178</v>
      </c>
    </row>
    <row r="231" spans="1:2" x14ac:dyDescent="0.2">
      <c r="A231">
        <v>228</v>
      </c>
      <c r="B231" s="38">
        <v>155</v>
      </c>
    </row>
    <row r="232" spans="1:2" x14ac:dyDescent="0.2">
      <c r="A232">
        <v>229</v>
      </c>
      <c r="B232" s="38">
        <v>95</v>
      </c>
    </row>
    <row r="233" spans="1:2" x14ac:dyDescent="0.2">
      <c r="A233">
        <v>230</v>
      </c>
      <c r="B233" s="38">
        <v>74</v>
      </c>
    </row>
    <row r="234" spans="1:2" x14ac:dyDescent="0.2">
      <c r="A234">
        <v>231</v>
      </c>
      <c r="B234" s="38">
        <v>38</v>
      </c>
    </row>
    <row r="235" spans="1:2" x14ac:dyDescent="0.2">
      <c r="A235">
        <v>232</v>
      </c>
      <c r="B235" s="38">
        <v>24</v>
      </c>
    </row>
    <row r="236" spans="1:2" x14ac:dyDescent="0.2">
      <c r="A236">
        <v>233</v>
      </c>
      <c r="B236" s="38">
        <v>18</v>
      </c>
    </row>
    <row r="237" spans="1:2" x14ac:dyDescent="0.2">
      <c r="A237">
        <v>234</v>
      </c>
      <c r="B237" s="38">
        <v>12</v>
      </c>
    </row>
    <row r="238" spans="1:2" x14ac:dyDescent="0.2">
      <c r="A238">
        <v>235</v>
      </c>
      <c r="B238" s="38">
        <v>3</v>
      </c>
    </row>
    <row r="239" spans="1:2" x14ac:dyDescent="0.2">
      <c r="A239">
        <v>236</v>
      </c>
      <c r="B239" s="38">
        <v>3</v>
      </c>
    </row>
    <row r="240" spans="1:2" x14ac:dyDescent="0.2">
      <c r="A240">
        <v>237</v>
      </c>
      <c r="B240" s="38">
        <v>6</v>
      </c>
    </row>
    <row r="241" spans="1:2" x14ac:dyDescent="0.2">
      <c r="A241">
        <v>238</v>
      </c>
      <c r="B241" s="38">
        <v>27</v>
      </c>
    </row>
    <row r="242" spans="1:2" x14ac:dyDescent="0.2">
      <c r="A242">
        <v>239</v>
      </c>
      <c r="B242" s="38">
        <v>99</v>
      </c>
    </row>
    <row r="243" spans="1:2" x14ac:dyDescent="0.2">
      <c r="A243">
        <v>240</v>
      </c>
      <c r="B243" s="38">
        <v>217</v>
      </c>
    </row>
    <row r="244" spans="1:2" x14ac:dyDescent="0.2">
      <c r="A244">
        <v>241</v>
      </c>
      <c r="B244" s="38">
        <v>130</v>
      </c>
    </row>
    <row r="245" spans="1:2" x14ac:dyDescent="0.2">
      <c r="A245">
        <v>242</v>
      </c>
      <c r="B245" s="38">
        <v>54</v>
      </c>
    </row>
    <row r="246" spans="1:2" x14ac:dyDescent="0.2">
      <c r="A246">
        <v>243</v>
      </c>
      <c r="B246" s="38">
        <v>35</v>
      </c>
    </row>
    <row r="247" spans="1:2" x14ac:dyDescent="0.2">
      <c r="A247">
        <v>244</v>
      </c>
      <c r="B247" s="38">
        <v>57</v>
      </c>
    </row>
    <row r="248" spans="1:2" x14ac:dyDescent="0.2">
      <c r="A248">
        <v>245</v>
      </c>
      <c r="B248" s="38">
        <v>52</v>
      </c>
    </row>
    <row r="249" spans="1:2" x14ac:dyDescent="0.2">
      <c r="A249">
        <v>246</v>
      </c>
      <c r="B249" s="38">
        <v>63</v>
      </c>
    </row>
    <row r="250" spans="1:2" x14ac:dyDescent="0.2">
      <c r="A250">
        <v>247</v>
      </c>
      <c r="B250" s="38">
        <v>47</v>
      </c>
    </row>
    <row r="251" spans="1:2" x14ac:dyDescent="0.2">
      <c r="A251">
        <v>248</v>
      </c>
      <c r="B251" s="38">
        <v>76</v>
      </c>
    </row>
    <row r="252" spans="1:2" x14ac:dyDescent="0.2">
      <c r="A252">
        <v>249</v>
      </c>
      <c r="B252" s="38">
        <v>136</v>
      </c>
    </row>
    <row r="253" spans="1:2" x14ac:dyDescent="0.2">
      <c r="A253">
        <v>250</v>
      </c>
      <c r="B253" s="38">
        <v>95</v>
      </c>
    </row>
    <row r="254" spans="1:2" x14ac:dyDescent="0.2">
      <c r="A254">
        <v>251</v>
      </c>
      <c r="B254" s="38">
        <v>51</v>
      </c>
    </row>
    <row r="255" spans="1:2" x14ac:dyDescent="0.2">
      <c r="A255">
        <v>252</v>
      </c>
      <c r="B255" s="38">
        <v>32</v>
      </c>
    </row>
    <row r="256" spans="1:2" x14ac:dyDescent="0.2">
      <c r="A256">
        <v>253</v>
      </c>
      <c r="B256" s="38">
        <v>20</v>
      </c>
    </row>
    <row r="257" spans="1:2" x14ac:dyDescent="0.2">
      <c r="A257">
        <v>254</v>
      </c>
      <c r="B257" s="38">
        <v>29</v>
      </c>
    </row>
    <row r="258" spans="1:2" x14ac:dyDescent="0.2">
      <c r="A258">
        <v>255</v>
      </c>
      <c r="B258" s="38">
        <v>19</v>
      </c>
    </row>
    <row r="259" spans="1:2" x14ac:dyDescent="0.2">
      <c r="A259">
        <v>256</v>
      </c>
      <c r="B259" s="38">
        <v>7</v>
      </c>
    </row>
    <row r="260" spans="1:2" x14ac:dyDescent="0.2">
      <c r="A260">
        <v>257</v>
      </c>
      <c r="B260" s="38">
        <v>6</v>
      </c>
    </row>
    <row r="261" spans="1:2" x14ac:dyDescent="0.2">
      <c r="A261">
        <v>258</v>
      </c>
      <c r="B261" s="38">
        <v>1</v>
      </c>
    </row>
    <row r="262" spans="1:2" x14ac:dyDescent="0.2">
      <c r="A262">
        <v>259</v>
      </c>
      <c r="B262" s="38">
        <v>5</v>
      </c>
    </row>
    <row r="263" spans="1:2" x14ac:dyDescent="0.2">
      <c r="A263">
        <v>260</v>
      </c>
      <c r="B263" s="38">
        <v>16</v>
      </c>
    </row>
    <row r="264" spans="1:2" x14ac:dyDescent="0.2">
      <c r="A264">
        <v>261</v>
      </c>
      <c r="B264" s="38">
        <v>54</v>
      </c>
    </row>
    <row r="265" spans="1:2" x14ac:dyDescent="0.2">
      <c r="A265">
        <v>262</v>
      </c>
      <c r="B265" s="38">
        <v>128</v>
      </c>
    </row>
    <row r="266" spans="1:2" x14ac:dyDescent="0.2">
      <c r="A266">
        <v>263</v>
      </c>
      <c r="B266" s="38">
        <v>81</v>
      </c>
    </row>
    <row r="267" spans="1:2" x14ac:dyDescent="0.2">
      <c r="A267">
        <v>264</v>
      </c>
      <c r="B267" s="38">
        <v>39</v>
      </c>
    </row>
    <row r="268" spans="1:2" x14ac:dyDescent="0.2">
      <c r="A268">
        <v>265</v>
      </c>
      <c r="B268" s="38">
        <v>35</v>
      </c>
    </row>
    <row r="269" spans="1:2" x14ac:dyDescent="0.2">
      <c r="A269">
        <v>266</v>
      </c>
      <c r="B269" s="38">
        <v>55</v>
      </c>
    </row>
    <row r="270" spans="1:2" x14ac:dyDescent="0.2">
      <c r="A270">
        <v>267</v>
      </c>
      <c r="B270" s="38">
        <v>49</v>
      </c>
    </row>
    <row r="271" spans="1:2" x14ac:dyDescent="0.2">
      <c r="A271">
        <v>268</v>
      </c>
      <c r="B271" s="38">
        <v>44</v>
      </c>
    </row>
    <row r="272" spans="1:2" x14ac:dyDescent="0.2">
      <c r="A272">
        <v>269</v>
      </c>
      <c r="B272" s="38">
        <v>49</v>
      </c>
    </row>
    <row r="273" spans="1:2" x14ac:dyDescent="0.2">
      <c r="A273">
        <v>270</v>
      </c>
      <c r="B273" s="38">
        <v>68</v>
      </c>
    </row>
    <row r="274" spans="1:2" x14ac:dyDescent="0.2">
      <c r="A274">
        <v>271</v>
      </c>
      <c r="B274" s="38">
        <v>139</v>
      </c>
    </row>
    <row r="275" spans="1:2" x14ac:dyDescent="0.2">
      <c r="A275">
        <v>272</v>
      </c>
      <c r="B275" s="38">
        <v>137</v>
      </c>
    </row>
    <row r="276" spans="1:2" x14ac:dyDescent="0.2">
      <c r="A276">
        <v>273</v>
      </c>
      <c r="B276" s="38">
        <v>83</v>
      </c>
    </row>
    <row r="277" spans="1:2" x14ac:dyDescent="0.2">
      <c r="A277">
        <v>274</v>
      </c>
      <c r="B277" s="38">
        <v>56</v>
      </c>
    </row>
    <row r="278" spans="1:2" x14ac:dyDescent="0.2">
      <c r="A278">
        <v>275</v>
      </c>
      <c r="B278" s="38">
        <v>57</v>
      </c>
    </row>
    <row r="279" spans="1:2" x14ac:dyDescent="0.2">
      <c r="A279">
        <v>276</v>
      </c>
      <c r="B279" s="38">
        <v>33</v>
      </c>
    </row>
    <row r="280" spans="1:2" x14ac:dyDescent="0.2">
      <c r="A280">
        <v>277</v>
      </c>
      <c r="B280" s="38">
        <v>20</v>
      </c>
    </row>
    <row r="281" spans="1:2" x14ac:dyDescent="0.2">
      <c r="A281">
        <v>278</v>
      </c>
      <c r="B281" s="38">
        <v>7</v>
      </c>
    </row>
    <row r="282" spans="1:2" x14ac:dyDescent="0.2">
      <c r="A282">
        <v>279</v>
      </c>
      <c r="B282" s="38">
        <v>2</v>
      </c>
    </row>
    <row r="283" spans="1:2" x14ac:dyDescent="0.2">
      <c r="A283">
        <v>280</v>
      </c>
      <c r="B283" s="38">
        <v>2</v>
      </c>
    </row>
    <row r="284" spans="1:2" x14ac:dyDescent="0.2">
      <c r="A284">
        <v>281</v>
      </c>
      <c r="B284" s="38">
        <v>3</v>
      </c>
    </row>
    <row r="285" spans="1:2" x14ac:dyDescent="0.2">
      <c r="A285">
        <v>282</v>
      </c>
      <c r="B285" s="38">
        <v>4</v>
      </c>
    </row>
    <row r="286" spans="1:2" x14ac:dyDescent="0.2">
      <c r="A286">
        <v>283</v>
      </c>
      <c r="B286" s="38">
        <v>3</v>
      </c>
    </row>
    <row r="287" spans="1:2" x14ac:dyDescent="0.2">
      <c r="A287">
        <v>284</v>
      </c>
      <c r="B287" s="38">
        <v>28</v>
      </c>
    </row>
    <row r="288" spans="1:2" x14ac:dyDescent="0.2">
      <c r="A288">
        <v>285</v>
      </c>
      <c r="B288" s="38">
        <v>72</v>
      </c>
    </row>
    <row r="289" spans="1:2" x14ac:dyDescent="0.2">
      <c r="A289">
        <v>286</v>
      </c>
      <c r="B289" s="38">
        <v>202</v>
      </c>
    </row>
    <row r="290" spans="1:2" x14ac:dyDescent="0.2">
      <c r="A290">
        <v>287</v>
      </c>
      <c r="B290" s="38">
        <v>139</v>
      </c>
    </row>
    <row r="291" spans="1:2" x14ac:dyDescent="0.2">
      <c r="A291">
        <v>288</v>
      </c>
      <c r="B291" s="38">
        <v>38</v>
      </c>
    </row>
    <row r="292" spans="1:2" x14ac:dyDescent="0.2">
      <c r="A292">
        <v>289</v>
      </c>
      <c r="B292" s="38">
        <v>37</v>
      </c>
    </row>
    <row r="293" spans="1:2" x14ac:dyDescent="0.2">
      <c r="A293">
        <v>290</v>
      </c>
      <c r="B293" s="38">
        <v>52</v>
      </c>
    </row>
    <row r="294" spans="1:2" x14ac:dyDescent="0.2">
      <c r="A294">
        <v>291</v>
      </c>
      <c r="B294" s="38">
        <v>83</v>
      </c>
    </row>
    <row r="295" spans="1:2" x14ac:dyDescent="0.2">
      <c r="A295">
        <v>292</v>
      </c>
      <c r="B295" s="38">
        <v>42</v>
      </c>
    </row>
    <row r="296" spans="1:2" x14ac:dyDescent="0.2">
      <c r="A296">
        <v>293</v>
      </c>
      <c r="B296" s="38">
        <v>60</v>
      </c>
    </row>
    <row r="297" spans="1:2" x14ac:dyDescent="0.2">
      <c r="A297">
        <v>294</v>
      </c>
      <c r="B297" s="38">
        <v>78</v>
      </c>
    </row>
    <row r="298" spans="1:2" x14ac:dyDescent="0.2">
      <c r="A298">
        <v>295</v>
      </c>
      <c r="B298" s="38">
        <v>162</v>
      </c>
    </row>
    <row r="299" spans="1:2" x14ac:dyDescent="0.2">
      <c r="A299">
        <v>296</v>
      </c>
      <c r="B299" s="38">
        <v>144</v>
      </c>
    </row>
    <row r="300" spans="1:2" x14ac:dyDescent="0.2">
      <c r="A300">
        <v>297</v>
      </c>
      <c r="B300" s="38">
        <v>99</v>
      </c>
    </row>
    <row r="301" spans="1:2" x14ac:dyDescent="0.2">
      <c r="A301">
        <v>298</v>
      </c>
      <c r="B301" s="38">
        <v>64</v>
      </c>
    </row>
    <row r="302" spans="1:2" x14ac:dyDescent="0.2">
      <c r="A302">
        <v>299</v>
      </c>
      <c r="B302" s="38">
        <v>40</v>
      </c>
    </row>
    <row r="303" spans="1:2" x14ac:dyDescent="0.2">
      <c r="A303">
        <v>300</v>
      </c>
      <c r="B303" s="38">
        <v>30</v>
      </c>
    </row>
    <row r="304" spans="1:2" x14ac:dyDescent="0.2">
      <c r="A304">
        <v>301</v>
      </c>
      <c r="B304" s="38">
        <v>15</v>
      </c>
    </row>
    <row r="305" spans="1:2" x14ac:dyDescent="0.2">
      <c r="A305">
        <v>302</v>
      </c>
      <c r="B305" s="38">
        <v>14</v>
      </c>
    </row>
    <row r="306" spans="1:2" x14ac:dyDescent="0.2">
      <c r="A306">
        <v>303</v>
      </c>
      <c r="B306" s="38">
        <v>5</v>
      </c>
    </row>
    <row r="307" spans="1:2" x14ac:dyDescent="0.2">
      <c r="A307">
        <v>304</v>
      </c>
      <c r="B307" s="38">
        <v>1</v>
      </c>
    </row>
    <row r="308" spans="1:2" x14ac:dyDescent="0.2">
      <c r="A308">
        <v>305</v>
      </c>
      <c r="B308" s="38">
        <v>1</v>
      </c>
    </row>
    <row r="309" spans="1:2" x14ac:dyDescent="0.2">
      <c r="A309">
        <v>306</v>
      </c>
      <c r="B309" s="38">
        <v>8</v>
      </c>
    </row>
    <row r="310" spans="1:2" x14ac:dyDescent="0.2">
      <c r="A310">
        <v>307</v>
      </c>
      <c r="B310" s="38">
        <v>17</v>
      </c>
    </row>
    <row r="311" spans="1:2" x14ac:dyDescent="0.2">
      <c r="A311">
        <v>308</v>
      </c>
      <c r="B311" s="38">
        <v>70</v>
      </c>
    </row>
    <row r="312" spans="1:2" x14ac:dyDescent="0.2">
      <c r="A312">
        <v>309</v>
      </c>
      <c r="B312" s="38">
        <v>158</v>
      </c>
    </row>
    <row r="313" spans="1:2" x14ac:dyDescent="0.2">
      <c r="A313">
        <v>310</v>
      </c>
      <c r="B313" s="38">
        <v>117</v>
      </c>
    </row>
    <row r="314" spans="1:2" x14ac:dyDescent="0.2">
      <c r="A314">
        <v>311</v>
      </c>
      <c r="B314" s="38">
        <v>44</v>
      </c>
    </row>
    <row r="315" spans="1:2" x14ac:dyDescent="0.2">
      <c r="A315">
        <v>312</v>
      </c>
      <c r="B315" s="38">
        <v>53</v>
      </c>
    </row>
    <row r="316" spans="1:2" x14ac:dyDescent="0.2">
      <c r="A316">
        <v>313</v>
      </c>
      <c r="B316" s="38">
        <v>61</v>
      </c>
    </row>
    <row r="317" spans="1:2" x14ac:dyDescent="0.2">
      <c r="A317">
        <v>314</v>
      </c>
      <c r="B317" s="38">
        <v>77</v>
      </c>
    </row>
    <row r="318" spans="1:2" x14ac:dyDescent="0.2">
      <c r="A318">
        <v>315</v>
      </c>
      <c r="B318" s="38">
        <v>64</v>
      </c>
    </row>
    <row r="319" spans="1:2" x14ac:dyDescent="0.2">
      <c r="A319">
        <v>316</v>
      </c>
      <c r="B319" s="38">
        <v>68</v>
      </c>
    </row>
    <row r="320" spans="1:2" x14ac:dyDescent="0.2">
      <c r="A320">
        <v>317</v>
      </c>
      <c r="B320" s="38">
        <v>90</v>
      </c>
    </row>
    <row r="321" spans="1:2" x14ac:dyDescent="0.2">
      <c r="A321">
        <v>318</v>
      </c>
      <c r="B321" s="38">
        <v>159</v>
      </c>
    </row>
    <row r="322" spans="1:2" x14ac:dyDescent="0.2">
      <c r="A322">
        <v>319</v>
      </c>
      <c r="B322" s="38">
        <v>139</v>
      </c>
    </row>
    <row r="323" spans="1:2" x14ac:dyDescent="0.2">
      <c r="A323">
        <v>320</v>
      </c>
      <c r="B323" s="38">
        <v>92</v>
      </c>
    </row>
    <row r="324" spans="1:2" x14ac:dyDescent="0.2">
      <c r="A324">
        <v>321</v>
      </c>
      <c r="B324" s="38">
        <v>68</v>
      </c>
    </row>
    <row r="325" spans="1:2" x14ac:dyDescent="0.2">
      <c r="A325">
        <v>322</v>
      </c>
      <c r="B325" s="38">
        <v>52</v>
      </c>
    </row>
    <row r="326" spans="1:2" x14ac:dyDescent="0.2">
      <c r="A326">
        <v>323</v>
      </c>
      <c r="B326" s="38">
        <v>36</v>
      </c>
    </row>
    <row r="327" spans="1:2" x14ac:dyDescent="0.2">
      <c r="A327">
        <v>324</v>
      </c>
      <c r="B327" s="38">
        <v>27</v>
      </c>
    </row>
    <row r="328" spans="1:2" x14ac:dyDescent="0.2">
      <c r="A328">
        <v>325</v>
      </c>
      <c r="B328" s="38">
        <v>28</v>
      </c>
    </row>
    <row r="329" spans="1:2" x14ac:dyDescent="0.2">
      <c r="A329">
        <v>326</v>
      </c>
      <c r="B329" s="38">
        <v>20</v>
      </c>
    </row>
    <row r="330" spans="1:2" x14ac:dyDescent="0.2">
      <c r="A330">
        <v>327</v>
      </c>
      <c r="B330" s="38">
        <v>12</v>
      </c>
    </row>
    <row r="331" spans="1:2" x14ac:dyDescent="0.2">
      <c r="A331">
        <v>328</v>
      </c>
      <c r="B331" s="38">
        <v>8</v>
      </c>
    </row>
    <row r="332" spans="1:2" x14ac:dyDescent="0.2">
      <c r="A332">
        <v>329</v>
      </c>
      <c r="B332" s="38">
        <v>5</v>
      </c>
    </row>
    <row r="333" spans="1:2" x14ac:dyDescent="0.2">
      <c r="A333">
        <v>330</v>
      </c>
      <c r="B333" s="38">
        <v>1</v>
      </c>
    </row>
    <row r="334" spans="1:2" x14ac:dyDescent="0.2">
      <c r="A334">
        <v>331</v>
      </c>
      <c r="B334" s="38">
        <v>3</v>
      </c>
    </row>
    <row r="335" spans="1:2" x14ac:dyDescent="0.2">
      <c r="A335">
        <v>332</v>
      </c>
      <c r="B335" s="38">
        <v>10</v>
      </c>
    </row>
    <row r="336" spans="1:2" x14ac:dyDescent="0.2">
      <c r="A336">
        <v>333</v>
      </c>
      <c r="B336" s="38">
        <v>23</v>
      </c>
    </row>
    <row r="337" spans="1:2" x14ac:dyDescent="0.2">
      <c r="A337">
        <v>334</v>
      </c>
      <c r="B337" s="38">
        <v>33</v>
      </c>
    </row>
    <row r="338" spans="1:2" x14ac:dyDescent="0.2">
      <c r="A338">
        <v>335</v>
      </c>
      <c r="B338" s="38">
        <v>59</v>
      </c>
    </row>
    <row r="339" spans="1:2" x14ac:dyDescent="0.2">
      <c r="A339">
        <v>336</v>
      </c>
      <c r="B339" s="38">
        <v>72</v>
      </c>
    </row>
    <row r="340" spans="1:2" x14ac:dyDescent="0.2">
      <c r="A340">
        <v>337</v>
      </c>
      <c r="B340" s="38">
        <v>89</v>
      </c>
    </row>
    <row r="341" spans="1:2" x14ac:dyDescent="0.2">
      <c r="A341">
        <v>338</v>
      </c>
      <c r="B341" s="38">
        <v>101</v>
      </c>
    </row>
    <row r="342" spans="1:2" x14ac:dyDescent="0.2">
      <c r="A342">
        <v>339</v>
      </c>
      <c r="B342" s="38">
        <v>118</v>
      </c>
    </row>
    <row r="343" spans="1:2" x14ac:dyDescent="0.2">
      <c r="A343">
        <v>340</v>
      </c>
      <c r="B343" s="38">
        <v>129</v>
      </c>
    </row>
    <row r="344" spans="1:2" x14ac:dyDescent="0.2">
      <c r="A344">
        <v>341</v>
      </c>
      <c r="B344" s="38">
        <v>128</v>
      </c>
    </row>
    <row r="345" spans="1:2" x14ac:dyDescent="0.2">
      <c r="A345">
        <v>342</v>
      </c>
      <c r="B345" s="38">
        <v>83</v>
      </c>
    </row>
    <row r="346" spans="1:2" x14ac:dyDescent="0.2">
      <c r="A346">
        <v>343</v>
      </c>
      <c r="B346" s="38">
        <v>84</v>
      </c>
    </row>
    <row r="347" spans="1:2" x14ac:dyDescent="0.2">
      <c r="A347">
        <v>344</v>
      </c>
      <c r="B347" s="38">
        <v>74</v>
      </c>
    </row>
    <row r="348" spans="1:2" x14ac:dyDescent="0.2">
      <c r="A348">
        <v>345</v>
      </c>
      <c r="B348" s="38">
        <v>41</v>
      </c>
    </row>
    <row r="349" spans="1:2" x14ac:dyDescent="0.2">
      <c r="A349">
        <v>346</v>
      </c>
      <c r="B349" s="38">
        <v>57</v>
      </c>
    </row>
    <row r="350" spans="1:2" x14ac:dyDescent="0.2">
      <c r="A350">
        <v>347</v>
      </c>
      <c r="B350" s="38">
        <v>26</v>
      </c>
    </row>
    <row r="351" spans="1:2" x14ac:dyDescent="0.2">
      <c r="A351">
        <v>348</v>
      </c>
      <c r="B351" s="38">
        <v>44</v>
      </c>
    </row>
    <row r="352" spans="1:2" x14ac:dyDescent="0.2">
      <c r="A352">
        <v>349</v>
      </c>
      <c r="B352" s="38">
        <v>39</v>
      </c>
    </row>
    <row r="353" spans="1:2" x14ac:dyDescent="0.2">
      <c r="A353">
        <v>350</v>
      </c>
      <c r="B353" s="38">
        <v>23</v>
      </c>
    </row>
    <row r="354" spans="1:2" x14ac:dyDescent="0.2">
      <c r="A354">
        <v>351</v>
      </c>
      <c r="B354" s="38">
        <v>16</v>
      </c>
    </row>
    <row r="355" spans="1:2" x14ac:dyDescent="0.2">
      <c r="A355">
        <v>352</v>
      </c>
      <c r="B355" s="38">
        <v>15</v>
      </c>
    </row>
    <row r="356" spans="1:2" x14ac:dyDescent="0.2">
      <c r="A356">
        <v>353</v>
      </c>
      <c r="B356" s="38">
        <v>1</v>
      </c>
    </row>
    <row r="357" spans="1:2" x14ac:dyDescent="0.2">
      <c r="A357">
        <v>354</v>
      </c>
      <c r="B357" s="38">
        <v>2</v>
      </c>
    </row>
    <row r="358" spans="1:2" x14ac:dyDescent="0.2">
      <c r="A358">
        <v>355</v>
      </c>
      <c r="B358" s="38">
        <v>1</v>
      </c>
    </row>
    <row r="359" spans="1:2" x14ac:dyDescent="0.2">
      <c r="A359">
        <v>356</v>
      </c>
      <c r="B359" s="38">
        <v>3</v>
      </c>
    </row>
    <row r="360" spans="1:2" x14ac:dyDescent="0.2">
      <c r="A360">
        <v>357</v>
      </c>
      <c r="B360" s="38">
        <v>18</v>
      </c>
    </row>
    <row r="361" spans="1:2" x14ac:dyDescent="0.2">
      <c r="A361">
        <v>358</v>
      </c>
      <c r="B361" s="38">
        <v>32</v>
      </c>
    </row>
    <row r="362" spans="1:2" x14ac:dyDescent="0.2">
      <c r="A362">
        <v>359</v>
      </c>
      <c r="B362" s="38">
        <v>79</v>
      </c>
    </row>
    <row r="363" spans="1:2" x14ac:dyDescent="0.2">
      <c r="A363">
        <v>360</v>
      </c>
      <c r="B363" s="38">
        <v>93</v>
      </c>
    </row>
    <row r="364" spans="1:2" x14ac:dyDescent="0.2">
      <c r="A364">
        <v>361</v>
      </c>
      <c r="B364" s="38">
        <v>104</v>
      </c>
    </row>
    <row r="365" spans="1:2" x14ac:dyDescent="0.2">
      <c r="A365">
        <v>362</v>
      </c>
      <c r="B365" s="38">
        <v>118</v>
      </c>
    </row>
    <row r="366" spans="1:2" x14ac:dyDescent="0.2">
      <c r="A366">
        <v>363</v>
      </c>
      <c r="B366" s="38">
        <v>91</v>
      </c>
    </row>
    <row r="367" spans="1:2" x14ac:dyDescent="0.2">
      <c r="A367">
        <v>364</v>
      </c>
      <c r="B367" s="38">
        <v>113</v>
      </c>
    </row>
    <row r="368" spans="1:2" x14ac:dyDescent="0.2">
      <c r="A368">
        <v>365</v>
      </c>
      <c r="B368" s="38">
        <v>99</v>
      </c>
    </row>
    <row r="369" spans="1:2" x14ac:dyDescent="0.2">
      <c r="A369">
        <v>366</v>
      </c>
      <c r="B369" s="38">
        <v>105</v>
      </c>
    </row>
    <row r="370" spans="1:2" x14ac:dyDescent="0.2">
      <c r="A370">
        <v>367</v>
      </c>
      <c r="B370" s="38">
        <v>67</v>
      </c>
    </row>
    <row r="371" spans="1:2" x14ac:dyDescent="0.2">
      <c r="A371">
        <v>368</v>
      </c>
      <c r="B371" s="38">
        <v>61</v>
      </c>
    </row>
    <row r="372" spans="1:2" x14ac:dyDescent="0.2">
      <c r="A372">
        <v>369</v>
      </c>
      <c r="B372" s="38">
        <v>57</v>
      </c>
    </row>
    <row r="373" spans="1:2" x14ac:dyDescent="0.2">
      <c r="A373">
        <v>370</v>
      </c>
      <c r="B373" s="38">
        <v>28</v>
      </c>
    </row>
    <row r="374" spans="1:2" x14ac:dyDescent="0.2">
      <c r="A374">
        <v>371</v>
      </c>
      <c r="B374" s="38">
        <v>21</v>
      </c>
    </row>
    <row r="375" spans="1:2" x14ac:dyDescent="0.2">
      <c r="A375">
        <v>372</v>
      </c>
      <c r="B375" s="38">
        <v>18</v>
      </c>
    </row>
    <row r="376" spans="1:2" x14ac:dyDescent="0.2">
      <c r="A376">
        <v>373</v>
      </c>
      <c r="B376" s="38">
        <v>17</v>
      </c>
    </row>
    <row r="377" spans="1:2" x14ac:dyDescent="0.2">
      <c r="A377">
        <v>374</v>
      </c>
      <c r="B377" s="38">
        <v>16</v>
      </c>
    </row>
    <row r="378" spans="1:2" x14ac:dyDescent="0.2">
      <c r="A378">
        <v>375</v>
      </c>
      <c r="B378" s="38">
        <v>8</v>
      </c>
    </row>
    <row r="379" spans="1:2" x14ac:dyDescent="0.2">
      <c r="A379">
        <v>376</v>
      </c>
      <c r="B379" s="38">
        <v>2</v>
      </c>
    </row>
    <row r="380" spans="1:2" x14ac:dyDescent="0.2">
      <c r="A380">
        <v>377</v>
      </c>
      <c r="B380" s="38">
        <v>3</v>
      </c>
    </row>
    <row r="381" spans="1:2" x14ac:dyDescent="0.2">
      <c r="A381">
        <v>378</v>
      </c>
      <c r="B381" s="38">
        <v>1</v>
      </c>
    </row>
    <row r="382" spans="1:2" x14ac:dyDescent="0.2">
      <c r="A382">
        <v>379</v>
      </c>
      <c r="B382" s="38">
        <v>5</v>
      </c>
    </row>
    <row r="383" spans="1:2" x14ac:dyDescent="0.2">
      <c r="A383">
        <v>380</v>
      </c>
      <c r="B383" s="38">
        <v>13</v>
      </c>
    </row>
    <row r="384" spans="1:2" x14ac:dyDescent="0.2">
      <c r="A384">
        <v>381</v>
      </c>
      <c r="B384" s="38">
        <v>33</v>
      </c>
    </row>
    <row r="385" spans="1:2" x14ac:dyDescent="0.2">
      <c r="A385">
        <v>382</v>
      </c>
      <c r="B385" s="38">
        <v>47</v>
      </c>
    </row>
    <row r="386" spans="1:2" x14ac:dyDescent="0.2">
      <c r="A386">
        <v>383</v>
      </c>
      <c r="B386" s="38">
        <v>57</v>
      </c>
    </row>
    <row r="387" spans="1:2" x14ac:dyDescent="0.2">
      <c r="A387">
        <v>384</v>
      </c>
      <c r="B387" s="38">
        <v>64</v>
      </c>
    </row>
    <row r="388" spans="1:2" x14ac:dyDescent="0.2">
      <c r="A388">
        <v>385</v>
      </c>
      <c r="B388" s="38">
        <v>80</v>
      </c>
    </row>
    <row r="389" spans="1:2" x14ac:dyDescent="0.2">
      <c r="A389">
        <v>386</v>
      </c>
      <c r="B389" s="38">
        <v>93</v>
      </c>
    </row>
    <row r="390" spans="1:2" x14ac:dyDescent="0.2">
      <c r="A390">
        <v>387</v>
      </c>
      <c r="B390" s="38">
        <v>86</v>
      </c>
    </row>
    <row r="391" spans="1:2" x14ac:dyDescent="0.2">
      <c r="A391">
        <v>388</v>
      </c>
      <c r="B391" s="38">
        <v>93</v>
      </c>
    </row>
    <row r="392" spans="1:2" x14ac:dyDescent="0.2">
      <c r="A392">
        <v>389</v>
      </c>
      <c r="B392" s="38">
        <v>82</v>
      </c>
    </row>
    <row r="393" spans="1:2" x14ac:dyDescent="0.2">
      <c r="A393">
        <v>390</v>
      </c>
      <c r="B393" s="38">
        <v>71</v>
      </c>
    </row>
    <row r="394" spans="1:2" x14ac:dyDescent="0.2">
      <c r="A394">
        <v>391</v>
      </c>
      <c r="B394" s="38">
        <v>92</v>
      </c>
    </row>
    <row r="395" spans="1:2" x14ac:dyDescent="0.2">
      <c r="A395">
        <v>392</v>
      </c>
      <c r="B395" s="38">
        <v>60</v>
      </c>
    </row>
    <row r="396" spans="1:2" x14ac:dyDescent="0.2">
      <c r="A396">
        <v>393</v>
      </c>
      <c r="B396" s="38">
        <v>33</v>
      </c>
    </row>
    <row r="397" spans="1:2" x14ac:dyDescent="0.2">
      <c r="A397">
        <v>394</v>
      </c>
      <c r="B397" s="38">
        <v>27</v>
      </c>
    </row>
    <row r="398" spans="1:2" x14ac:dyDescent="0.2">
      <c r="A398">
        <v>395</v>
      </c>
      <c r="B398" s="38">
        <v>13</v>
      </c>
    </row>
    <row r="399" spans="1:2" x14ac:dyDescent="0.2">
      <c r="A399">
        <v>396</v>
      </c>
      <c r="B399" s="38">
        <v>4</v>
      </c>
    </row>
    <row r="400" spans="1:2" x14ac:dyDescent="0.2">
      <c r="A400">
        <v>397</v>
      </c>
      <c r="B400" s="38">
        <v>3</v>
      </c>
    </row>
    <row r="401" spans="1:2" x14ac:dyDescent="0.2">
      <c r="A401">
        <v>398</v>
      </c>
      <c r="B401" s="38">
        <v>22</v>
      </c>
    </row>
    <row r="402" spans="1:2" x14ac:dyDescent="0.2">
      <c r="A402">
        <v>399</v>
      </c>
      <c r="B402" s="38">
        <v>28</v>
      </c>
    </row>
    <row r="403" spans="1:2" x14ac:dyDescent="0.2">
      <c r="A403">
        <v>400</v>
      </c>
      <c r="B403" s="38">
        <v>35</v>
      </c>
    </row>
    <row r="404" spans="1:2" x14ac:dyDescent="0.2">
      <c r="A404">
        <v>401</v>
      </c>
      <c r="B404" s="38">
        <v>61</v>
      </c>
    </row>
    <row r="405" spans="1:2" x14ac:dyDescent="0.2">
      <c r="A405">
        <v>402</v>
      </c>
      <c r="B405" s="38">
        <v>125</v>
      </c>
    </row>
    <row r="406" spans="1:2" x14ac:dyDescent="0.2">
      <c r="A406">
        <v>403</v>
      </c>
      <c r="B406" s="38">
        <v>133</v>
      </c>
    </row>
    <row r="407" spans="1:2" x14ac:dyDescent="0.2">
      <c r="A407">
        <v>404</v>
      </c>
      <c r="B407" s="38">
        <v>99</v>
      </c>
    </row>
    <row r="408" spans="1:2" x14ac:dyDescent="0.2">
      <c r="A408">
        <v>405</v>
      </c>
      <c r="B408" s="38">
        <v>83</v>
      </c>
    </row>
    <row r="409" spans="1:2" x14ac:dyDescent="0.2">
      <c r="A409">
        <v>406</v>
      </c>
      <c r="B409" s="38">
        <v>41</v>
      </c>
    </row>
    <row r="410" spans="1:2" x14ac:dyDescent="0.2">
      <c r="A410">
        <v>407</v>
      </c>
      <c r="B410" s="38">
        <v>33</v>
      </c>
    </row>
    <row r="411" spans="1:2" x14ac:dyDescent="0.2">
      <c r="A411">
        <v>408</v>
      </c>
      <c r="B411" s="38">
        <v>20</v>
      </c>
    </row>
    <row r="412" spans="1:2" x14ac:dyDescent="0.2">
      <c r="A412">
        <v>409</v>
      </c>
      <c r="B412" s="38">
        <v>3</v>
      </c>
    </row>
    <row r="413" spans="1:2" x14ac:dyDescent="0.2">
      <c r="A413">
        <v>410</v>
      </c>
      <c r="B413" s="38">
        <v>7</v>
      </c>
    </row>
    <row r="414" spans="1:2" x14ac:dyDescent="0.2">
      <c r="A414">
        <v>411</v>
      </c>
      <c r="B414" s="38">
        <v>3</v>
      </c>
    </row>
    <row r="415" spans="1:2" x14ac:dyDescent="0.2">
      <c r="A415">
        <v>412</v>
      </c>
      <c r="B415" s="38">
        <v>2</v>
      </c>
    </row>
    <row r="416" spans="1:2" x14ac:dyDescent="0.2">
      <c r="A416">
        <v>413</v>
      </c>
      <c r="B416" s="38">
        <v>7</v>
      </c>
    </row>
    <row r="417" spans="1:2" x14ac:dyDescent="0.2">
      <c r="A417">
        <v>414</v>
      </c>
      <c r="B417" s="38">
        <v>32</v>
      </c>
    </row>
    <row r="418" spans="1:2" x14ac:dyDescent="0.2">
      <c r="A418">
        <v>415</v>
      </c>
      <c r="B418" s="38">
        <v>90</v>
      </c>
    </row>
    <row r="419" spans="1:2" x14ac:dyDescent="0.2">
      <c r="A419">
        <v>416</v>
      </c>
      <c r="B419" s="38">
        <v>197</v>
      </c>
    </row>
    <row r="420" spans="1:2" x14ac:dyDescent="0.2">
      <c r="A420">
        <v>417</v>
      </c>
      <c r="B420" s="38">
        <v>109</v>
      </c>
    </row>
    <row r="421" spans="1:2" x14ac:dyDescent="0.2">
      <c r="A421">
        <v>418</v>
      </c>
      <c r="B421" s="38">
        <v>47</v>
      </c>
    </row>
    <row r="422" spans="1:2" x14ac:dyDescent="0.2">
      <c r="A422">
        <v>419</v>
      </c>
      <c r="B422" s="38">
        <v>52</v>
      </c>
    </row>
    <row r="423" spans="1:2" x14ac:dyDescent="0.2">
      <c r="A423">
        <v>420</v>
      </c>
      <c r="B423" s="38">
        <v>70</v>
      </c>
    </row>
    <row r="424" spans="1:2" x14ac:dyDescent="0.2">
      <c r="A424">
        <v>421</v>
      </c>
      <c r="B424" s="38">
        <v>78</v>
      </c>
    </row>
    <row r="425" spans="1:2" x14ac:dyDescent="0.2">
      <c r="A425">
        <v>422</v>
      </c>
      <c r="B425" s="38">
        <v>75</v>
      </c>
    </row>
    <row r="426" spans="1:2" x14ac:dyDescent="0.2">
      <c r="A426">
        <v>423</v>
      </c>
      <c r="B426" s="38">
        <v>82</v>
      </c>
    </row>
    <row r="427" spans="1:2" x14ac:dyDescent="0.2">
      <c r="A427">
        <v>424</v>
      </c>
      <c r="B427" s="38">
        <v>104</v>
      </c>
    </row>
    <row r="428" spans="1:2" x14ac:dyDescent="0.2">
      <c r="A428">
        <v>425</v>
      </c>
      <c r="B428" s="38">
        <v>197</v>
      </c>
    </row>
    <row r="429" spans="1:2" x14ac:dyDescent="0.2">
      <c r="A429">
        <v>426</v>
      </c>
      <c r="B429" s="38">
        <v>161</v>
      </c>
    </row>
    <row r="430" spans="1:2" x14ac:dyDescent="0.2">
      <c r="A430">
        <v>427</v>
      </c>
      <c r="B430" s="38">
        <v>112</v>
      </c>
    </row>
    <row r="431" spans="1:2" x14ac:dyDescent="0.2">
      <c r="A431">
        <v>428</v>
      </c>
      <c r="B431" s="38">
        <v>76</v>
      </c>
    </row>
    <row r="432" spans="1:2" x14ac:dyDescent="0.2">
      <c r="A432">
        <v>429</v>
      </c>
      <c r="B432" s="38">
        <v>59</v>
      </c>
    </row>
    <row r="433" spans="1:2" x14ac:dyDescent="0.2">
      <c r="A433">
        <v>430</v>
      </c>
      <c r="B433" s="38">
        <v>59</v>
      </c>
    </row>
    <row r="434" spans="1:2" x14ac:dyDescent="0.2">
      <c r="A434">
        <v>431</v>
      </c>
      <c r="B434" s="38">
        <v>28</v>
      </c>
    </row>
    <row r="435" spans="1:2" x14ac:dyDescent="0.2">
      <c r="A435">
        <v>432</v>
      </c>
      <c r="B435" s="38">
        <v>13</v>
      </c>
    </row>
    <row r="436" spans="1:2" x14ac:dyDescent="0.2">
      <c r="A436">
        <v>433</v>
      </c>
      <c r="B436" s="38">
        <v>5</v>
      </c>
    </row>
    <row r="437" spans="1:2" x14ac:dyDescent="0.2">
      <c r="A437">
        <v>434</v>
      </c>
      <c r="B437" s="38">
        <v>2</v>
      </c>
    </row>
    <row r="438" spans="1:2" x14ac:dyDescent="0.2">
      <c r="A438">
        <v>435</v>
      </c>
      <c r="B438" s="38">
        <v>1</v>
      </c>
    </row>
    <row r="439" spans="1:2" x14ac:dyDescent="0.2">
      <c r="A439">
        <v>436</v>
      </c>
      <c r="B439" s="38">
        <v>1</v>
      </c>
    </row>
    <row r="440" spans="1:2" x14ac:dyDescent="0.2">
      <c r="A440">
        <v>437</v>
      </c>
      <c r="B440" s="38">
        <v>6</v>
      </c>
    </row>
    <row r="441" spans="1:2" x14ac:dyDescent="0.2">
      <c r="A441">
        <v>438</v>
      </c>
      <c r="B441" s="38">
        <v>35</v>
      </c>
    </row>
    <row r="442" spans="1:2" x14ac:dyDescent="0.2">
      <c r="A442">
        <v>439</v>
      </c>
      <c r="B442" s="38">
        <v>101</v>
      </c>
    </row>
    <row r="443" spans="1:2" x14ac:dyDescent="0.2">
      <c r="A443">
        <v>440</v>
      </c>
      <c r="B443" s="38">
        <v>249</v>
      </c>
    </row>
    <row r="444" spans="1:2" x14ac:dyDescent="0.2">
      <c r="A444">
        <v>441</v>
      </c>
      <c r="B444" s="38">
        <v>143</v>
      </c>
    </row>
    <row r="445" spans="1:2" x14ac:dyDescent="0.2">
      <c r="A445">
        <v>442</v>
      </c>
      <c r="B445" s="38">
        <v>57</v>
      </c>
    </row>
    <row r="446" spans="1:2" x14ac:dyDescent="0.2">
      <c r="A446">
        <v>443</v>
      </c>
      <c r="B446" s="38">
        <v>68</v>
      </c>
    </row>
    <row r="447" spans="1:2" x14ac:dyDescent="0.2">
      <c r="A447">
        <v>444</v>
      </c>
      <c r="B447" s="38">
        <v>84</v>
      </c>
    </row>
    <row r="448" spans="1:2" x14ac:dyDescent="0.2">
      <c r="A448">
        <v>445</v>
      </c>
      <c r="B448" s="38">
        <v>98</v>
      </c>
    </row>
    <row r="449" spans="1:2" x14ac:dyDescent="0.2">
      <c r="A449">
        <v>446</v>
      </c>
      <c r="B449" s="38">
        <v>81</v>
      </c>
    </row>
    <row r="450" spans="1:2" x14ac:dyDescent="0.2">
      <c r="A450">
        <v>447</v>
      </c>
      <c r="B450" s="38">
        <v>70</v>
      </c>
    </row>
    <row r="451" spans="1:2" x14ac:dyDescent="0.2">
      <c r="A451">
        <v>448</v>
      </c>
      <c r="B451" s="38">
        <v>91</v>
      </c>
    </row>
    <row r="452" spans="1:2" x14ac:dyDescent="0.2">
      <c r="A452">
        <v>449</v>
      </c>
      <c r="B452" s="38">
        <v>215</v>
      </c>
    </row>
    <row r="453" spans="1:2" x14ac:dyDescent="0.2">
      <c r="A453">
        <v>450</v>
      </c>
      <c r="B453" s="38">
        <v>185</v>
      </c>
    </row>
    <row r="454" spans="1:2" x14ac:dyDescent="0.2">
      <c r="A454">
        <v>451</v>
      </c>
      <c r="B454" s="38">
        <v>152</v>
      </c>
    </row>
    <row r="455" spans="1:2" x14ac:dyDescent="0.2">
      <c r="A455">
        <v>452</v>
      </c>
      <c r="B455" s="38">
        <v>126</v>
      </c>
    </row>
    <row r="456" spans="1:2" x14ac:dyDescent="0.2">
      <c r="A456">
        <v>453</v>
      </c>
      <c r="B456" s="38">
        <v>57</v>
      </c>
    </row>
    <row r="457" spans="1:2" x14ac:dyDescent="0.2">
      <c r="A457">
        <v>454</v>
      </c>
      <c r="B457" s="38">
        <v>56</v>
      </c>
    </row>
    <row r="458" spans="1:2" x14ac:dyDescent="0.2">
      <c r="A458">
        <v>455</v>
      </c>
      <c r="B458" s="38">
        <v>31</v>
      </c>
    </row>
    <row r="459" spans="1:2" x14ac:dyDescent="0.2">
      <c r="A459">
        <v>456</v>
      </c>
      <c r="B459" s="38">
        <v>21</v>
      </c>
    </row>
    <row r="460" spans="1:2" x14ac:dyDescent="0.2">
      <c r="A460">
        <v>457</v>
      </c>
      <c r="B460" s="38">
        <v>6</v>
      </c>
    </row>
    <row r="461" spans="1:2" x14ac:dyDescent="0.2">
      <c r="A461">
        <v>458</v>
      </c>
      <c r="B461" s="38">
        <v>2</v>
      </c>
    </row>
    <row r="462" spans="1:2" x14ac:dyDescent="0.2">
      <c r="A462">
        <v>459</v>
      </c>
      <c r="B462" s="38">
        <v>1</v>
      </c>
    </row>
    <row r="463" spans="1:2" x14ac:dyDescent="0.2">
      <c r="A463">
        <v>460</v>
      </c>
      <c r="B463" s="38">
        <v>1</v>
      </c>
    </row>
    <row r="464" spans="1:2" x14ac:dyDescent="0.2">
      <c r="A464">
        <v>461</v>
      </c>
      <c r="B464" s="38">
        <v>5</v>
      </c>
    </row>
    <row r="465" spans="1:2" x14ac:dyDescent="0.2">
      <c r="A465">
        <v>462</v>
      </c>
      <c r="B465" s="38">
        <v>27</v>
      </c>
    </row>
    <row r="466" spans="1:2" x14ac:dyDescent="0.2">
      <c r="A466">
        <v>463</v>
      </c>
      <c r="B466" s="38">
        <v>68</v>
      </c>
    </row>
    <row r="467" spans="1:2" x14ac:dyDescent="0.2">
      <c r="A467">
        <v>464</v>
      </c>
      <c r="B467" s="38">
        <v>217</v>
      </c>
    </row>
    <row r="468" spans="1:2" x14ac:dyDescent="0.2">
      <c r="A468">
        <v>465</v>
      </c>
      <c r="B468" s="38">
        <v>166</v>
      </c>
    </row>
    <row r="469" spans="1:2" x14ac:dyDescent="0.2">
      <c r="A469">
        <v>466</v>
      </c>
      <c r="B469" s="38">
        <v>63</v>
      </c>
    </row>
    <row r="470" spans="1:2" x14ac:dyDescent="0.2">
      <c r="A470">
        <v>467</v>
      </c>
      <c r="B470" s="38">
        <v>59</v>
      </c>
    </row>
    <row r="471" spans="1:2" x14ac:dyDescent="0.2">
      <c r="A471">
        <v>468</v>
      </c>
      <c r="B471" s="38">
        <v>78</v>
      </c>
    </row>
    <row r="472" spans="1:2" x14ac:dyDescent="0.2">
      <c r="A472">
        <v>469</v>
      </c>
      <c r="B472" s="38">
        <v>73</v>
      </c>
    </row>
    <row r="473" spans="1:2" x14ac:dyDescent="0.2">
      <c r="A473">
        <v>470</v>
      </c>
      <c r="B473" s="38">
        <v>62</v>
      </c>
    </row>
    <row r="474" spans="1:2" x14ac:dyDescent="0.2">
      <c r="A474">
        <v>471</v>
      </c>
      <c r="B474" s="38">
        <v>65</v>
      </c>
    </row>
    <row r="475" spans="1:2" x14ac:dyDescent="0.2">
      <c r="A475">
        <v>472</v>
      </c>
      <c r="B475" s="38">
        <v>97</v>
      </c>
    </row>
    <row r="476" spans="1:2" x14ac:dyDescent="0.2">
      <c r="A476">
        <v>473</v>
      </c>
      <c r="B476" s="38">
        <v>161</v>
      </c>
    </row>
    <row r="477" spans="1:2" x14ac:dyDescent="0.2">
      <c r="A477">
        <v>474</v>
      </c>
      <c r="B477" s="38">
        <v>120</v>
      </c>
    </row>
    <row r="478" spans="1:2" x14ac:dyDescent="0.2">
      <c r="A478">
        <v>475</v>
      </c>
      <c r="B478" s="38">
        <v>96</v>
      </c>
    </row>
    <row r="479" spans="1:2" x14ac:dyDescent="0.2">
      <c r="A479">
        <v>476</v>
      </c>
      <c r="B479" s="38">
        <v>53</v>
      </c>
    </row>
    <row r="480" spans="1:2" x14ac:dyDescent="0.2">
      <c r="A480">
        <v>477</v>
      </c>
      <c r="B480" s="38">
        <v>41</v>
      </c>
    </row>
    <row r="481" spans="1:2" x14ac:dyDescent="0.2">
      <c r="A481">
        <v>478</v>
      </c>
      <c r="B481" s="38">
        <v>34</v>
      </c>
    </row>
    <row r="482" spans="1:2" x14ac:dyDescent="0.2">
      <c r="A482">
        <v>479</v>
      </c>
      <c r="B482" s="38">
        <v>27</v>
      </c>
    </row>
    <row r="483" spans="1:2" x14ac:dyDescent="0.2">
      <c r="A483">
        <v>480</v>
      </c>
      <c r="B483" s="38">
        <v>13</v>
      </c>
    </row>
    <row r="484" spans="1:2" x14ac:dyDescent="0.2">
      <c r="A484">
        <v>481</v>
      </c>
      <c r="B484" s="38">
        <v>12</v>
      </c>
    </row>
    <row r="485" spans="1:2" x14ac:dyDescent="0.2">
      <c r="A485">
        <v>482</v>
      </c>
      <c r="B485" s="38">
        <v>11</v>
      </c>
    </row>
    <row r="486" spans="1:2" x14ac:dyDescent="0.2">
      <c r="A486">
        <v>483</v>
      </c>
      <c r="B486" s="38">
        <v>7</v>
      </c>
    </row>
    <row r="487" spans="1:2" x14ac:dyDescent="0.2">
      <c r="A487">
        <v>484</v>
      </c>
      <c r="B487" s="38">
        <v>3</v>
      </c>
    </row>
    <row r="488" spans="1:2" x14ac:dyDescent="0.2">
      <c r="A488">
        <v>485</v>
      </c>
      <c r="B488" s="38">
        <v>2</v>
      </c>
    </row>
    <row r="489" spans="1:2" x14ac:dyDescent="0.2">
      <c r="A489">
        <v>486</v>
      </c>
      <c r="B489" s="38">
        <v>8</v>
      </c>
    </row>
    <row r="490" spans="1:2" x14ac:dyDescent="0.2">
      <c r="A490">
        <v>487</v>
      </c>
      <c r="B490" s="38">
        <v>27</v>
      </c>
    </row>
    <row r="491" spans="1:2" x14ac:dyDescent="0.2">
      <c r="A491">
        <v>488</v>
      </c>
      <c r="B491" s="38">
        <v>40</v>
      </c>
    </row>
    <row r="492" spans="1:2" x14ac:dyDescent="0.2">
      <c r="A492">
        <v>489</v>
      </c>
      <c r="B492" s="38">
        <v>53</v>
      </c>
    </row>
    <row r="493" spans="1:2" x14ac:dyDescent="0.2">
      <c r="A493">
        <v>490</v>
      </c>
      <c r="B493" s="38">
        <v>63</v>
      </c>
    </row>
    <row r="494" spans="1:2" x14ac:dyDescent="0.2">
      <c r="A494">
        <v>491</v>
      </c>
      <c r="B494" s="38">
        <v>70</v>
      </c>
    </row>
    <row r="495" spans="1:2" x14ac:dyDescent="0.2">
      <c r="A495">
        <v>492</v>
      </c>
      <c r="B495" s="38">
        <v>84</v>
      </c>
    </row>
    <row r="496" spans="1:2" x14ac:dyDescent="0.2">
      <c r="A496">
        <v>493</v>
      </c>
      <c r="B496" s="38">
        <v>75</v>
      </c>
    </row>
    <row r="497" spans="1:2" x14ac:dyDescent="0.2">
      <c r="A497">
        <v>494</v>
      </c>
      <c r="B497" s="38">
        <v>103</v>
      </c>
    </row>
    <row r="498" spans="1:2" x14ac:dyDescent="0.2">
      <c r="A498">
        <v>495</v>
      </c>
      <c r="B498" s="38">
        <v>83</v>
      </c>
    </row>
    <row r="499" spans="1:2" x14ac:dyDescent="0.2">
      <c r="A499">
        <v>496</v>
      </c>
      <c r="B499" s="38">
        <v>67</v>
      </c>
    </row>
    <row r="500" spans="1:2" x14ac:dyDescent="0.2">
      <c r="A500">
        <v>497</v>
      </c>
      <c r="B500" s="38">
        <v>54</v>
      </c>
    </row>
    <row r="501" spans="1:2" x14ac:dyDescent="0.2">
      <c r="A501">
        <v>498</v>
      </c>
      <c r="B501" s="38">
        <v>59</v>
      </c>
    </row>
    <row r="502" spans="1:2" x14ac:dyDescent="0.2">
      <c r="A502">
        <v>499</v>
      </c>
      <c r="B502" s="38">
        <v>45</v>
      </c>
    </row>
    <row r="503" spans="1:2" x14ac:dyDescent="0.2">
      <c r="A503">
        <v>500</v>
      </c>
      <c r="B503" s="38">
        <v>39</v>
      </c>
    </row>
    <row r="504" spans="1:2" x14ac:dyDescent="0.2">
      <c r="A504">
        <v>501</v>
      </c>
      <c r="B504" s="38">
        <v>30</v>
      </c>
    </row>
    <row r="505" spans="1:2" x14ac:dyDescent="0.2">
      <c r="A505">
        <v>502</v>
      </c>
      <c r="B505" s="38">
        <v>33</v>
      </c>
    </row>
    <row r="506" spans="1:2" x14ac:dyDescent="0.2">
      <c r="A506">
        <v>503</v>
      </c>
      <c r="B506" s="38">
        <v>22</v>
      </c>
    </row>
    <row r="507" spans="1:2" x14ac:dyDescent="0.2">
      <c r="A507">
        <v>504</v>
      </c>
      <c r="B507" s="38">
        <v>13</v>
      </c>
    </row>
    <row r="508" spans="1:2" x14ac:dyDescent="0.2">
      <c r="A508">
        <v>505</v>
      </c>
      <c r="B508" s="38">
        <v>18</v>
      </c>
    </row>
    <row r="509" spans="1:2" x14ac:dyDescent="0.2">
      <c r="A509">
        <v>506</v>
      </c>
      <c r="B509" s="38">
        <v>5</v>
      </c>
    </row>
    <row r="510" spans="1:2" x14ac:dyDescent="0.2">
      <c r="A510">
        <v>507</v>
      </c>
      <c r="B510" s="38">
        <v>3</v>
      </c>
    </row>
    <row r="511" spans="1:2" x14ac:dyDescent="0.2">
      <c r="A511">
        <v>508</v>
      </c>
      <c r="B511" s="38">
        <v>1</v>
      </c>
    </row>
    <row r="512" spans="1:2" x14ac:dyDescent="0.2">
      <c r="A512">
        <v>509</v>
      </c>
      <c r="B512" s="38">
        <v>2</v>
      </c>
    </row>
    <row r="513" spans="1:2" x14ac:dyDescent="0.2">
      <c r="A513">
        <v>510</v>
      </c>
      <c r="B513" s="38">
        <v>19</v>
      </c>
    </row>
    <row r="514" spans="1:2" x14ac:dyDescent="0.2">
      <c r="A514">
        <v>511</v>
      </c>
      <c r="B514" s="38">
        <v>28</v>
      </c>
    </row>
    <row r="515" spans="1:2" x14ac:dyDescent="0.2">
      <c r="A515">
        <v>512</v>
      </c>
      <c r="B515" s="38">
        <v>58</v>
      </c>
    </row>
    <row r="516" spans="1:2" x14ac:dyDescent="0.2">
      <c r="A516">
        <v>513</v>
      </c>
      <c r="B516" s="38">
        <v>99</v>
      </c>
    </row>
    <row r="517" spans="1:2" x14ac:dyDescent="0.2">
      <c r="A517">
        <v>514</v>
      </c>
      <c r="B517" s="38">
        <v>116</v>
      </c>
    </row>
    <row r="518" spans="1:2" x14ac:dyDescent="0.2">
      <c r="A518">
        <v>515</v>
      </c>
      <c r="B518" s="38">
        <v>87</v>
      </c>
    </row>
    <row r="519" spans="1:2" x14ac:dyDescent="0.2">
      <c r="A519">
        <v>516</v>
      </c>
      <c r="B519" s="38">
        <v>110</v>
      </c>
    </row>
    <row r="520" spans="1:2" x14ac:dyDescent="0.2">
      <c r="A520">
        <v>517</v>
      </c>
      <c r="B520" s="38">
        <v>77</v>
      </c>
    </row>
    <row r="521" spans="1:2" x14ac:dyDescent="0.2">
      <c r="A521">
        <v>518</v>
      </c>
      <c r="B521" s="38">
        <v>65</v>
      </c>
    </row>
    <row r="522" spans="1:2" x14ac:dyDescent="0.2">
      <c r="A522">
        <v>519</v>
      </c>
      <c r="B522" s="38">
        <v>55</v>
      </c>
    </row>
    <row r="523" spans="1:2" x14ac:dyDescent="0.2">
      <c r="A523">
        <v>520</v>
      </c>
      <c r="B523" s="38">
        <v>49</v>
      </c>
    </row>
    <row r="524" spans="1:2" x14ac:dyDescent="0.2">
      <c r="A524">
        <v>521</v>
      </c>
      <c r="B524" s="38">
        <v>50</v>
      </c>
    </row>
    <row r="525" spans="1:2" x14ac:dyDescent="0.2">
      <c r="A525">
        <v>522</v>
      </c>
      <c r="B525" s="38">
        <v>35</v>
      </c>
    </row>
    <row r="526" spans="1:2" x14ac:dyDescent="0.2">
      <c r="A526">
        <v>523</v>
      </c>
      <c r="B526" s="38">
        <v>25</v>
      </c>
    </row>
    <row r="527" spans="1:2" x14ac:dyDescent="0.2">
      <c r="A527">
        <v>524</v>
      </c>
      <c r="B527" s="38">
        <v>28</v>
      </c>
    </row>
    <row r="528" spans="1:2" x14ac:dyDescent="0.2">
      <c r="A528">
        <v>525</v>
      </c>
      <c r="B528" s="38">
        <v>21</v>
      </c>
    </row>
    <row r="529" spans="1:2" x14ac:dyDescent="0.2">
      <c r="A529">
        <v>526</v>
      </c>
      <c r="B529" s="38">
        <v>7</v>
      </c>
    </row>
    <row r="530" spans="1:2" x14ac:dyDescent="0.2">
      <c r="A530">
        <v>527</v>
      </c>
      <c r="B530" s="38">
        <v>1</v>
      </c>
    </row>
    <row r="531" spans="1:2" x14ac:dyDescent="0.2">
      <c r="A531">
        <v>528</v>
      </c>
      <c r="B531" s="38">
        <v>1</v>
      </c>
    </row>
    <row r="532" spans="1:2" x14ac:dyDescent="0.2">
      <c r="A532">
        <v>529</v>
      </c>
      <c r="B532" s="38">
        <v>1</v>
      </c>
    </row>
    <row r="533" spans="1:2" x14ac:dyDescent="0.2">
      <c r="A533">
        <v>530</v>
      </c>
      <c r="B533" s="38">
        <v>5</v>
      </c>
    </row>
    <row r="534" spans="1:2" x14ac:dyDescent="0.2">
      <c r="A534">
        <v>531</v>
      </c>
      <c r="B534" s="38">
        <v>15</v>
      </c>
    </row>
    <row r="535" spans="1:2" x14ac:dyDescent="0.2">
      <c r="A535">
        <v>532</v>
      </c>
      <c r="B535" s="38">
        <v>84</v>
      </c>
    </row>
    <row r="536" spans="1:2" x14ac:dyDescent="0.2">
      <c r="A536">
        <v>533</v>
      </c>
      <c r="B536" s="38">
        <v>177</v>
      </c>
    </row>
    <row r="537" spans="1:2" x14ac:dyDescent="0.2">
      <c r="A537">
        <v>534</v>
      </c>
      <c r="B537" s="38">
        <v>102</v>
      </c>
    </row>
    <row r="538" spans="1:2" x14ac:dyDescent="0.2">
      <c r="A538">
        <v>535</v>
      </c>
      <c r="B538" s="38">
        <v>40</v>
      </c>
    </row>
    <row r="539" spans="1:2" x14ac:dyDescent="0.2">
      <c r="A539">
        <v>536</v>
      </c>
      <c r="B539" s="38">
        <v>46</v>
      </c>
    </row>
    <row r="540" spans="1:2" x14ac:dyDescent="0.2">
      <c r="A540">
        <v>537</v>
      </c>
      <c r="B540" s="38">
        <v>63</v>
      </c>
    </row>
    <row r="541" spans="1:2" x14ac:dyDescent="0.2">
      <c r="A541">
        <v>538</v>
      </c>
      <c r="B541" s="38">
        <v>60</v>
      </c>
    </row>
    <row r="542" spans="1:2" x14ac:dyDescent="0.2">
      <c r="A542">
        <v>539</v>
      </c>
      <c r="B542" s="38">
        <v>45</v>
      </c>
    </row>
    <row r="543" spans="1:2" x14ac:dyDescent="0.2">
      <c r="A543">
        <v>540</v>
      </c>
      <c r="B543" s="38">
        <v>57</v>
      </c>
    </row>
    <row r="544" spans="1:2" x14ac:dyDescent="0.2">
      <c r="A544">
        <v>541</v>
      </c>
      <c r="B544" s="38">
        <v>70</v>
      </c>
    </row>
    <row r="545" spans="1:2" x14ac:dyDescent="0.2">
      <c r="A545">
        <v>542</v>
      </c>
      <c r="B545" s="38">
        <v>184</v>
      </c>
    </row>
    <row r="546" spans="1:2" x14ac:dyDescent="0.2">
      <c r="A546">
        <v>543</v>
      </c>
      <c r="B546" s="38">
        <v>153</v>
      </c>
    </row>
    <row r="547" spans="1:2" x14ac:dyDescent="0.2">
      <c r="A547">
        <v>544</v>
      </c>
      <c r="B547" s="38">
        <v>106</v>
      </c>
    </row>
    <row r="548" spans="1:2" x14ac:dyDescent="0.2">
      <c r="A548">
        <v>545</v>
      </c>
      <c r="B548" s="38">
        <v>81</v>
      </c>
    </row>
    <row r="549" spans="1:2" x14ac:dyDescent="0.2">
      <c r="A549">
        <v>546</v>
      </c>
      <c r="B549" s="38">
        <v>59</v>
      </c>
    </row>
    <row r="550" spans="1:2" x14ac:dyDescent="0.2">
      <c r="A550">
        <v>547</v>
      </c>
      <c r="B550" s="38">
        <v>35</v>
      </c>
    </row>
    <row r="551" spans="1:2" x14ac:dyDescent="0.2">
      <c r="A551">
        <v>548</v>
      </c>
      <c r="B551" s="38">
        <v>24</v>
      </c>
    </row>
    <row r="552" spans="1:2" x14ac:dyDescent="0.2">
      <c r="A552">
        <v>549</v>
      </c>
      <c r="B552" s="38">
        <v>9</v>
      </c>
    </row>
    <row r="553" spans="1:2" x14ac:dyDescent="0.2">
      <c r="A553">
        <v>550</v>
      </c>
      <c r="B553" s="38">
        <v>5</v>
      </c>
    </row>
    <row r="554" spans="1:2" x14ac:dyDescent="0.2">
      <c r="A554">
        <v>551</v>
      </c>
      <c r="B554" s="38">
        <v>2</v>
      </c>
    </row>
    <row r="555" spans="1:2" x14ac:dyDescent="0.2">
      <c r="A555">
        <v>552</v>
      </c>
      <c r="B555" s="38">
        <v>1</v>
      </c>
    </row>
    <row r="556" spans="1:2" x14ac:dyDescent="0.2">
      <c r="A556">
        <v>553</v>
      </c>
      <c r="B556" s="38">
        <v>9</v>
      </c>
    </row>
    <row r="557" spans="1:2" x14ac:dyDescent="0.2">
      <c r="A557">
        <v>554</v>
      </c>
      <c r="B557" s="38">
        <v>36</v>
      </c>
    </row>
    <row r="558" spans="1:2" x14ac:dyDescent="0.2">
      <c r="A558">
        <v>555</v>
      </c>
      <c r="B558" s="38">
        <v>108</v>
      </c>
    </row>
    <row r="559" spans="1:2" x14ac:dyDescent="0.2">
      <c r="A559">
        <v>556</v>
      </c>
      <c r="B559" s="38">
        <v>238</v>
      </c>
    </row>
    <row r="560" spans="1:2" x14ac:dyDescent="0.2">
      <c r="A560">
        <v>557</v>
      </c>
      <c r="B560" s="38">
        <v>144</v>
      </c>
    </row>
    <row r="561" spans="1:2" x14ac:dyDescent="0.2">
      <c r="A561">
        <v>558</v>
      </c>
      <c r="B561" s="38">
        <v>55</v>
      </c>
    </row>
    <row r="562" spans="1:2" x14ac:dyDescent="0.2">
      <c r="A562">
        <v>559</v>
      </c>
      <c r="B562" s="38">
        <v>61</v>
      </c>
    </row>
    <row r="563" spans="1:2" x14ac:dyDescent="0.2">
      <c r="A563">
        <v>560</v>
      </c>
      <c r="B563" s="38">
        <v>106</v>
      </c>
    </row>
    <row r="564" spans="1:2" x14ac:dyDescent="0.2">
      <c r="A564">
        <v>561</v>
      </c>
      <c r="B564" s="38">
        <v>93</v>
      </c>
    </row>
    <row r="565" spans="1:2" x14ac:dyDescent="0.2">
      <c r="A565">
        <v>562</v>
      </c>
      <c r="B565" s="38">
        <v>68</v>
      </c>
    </row>
    <row r="566" spans="1:2" x14ac:dyDescent="0.2">
      <c r="A566">
        <v>563</v>
      </c>
      <c r="B566" s="38">
        <v>84</v>
      </c>
    </row>
    <row r="567" spans="1:2" x14ac:dyDescent="0.2">
      <c r="A567">
        <v>564</v>
      </c>
      <c r="B567" s="38">
        <v>116</v>
      </c>
    </row>
    <row r="568" spans="1:2" x14ac:dyDescent="0.2">
      <c r="A568">
        <v>565</v>
      </c>
      <c r="B568" s="38">
        <v>222</v>
      </c>
    </row>
    <row r="569" spans="1:2" x14ac:dyDescent="0.2">
      <c r="A569">
        <v>566</v>
      </c>
      <c r="B569" s="38">
        <v>225</v>
      </c>
    </row>
    <row r="570" spans="1:2" x14ac:dyDescent="0.2">
      <c r="A570">
        <v>567</v>
      </c>
      <c r="B570" s="38">
        <v>146</v>
      </c>
    </row>
    <row r="571" spans="1:2" x14ac:dyDescent="0.2">
      <c r="A571">
        <v>568</v>
      </c>
      <c r="B571" s="38">
        <v>119</v>
      </c>
    </row>
    <row r="572" spans="1:2" x14ac:dyDescent="0.2">
      <c r="A572">
        <v>569</v>
      </c>
      <c r="B572" s="38">
        <v>45</v>
      </c>
    </row>
    <row r="573" spans="1:2" x14ac:dyDescent="0.2">
      <c r="A573">
        <v>570</v>
      </c>
      <c r="B573" s="38">
        <v>53</v>
      </c>
    </row>
    <row r="574" spans="1:2" x14ac:dyDescent="0.2">
      <c r="A574">
        <v>571</v>
      </c>
      <c r="B574" s="38">
        <v>40</v>
      </c>
    </row>
    <row r="575" spans="1:2" x14ac:dyDescent="0.2">
      <c r="A575">
        <v>572</v>
      </c>
      <c r="B575" s="38">
        <v>17</v>
      </c>
    </row>
    <row r="576" spans="1:2" x14ac:dyDescent="0.2">
      <c r="A576">
        <v>573</v>
      </c>
      <c r="B576" s="38">
        <v>5</v>
      </c>
    </row>
    <row r="577" spans="1:2" x14ac:dyDescent="0.2">
      <c r="A577">
        <v>574</v>
      </c>
      <c r="B577" s="38">
        <v>10</v>
      </c>
    </row>
    <row r="578" spans="1:2" x14ac:dyDescent="0.2">
      <c r="A578">
        <v>575</v>
      </c>
      <c r="B578" s="38">
        <v>1</v>
      </c>
    </row>
    <row r="579" spans="1:2" x14ac:dyDescent="0.2">
      <c r="A579">
        <v>576</v>
      </c>
      <c r="B579" s="38">
        <v>8</v>
      </c>
    </row>
    <row r="580" spans="1:2" x14ac:dyDescent="0.2">
      <c r="A580">
        <v>577</v>
      </c>
      <c r="B580" s="38">
        <v>30</v>
      </c>
    </row>
    <row r="581" spans="1:2" x14ac:dyDescent="0.2">
      <c r="A581">
        <v>578</v>
      </c>
      <c r="B581" s="38">
        <v>72</v>
      </c>
    </row>
    <row r="582" spans="1:2" x14ac:dyDescent="0.2">
      <c r="A582">
        <v>579</v>
      </c>
      <c r="B582" s="38">
        <v>58</v>
      </c>
    </row>
    <row r="583" spans="1:2" x14ac:dyDescent="0.2">
      <c r="A583">
        <v>580</v>
      </c>
      <c r="B583" s="38">
        <v>28</v>
      </c>
    </row>
    <row r="584" spans="1:2" x14ac:dyDescent="0.2">
      <c r="A584">
        <v>581</v>
      </c>
      <c r="B584" s="38">
        <v>41</v>
      </c>
    </row>
    <row r="585" spans="1:2" x14ac:dyDescent="0.2">
      <c r="A585">
        <v>582</v>
      </c>
      <c r="B585" s="38">
        <v>48</v>
      </c>
    </row>
    <row r="586" spans="1:2" x14ac:dyDescent="0.2">
      <c r="A586">
        <v>583</v>
      </c>
      <c r="B586" s="38">
        <v>47</v>
      </c>
    </row>
    <row r="587" spans="1:2" x14ac:dyDescent="0.2">
      <c r="A587">
        <v>584</v>
      </c>
      <c r="B587" s="38">
        <v>36</v>
      </c>
    </row>
    <row r="588" spans="1:2" x14ac:dyDescent="0.2">
      <c r="A588">
        <v>585</v>
      </c>
      <c r="B588" s="38">
        <v>43</v>
      </c>
    </row>
    <row r="589" spans="1:2" x14ac:dyDescent="0.2">
      <c r="A589">
        <v>586</v>
      </c>
      <c r="B589" s="38">
        <v>36</v>
      </c>
    </row>
    <row r="590" spans="1:2" x14ac:dyDescent="0.2">
      <c r="A590">
        <v>587</v>
      </c>
      <c r="B590" s="38">
        <v>26</v>
      </c>
    </row>
    <row r="591" spans="1:2" x14ac:dyDescent="0.2">
      <c r="A591">
        <v>588</v>
      </c>
      <c r="B591" s="38">
        <v>24</v>
      </c>
    </row>
    <row r="592" spans="1:2" x14ac:dyDescent="0.2">
      <c r="A592">
        <v>589</v>
      </c>
      <c r="B592" s="38">
        <v>84</v>
      </c>
    </row>
    <row r="593" spans="1:2" x14ac:dyDescent="0.2">
      <c r="A593">
        <v>590</v>
      </c>
      <c r="B593" s="38">
        <v>104</v>
      </c>
    </row>
    <row r="594" spans="1:2" x14ac:dyDescent="0.2">
      <c r="A594">
        <v>591</v>
      </c>
      <c r="B594" s="38">
        <v>79</v>
      </c>
    </row>
    <row r="595" spans="1:2" x14ac:dyDescent="0.2">
      <c r="A595">
        <v>592</v>
      </c>
      <c r="B595" s="38">
        <v>59</v>
      </c>
    </row>
    <row r="596" spans="1:2" x14ac:dyDescent="0.2">
      <c r="A596">
        <v>593</v>
      </c>
      <c r="B596" s="38">
        <v>38</v>
      </c>
    </row>
    <row r="597" spans="1:2" x14ac:dyDescent="0.2">
      <c r="A597">
        <v>594</v>
      </c>
      <c r="B597" s="38">
        <v>27</v>
      </c>
    </row>
    <row r="598" spans="1:2" x14ac:dyDescent="0.2">
      <c r="A598">
        <v>595</v>
      </c>
      <c r="B598" s="38">
        <v>16</v>
      </c>
    </row>
    <row r="599" spans="1:2" x14ac:dyDescent="0.2">
      <c r="A599">
        <v>596</v>
      </c>
      <c r="B599" s="38">
        <v>9</v>
      </c>
    </row>
    <row r="600" spans="1:2" x14ac:dyDescent="0.2">
      <c r="A600">
        <v>597</v>
      </c>
      <c r="B600" s="38">
        <v>3</v>
      </c>
    </row>
    <row r="601" spans="1:2" x14ac:dyDescent="0.2">
      <c r="A601">
        <v>598</v>
      </c>
      <c r="B601" s="38">
        <v>2</v>
      </c>
    </row>
    <row r="602" spans="1:2" x14ac:dyDescent="0.2">
      <c r="A602">
        <v>599</v>
      </c>
      <c r="B602" s="38">
        <v>1</v>
      </c>
    </row>
    <row r="603" spans="1:2" x14ac:dyDescent="0.2">
      <c r="A603">
        <v>600</v>
      </c>
      <c r="B603" s="38">
        <v>4</v>
      </c>
    </row>
    <row r="604" spans="1:2" x14ac:dyDescent="0.2">
      <c r="A604">
        <v>601</v>
      </c>
      <c r="B604" s="38">
        <v>16</v>
      </c>
    </row>
    <row r="605" spans="1:2" x14ac:dyDescent="0.2">
      <c r="A605">
        <v>602</v>
      </c>
      <c r="B605" s="38">
        <v>60</v>
      </c>
    </row>
    <row r="606" spans="1:2" x14ac:dyDescent="0.2">
      <c r="A606">
        <v>603</v>
      </c>
      <c r="B606" s="38">
        <v>157</v>
      </c>
    </row>
    <row r="607" spans="1:2" x14ac:dyDescent="0.2">
      <c r="A607">
        <v>604</v>
      </c>
      <c r="B607" s="38">
        <v>101</v>
      </c>
    </row>
    <row r="608" spans="1:2" x14ac:dyDescent="0.2">
      <c r="A608">
        <v>605</v>
      </c>
      <c r="B608" s="38">
        <v>49</v>
      </c>
    </row>
    <row r="609" spans="1:2" x14ac:dyDescent="0.2">
      <c r="A609">
        <v>606</v>
      </c>
      <c r="B609" s="38">
        <v>30</v>
      </c>
    </row>
    <row r="610" spans="1:2" x14ac:dyDescent="0.2">
      <c r="A610">
        <v>607</v>
      </c>
      <c r="B610" s="38">
        <v>29</v>
      </c>
    </row>
    <row r="611" spans="1:2" x14ac:dyDescent="0.2">
      <c r="A611">
        <v>608</v>
      </c>
      <c r="B611" s="38">
        <v>31</v>
      </c>
    </row>
    <row r="612" spans="1:2" x14ac:dyDescent="0.2">
      <c r="A612">
        <v>609</v>
      </c>
      <c r="B612" s="38">
        <v>38</v>
      </c>
    </row>
    <row r="613" spans="1:2" x14ac:dyDescent="0.2">
      <c r="A613">
        <v>610</v>
      </c>
      <c r="B613" s="38">
        <v>41</v>
      </c>
    </row>
    <row r="614" spans="1:2" x14ac:dyDescent="0.2">
      <c r="A614" t="s">
        <v>2</v>
      </c>
      <c r="B614" s="38">
        <v>33898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46A2-06C4-4D96-BB4B-1BB820020E8C}">
  <dimension ref="A3:B65"/>
  <sheetViews>
    <sheetView workbookViewId="0">
      <selection activeCell="H23" sqref="H23"/>
    </sheetView>
  </sheetViews>
  <sheetFormatPr defaultRowHeight="15" x14ac:dyDescent="0.2"/>
  <cols>
    <col min="1" max="1" width="11.43359375" bestFit="1" customWidth="1"/>
    <col min="2" max="3" width="14.66015625" bestFit="1" customWidth="1"/>
  </cols>
  <sheetData>
    <row r="3" spans="1:2" x14ac:dyDescent="0.2">
      <c r="A3" s="39" t="s">
        <v>48</v>
      </c>
      <c r="B3" t="s">
        <v>49</v>
      </c>
    </row>
    <row r="4" spans="1:2" x14ac:dyDescent="0.2">
      <c r="A4">
        <v>0.21</v>
      </c>
      <c r="B4" s="38">
        <v>54.260563380281688</v>
      </c>
    </row>
    <row r="5" spans="1:2" x14ac:dyDescent="0.2">
      <c r="A5">
        <v>0.25</v>
      </c>
      <c r="B5" s="38">
        <v>54.127659574468083</v>
      </c>
    </row>
    <row r="6" spans="1:2" x14ac:dyDescent="0.2">
      <c r="A6">
        <v>0.26</v>
      </c>
      <c r="B6" s="38">
        <v>220.59345358816131</v>
      </c>
    </row>
    <row r="7" spans="1:2" x14ac:dyDescent="0.2">
      <c r="A7">
        <v>0.27</v>
      </c>
      <c r="B7" s="38">
        <v>54.426573426573427</v>
      </c>
    </row>
    <row r="8" spans="1:2" x14ac:dyDescent="0.2">
      <c r="A8">
        <v>0.28000000000000003</v>
      </c>
      <c r="B8" s="38">
        <v>499.79669885968241</v>
      </c>
    </row>
    <row r="9" spans="1:2" x14ac:dyDescent="0.2">
      <c r="A9">
        <v>0.28999999999999998</v>
      </c>
      <c r="B9" s="38">
        <v>55.143187066974598</v>
      </c>
    </row>
    <row r="10" spans="1:2" x14ac:dyDescent="0.2">
      <c r="A10">
        <v>0.3</v>
      </c>
      <c r="B10" s="38">
        <v>503.13231244878438</v>
      </c>
    </row>
    <row r="11" spans="1:2" x14ac:dyDescent="0.2">
      <c r="A11">
        <v>0.32</v>
      </c>
      <c r="B11" s="38">
        <v>223.84005763188728</v>
      </c>
    </row>
    <row r="12" spans="1:2" x14ac:dyDescent="0.2">
      <c r="A12">
        <v>0.33</v>
      </c>
      <c r="B12" s="38">
        <v>277.41759238255656</v>
      </c>
    </row>
    <row r="13" spans="1:2" x14ac:dyDescent="0.2">
      <c r="A13">
        <v>0.34</v>
      </c>
      <c r="B13" s="38">
        <v>169.85357437695012</v>
      </c>
    </row>
    <row r="14" spans="1:2" x14ac:dyDescent="0.2">
      <c r="A14">
        <v>0.35</v>
      </c>
      <c r="B14" s="38">
        <v>503.64483118531109</v>
      </c>
    </row>
    <row r="15" spans="1:2" x14ac:dyDescent="0.2">
      <c r="A15">
        <v>0.36</v>
      </c>
      <c r="B15" s="38">
        <v>561.85008460949871</v>
      </c>
    </row>
    <row r="16" spans="1:2" x14ac:dyDescent="0.2">
      <c r="A16">
        <v>0.37</v>
      </c>
      <c r="B16" s="38">
        <v>783.44909053636093</v>
      </c>
    </row>
    <row r="17" spans="1:2" x14ac:dyDescent="0.2">
      <c r="A17">
        <v>0.38</v>
      </c>
      <c r="B17" s="38">
        <v>840.77492292959869</v>
      </c>
    </row>
    <row r="18" spans="1:2" x14ac:dyDescent="0.2">
      <c r="A18">
        <v>0.39</v>
      </c>
      <c r="B18" s="38">
        <v>449.75401816272995</v>
      </c>
    </row>
    <row r="19" spans="1:2" x14ac:dyDescent="0.2">
      <c r="A19">
        <v>0.4</v>
      </c>
      <c r="B19" s="38">
        <v>1080.2351755590837</v>
      </c>
    </row>
    <row r="20" spans="1:2" x14ac:dyDescent="0.2">
      <c r="A20">
        <v>0.41</v>
      </c>
      <c r="B20" s="38">
        <v>949.89936909236792</v>
      </c>
    </row>
    <row r="21" spans="1:2" x14ac:dyDescent="0.2">
      <c r="A21">
        <v>0.42</v>
      </c>
      <c r="B21" s="38">
        <v>507.22373356334208</v>
      </c>
    </row>
    <row r="22" spans="1:2" x14ac:dyDescent="0.2">
      <c r="A22">
        <v>0.43</v>
      </c>
      <c r="B22" s="38">
        <v>807.30459192382114</v>
      </c>
    </row>
    <row r="23" spans="1:2" x14ac:dyDescent="0.2">
      <c r="A23">
        <v>0.44</v>
      </c>
      <c r="B23" s="38">
        <v>905.44653936044426</v>
      </c>
    </row>
    <row r="24" spans="1:2" x14ac:dyDescent="0.2">
      <c r="A24">
        <v>0.45</v>
      </c>
      <c r="B24" s="38">
        <v>672.65306095509652</v>
      </c>
    </row>
    <row r="25" spans="1:2" x14ac:dyDescent="0.2">
      <c r="A25">
        <v>0.46</v>
      </c>
      <c r="B25" s="38">
        <v>684.22950931647745</v>
      </c>
    </row>
    <row r="26" spans="1:2" x14ac:dyDescent="0.2">
      <c r="A26">
        <v>0.47</v>
      </c>
      <c r="B26" s="38">
        <v>2110.5074914930751</v>
      </c>
    </row>
    <row r="27" spans="1:2" x14ac:dyDescent="0.2">
      <c r="A27">
        <v>0.48</v>
      </c>
      <c r="B27" s="38">
        <v>695.44246480751087</v>
      </c>
    </row>
    <row r="28" spans="1:2" x14ac:dyDescent="0.2">
      <c r="A28">
        <v>0.49</v>
      </c>
      <c r="B28" s="38">
        <v>619.16115058707703</v>
      </c>
    </row>
    <row r="29" spans="1:2" x14ac:dyDescent="0.2">
      <c r="A29">
        <v>0.5</v>
      </c>
      <c r="B29" s="38">
        <v>1607.5127345108403</v>
      </c>
    </row>
    <row r="30" spans="1:2" x14ac:dyDescent="0.2">
      <c r="A30">
        <v>0.51</v>
      </c>
      <c r="B30" s="38">
        <v>1297.2534195201456</v>
      </c>
    </row>
    <row r="31" spans="1:2" x14ac:dyDescent="0.2">
      <c r="A31">
        <v>0.52</v>
      </c>
      <c r="B31" s="38">
        <v>287.57849969867567</v>
      </c>
    </row>
    <row r="32" spans="1:2" x14ac:dyDescent="0.2">
      <c r="A32">
        <v>0.53</v>
      </c>
      <c r="B32" s="38">
        <v>167.79653265640889</v>
      </c>
    </row>
    <row r="33" spans="1:2" x14ac:dyDescent="0.2">
      <c r="A33">
        <v>0.54</v>
      </c>
      <c r="B33" s="38">
        <v>691.35387147062465</v>
      </c>
    </row>
    <row r="34" spans="1:2" x14ac:dyDescent="0.2">
      <c r="A34">
        <v>0.55000000000000004</v>
      </c>
      <c r="B34" s="38">
        <v>1731.0737505541408</v>
      </c>
    </row>
    <row r="35" spans="1:2" x14ac:dyDescent="0.2">
      <c r="A35">
        <v>0.56000000000000005</v>
      </c>
      <c r="B35" s="38">
        <v>971.2787176025555</v>
      </c>
    </row>
    <row r="36" spans="1:2" x14ac:dyDescent="0.2">
      <c r="A36">
        <v>0.56999999999999995</v>
      </c>
      <c r="B36" s="38">
        <v>450.72914412855852</v>
      </c>
    </row>
    <row r="37" spans="1:2" x14ac:dyDescent="0.2">
      <c r="A37">
        <v>0.57999999999999996</v>
      </c>
      <c r="B37" s="38">
        <v>176.55223099340748</v>
      </c>
    </row>
    <row r="38" spans="1:2" x14ac:dyDescent="0.2">
      <c r="A38">
        <v>0.59</v>
      </c>
      <c r="B38" s="38">
        <v>1532.040291261316</v>
      </c>
    </row>
    <row r="39" spans="1:2" x14ac:dyDescent="0.2">
      <c r="A39">
        <v>0.6</v>
      </c>
      <c r="B39" s="38">
        <v>394.72951914196295</v>
      </c>
    </row>
    <row r="40" spans="1:2" x14ac:dyDescent="0.2">
      <c r="A40">
        <v>0.61</v>
      </c>
      <c r="B40" s="38">
        <v>58.6</v>
      </c>
    </row>
    <row r="41" spans="1:2" x14ac:dyDescent="0.2">
      <c r="A41">
        <v>0.62</v>
      </c>
      <c r="B41" s="38">
        <v>228.53273474176754</v>
      </c>
    </row>
    <row r="42" spans="1:2" x14ac:dyDescent="0.2">
      <c r="A42">
        <v>0.63</v>
      </c>
      <c r="B42" s="38">
        <v>454.16404904757223</v>
      </c>
    </row>
    <row r="43" spans="1:2" x14ac:dyDescent="0.2">
      <c r="A43">
        <v>0.64</v>
      </c>
      <c r="B43" s="38">
        <v>754.14608579778258</v>
      </c>
    </row>
    <row r="44" spans="1:2" x14ac:dyDescent="0.2">
      <c r="A44">
        <v>0.65</v>
      </c>
      <c r="B44" s="38">
        <v>271.2506587211758</v>
      </c>
    </row>
    <row r="45" spans="1:2" x14ac:dyDescent="0.2">
      <c r="A45">
        <v>0.66</v>
      </c>
      <c r="B45" s="38">
        <v>113.70055446144524</v>
      </c>
    </row>
    <row r="46" spans="1:2" x14ac:dyDescent="0.2">
      <c r="A46">
        <v>0.68</v>
      </c>
      <c r="B46" s="38">
        <v>115.00325576232936</v>
      </c>
    </row>
    <row r="47" spans="1:2" x14ac:dyDescent="0.2">
      <c r="A47">
        <v>0.69</v>
      </c>
      <c r="B47" s="38">
        <v>1232.7992053654029</v>
      </c>
    </row>
    <row r="48" spans="1:2" x14ac:dyDescent="0.2">
      <c r="A48">
        <v>0.7</v>
      </c>
      <c r="B48" s="38">
        <v>108.8485965647256</v>
      </c>
    </row>
    <row r="49" spans="1:2" x14ac:dyDescent="0.2">
      <c r="A49">
        <v>0.71</v>
      </c>
      <c r="B49" s="38">
        <v>170.40714690855864</v>
      </c>
    </row>
    <row r="50" spans="1:2" x14ac:dyDescent="0.2">
      <c r="A50">
        <v>0.72</v>
      </c>
      <c r="B50" s="38">
        <v>112.47270468674469</v>
      </c>
    </row>
    <row r="51" spans="1:2" x14ac:dyDescent="0.2">
      <c r="A51">
        <v>0.74</v>
      </c>
      <c r="B51" s="38">
        <v>862.06909894755211</v>
      </c>
    </row>
    <row r="52" spans="1:2" x14ac:dyDescent="0.2">
      <c r="A52">
        <v>0.75</v>
      </c>
      <c r="B52" s="38">
        <v>445.93738061726265</v>
      </c>
    </row>
    <row r="53" spans="1:2" x14ac:dyDescent="0.2">
      <c r="A53">
        <v>0.76</v>
      </c>
      <c r="B53" s="38">
        <v>282.76409440766105</v>
      </c>
    </row>
    <row r="54" spans="1:2" x14ac:dyDescent="0.2">
      <c r="A54">
        <v>0.77</v>
      </c>
      <c r="B54" s="38">
        <v>168.99477005292184</v>
      </c>
    </row>
    <row r="55" spans="1:2" x14ac:dyDescent="0.2">
      <c r="A55">
        <v>0.8</v>
      </c>
      <c r="B55" s="38">
        <v>812.30952474407525</v>
      </c>
    </row>
    <row r="56" spans="1:2" x14ac:dyDescent="0.2">
      <c r="A56">
        <v>0.81</v>
      </c>
      <c r="B56" s="38">
        <v>285.49724915372036</v>
      </c>
    </row>
    <row r="57" spans="1:2" x14ac:dyDescent="0.2">
      <c r="A57">
        <v>0.82</v>
      </c>
      <c r="B57" s="38">
        <v>171.95041566817548</v>
      </c>
    </row>
    <row r="58" spans="1:2" x14ac:dyDescent="0.2">
      <c r="A58">
        <v>0.86</v>
      </c>
      <c r="B58" s="38">
        <v>956.18195673469052</v>
      </c>
    </row>
    <row r="59" spans="1:2" x14ac:dyDescent="0.2">
      <c r="A59">
        <v>0.87</v>
      </c>
      <c r="B59" s="38">
        <v>535.75180112442627</v>
      </c>
    </row>
    <row r="60" spans="1:2" x14ac:dyDescent="0.2">
      <c r="A60">
        <v>0.88</v>
      </c>
      <c r="B60" s="38">
        <v>224.23591110918943</v>
      </c>
    </row>
    <row r="61" spans="1:2" x14ac:dyDescent="0.2">
      <c r="A61">
        <v>0.92</v>
      </c>
      <c r="B61" s="38">
        <v>60.928571428571431</v>
      </c>
    </row>
    <row r="62" spans="1:2" x14ac:dyDescent="0.2">
      <c r="A62">
        <v>0.93</v>
      </c>
      <c r="B62" s="38">
        <v>1672.8305277311515</v>
      </c>
    </row>
    <row r="63" spans="1:2" x14ac:dyDescent="0.2">
      <c r="A63">
        <v>0.94</v>
      </c>
      <c r="B63" s="38">
        <v>225.1690569808168</v>
      </c>
    </row>
    <row r="64" spans="1:2" x14ac:dyDescent="0.2">
      <c r="A64">
        <v>1</v>
      </c>
      <c r="B64" s="38">
        <v>56.299657534246577</v>
      </c>
    </row>
    <row r="65" spans="1:2" x14ac:dyDescent="0.2">
      <c r="A65" t="s">
        <v>2</v>
      </c>
      <c r="B65" s="38">
        <v>33972.911426648716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33BF-656C-4B52-814B-8279B2CF61BC}">
  <dimension ref="A3:B4"/>
  <sheetViews>
    <sheetView workbookViewId="0">
      <selection activeCell="F3" sqref="F3"/>
    </sheetView>
  </sheetViews>
  <sheetFormatPr defaultRowHeight="15" x14ac:dyDescent="0.2"/>
  <cols>
    <col min="1" max="1" width="16.54296875" bestFit="1" customWidth="1"/>
    <col min="2" max="2" width="13.1796875" bestFit="1" customWidth="1"/>
  </cols>
  <sheetData>
    <row r="3" spans="1:2" x14ac:dyDescent="0.2">
      <c r="A3" t="s">
        <v>50</v>
      </c>
      <c r="B3" t="s">
        <v>51</v>
      </c>
    </row>
    <row r="4" spans="1:2" x14ac:dyDescent="0.2">
      <c r="A4" s="38">
        <v>31152</v>
      </c>
      <c r="B4" s="38">
        <v>2746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65A0-5BCB-4EA9-A4F4-3F049285C969}">
  <dimension ref="A1:Y612"/>
  <sheetViews>
    <sheetView workbookViewId="0">
      <selection activeCell="W1" sqref="W1:W1048576"/>
    </sheetView>
  </sheetViews>
  <sheetFormatPr defaultColWidth="9.14453125" defaultRowHeight="15" x14ac:dyDescent="0.2"/>
  <cols>
    <col min="1" max="1" width="11.56640625" style="32" bestFit="1" customWidth="1"/>
    <col min="2" max="4" width="9.14453125" style="32"/>
    <col min="5" max="5" width="10.22265625" style="32" bestFit="1" customWidth="1"/>
    <col min="6" max="6" width="9.14453125" style="32"/>
    <col min="7" max="7" width="9.68359375" style="45" bestFit="1" customWidth="1"/>
    <col min="8" max="8" width="9.14453125" style="45"/>
    <col min="9" max="9" width="11.43359375" style="45" bestFit="1" customWidth="1"/>
    <col min="10" max="10" width="10.0859375" style="45" bestFit="1" customWidth="1"/>
    <col min="11" max="11" width="11.97265625" style="45" bestFit="1" customWidth="1"/>
    <col min="12" max="12" width="9.68359375" style="45" bestFit="1" customWidth="1"/>
    <col min="13" max="13" width="10.89453125" style="45" bestFit="1" customWidth="1"/>
    <col min="14" max="14" width="10.22265625" style="45" bestFit="1" customWidth="1"/>
    <col min="15" max="17" width="9.14453125" style="45"/>
    <col min="18" max="18" width="10.22265625" style="45" bestFit="1" customWidth="1"/>
    <col min="19" max="19" width="11.43359375" style="45" bestFit="1" customWidth="1"/>
    <col min="20" max="20" width="12.9140625" style="45" bestFit="1" customWidth="1"/>
    <col min="21" max="21" width="7.3984375" style="45" bestFit="1" customWidth="1"/>
    <col min="22" max="25" width="9.14453125" style="45"/>
    <col min="26" max="16384" width="9.14453125" style="32"/>
  </cols>
  <sheetData>
    <row r="1" spans="1:24" x14ac:dyDescent="0.2">
      <c r="A1" s="48" t="s">
        <v>52</v>
      </c>
      <c r="B1" s="48" t="s">
        <v>6</v>
      </c>
      <c r="C1" s="48" t="s">
        <v>53</v>
      </c>
      <c r="D1" s="48" t="s">
        <v>48</v>
      </c>
      <c r="E1" s="48" t="s">
        <v>54</v>
      </c>
      <c r="F1" s="48" t="s">
        <v>55</v>
      </c>
      <c r="G1" s="48" t="s">
        <v>56</v>
      </c>
      <c r="H1" s="48" t="s">
        <v>46</v>
      </c>
      <c r="I1" s="41" t="s">
        <v>57</v>
      </c>
      <c r="J1" s="41" t="s">
        <v>58</v>
      </c>
      <c r="K1" s="41" t="s">
        <v>59</v>
      </c>
      <c r="L1" s="41" t="s">
        <v>60</v>
      </c>
      <c r="M1" s="41" t="s">
        <v>61</v>
      </c>
      <c r="N1" s="41" t="s">
        <v>62</v>
      </c>
      <c r="O1" s="41" t="s">
        <v>63</v>
      </c>
      <c r="P1" s="41" t="s">
        <v>64</v>
      </c>
      <c r="Q1" s="41" t="s">
        <v>65</v>
      </c>
      <c r="R1" s="41" t="s">
        <v>66</v>
      </c>
      <c r="S1" s="41" t="s">
        <v>67</v>
      </c>
      <c r="T1" s="41" t="s">
        <v>68</v>
      </c>
      <c r="U1" s="41" t="s">
        <v>69</v>
      </c>
      <c r="V1" s="41" t="s">
        <v>24</v>
      </c>
      <c r="W1" s="41" t="s">
        <v>70</v>
      </c>
      <c r="X1" s="41" t="s">
        <v>26</v>
      </c>
    </row>
    <row r="2" spans="1:24" x14ac:dyDescent="0.2">
      <c r="A2" s="49">
        <v>0</v>
      </c>
      <c r="B2" s="49">
        <v>1</v>
      </c>
      <c r="C2" s="49">
        <v>0.28789999999999999</v>
      </c>
      <c r="D2" s="49">
        <v>0.81</v>
      </c>
      <c r="E2" s="49">
        <v>0</v>
      </c>
      <c r="F2" s="49">
        <v>3</v>
      </c>
      <c r="G2" s="49">
        <v>13</v>
      </c>
      <c r="H2" s="49">
        <v>16</v>
      </c>
      <c r="I2" s="42">
        <f>SUM(C2:C611)</f>
        <v>121.9602850000001</v>
      </c>
      <c r="J2" s="42">
        <f>AVERAGE(C2:C611)</f>
        <v>0.19993489344262311</v>
      </c>
      <c r="K2" s="42">
        <f>COUNT(C2:C611)</f>
        <v>610</v>
      </c>
      <c r="L2" s="42">
        <f>SUM(D2:D611)</f>
        <v>343.11000000000087</v>
      </c>
      <c r="M2" s="42">
        <f>AVERAGE(D2:D611)</f>
        <v>0.56247540983606703</v>
      </c>
      <c r="N2" s="42">
        <f>COUNT(D2:D611)</f>
        <v>610</v>
      </c>
      <c r="O2" s="42">
        <f>SUM(H2:H611)</f>
        <v>33898</v>
      </c>
      <c r="P2" s="42">
        <f>AVERAGE(H2:H611)</f>
        <v>55.570491803278685</v>
      </c>
      <c r="Q2" s="42">
        <f>COUNT(H2:H611)</f>
        <v>610</v>
      </c>
      <c r="R2" s="42" t="str">
        <f>LEFT(B2,1)</f>
        <v>1</v>
      </c>
      <c r="S2" s="42" t="str">
        <f>RIGHT(B2,1)</f>
        <v>1</v>
      </c>
      <c r="T2" s="42">
        <f>LEN(B2)</f>
        <v>1</v>
      </c>
      <c r="U2" s="42">
        <f>COUNTIF(H:H,"&gt;100")</f>
        <v>89</v>
      </c>
      <c r="V2" s="42">
        <f>SUMIF(D:D,"&gt;0.8",H:H)</f>
        <v>3183</v>
      </c>
      <c r="W2" s="42">
        <f>STDEV(H:H)</f>
        <v>49.316801509098106</v>
      </c>
      <c r="X2" s="42">
        <f>CORREL(C:C,H:H)</f>
        <v>0.18825987366070532</v>
      </c>
    </row>
    <row r="3" spans="1:24" x14ac:dyDescent="0.2">
      <c r="A3" s="49">
        <v>1</v>
      </c>
      <c r="B3" s="49">
        <v>2</v>
      </c>
      <c r="C3" s="49">
        <v>0.2727</v>
      </c>
      <c r="D3" s="49">
        <v>0.8</v>
      </c>
      <c r="E3" s="49">
        <v>0</v>
      </c>
      <c r="F3" s="49">
        <v>8</v>
      </c>
      <c r="G3" s="49">
        <v>32</v>
      </c>
      <c r="H3" s="49">
        <v>40</v>
      </c>
      <c r="I3" s="42">
        <f t="shared" ref="I3:I66" si="0">SUM(C3:C612)</f>
        <v>121.67238500000011</v>
      </c>
      <c r="J3" s="42">
        <f t="shared" ref="J3:J66" si="1">AVERAGE(C3:C612)</f>
        <v>0.1997904515599345</v>
      </c>
      <c r="K3" s="42">
        <f t="shared" ref="K3:K66" si="2">COUNT(C3:C612)</f>
        <v>609</v>
      </c>
      <c r="L3" s="42">
        <f t="shared" ref="L3:L66" si="3">SUM(D3:D612)</f>
        <v>342.30000000000081</v>
      </c>
      <c r="M3" s="42">
        <f t="shared" ref="M3:M66" si="4">AVERAGE(D3:D612)</f>
        <v>0.56206896551724272</v>
      </c>
      <c r="N3" s="42">
        <f t="shared" ref="N3:N66" si="5">COUNT(D3:D612)</f>
        <v>609</v>
      </c>
      <c r="O3" s="42">
        <f t="shared" ref="O3:O66" si="6">SUM(H3:H612)</f>
        <v>33882</v>
      </c>
      <c r="P3" s="42">
        <f t="shared" ref="P3:P66" si="7">AVERAGE(H3:H612)</f>
        <v>55.635467980295566</v>
      </c>
      <c r="Q3" s="42">
        <f t="shared" ref="Q3:Q66" si="8">COUNT(H3:H612)</f>
        <v>609</v>
      </c>
      <c r="R3" s="42" t="str">
        <f t="shared" ref="R3:R66" si="9">LEFT(B3,1)</f>
        <v>2</v>
      </c>
      <c r="S3" s="42" t="str">
        <f t="shared" ref="S3:S66" si="10">RIGHT(B3,1)</f>
        <v>2</v>
      </c>
      <c r="T3" s="42">
        <f t="shared" ref="T3:T66" si="11">LEN(B3)</f>
        <v>1</v>
      </c>
      <c r="U3" s="42">
        <f t="shared" ref="U3:U66" si="12">COUNTIF(H:H,"&gt;100")</f>
        <v>89</v>
      </c>
      <c r="V3" s="42">
        <f t="shared" ref="V3:V66" si="13">SUMIF(D:D,"&gt;0.8",H:H)</f>
        <v>3183</v>
      </c>
      <c r="W3" s="42">
        <f t="shared" ref="W3:W66" si="14">STDEV(H:H)</f>
        <v>49.316801509098106</v>
      </c>
      <c r="X3" s="42">
        <f t="shared" ref="X3:X66" si="15">CORREL(C:C,H:H)</f>
        <v>0.18825987366070532</v>
      </c>
    </row>
    <row r="4" spans="1:24" x14ac:dyDescent="0.2">
      <c r="A4" s="49">
        <v>2</v>
      </c>
      <c r="B4" s="49">
        <v>3</v>
      </c>
      <c r="C4" s="49">
        <v>0.2727</v>
      </c>
      <c r="D4" s="49">
        <v>0.8</v>
      </c>
      <c r="E4" s="49">
        <v>0</v>
      </c>
      <c r="F4" s="49">
        <v>5</v>
      </c>
      <c r="G4" s="49">
        <v>27</v>
      </c>
      <c r="H4" s="49">
        <v>32</v>
      </c>
      <c r="I4" s="42">
        <f t="shared" si="0"/>
        <v>121.3996850000001</v>
      </c>
      <c r="J4" s="42">
        <f t="shared" si="1"/>
        <v>0.19967053453947387</v>
      </c>
      <c r="K4" s="42">
        <f t="shared" si="2"/>
        <v>608</v>
      </c>
      <c r="L4" s="42">
        <f t="shared" si="3"/>
        <v>341.5000000000008</v>
      </c>
      <c r="M4" s="42">
        <f t="shared" si="4"/>
        <v>0.56167763157894868</v>
      </c>
      <c r="N4" s="42">
        <f t="shared" si="5"/>
        <v>608</v>
      </c>
      <c r="O4" s="42">
        <f t="shared" si="6"/>
        <v>33842</v>
      </c>
      <c r="P4" s="42">
        <f t="shared" si="7"/>
        <v>55.661184210526315</v>
      </c>
      <c r="Q4" s="42">
        <f t="shared" si="8"/>
        <v>608</v>
      </c>
      <c r="R4" s="42" t="str">
        <f t="shared" si="9"/>
        <v>3</v>
      </c>
      <c r="S4" s="42" t="str">
        <f t="shared" si="10"/>
        <v>3</v>
      </c>
      <c r="T4" s="42">
        <f t="shared" si="11"/>
        <v>1</v>
      </c>
      <c r="U4" s="42">
        <f t="shared" si="12"/>
        <v>89</v>
      </c>
      <c r="V4" s="42">
        <f t="shared" si="13"/>
        <v>3183</v>
      </c>
      <c r="W4" s="42">
        <f t="shared" si="14"/>
        <v>49.316801509098106</v>
      </c>
      <c r="X4" s="42">
        <f t="shared" si="15"/>
        <v>0.18825987366070532</v>
      </c>
    </row>
    <row r="5" spans="1:24" x14ac:dyDescent="0.2">
      <c r="A5" s="49">
        <v>3</v>
      </c>
      <c r="B5" s="49">
        <v>4</v>
      </c>
      <c r="C5" s="49">
        <v>0.28789999999999999</v>
      </c>
      <c r="D5" s="49">
        <v>0.75</v>
      </c>
      <c r="E5" s="49">
        <v>0</v>
      </c>
      <c r="F5" s="49">
        <v>3</v>
      </c>
      <c r="G5" s="49">
        <v>10</v>
      </c>
      <c r="H5" s="49">
        <v>13</v>
      </c>
      <c r="I5" s="42">
        <f t="shared" si="0"/>
        <v>121.1269850000001</v>
      </c>
      <c r="J5" s="42">
        <f t="shared" si="1"/>
        <v>0.19955022240527201</v>
      </c>
      <c r="K5" s="42">
        <f t="shared" si="2"/>
        <v>607</v>
      </c>
      <c r="L5" s="42">
        <f t="shared" si="3"/>
        <v>340.70000000000078</v>
      </c>
      <c r="M5" s="42">
        <f t="shared" si="4"/>
        <v>0.5612850082372336</v>
      </c>
      <c r="N5" s="42">
        <f t="shared" si="5"/>
        <v>607</v>
      </c>
      <c r="O5" s="42">
        <f t="shared" si="6"/>
        <v>33810</v>
      </c>
      <c r="P5" s="42">
        <f t="shared" si="7"/>
        <v>55.700164744645797</v>
      </c>
      <c r="Q5" s="42">
        <f t="shared" si="8"/>
        <v>607</v>
      </c>
      <c r="R5" s="42" t="str">
        <f t="shared" si="9"/>
        <v>4</v>
      </c>
      <c r="S5" s="42" t="str">
        <f t="shared" si="10"/>
        <v>4</v>
      </c>
      <c r="T5" s="42">
        <f t="shared" si="11"/>
        <v>1</v>
      </c>
      <c r="U5" s="42">
        <f t="shared" si="12"/>
        <v>89</v>
      </c>
      <c r="V5" s="42">
        <f t="shared" si="13"/>
        <v>3183</v>
      </c>
      <c r="W5" s="42">
        <f t="shared" si="14"/>
        <v>49.316801509098106</v>
      </c>
      <c r="X5" s="42">
        <f t="shared" si="15"/>
        <v>0.18825987366070532</v>
      </c>
    </row>
    <row r="6" spans="1:24" x14ac:dyDescent="0.2">
      <c r="A6" s="49">
        <v>4</v>
      </c>
      <c r="B6" s="49">
        <v>5</v>
      </c>
      <c r="C6" s="49">
        <v>0.28789999999999999</v>
      </c>
      <c r="D6" s="49">
        <v>0.75</v>
      </c>
      <c r="E6" s="49">
        <v>0</v>
      </c>
      <c r="F6" s="49">
        <v>0</v>
      </c>
      <c r="G6" s="49">
        <v>1</v>
      </c>
      <c r="H6" s="49">
        <v>1</v>
      </c>
      <c r="I6" s="42">
        <f t="shared" si="0"/>
        <v>120.8390850000001</v>
      </c>
      <c r="J6" s="42">
        <f t="shared" si="1"/>
        <v>0.19940443069306946</v>
      </c>
      <c r="K6" s="42">
        <f t="shared" si="2"/>
        <v>606</v>
      </c>
      <c r="L6" s="42">
        <f t="shared" si="3"/>
        <v>339.95000000000078</v>
      </c>
      <c r="M6" s="42">
        <f t="shared" si="4"/>
        <v>0.56097359735973729</v>
      </c>
      <c r="N6" s="42">
        <f t="shared" si="5"/>
        <v>606</v>
      </c>
      <c r="O6" s="42">
        <f t="shared" si="6"/>
        <v>33797</v>
      </c>
      <c r="P6" s="42">
        <f t="shared" si="7"/>
        <v>55.770627062706268</v>
      </c>
      <c r="Q6" s="42">
        <f t="shared" si="8"/>
        <v>606</v>
      </c>
      <c r="R6" s="42" t="str">
        <f t="shared" si="9"/>
        <v>5</v>
      </c>
      <c r="S6" s="42" t="str">
        <f t="shared" si="10"/>
        <v>5</v>
      </c>
      <c r="T6" s="42">
        <f>LEN(B6)</f>
        <v>1</v>
      </c>
      <c r="U6" s="42">
        <f t="shared" si="12"/>
        <v>89</v>
      </c>
      <c r="V6" s="42">
        <f t="shared" si="13"/>
        <v>3183</v>
      </c>
      <c r="W6" s="42">
        <f t="shared" si="14"/>
        <v>49.316801509098106</v>
      </c>
      <c r="X6" s="42">
        <f t="shared" si="15"/>
        <v>0.18825987366070532</v>
      </c>
    </row>
    <row r="7" spans="1:24" x14ac:dyDescent="0.2">
      <c r="A7" s="49">
        <v>5</v>
      </c>
      <c r="B7" s="49">
        <v>6</v>
      </c>
      <c r="C7" s="49">
        <v>0.2576</v>
      </c>
      <c r="D7" s="49">
        <v>0.75</v>
      </c>
      <c r="E7" s="49">
        <v>8.9599999999999999E-2</v>
      </c>
      <c r="F7" s="49">
        <v>0</v>
      </c>
      <c r="G7" s="49">
        <v>1</v>
      </c>
      <c r="H7" s="49">
        <v>1</v>
      </c>
      <c r="I7" s="42">
        <f t="shared" si="0"/>
        <v>120.5511850000001</v>
      </c>
      <c r="J7" s="42">
        <f t="shared" si="1"/>
        <v>0.19925815702479355</v>
      </c>
      <c r="K7" s="42">
        <f t="shared" si="2"/>
        <v>605</v>
      </c>
      <c r="L7" s="42">
        <f t="shared" si="3"/>
        <v>339.20000000000084</v>
      </c>
      <c r="M7" s="42">
        <f t="shared" si="4"/>
        <v>0.5606611570247948</v>
      </c>
      <c r="N7" s="42">
        <f t="shared" si="5"/>
        <v>605</v>
      </c>
      <c r="O7" s="42">
        <f t="shared" si="6"/>
        <v>33796</v>
      </c>
      <c r="P7" s="42">
        <f t="shared" si="7"/>
        <v>55.861157024793386</v>
      </c>
      <c r="Q7" s="42">
        <f t="shared" si="8"/>
        <v>605</v>
      </c>
      <c r="R7" s="42" t="str">
        <f t="shared" si="9"/>
        <v>6</v>
      </c>
      <c r="S7" s="42" t="str">
        <f t="shared" si="10"/>
        <v>6</v>
      </c>
      <c r="T7" s="42">
        <f t="shared" si="11"/>
        <v>1</v>
      </c>
      <c r="U7" s="42">
        <f t="shared" si="12"/>
        <v>89</v>
      </c>
      <c r="V7" s="42">
        <f t="shared" si="13"/>
        <v>3183</v>
      </c>
      <c r="W7" s="42">
        <f t="shared" si="14"/>
        <v>49.316801509098106</v>
      </c>
      <c r="X7" s="42">
        <f t="shared" si="15"/>
        <v>0.18825987366070532</v>
      </c>
    </row>
    <row r="8" spans="1:24" x14ac:dyDescent="0.2">
      <c r="A8" s="49">
        <v>6</v>
      </c>
      <c r="B8" s="49">
        <v>7</v>
      </c>
      <c r="C8" s="49">
        <v>0.2727</v>
      </c>
      <c r="D8" s="49">
        <v>0.8</v>
      </c>
      <c r="E8" s="49">
        <v>0</v>
      </c>
      <c r="F8" s="49">
        <v>2</v>
      </c>
      <c r="G8" s="49">
        <v>0</v>
      </c>
      <c r="H8" s="49">
        <v>2</v>
      </c>
      <c r="I8" s="42">
        <f t="shared" si="0"/>
        <v>120.29358500000012</v>
      </c>
      <c r="J8" s="42">
        <f t="shared" si="1"/>
        <v>0.19916156456953663</v>
      </c>
      <c r="K8" s="42">
        <f t="shared" si="2"/>
        <v>604</v>
      </c>
      <c r="L8" s="42">
        <f t="shared" si="3"/>
        <v>338.45000000000084</v>
      </c>
      <c r="M8" s="42">
        <f t="shared" si="4"/>
        <v>0.56034768211920671</v>
      </c>
      <c r="N8" s="42">
        <f t="shared" si="5"/>
        <v>604</v>
      </c>
      <c r="O8" s="42">
        <f t="shared" si="6"/>
        <v>33795</v>
      </c>
      <c r="P8" s="42">
        <f t="shared" si="7"/>
        <v>55.951986754966889</v>
      </c>
      <c r="Q8" s="42">
        <f t="shared" si="8"/>
        <v>604</v>
      </c>
      <c r="R8" s="42" t="str">
        <f t="shared" si="9"/>
        <v>7</v>
      </c>
      <c r="S8" s="42" t="str">
        <f t="shared" si="10"/>
        <v>7</v>
      </c>
      <c r="T8" s="42">
        <f t="shared" si="11"/>
        <v>1</v>
      </c>
      <c r="U8" s="42">
        <f t="shared" si="12"/>
        <v>89</v>
      </c>
      <c r="V8" s="42">
        <f t="shared" si="13"/>
        <v>3183</v>
      </c>
      <c r="W8" s="42">
        <f t="shared" si="14"/>
        <v>49.316801509098106</v>
      </c>
      <c r="X8" s="42">
        <f t="shared" si="15"/>
        <v>0.18825987366070532</v>
      </c>
    </row>
    <row r="9" spans="1:24" x14ac:dyDescent="0.2">
      <c r="A9" s="49">
        <v>7</v>
      </c>
      <c r="B9" s="49">
        <v>8</v>
      </c>
      <c r="C9" s="49">
        <v>0.2576</v>
      </c>
      <c r="D9" s="49">
        <v>0.86</v>
      </c>
      <c r="E9" s="49">
        <v>0</v>
      </c>
      <c r="F9" s="49">
        <v>1</v>
      </c>
      <c r="G9" s="49">
        <v>2</v>
      </c>
      <c r="H9" s="49">
        <v>3</v>
      </c>
      <c r="I9" s="42">
        <f t="shared" si="0"/>
        <v>120.02088500000011</v>
      </c>
      <c r="J9" s="42">
        <f t="shared" si="1"/>
        <v>0.19903961028192388</v>
      </c>
      <c r="K9" s="42">
        <f t="shared" si="2"/>
        <v>603</v>
      </c>
      <c r="L9" s="42">
        <f t="shared" si="3"/>
        <v>337.65000000000083</v>
      </c>
      <c r="M9" s="42">
        <f t="shared" si="4"/>
        <v>0.55995024875622024</v>
      </c>
      <c r="N9" s="42">
        <f t="shared" si="5"/>
        <v>603</v>
      </c>
      <c r="O9" s="42">
        <f t="shared" si="6"/>
        <v>33793</v>
      </c>
      <c r="P9" s="42">
        <f t="shared" si="7"/>
        <v>56.041459369817581</v>
      </c>
      <c r="Q9" s="42">
        <f t="shared" si="8"/>
        <v>603</v>
      </c>
      <c r="R9" s="42" t="str">
        <f t="shared" si="9"/>
        <v>8</v>
      </c>
      <c r="S9" s="42" t="str">
        <f t="shared" si="10"/>
        <v>8</v>
      </c>
      <c r="T9" s="42">
        <f t="shared" si="11"/>
        <v>1</v>
      </c>
      <c r="U9" s="42">
        <f t="shared" si="12"/>
        <v>89</v>
      </c>
      <c r="V9" s="42">
        <f t="shared" si="13"/>
        <v>3183</v>
      </c>
      <c r="W9" s="42">
        <f t="shared" si="14"/>
        <v>49.316801509098106</v>
      </c>
      <c r="X9" s="42">
        <f t="shared" si="15"/>
        <v>0.18825987366070532</v>
      </c>
    </row>
    <row r="10" spans="1:24" x14ac:dyDescent="0.2">
      <c r="A10" s="49">
        <v>8</v>
      </c>
      <c r="B10" s="49">
        <v>9</v>
      </c>
      <c r="C10" s="42">
        <v>0.199935</v>
      </c>
      <c r="D10" s="49">
        <v>0.75</v>
      </c>
      <c r="E10" s="49">
        <v>0</v>
      </c>
      <c r="F10" s="49">
        <v>1</v>
      </c>
      <c r="G10" s="49">
        <v>7</v>
      </c>
      <c r="H10" s="49">
        <v>8</v>
      </c>
      <c r="I10" s="42">
        <f t="shared" si="0"/>
        <v>119.76328500000011</v>
      </c>
      <c r="J10" s="42">
        <f t="shared" si="1"/>
        <v>0.19894233388704338</v>
      </c>
      <c r="K10" s="42">
        <f t="shared" si="2"/>
        <v>602</v>
      </c>
      <c r="L10" s="42">
        <f t="shared" si="3"/>
        <v>336.79000000000076</v>
      </c>
      <c r="M10" s="42">
        <f t="shared" si="4"/>
        <v>0.55945182724252618</v>
      </c>
      <c r="N10" s="42">
        <f t="shared" si="5"/>
        <v>602</v>
      </c>
      <c r="O10" s="42">
        <f t="shared" si="6"/>
        <v>33790</v>
      </c>
      <c r="P10" s="42">
        <f t="shared" si="7"/>
        <v>56.129568106312291</v>
      </c>
      <c r="Q10" s="42">
        <f t="shared" si="8"/>
        <v>602</v>
      </c>
      <c r="R10" s="42" t="str">
        <f t="shared" si="9"/>
        <v>9</v>
      </c>
      <c r="S10" s="42" t="str">
        <f t="shared" si="10"/>
        <v>9</v>
      </c>
      <c r="T10" s="42">
        <f t="shared" si="11"/>
        <v>1</v>
      </c>
      <c r="U10" s="42">
        <f t="shared" si="12"/>
        <v>89</v>
      </c>
      <c r="V10" s="42">
        <f t="shared" si="13"/>
        <v>3183</v>
      </c>
      <c r="W10" s="42">
        <f t="shared" si="14"/>
        <v>49.316801509098106</v>
      </c>
      <c r="X10" s="42">
        <f t="shared" si="15"/>
        <v>0.18825987366070532</v>
      </c>
    </row>
    <row r="11" spans="1:24" x14ac:dyDescent="0.2">
      <c r="A11" s="49">
        <v>9</v>
      </c>
      <c r="B11" s="49">
        <v>10</v>
      </c>
      <c r="C11" s="49">
        <v>0.34849999999999998</v>
      </c>
      <c r="D11" s="49">
        <v>0.76</v>
      </c>
      <c r="E11" s="49">
        <v>0</v>
      </c>
      <c r="F11" s="49">
        <v>8</v>
      </c>
      <c r="G11" s="49">
        <v>6</v>
      </c>
      <c r="H11" s="49">
        <v>14</v>
      </c>
      <c r="I11" s="42">
        <f t="shared" si="0"/>
        <v>119.56335000000011</v>
      </c>
      <c r="J11" s="42">
        <f t="shared" si="1"/>
        <v>0.19894068219633962</v>
      </c>
      <c r="K11" s="42">
        <f t="shared" si="2"/>
        <v>601</v>
      </c>
      <c r="L11" s="42">
        <f t="shared" si="3"/>
        <v>336.04000000000076</v>
      </c>
      <c r="M11" s="42">
        <f t="shared" si="4"/>
        <v>0.55913477537437728</v>
      </c>
      <c r="N11" s="42">
        <f t="shared" si="5"/>
        <v>601</v>
      </c>
      <c r="O11" s="42">
        <f t="shared" si="6"/>
        <v>33782</v>
      </c>
      <c r="P11" s="42">
        <f t="shared" si="7"/>
        <v>56.209650582362727</v>
      </c>
      <c r="Q11" s="42">
        <f t="shared" si="8"/>
        <v>601</v>
      </c>
      <c r="R11" s="42" t="str">
        <f t="shared" si="9"/>
        <v>1</v>
      </c>
      <c r="S11" s="42" t="str">
        <f t="shared" si="10"/>
        <v>0</v>
      </c>
      <c r="T11" s="42">
        <f t="shared" si="11"/>
        <v>2</v>
      </c>
      <c r="U11" s="42">
        <f t="shared" si="12"/>
        <v>89</v>
      </c>
      <c r="V11" s="42">
        <f t="shared" si="13"/>
        <v>3183</v>
      </c>
      <c r="W11" s="42">
        <f t="shared" si="14"/>
        <v>49.316801509098106</v>
      </c>
      <c r="X11" s="42">
        <f t="shared" si="15"/>
        <v>0.18825987366070532</v>
      </c>
    </row>
    <row r="12" spans="1:24" x14ac:dyDescent="0.2">
      <c r="A12" s="49">
        <v>10</v>
      </c>
      <c r="B12" s="49">
        <v>11</v>
      </c>
      <c r="C12" s="49">
        <v>0.39389999999999997</v>
      </c>
      <c r="D12" s="49">
        <v>0.76</v>
      </c>
      <c r="E12" s="49">
        <v>0.25369999999999998</v>
      </c>
      <c r="F12" s="49">
        <v>12</v>
      </c>
      <c r="G12" s="49">
        <v>24</v>
      </c>
      <c r="H12" s="49">
        <v>36</v>
      </c>
      <c r="I12" s="42">
        <f t="shared" si="0"/>
        <v>119.21485000000011</v>
      </c>
      <c r="J12" s="42">
        <f t="shared" si="1"/>
        <v>0.19869141666666684</v>
      </c>
      <c r="K12" s="42">
        <f t="shared" si="2"/>
        <v>600</v>
      </c>
      <c r="L12" s="42">
        <f t="shared" si="3"/>
        <v>335.28000000000077</v>
      </c>
      <c r="M12" s="42">
        <f t="shared" si="4"/>
        <v>0.5588000000000013</v>
      </c>
      <c r="N12" s="42">
        <f t="shared" si="5"/>
        <v>600</v>
      </c>
      <c r="O12" s="42">
        <f t="shared" si="6"/>
        <v>33768</v>
      </c>
      <c r="P12" s="42">
        <f t="shared" si="7"/>
        <v>56.28</v>
      </c>
      <c r="Q12" s="42">
        <f t="shared" si="8"/>
        <v>600</v>
      </c>
      <c r="R12" s="42" t="str">
        <f t="shared" si="9"/>
        <v>1</v>
      </c>
      <c r="S12" s="42" t="str">
        <f t="shared" si="10"/>
        <v>1</v>
      </c>
      <c r="T12" s="42">
        <f t="shared" si="11"/>
        <v>2</v>
      </c>
      <c r="U12" s="42">
        <f t="shared" si="12"/>
        <v>89</v>
      </c>
      <c r="V12" s="42">
        <f t="shared" si="13"/>
        <v>3183</v>
      </c>
      <c r="W12" s="42">
        <f t="shared" si="14"/>
        <v>49.316801509098106</v>
      </c>
      <c r="X12" s="42">
        <f t="shared" si="15"/>
        <v>0.18825987366070532</v>
      </c>
    </row>
    <row r="13" spans="1:24" x14ac:dyDescent="0.2">
      <c r="A13" s="49">
        <v>11</v>
      </c>
      <c r="B13" s="49">
        <v>12</v>
      </c>
      <c r="C13" s="49">
        <v>0.33329999999999999</v>
      </c>
      <c r="D13" s="49">
        <v>0.81</v>
      </c>
      <c r="E13" s="49">
        <v>0.28360000000000002</v>
      </c>
      <c r="F13" s="49">
        <v>26</v>
      </c>
      <c r="G13" s="49">
        <v>30</v>
      </c>
      <c r="H13" s="49">
        <v>56</v>
      </c>
      <c r="I13" s="42">
        <f t="shared" si="0"/>
        <v>118.82095000000012</v>
      </c>
      <c r="J13" s="42">
        <f t="shared" si="1"/>
        <v>0.19836552587646097</v>
      </c>
      <c r="K13" s="42">
        <f t="shared" si="2"/>
        <v>599</v>
      </c>
      <c r="L13" s="42">
        <f t="shared" si="3"/>
        <v>334.52000000000078</v>
      </c>
      <c r="M13" s="42">
        <f t="shared" si="4"/>
        <v>0.55846410684474257</v>
      </c>
      <c r="N13" s="42">
        <f t="shared" si="5"/>
        <v>599</v>
      </c>
      <c r="O13" s="42">
        <f t="shared" si="6"/>
        <v>33732</v>
      </c>
      <c r="P13" s="42">
        <f t="shared" si="7"/>
        <v>56.313856427378965</v>
      </c>
      <c r="Q13" s="42">
        <f t="shared" si="8"/>
        <v>599</v>
      </c>
      <c r="R13" s="42" t="str">
        <f t="shared" si="9"/>
        <v>1</v>
      </c>
      <c r="S13" s="42" t="str">
        <f t="shared" si="10"/>
        <v>2</v>
      </c>
      <c r="T13" s="42">
        <f t="shared" si="11"/>
        <v>2</v>
      </c>
      <c r="U13" s="42">
        <f t="shared" si="12"/>
        <v>89</v>
      </c>
      <c r="V13" s="42">
        <f t="shared" si="13"/>
        <v>3183</v>
      </c>
      <c r="W13" s="42">
        <f t="shared" si="14"/>
        <v>49.316801509098106</v>
      </c>
      <c r="X13" s="42">
        <f t="shared" si="15"/>
        <v>0.18825987366070532</v>
      </c>
    </row>
    <row r="14" spans="1:24" x14ac:dyDescent="0.2">
      <c r="A14" s="49">
        <v>12</v>
      </c>
      <c r="B14" s="49">
        <v>13</v>
      </c>
      <c r="C14" s="49">
        <v>0.42420000000000002</v>
      </c>
      <c r="D14" s="49">
        <v>0.77</v>
      </c>
      <c r="E14" s="49">
        <v>0.28360000000000002</v>
      </c>
      <c r="F14" s="49">
        <v>29</v>
      </c>
      <c r="G14" s="49">
        <v>55</v>
      </c>
      <c r="H14" s="49">
        <v>84</v>
      </c>
      <c r="I14" s="42">
        <f t="shared" si="0"/>
        <v>118.4876500000001</v>
      </c>
      <c r="J14" s="42">
        <f t="shared" si="1"/>
        <v>0.19813988294314397</v>
      </c>
      <c r="K14" s="42">
        <f t="shared" si="2"/>
        <v>598</v>
      </c>
      <c r="L14" s="42">
        <f t="shared" si="3"/>
        <v>333.71000000000078</v>
      </c>
      <c r="M14" s="42">
        <f t="shared" si="4"/>
        <v>0.55804347826087086</v>
      </c>
      <c r="N14" s="42">
        <f t="shared" si="5"/>
        <v>598</v>
      </c>
      <c r="O14" s="42">
        <f t="shared" si="6"/>
        <v>33676</v>
      </c>
      <c r="P14" s="42">
        <f t="shared" si="7"/>
        <v>56.314381270903013</v>
      </c>
      <c r="Q14" s="42">
        <f t="shared" si="8"/>
        <v>598</v>
      </c>
      <c r="R14" s="42" t="str">
        <f t="shared" si="9"/>
        <v>1</v>
      </c>
      <c r="S14" s="42" t="str">
        <f t="shared" si="10"/>
        <v>3</v>
      </c>
      <c r="T14" s="42">
        <f t="shared" si="11"/>
        <v>2</v>
      </c>
      <c r="U14" s="42">
        <f t="shared" si="12"/>
        <v>89</v>
      </c>
      <c r="V14" s="42">
        <f t="shared" si="13"/>
        <v>3183</v>
      </c>
      <c r="W14" s="42">
        <f t="shared" si="14"/>
        <v>49.316801509098106</v>
      </c>
      <c r="X14" s="42">
        <f t="shared" si="15"/>
        <v>0.18825987366070532</v>
      </c>
    </row>
    <row r="15" spans="1:24" x14ac:dyDescent="0.2">
      <c r="A15" s="49">
        <v>13</v>
      </c>
      <c r="B15" s="49">
        <v>14</v>
      </c>
      <c r="C15" s="49">
        <v>0.45450000000000002</v>
      </c>
      <c r="D15" s="49">
        <v>0.72</v>
      </c>
      <c r="E15" s="49">
        <v>0.29849999999999999</v>
      </c>
      <c r="F15" s="49">
        <v>47</v>
      </c>
      <c r="G15" s="49">
        <v>47</v>
      </c>
      <c r="H15" s="49">
        <v>94</v>
      </c>
      <c r="I15" s="42">
        <f t="shared" si="0"/>
        <v>118.06345000000009</v>
      </c>
      <c r="J15" s="42">
        <f t="shared" si="1"/>
        <v>0.19776122278056965</v>
      </c>
      <c r="K15" s="42">
        <f t="shared" si="2"/>
        <v>597</v>
      </c>
      <c r="L15" s="42">
        <f t="shared" si="3"/>
        <v>332.94000000000079</v>
      </c>
      <c r="M15" s="42">
        <f t="shared" si="4"/>
        <v>0.55768844221105662</v>
      </c>
      <c r="N15" s="42">
        <f t="shared" si="5"/>
        <v>597</v>
      </c>
      <c r="O15" s="42">
        <f t="shared" si="6"/>
        <v>33592</v>
      </c>
      <c r="P15" s="42">
        <f t="shared" si="7"/>
        <v>56.268006700167504</v>
      </c>
      <c r="Q15" s="42">
        <f t="shared" si="8"/>
        <v>597</v>
      </c>
      <c r="R15" s="42" t="str">
        <f t="shared" si="9"/>
        <v>1</v>
      </c>
      <c r="S15" s="42" t="str">
        <f t="shared" si="10"/>
        <v>4</v>
      </c>
      <c r="T15" s="42">
        <f t="shared" si="11"/>
        <v>2</v>
      </c>
      <c r="U15" s="42">
        <f t="shared" si="12"/>
        <v>89</v>
      </c>
      <c r="V15" s="42">
        <f t="shared" si="13"/>
        <v>3183</v>
      </c>
      <c r="W15" s="42">
        <f t="shared" si="14"/>
        <v>49.316801509098106</v>
      </c>
      <c r="X15" s="42">
        <f t="shared" si="15"/>
        <v>0.18825987366070532</v>
      </c>
    </row>
    <row r="16" spans="1:24" x14ac:dyDescent="0.2">
      <c r="A16" s="49">
        <v>14</v>
      </c>
      <c r="B16" s="49">
        <v>15</v>
      </c>
      <c r="C16" s="49">
        <v>0.45450000000000002</v>
      </c>
      <c r="D16" s="49">
        <v>0.72</v>
      </c>
      <c r="E16" s="49">
        <v>0.28360000000000002</v>
      </c>
      <c r="F16" s="49">
        <v>35</v>
      </c>
      <c r="G16" s="49">
        <v>71</v>
      </c>
      <c r="H16" s="49">
        <v>106</v>
      </c>
      <c r="I16" s="42">
        <f t="shared" si="0"/>
        <v>117.60895000000009</v>
      </c>
      <c r="J16" s="42">
        <f t="shared" si="1"/>
        <v>0.19733045302013438</v>
      </c>
      <c r="K16" s="42">
        <f t="shared" si="2"/>
        <v>596</v>
      </c>
      <c r="L16" s="42">
        <f t="shared" si="3"/>
        <v>332.22000000000082</v>
      </c>
      <c r="M16" s="42">
        <f t="shared" si="4"/>
        <v>0.55741610738255176</v>
      </c>
      <c r="N16" s="42">
        <f t="shared" si="5"/>
        <v>596</v>
      </c>
      <c r="O16" s="42">
        <f t="shared" si="6"/>
        <v>33498</v>
      </c>
      <c r="P16" s="42">
        <f t="shared" si="7"/>
        <v>56.20469798657718</v>
      </c>
      <c r="Q16" s="42">
        <f t="shared" si="8"/>
        <v>596</v>
      </c>
      <c r="R16" s="42" t="str">
        <f t="shared" si="9"/>
        <v>1</v>
      </c>
      <c r="S16" s="42" t="str">
        <f t="shared" si="10"/>
        <v>5</v>
      </c>
      <c r="T16" s="42">
        <f t="shared" si="11"/>
        <v>2</v>
      </c>
      <c r="U16" s="42">
        <f t="shared" si="12"/>
        <v>89</v>
      </c>
      <c r="V16" s="42">
        <f t="shared" si="13"/>
        <v>3183</v>
      </c>
      <c r="W16" s="42">
        <f t="shared" si="14"/>
        <v>49.316801509098106</v>
      </c>
      <c r="X16" s="42">
        <f t="shared" si="15"/>
        <v>0.18825987366070532</v>
      </c>
    </row>
    <row r="17" spans="1:24" x14ac:dyDescent="0.2">
      <c r="A17" s="49">
        <v>15</v>
      </c>
      <c r="B17" s="49">
        <v>16</v>
      </c>
      <c r="C17" s="49">
        <v>0.43940000000000001</v>
      </c>
      <c r="D17" s="49">
        <v>0.77</v>
      </c>
      <c r="E17" s="49">
        <v>0.29849999999999999</v>
      </c>
      <c r="F17" s="49">
        <v>40</v>
      </c>
      <c r="G17" s="49">
        <v>70</v>
      </c>
      <c r="H17" s="49">
        <v>110</v>
      </c>
      <c r="I17" s="42">
        <f t="shared" si="0"/>
        <v>117.15445000000011</v>
      </c>
      <c r="J17" s="42">
        <f t="shared" si="1"/>
        <v>0.19689823529411785</v>
      </c>
      <c r="K17" s="42">
        <f t="shared" si="2"/>
        <v>595</v>
      </c>
      <c r="L17" s="42">
        <f t="shared" si="3"/>
        <v>331.50000000000074</v>
      </c>
      <c r="M17" s="42">
        <f t="shared" si="4"/>
        <v>0.55714285714285838</v>
      </c>
      <c r="N17" s="42">
        <f t="shared" si="5"/>
        <v>595</v>
      </c>
      <c r="O17" s="42">
        <f t="shared" si="6"/>
        <v>33392</v>
      </c>
      <c r="P17" s="42">
        <f t="shared" si="7"/>
        <v>56.121008403361344</v>
      </c>
      <c r="Q17" s="42">
        <f t="shared" si="8"/>
        <v>595</v>
      </c>
      <c r="R17" s="42" t="str">
        <f t="shared" si="9"/>
        <v>1</v>
      </c>
      <c r="S17" s="42" t="str">
        <f t="shared" si="10"/>
        <v>6</v>
      </c>
      <c r="T17" s="42">
        <f t="shared" si="11"/>
        <v>2</v>
      </c>
      <c r="U17" s="42">
        <f t="shared" si="12"/>
        <v>89</v>
      </c>
      <c r="V17" s="42">
        <f t="shared" si="13"/>
        <v>3183</v>
      </c>
      <c r="W17" s="42">
        <f t="shared" si="14"/>
        <v>49.316801509098106</v>
      </c>
      <c r="X17" s="42">
        <f t="shared" si="15"/>
        <v>0.18825987366070532</v>
      </c>
    </row>
    <row r="18" spans="1:24" x14ac:dyDescent="0.2">
      <c r="A18" s="49">
        <v>16</v>
      </c>
      <c r="B18" s="49">
        <v>17</v>
      </c>
      <c r="C18" s="49">
        <v>0.42420000000000002</v>
      </c>
      <c r="D18" s="49">
        <v>0.82</v>
      </c>
      <c r="E18" s="49">
        <v>0.29849999999999999</v>
      </c>
      <c r="F18" s="49">
        <v>41</v>
      </c>
      <c r="G18" s="49">
        <v>52</v>
      </c>
      <c r="H18" s="49">
        <v>93</v>
      </c>
      <c r="I18" s="42">
        <f t="shared" si="0"/>
        <v>116.7150500000001</v>
      </c>
      <c r="J18" s="42">
        <f t="shared" si="1"/>
        <v>0.19648998316498334</v>
      </c>
      <c r="K18" s="42">
        <f t="shared" si="2"/>
        <v>594</v>
      </c>
      <c r="L18" s="42">
        <f t="shared" si="3"/>
        <v>330.7300000000007</v>
      </c>
      <c r="M18" s="42">
        <f t="shared" si="4"/>
        <v>0.55678451178451294</v>
      </c>
      <c r="N18" s="42">
        <f t="shared" si="5"/>
        <v>594</v>
      </c>
      <c r="O18" s="42">
        <f t="shared" si="6"/>
        <v>33282</v>
      </c>
      <c r="P18" s="42">
        <f t="shared" si="7"/>
        <v>56.030303030303031</v>
      </c>
      <c r="Q18" s="42">
        <f t="shared" si="8"/>
        <v>594</v>
      </c>
      <c r="R18" s="42" t="str">
        <f t="shared" si="9"/>
        <v>1</v>
      </c>
      <c r="S18" s="42" t="str">
        <f t="shared" si="10"/>
        <v>7</v>
      </c>
      <c r="T18" s="42">
        <f t="shared" si="11"/>
        <v>2</v>
      </c>
      <c r="U18" s="42">
        <f t="shared" si="12"/>
        <v>89</v>
      </c>
      <c r="V18" s="42">
        <f t="shared" si="13"/>
        <v>3183</v>
      </c>
      <c r="W18" s="42">
        <f t="shared" si="14"/>
        <v>49.316801509098106</v>
      </c>
      <c r="X18" s="42">
        <f t="shared" si="15"/>
        <v>0.18825987366070532</v>
      </c>
    </row>
    <row r="19" spans="1:24" x14ac:dyDescent="0.2">
      <c r="A19" s="49">
        <v>17</v>
      </c>
      <c r="B19" s="49">
        <v>18</v>
      </c>
      <c r="C19" s="42">
        <v>0.199935</v>
      </c>
      <c r="D19" s="49">
        <v>0.82</v>
      </c>
      <c r="E19" s="49">
        <v>0.28360000000000002</v>
      </c>
      <c r="F19" s="49">
        <v>15</v>
      </c>
      <c r="G19" s="49">
        <v>52</v>
      </c>
      <c r="H19" s="49">
        <v>67</v>
      </c>
      <c r="I19" s="42">
        <f t="shared" si="0"/>
        <v>116.29085000000011</v>
      </c>
      <c r="J19" s="42">
        <f t="shared" si="1"/>
        <v>0.19610598650927505</v>
      </c>
      <c r="K19" s="42">
        <f t="shared" si="2"/>
        <v>593</v>
      </c>
      <c r="L19" s="42">
        <f t="shared" si="3"/>
        <v>329.91000000000071</v>
      </c>
      <c r="M19" s="42">
        <f t="shared" si="4"/>
        <v>0.55634064080944468</v>
      </c>
      <c r="N19" s="42">
        <f t="shared" si="5"/>
        <v>593</v>
      </c>
      <c r="O19" s="42">
        <f t="shared" si="6"/>
        <v>33189</v>
      </c>
      <c r="P19" s="42">
        <f t="shared" si="7"/>
        <v>55.967959527824618</v>
      </c>
      <c r="Q19" s="42">
        <f t="shared" si="8"/>
        <v>593</v>
      </c>
      <c r="R19" s="42" t="str">
        <f t="shared" si="9"/>
        <v>1</v>
      </c>
      <c r="S19" s="42" t="str">
        <f t="shared" si="10"/>
        <v>8</v>
      </c>
      <c r="T19" s="42">
        <f t="shared" si="11"/>
        <v>2</v>
      </c>
      <c r="U19" s="42">
        <f t="shared" si="12"/>
        <v>89</v>
      </c>
      <c r="V19" s="42">
        <f t="shared" si="13"/>
        <v>3183</v>
      </c>
      <c r="W19" s="42">
        <f t="shared" si="14"/>
        <v>49.316801509098106</v>
      </c>
      <c r="X19" s="42">
        <f t="shared" si="15"/>
        <v>0.18825987366070532</v>
      </c>
    </row>
    <row r="20" spans="1:24" x14ac:dyDescent="0.2">
      <c r="A20" s="49">
        <v>18</v>
      </c>
      <c r="B20" s="49">
        <v>19</v>
      </c>
      <c r="C20" s="49">
        <v>0.42420000000000002</v>
      </c>
      <c r="D20" s="49">
        <v>0.88</v>
      </c>
      <c r="E20" s="49">
        <v>0.25369999999999998</v>
      </c>
      <c r="F20" s="49">
        <v>9</v>
      </c>
      <c r="G20" s="49">
        <v>26</v>
      </c>
      <c r="H20" s="49">
        <v>35</v>
      </c>
      <c r="I20" s="42">
        <f t="shared" si="0"/>
        <v>116.09091500000011</v>
      </c>
      <c r="J20" s="42">
        <f t="shared" si="1"/>
        <v>0.19609951858108127</v>
      </c>
      <c r="K20" s="42">
        <f t="shared" si="2"/>
        <v>592</v>
      </c>
      <c r="L20" s="42">
        <f t="shared" si="3"/>
        <v>329.09000000000071</v>
      </c>
      <c r="M20" s="42">
        <f t="shared" si="4"/>
        <v>0.55589527027027152</v>
      </c>
      <c r="N20" s="42">
        <f t="shared" si="5"/>
        <v>592</v>
      </c>
      <c r="O20" s="42">
        <f t="shared" si="6"/>
        <v>33122</v>
      </c>
      <c r="P20" s="42">
        <f t="shared" si="7"/>
        <v>55.949324324324323</v>
      </c>
      <c r="Q20" s="42">
        <f t="shared" si="8"/>
        <v>592</v>
      </c>
      <c r="R20" s="42" t="str">
        <f t="shared" si="9"/>
        <v>1</v>
      </c>
      <c r="S20" s="42" t="str">
        <f t="shared" si="10"/>
        <v>9</v>
      </c>
      <c r="T20" s="42">
        <f t="shared" si="11"/>
        <v>2</v>
      </c>
      <c r="U20" s="42">
        <f t="shared" si="12"/>
        <v>89</v>
      </c>
      <c r="V20" s="42">
        <f t="shared" si="13"/>
        <v>3183</v>
      </c>
      <c r="W20" s="42">
        <f t="shared" si="14"/>
        <v>49.316801509098106</v>
      </c>
      <c r="X20" s="42">
        <f t="shared" si="15"/>
        <v>0.18825987366070532</v>
      </c>
    </row>
    <row r="21" spans="1:24" x14ac:dyDescent="0.2">
      <c r="A21" s="49">
        <v>19</v>
      </c>
      <c r="B21" s="49">
        <v>20</v>
      </c>
      <c r="C21" s="49">
        <v>0.42420000000000002</v>
      </c>
      <c r="D21" s="49">
        <v>0.88</v>
      </c>
      <c r="E21" s="49">
        <v>0.25369999999999998</v>
      </c>
      <c r="F21" s="49">
        <v>6</v>
      </c>
      <c r="G21" s="49">
        <v>31</v>
      </c>
      <c r="H21" s="49">
        <v>37</v>
      </c>
      <c r="I21" s="42">
        <f t="shared" si="0"/>
        <v>115.66671500000011</v>
      </c>
      <c r="J21" s="42">
        <f t="shared" si="1"/>
        <v>0.19571356175972945</v>
      </c>
      <c r="K21" s="42">
        <f t="shared" si="2"/>
        <v>591</v>
      </c>
      <c r="L21" s="42">
        <f t="shared" si="3"/>
        <v>328.2100000000006</v>
      </c>
      <c r="M21" s="42">
        <f t="shared" si="4"/>
        <v>0.55534686971235292</v>
      </c>
      <c r="N21" s="42">
        <f t="shared" si="5"/>
        <v>591</v>
      </c>
      <c r="O21" s="42">
        <f t="shared" si="6"/>
        <v>33087</v>
      </c>
      <c r="P21" s="42">
        <f t="shared" si="7"/>
        <v>55.984771573604064</v>
      </c>
      <c r="Q21" s="42">
        <f t="shared" si="8"/>
        <v>591</v>
      </c>
      <c r="R21" s="42" t="str">
        <f t="shared" si="9"/>
        <v>2</v>
      </c>
      <c r="S21" s="42" t="str">
        <f t="shared" si="10"/>
        <v>0</v>
      </c>
      <c r="T21" s="42">
        <f t="shared" si="11"/>
        <v>2</v>
      </c>
      <c r="U21" s="42">
        <f t="shared" si="12"/>
        <v>89</v>
      </c>
      <c r="V21" s="42">
        <f t="shared" si="13"/>
        <v>3183</v>
      </c>
      <c r="W21" s="42">
        <f t="shared" si="14"/>
        <v>49.316801509098106</v>
      </c>
      <c r="X21" s="42">
        <f t="shared" si="15"/>
        <v>0.18825987366070532</v>
      </c>
    </row>
    <row r="22" spans="1:24" x14ac:dyDescent="0.2">
      <c r="A22" s="49">
        <v>20</v>
      </c>
      <c r="B22" s="49">
        <v>21</v>
      </c>
      <c r="C22" s="49">
        <v>0.40910000000000002</v>
      </c>
      <c r="D22" s="49">
        <v>0.87</v>
      </c>
      <c r="E22" s="49">
        <v>0.25369999999999998</v>
      </c>
      <c r="F22" s="49">
        <v>11</v>
      </c>
      <c r="G22" s="49">
        <v>25</v>
      </c>
      <c r="H22" s="49">
        <v>36</v>
      </c>
      <c r="I22" s="42">
        <f t="shared" si="0"/>
        <v>115.24251500000011</v>
      </c>
      <c r="J22" s="42">
        <f t="shared" si="1"/>
        <v>0.19532629661016968</v>
      </c>
      <c r="K22" s="42">
        <f t="shared" si="2"/>
        <v>590</v>
      </c>
      <c r="L22" s="42">
        <f t="shared" si="3"/>
        <v>327.33000000000055</v>
      </c>
      <c r="M22" s="42">
        <f t="shared" si="4"/>
        <v>0.55479661016949244</v>
      </c>
      <c r="N22" s="42">
        <f t="shared" si="5"/>
        <v>590</v>
      </c>
      <c r="O22" s="42">
        <f t="shared" si="6"/>
        <v>33050</v>
      </c>
      <c r="P22" s="42">
        <f t="shared" si="7"/>
        <v>56.016949152542374</v>
      </c>
      <c r="Q22" s="42">
        <f t="shared" si="8"/>
        <v>590</v>
      </c>
      <c r="R22" s="42" t="str">
        <f t="shared" si="9"/>
        <v>2</v>
      </c>
      <c r="S22" s="42" t="str">
        <f t="shared" si="10"/>
        <v>1</v>
      </c>
      <c r="T22" s="42">
        <f t="shared" si="11"/>
        <v>2</v>
      </c>
      <c r="U22" s="42">
        <f t="shared" si="12"/>
        <v>89</v>
      </c>
      <c r="V22" s="42">
        <f t="shared" si="13"/>
        <v>3183</v>
      </c>
      <c r="W22" s="42">
        <f t="shared" si="14"/>
        <v>49.316801509098106</v>
      </c>
      <c r="X22" s="42">
        <f t="shared" si="15"/>
        <v>0.18825987366070532</v>
      </c>
    </row>
    <row r="23" spans="1:24" x14ac:dyDescent="0.2">
      <c r="A23" s="49">
        <v>21</v>
      </c>
      <c r="B23" s="49">
        <v>22</v>
      </c>
      <c r="C23" s="49">
        <v>0.40910000000000002</v>
      </c>
      <c r="D23" s="49">
        <v>0.87</v>
      </c>
      <c r="E23" s="49">
        <v>0.19400000000000001</v>
      </c>
      <c r="F23" s="49">
        <v>3</v>
      </c>
      <c r="G23" s="49">
        <v>31</v>
      </c>
      <c r="H23" s="49">
        <v>34</v>
      </c>
      <c r="I23" s="42">
        <f t="shared" si="0"/>
        <v>114.83341500000012</v>
      </c>
      <c r="J23" s="42">
        <f t="shared" si="1"/>
        <v>0.19496335314091701</v>
      </c>
      <c r="K23" s="42">
        <f t="shared" si="2"/>
        <v>589</v>
      </c>
      <c r="L23" s="42">
        <f t="shared" si="3"/>
        <v>326.4600000000006</v>
      </c>
      <c r="M23" s="42">
        <f t="shared" si="4"/>
        <v>0.55426146010186861</v>
      </c>
      <c r="N23" s="42">
        <f t="shared" si="5"/>
        <v>589</v>
      </c>
      <c r="O23" s="42">
        <f t="shared" si="6"/>
        <v>33014</v>
      </c>
      <c r="P23" s="42">
        <f t="shared" si="7"/>
        <v>56.050933786078097</v>
      </c>
      <c r="Q23" s="42">
        <f t="shared" si="8"/>
        <v>589</v>
      </c>
      <c r="R23" s="42" t="str">
        <f t="shared" si="9"/>
        <v>2</v>
      </c>
      <c r="S23" s="42" t="str">
        <f t="shared" si="10"/>
        <v>2</v>
      </c>
      <c r="T23" s="42">
        <f t="shared" si="11"/>
        <v>2</v>
      </c>
      <c r="U23" s="42">
        <f t="shared" si="12"/>
        <v>89</v>
      </c>
      <c r="V23" s="42">
        <f t="shared" si="13"/>
        <v>3183</v>
      </c>
      <c r="W23" s="42">
        <f t="shared" si="14"/>
        <v>49.316801509098106</v>
      </c>
      <c r="X23" s="42">
        <f t="shared" si="15"/>
        <v>0.18825987366070532</v>
      </c>
    </row>
    <row r="24" spans="1:24" x14ac:dyDescent="0.2">
      <c r="A24" s="49">
        <v>22</v>
      </c>
      <c r="B24" s="49">
        <v>23</v>
      </c>
      <c r="C24" s="49">
        <v>0.40910000000000002</v>
      </c>
      <c r="D24" s="49">
        <v>0.94</v>
      </c>
      <c r="E24" s="49">
        <v>0.22389999999999999</v>
      </c>
      <c r="F24" s="49">
        <v>11</v>
      </c>
      <c r="G24" s="49">
        <v>17</v>
      </c>
      <c r="H24" s="49">
        <v>28</v>
      </c>
      <c r="I24" s="42">
        <f t="shared" si="0"/>
        <v>114.42431500000011</v>
      </c>
      <c r="J24" s="42">
        <f t="shared" si="1"/>
        <v>0.19459917517006819</v>
      </c>
      <c r="K24" s="42">
        <f t="shared" si="2"/>
        <v>588</v>
      </c>
      <c r="L24" s="42">
        <f t="shared" si="3"/>
        <v>325.5900000000006</v>
      </c>
      <c r="M24" s="42">
        <f t="shared" si="4"/>
        <v>0.55372448979591937</v>
      </c>
      <c r="N24" s="42">
        <f t="shared" si="5"/>
        <v>588</v>
      </c>
      <c r="O24" s="42">
        <f t="shared" si="6"/>
        <v>32980</v>
      </c>
      <c r="P24" s="42">
        <f t="shared" si="7"/>
        <v>56.088435374149661</v>
      </c>
      <c r="Q24" s="42">
        <f t="shared" si="8"/>
        <v>588</v>
      </c>
      <c r="R24" s="42" t="str">
        <f t="shared" si="9"/>
        <v>2</v>
      </c>
      <c r="S24" s="42" t="str">
        <f t="shared" si="10"/>
        <v>3</v>
      </c>
      <c r="T24" s="42">
        <f t="shared" si="11"/>
        <v>2</v>
      </c>
      <c r="U24" s="42">
        <f t="shared" si="12"/>
        <v>89</v>
      </c>
      <c r="V24" s="42">
        <f t="shared" si="13"/>
        <v>3183</v>
      </c>
      <c r="W24" s="42">
        <f t="shared" si="14"/>
        <v>49.316801509098106</v>
      </c>
      <c r="X24" s="42">
        <f t="shared" si="15"/>
        <v>0.18825987366070532</v>
      </c>
    </row>
    <row r="25" spans="1:24" x14ac:dyDescent="0.2">
      <c r="A25" s="49">
        <v>23</v>
      </c>
      <c r="B25" s="49">
        <v>24</v>
      </c>
      <c r="C25" s="42">
        <v>0.199935</v>
      </c>
      <c r="D25" s="49">
        <v>0.88</v>
      </c>
      <c r="E25" s="49">
        <v>0.29849999999999999</v>
      </c>
      <c r="F25" s="49">
        <v>15</v>
      </c>
      <c r="G25" s="49">
        <v>24</v>
      </c>
      <c r="H25" s="49">
        <v>39</v>
      </c>
      <c r="I25" s="42">
        <f t="shared" si="0"/>
        <v>114.0152150000001</v>
      </c>
      <c r="J25" s="42">
        <f t="shared" si="1"/>
        <v>0.19423375638841583</v>
      </c>
      <c r="K25" s="42">
        <f t="shared" si="2"/>
        <v>587</v>
      </c>
      <c r="L25" s="42">
        <f t="shared" si="3"/>
        <v>324.65000000000055</v>
      </c>
      <c r="M25" s="42">
        <f t="shared" si="4"/>
        <v>0.55306643952299928</v>
      </c>
      <c r="N25" s="42">
        <f t="shared" si="5"/>
        <v>587</v>
      </c>
      <c r="O25" s="42">
        <f t="shared" si="6"/>
        <v>32952</v>
      </c>
      <c r="P25" s="42">
        <f t="shared" si="7"/>
        <v>56.136286201022145</v>
      </c>
      <c r="Q25" s="42">
        <f t="shared" si="8"/>
        <v>587</v>
      </c>
      <c r="R25" s="42" t="str">
        <f t="shared" si="9"/>
        <v>2</v>
      </c>
      <c r="S25" s="42" t="str">
        <f t="shared" si="10"/>
        <v>4</v>
      </c>
      <c r="T25" s="42">
        <f t="shared" si="11"/>
        <v>2</v>
      </c>
      <c r="U25" s="42">
        <f t="shared" si="12"/>
        <v>89</v>
      </c>
      <c r="V25" s="42">
        <f t="shared" si="13"/>
        <v>3183</v>
      </c>
      <c r="W25" s="42">
        <f t="shared" si="14"/>
        <v>49.316801509098106</v>
      </c>
      <c r="X25" s="42">
        <f t="shared" si="15"/>
        <v>0.18825987366070532</v>
      </c>
    </row>
    <row r="26" spans="1:24" x14ac:dyDescent="0.2">
      <c r="A26" s="49">
        <v>24</v>
      </c>
      <c r="B26" s="49">
        <v>25</v>
      </c>
      <c r="C26" s="49">
        <v>0.45450000000000002</v>
      </c>
      <c r="D26" s="49">
        <v>0.88</v>
      </c>
      <c r="E26" s="49">
        <v>0.29849999999999999</v>
      </c>
      <c r="F26" s="49">
        <v>4</v>
      </c>
      <c r="G26" s="49">
        <v>13</v>
      </c>
      <c r="H26" s="49">
        <v>17</v>
      </c>
      <c r="I26" s="42">
        <f t="shared" si="0"/>
        <v>113.8152800000001</v>
      </c>
      <c r="J26" s="42">
        <f t="shared" si="1"/>
        <v>0.19422402730375443</v>
      </c>
      <c r="K26" s="42">
        <f t="shared" si="2"/>
        <v>586</v>
      </c>
      <c r="L26" s="42">
        <f t="shared" si="3"/>
        <v>323.77000000000055</v>
      </c>
      <c r="M26" s="42">
        <f t="shared" si="4"/>
        <v>0.55250853242320908</v>
      </c>
      <c r="N26" s="42">
        <f t="shared" si="5"/>
        <v>586</v>
      </c>
      <c r="O26" s="42">
        <f t="shared" si="6"/>
        <v>32913</v>
      </c>
      <c r="P26" s="42">
        <f t="shared" si="7"/>
        <v>56.165529010238906</v>
      </c>
      <c r="Q26" s="42">
        <f t="shared" si="8"/>
        <v>586</v>
      </c>
      <c r="R26" s="42" t="str">
        <f t="shared" si="9"/>
        <v>2</v>
      </c>
      <c r="S26" s="42" t="str">
        <f t="shared" si="10"/>
        <v>5</v>
      </c>
      <c r="T26" s="42">
        <f t="shared" si="11"/>
        <v>2</v>
      </c>
      <c r="U26" s="42">
        <f t="shared" si="12"/>
        <v>89</v>
      </c>
      <c r="V26" s="42">
        <f t="shared" si="13"/>
        <v>3183</v>
      </c>
      <c r="W26" s="42">
        <f t="shared" si="14"/>
        <v>49.316801509098106</v>
      </c>
      <c r="X26" s="42">
        <f t="shared" si="15"/>
        <v>0.18825987366070532</v>
      </c>
    </row>
    <row r="27" spans="1:24" x14ac:dyDescent="0.2">
      <c r="A27" s="49">
        <v>25</v>
      </c>
      <c r="B27" s="49">
        <v>26</v>
      </c>
      <c r="C27" s="49">
        <v>0.43940000000000001</v>
      </c>
      <c r="D27" s="49">
        <v>0.94</v>
      </c>
      <c r="E27" s="49">
        <v>0.25369999999999998</v>
      </c>
      <c r="F27" s="49">
        <v>1</v>
      </c>
      <c r="G27" s="49">
        <v>16</v>
      </c>
      <c r="H27" s="49">
        <v>17</v>
      </c>
      <c r="I27" s="42">
        <f t="shared" si="0"/>
        <v>113.36078000000009</v>
      </c>
      <c r="J27" s="42">
        <f t="shared" si="1"/>
        <v>0.19377911111111126</v>
      </c>
      <c r="K27" s="42">
        <f t="shared" si="2"/>
        <v>585</v>
      </c>
      <c r="L27" s="42">
        <f t="shared" si="3"/>
        <v>322.89000000000055</v>
      </c>
      <c r="M27" s="42">
        <f t="shared" si="4"/>
        <v>0.55194871794871891</v>
      </c>
      <c r="N27" s="42">
        <f t="shared" si="5"/>
        <v>585</v>
      </c>
      <c r="O27" s="42">
        <f t="shared" si="6"/>
        <v>32896</v>
      </c>
      <c r="P27" s="42">
        <f t="shared" si="7"/>
        <v>56.232478632478632</v>
      </c>
      <c r="Q27" s="42">
        <f t="shared" si="8"/>
        <v>585</v>
      </c>
      <c r="R27" s="42" t="str">
        <f t="shared" si="9"/>
        <v>2</v>
      </c>
      <c r="S27" s="42" t="str">
        <f t="shared" si="10"/>
        <v>6</v>
      </c>
      <c r="T27" s="42">
        <f t="shared" si="11"/>
        <v>2</v>
      </c>
      <c r="U27" s="42">
        <f t="shared" si="12"/>
        <v>89</v>
      </c>
      <c r="V27" s="42">
        <f t="shared" si="13"/>
        <v>3183</v>
      </c>
      <c r="W27" s="42">
        <f t="shared" si="14"/>
        <v>49.316801509098106</v>
      </c>
      <c r="X27" s="42">
        <f t="shared" si="15"/>
        <v>0.18825987366070532</v>
      </c>
    </row>
    <row r="28" spans="1:24" x14ac:dyDescent="0.2">
      <c r="A28" s="49">
        <v>26</v>
      </c>
      <c r="B28" s="49">
        <v>27</v>
      </c>
      <c r="C28" s="49">
        <v>0.42420000000000002</v>
      </c>
      <c r="D28" s="49">
        <v>1</v>
      </c>
      <c r="E28" s="49">
        <v>0.28360000000000002</v>
      </c>
      <c r="F28" s="49">
        <v>1</v>
      </c>
      <c r="G28" s="49">
        <v>8</v>
      </c>
      <c r="H28" s="49">
        <v>9</v>
      </c>
      <c r="I28" s="42">
        <f t="shared" si="0"/>
        <v>112.92138000000008</v>
      </c>
      <c r="J28" s="42">
        <f t="shared" si="1"/>
        <v>0.19335852739726042</v>
      </c>
      <c r="K28" s="42">
        <f t="shared" si="2"/>
        <v>584</v>
      </c>
      <c r="L28" s="42">
        <f t="shared" si="3"/>
        <v>321.9500000000005</v>
      </c>
      <c r="M28" s="42">
        <f t="shared" si="4"/>
        <v>0.55128424657534336</v>
      </c>
      <c r="N28" s="42">
        <f t="shared" si="5"/>
        <v>584</v>
      </c>
      <c r="O28" s="42">
        <f t="shared" si="6"/>
        <v>32879</v>
      </c>
      <c r="P28" s="42">
        <f t="shared" si="7"/>
        <v>56.299657534246577</v>
      </c>
      <c r="Q28" s="42">
        <f t="shared" si="8"/>
        <v>584</v>
      </c>
      <c r="R28" s="42" t="str">
        <f t="shared" si="9"/>
        <v>2</v>
      </c>
      <c r="S28" s="42" t="str">
        <f t="shared" si="10"/>
        <v>7</v>
      </c>
      <c r="T28" s="42">
        <f t="shared" si="11"/>
        <v>2</v>
      </c>
      <c r="U28" s="42">
        <f t="shared" si="12"/>
        <v>89</v>
      </c>
      <c r="V28" s="42">
        <f t="shared" si="13"/>
        <v>3183</v>
      </c>
      <c r="W28" s="42">
        <f t="shared" si="14"/>
        <v>49.316801509098106</v>
      </c>
      <c r="X28" s="42">
        <f t="shared" si="15"/>
        <v>0.18825987366070532</v>
      </c>
    </row>
    <row r="29" spans="1:24" x14ac:dyDescent="0.2">
      <c r="A29" s="49">
        <v>27</v>
      </c>
      <c r="B29" s="49">
        <v>28</v>
      </c>
      <c r="C29" s="49">
        <v>0.45450000000000002</v>
      </c>
      <c r="D29" s="49">
        <v>0.94</v>
      </c>
      <c r="E29" s="49">
        <v>0.19400000000000001</v>
      </c>
      <c r="F29" s="49">
        <v>2</v>
      </c>
      <c r="G29" s="49">
        <v>4</v>
      </c>
      <c r="H29" s="49">
        <v>6</v>
      </c>
      <c r="I29" s="42">
        <f t="shared" si="0"/>
        <v>112.4971800000001</v>
      </c>
      <c r="J29" s="42">
        <f t="shared" si="1"/>
        <v>0.19296257289879948</v>
      </c>
      <c r="K29" s="42">
        <f t="shared" si="2"/>
        <v>583</v>
      </c>
      <c r="L29" s="42">
        <f t="shared" si="3"/>
        <v>320.9500000000005</v>
      </c>
      <c r="M29" s="42">
        <f t="shared" si="4"/>
        <v>0.55051457975986362</v>
      </c>
      <c r="N29" s="42">
        <f t="shared" si="5"/>
        <v>583</v>
      </c>
      <c r="O29" s="42">
        <f t="shared" si="6"/>
        <v>32870</v>
      </c>
      <c r="P29" s="42">
        <f t="shared" si="7"/>
        <v>56.380789022298458</v>
      </c>
      <c r="Q29" s="42">
        <f t="shared" si="8"/>
        <v>583</v>
      </c>
      <c r="R29" s="42" t="str">
        <f t="shared" si="9"/>
        <v>2</v>
      </c>
      <c r="S29" s="42" t="str">
        <f t="shared" si="10"/>
        <v>8</v>
      </c>
      <c r="T29" s="42">
        <f t="shared" si="11"/>
        <v>2</v>
      </c>
      <c r="U29" s="42">
        <f t="shared" si="12"/>
        <v>89</v>
      </c>
      <c r="V29" s="42">
        <f t="shared" si="13"/>
        <v>3183</v>
      </c>
      <c r="W29" s="42">
        <f t="shared" si="14"/>
        <v>49.316801509098106</v>
      </c>
      <c r="X29" s="42">
        <f t="shared" si="15"/>
        <v>0.18825987366070532</v>
      </c>
    </row>
    <row r="30" spans="1:24" x14ac:dyDescent="0.2">
      <c r="A30" s="49">
        <v>28</v>
      </c>
      <c r="B30" s="49">
        <v>29</v>
      </c>
      <c r="C30" s="42">
        <v>0.199935</v>
      </c>
      <c r="D30" s="49">
        <v>0.94</v>
      </c>
      <c r="E30" s="49">
        <v>0.19400000000000001</v>
      </c>
      <c r="F30" s="49">
        <v>2</v>
      </c>
      <c r="G30" s="49">
        <v>1</v>
      </c>
      <c r="H30" s="49">
        <v>3</v>
      </c>
      <c r="I30" s="42">
        <f t="shared" si="0"/>
        <v>112.04268000000009</v>
      </c>
      <c r="J30" s="42">
        <f t="shared" si="1"/>
        <v>0.19251319587628882</v>
      </c>
      <c r="K30" s="42">
        <f t="shared" si="2"/>
        <v>582</v>
      </c>
      <c r="L30" s="42">
        <f t="shared" si="3"/>
        <v>320.0100000000005</v>
      </c>
      <c r="M30" s="42">
        <f t="shared" si="4"/>
        <v>0.54984536082474311</v>
      </c>
      <c r="N30" s="42">
        <f t="shared" si="5"/>
        <v>582</v>
      </c>
      <c r="O30" s="42">
        <f t="shared" si="6"/>
        <v>32864</v>
      </c>
      <c r="P30" s="42">
        <f t="shared" si="7"/>
        <v>56.467353951890033</v>
      </c>
      <c r="Q30" s="42">
        <f t="shared" si="8"/>
        <v>582</v>
      </c>
      <c r="R30" s="42" t="str">
        <f t="shared" si="9"/>
        <v>2</v>
      </c>
      <c r="S30" s="42" t="str">
        <f t="shared" si="10"/>
        <v>9</v>
      </c>
      <c r="T30" s="42">
        <f t="shared" si="11"/>
        <v>2</v>
      </c>
      <c r="U30" s="42">
        <f t="shared" si="12"/>
        <v>89</v>
      </c>
      <c r="V30" s="42">
        <f t="shared" si="13"/>
        <v>3183</v>
      </c>
      <c r="W30" s="42">
        <f t="shared" si="14"/>
        <v>49.316801509098106</v>
      </c>
      <c r="X30" s="42">
        <f t="shared" si="15"/>
        <v>0.18825987366070532</v>
      </c>
    </row>
    <row r="31" spans="1:24" x14ac:dyDescent="0.2">
      <c r="A31" s="49">
        <v>29</v>
      </c>
      <c r="B31" s="49">
        <v>30</v>
      </c>
      <c r="C31" s="49">
        <v>0.42420000000000002</v>
      </c>
      <c r="D31" s="49">
        <v>0.77</v>
      </c>
      <c r="E31" s="49">
        <v>0.29849999999999999</v>
      </c>
      <c r="F31" s="49">
        <v>0</v>
      </c>
      <c r="G31" s="49">
        <v>2</v>
      </c>
      <c r="H31" s="49">
        <v>2</v>
      </c>
      <c r="I31" s="42">
        <f t="shared" si="0"/>
        <v>111.84274500000008</v>
      </c>
      <c r="J31" s="42">
        <f t="shared" si="1"/>
        <v>0.19250042168674714</v>
      </c>
      <c r="K31" s="42">
        <f t="shared" si="2"/>
        <v>581</v>
      </c>
      <c r="L31" s="42">
        <f t="shared" si="3"/>
        <v>319.0700000000005</v>
      </c>
      <c r="M31" s="42">
        <f t="shared" si="4"/>
        <v>0.54917383820998367</v>
      </c>
      <c r="N31" s="42">
        <f t="shared" si="5"/>
        <v>581</v>
      </c>
      <c r="O31" s="42">
        <f t="shared" si="6"/>
        <v>32861</v>
      </c>
      <c r="P31" s="42">
        <f t="shared" si="7"/>
        <v>56.559380378657487</v>
      </c>
      <c r="Q31" s="42">
        <f t="shared" si="8"/>
        <v>581</v>
      </c>
      <c r="R31" s="42" t="str">
        <f t="shared" si="9"/>
        <v>3</v>
      </c>
      <c r="S31" s="42" t="str">
        <f t="shared" si="10"/>
        <v>0</v>
      </c>
      <c r="T31" s="42">
        <f t="shared" si="11"/>
        <v>2</v>
      </c>
      <c r="U31" s="42">
        <f t="shared" si="12"/>
        <v>89</v>
      </c>
      <c r="V31" s="42">
        <f t="shared" si="13"/>
        <v>3183</v>
      </c>
      <c r="W31" s="42">
        <f t="shared" si="14"/>
        <v>49.316801509098106</v>
      </c>
      <c r="X31" s="42">
        <f t="shared" si="15"/>
        <v>0.18825987366070532</v>
      </c>
    </row>
    <row r="32" spans="1:24" x14ac:dyDescent="0.2">
      <c r="A32" s="49">
        <v>30</v>
      </c>
      <c r="B32" s="49">
        <v>31</v>
      </c>
      <c r="C32" s="49">
        <v>0.40910000000000002</v>
      </c>
      <c r="D32" s="49">
        <v>0.76</v>
      </c>
      <c r="E32" s="49">
        <v>0.19400000000000001</v>
      </c>
      <c r="F32" s="49">
        <v>0</v>
      </c>
      <c r="G32" s="49">
        <v>1</v>
      </c>
      <c r="H32" s="49">
        <v>1</v>
      </c>
      <c r="I32" s="42">
        <f t="shared" si="0"/>
        <v>111.41854500000005</v>
      </c>
      <c r="J32" s="42">
        <f t="shared" si="1"/>
        <v>0.1921009396551725</v>
      </c>
      <c r="K32" s="42">
        <f t="shared" si="2"/>
        <v>580</v>
      </c>
      <c r="L32" s="42">
        <f t="shared" si="3"/>
        <v>318.30000000000052</v>
      </c>
      <c r="M32" s="42">
        <f t="shared" si="4"/>
        <v>0.54879310344827681</v>
      </c>
      <c r="N32" s="42">
        <f t="shared" si="5"/>
        <v>580</v>
      </c>
      <c r="O32" s="42">
        <f t="shared" si="6"/>
        <v>32859</v>
      </c>
      <c r="P32" s="42">
        <f t="shared" si="7"/>
        <v>56.653448275862068</v>
      </c>
      <c r="Q32" s="42">
        <f t="shared" si="8"/>
        <v>580</v>
      </c>
      <c r="R32" s="42" t="str">
        <f t="shared" si="9"/>
        <v>3</v>
      </c>
      <c r="S32" s="42" t="str">
        <f t="shared" si="10"/>
        <v>1</v>
      </c>
      <c r="T32" s="42">
        <f t="shared" si="11"/>
        <v>2</v>
      </c>
      <c r="U32" s="42">
        <f t="shared" si="12"/>
        <v>89</v>
      </c>
      <c r="V32" s="42">
        <f t="shared" si="13"/>
        <v>3183</v>
      </c>
      <c r="W32" s="42">
        <f t="shared" si="14"/>
        <v>49.316801509098106</v>
      </c>
      <c r="X32" s="42">
        <f t="shared" si="15"/>
        <v>0.18825987366070532</v>
      </c>
    </row>
    <row r="33" spans="1:24" x14ac:dyDescent="0.2">
      <c r="A33" s="49">
        <v>31</v>
      </c>
      <c r="B33" s="49">
        <v>32</v>
      </c>
      <c r="C33" s="49">
        <v>0.40910000000000002</v>
      </c>
      <c r="D33" s="49">
        <v>0.71</v>
      </c>
      <c r="E33" s="49">
        <v>0.22389999999999999</v>
      </c>
      <c r="F33" s="49">
        <v>0</v>
      </c>
      <c r="G33" s="49">
        <v>8</v>
      </c>
      <c r="H33" s="49">
        <v>8</v>
      </c>
      <c r="I33" s="42">
        <f t="shared" si="0"/>
        <v>111.00944500000004</v>
      </c>
      <c r="J33" s="42">
        <f t="shared" si="1"/>
        <v>0.1917261571675303</v>
      </c>
      <c r="K33" s="42">
        <f t="shared" si="2"/>
        <v>579</v>
      </c>
      <c r="L33" s="42">
        <f t="shared" si="3"/>
        <v>317.54000000000048</v>
      </c>
      <c r="M33" s="42">
        <f t="shared" si="4"/>
        <v>0.5484283246977556</v>
      </c>
      <c r="N33" s="42">
        <f t="shared" si="5"/>
        <v>579</v>
      </c>
      <c r="O33" s="42">
        <f t="shared" si="6"/>
        <v>32858</v>
      </c>
      <c r="P33" s="42">
        <f t="shared" si="7"/>
        <v>56.74956822107081</v>
      </c>
      <c r="Q33" s="42">
        <f t="shared" si="8"/>
        <v>579</v>
      </c>
      <c r="R33" s="42" t="str">
        <f t="shared" si="9"/>
        <v>3</v>
      </c>
      <c r="S33" s="42" t="str">
        <f t="shared" si="10"/>
        <v>2</v>
      </c>
      <c r="T33" s="42">
        <f t="shared" si="11"/>
        <v>2</v>
      </c>
      <c r="U33" s="42">
        <f t="shared" si="12"/>
        <v>89</v>
      </c>
      <c r="V33" s="42">
        <f t="shared" si="13"/>
        <v>3183</v>
      </c>
      <c r="W33" s="42">
        <f t="shared" si="14"/>
        <v>49.316801509098106</v>
      </c>
      <c r="X33" s="42">
        <f t="shared" si="15"/>
        <v>0.18825987366070532</v>
      </c>
    </row>
    <row r="34" spans="1:24" x14ac:dyDescent="0.2">
      <c r="A34" s="49">
        <v>32</v>
      </c>
      <c r="B34" s="49">
        <v>33</v>
      </c>
      <c r="C34" s="42">
        <v>0.199935</v>
      </c>
      <c r="D34" s="49">
        <v>0.76</v>
      </c>
      <c r="E34" s="49">
        <v>0.22389999999999999</v>
      </c>
      <c r="F34" s="49">
        <v>1</v>
      </c>
      <c r="G34" s="49">
        <v>19</v>
      </c>
      <c r="H34" s="49">
        <v>20</v>
      </c>
      <c r="I34" s="42">
        <f t="shared" si="0"/>
        <v>110.60034500000003</v>
      </c>
      <c r="J34" s="42">
        <f t="shared" si="1"/>
        <v>0.19135007785467134</v>
      </c>
      <c r="K34" s="42">
        <f t="shared" si="2"/>
        <v>578</v>
      </c>
      <c r="L34" s="42">
        <f t="shared" si="3"/>
        <v>316.8300000000005</v>
      </c>
      <c r="M34" s="42">
        <f t="shared" si="4"/>
        <v>0.54814878892733654</v>
      </c>
      <c r="N34" s="42">
        <f t="shared" si="5"/>
        <v>578</v>
      </c>
      <c r="O34" s="42">
        <f t="shared" si="6"/>
        <v>32850</v>
      </c>
      <c r="P34" s="42">
        <f t="shared" si="7"/>
        <v>56.833910034602077</v>
      </c>
      <c r="Q34" s="42">
        <f t="shared" si="8"/>
        <v>578</v>
      </c>
      <c r="R34" s="42" t="str">
        <f t="shared" si="9"/>
        <v>3</v>
      </c>
      <c r="S34" s="42" t="str">
        <f t="shared" si="10"/>
        <v>3</v>
      </c>
      <c r="T34" s="42">
        <f t="shared" si="11"/>
        <v>2</v>
      </c>
      <c r="U34" s="42">
        <f t="shared" si="12"/>
        <v>89</v>
      </c>
      <c r="V34" s="42">
        <f t="shared" si="13"/>
        <v>3183</v>
      </c>
      <c r="W34" s="42">
        <f t="shared" si="14"/>
        <v>49.316801509098106</v>
      </c>
      <c r="X34" s="42">
        <f t="shared" si="15"/>
        <v>0.18825987366070532</v>
      </c>
    </row>
    <row r="35" spans="1:24" x14ac:dyDescent="0.2">
      <c r="A35" s="49">
        <v>33</v>
      </c>
      <c r="B35" s="49">
        <v>34</v>
      </c>
      <c r="C35" s="49">
        <v>0.34849999999999998</v>
      </c>
      <c r="D35" s="49">
        <v>0.81</v>
      </c>
      <c r="E35" s="49">
        <v>0.22389999999999999</v>
      </c>
      <c r="F35" s="49">
        <v>7</v>
      </c>
      <c r="G35" s="49">
        <v>46</v>
      </c>
      <c r="H35" s="49">
        <v>53</v>
      </c>
      <c r="I35" s="42">
        <f t="shared" si="0"/>
        <v>110.40041000000002</v>
      </c>
      <c r="J35" s="42">
        <f t="shared" si="1"/>
        <v>0.19133519930675913</v>
      </c>
      <c r="K35" s="42">
        <f t="shared" si="2"/>
        <v>577</v>
      </c>
      <c r="L35" s="42">
        <f t="shared" si="3"/>
        <v>316.07000000000056</v>
      </c>
      <c r="M35" s="42">
        <f t="shared" si="4"/>
        <v>0.54778162911611883</v>
      </c>
      <c r="N35" s="42">
        <f t="shared" si="5"/>
        <v>577</v>
      </c>
      <c r="O35" s="42">
        <f t="shared" si="6"/>
        <v>32830</v>
      </c>
      <c r="P35" s="42">
        <f t="shared" si="7"/>
        <v>56.897746967071058</v>
      </c>
      <c r="Q35" s="42">
        <f t="shared" si="8"/>
        <v>577</v>
      </c>
      <c r="R35" s="42" t="str">
        <f t="shared" si="9"/>
        <v>3</v>
      </c>
      <c r="S35" s="42" t="str">
        <f t="shared" si="10"/>
        <v>4</v>
      </c>
      <c r="T35" s="42">
        <f t="shared" si="11"/>
        <v>2</v>
      </c>
      <c r="U35" s="42">
        <f t="shared" si="12"/>
        <v>89</v>
      </c>
      <c r="V35" s="42">
        <f t="shared" si="13"/>
        <v>3183</v>
      </c>
      <c r="W35" s="42">
        <f t="shared" si="14"/>
        <v>49.316801509098106</v>
      </c>
      <c r="X35" s="42">
        <f t="shared" si="15"/>
        <v>0.18825987366070532</v>
      </c>
    </row>
    <row r="36" spans="1:24" x14ac:dyDescent="0.2">
      <c r="A36" s="49">
        <v>34</v>
      </c>
      <c r="B36" s="49">
        <v>35</v>
      </c>
      <c r="C36" s="49">
        <v>0.33329999999999999</v>
      </c>
      <c r="D36" s="49">
        <v>0.71</v>
      </c>
      <c r="E36" s="49">
        <v>0.25369999999999998</v>
      </c>
      <c r="F36" s="49">
        <v>16</v>
      </c>
      <c r="G36" s="49">
        <v>54</v>
      </c>
      <c r="H36" s="49">
        <v>70</v>
      </c>
      <c r="I36" s="42">
        <f t="shared" si="0"/>
        <v>110.05191000000003</v>
      </c>
      <c r="J36" s="42">
        <f t="shared" si="1"/>
        <v>0.19106234375000006</v>
      </c>
      <c r="K36" s="42">
        <f t="shared" si="2"/>
        <v>576</v>
      </c>
      <c r="L36" s="42">
        <f t="shared" si="3"/>
        <v>315.26000000000056</v>
      </c>
      <c r="M36" s="42">
        <f t="shared" si="4"/>
        <v>0.54732638888888985</v>
      </c>
      <c r="N36" s="42">
        <f t="shared" si="5"/>
        <v>576</v>
      </c>
      <c r="O36" s="42">
        <f t="shared" si="6"/>
        <v>32777</v>
      </c>
      <c r="P36" s="42">
        <f t="shared" si="7"/>
        <v>56.904513888888886</v>
      </c>
      <c r="Q36" s="42">
        <f t="shared" si="8"/>
        <v>576</v>
      </c>
      <c r="R36" s="42" t="str">
        <f t="shared" si="9"/>
        <v>3</v>
      </c>
      <c r="S36" s="42" t="str">
        <f t="shared" si="10"/>
        <v>5</v>
      </c>
      <c r="T36" s="42">
        <f t="shared" si="11"/>
        <v>2</v>
      </c>
      <c r="U36" s="42">
        <f t="shared" si="12"/>
        <v>89</v>
      </c>
      <c r="V36" s="42">
        <f t="shared" si="13"/>
        <v>3183</v>
      </c>
      <c r="W36" s="42">
        <f t="shared" si="14"/>
        <v>49.316801509098106</v>
      </c>
      <c r="X36" s="42">
        <f t="shared" si="15"/>
        <v>0.18825987366070532</v>
      </c>
    </row>
    <row r="37" spans="1:24" x14ac:dyDescent="0.2">
      <c r="A37" s="49">
        <v>35</v>
      </c>
      <c r="B37" s="49">
        <v>36</v>
      </c>
      <c r="C37" s="49">
        <v>0.33329999999999999</v>
      </c>
      <c r="D37" s="49">
        <v>0.66</v>
      </c>
      <c r="E37" s="49">
        <v>0.29849999999999999</v>
      </c>
      <c r="F37" s="49">
        <v>20</v>
      </c>
      <c r="G37" s="49">
        <v>73</v>
      </c>
      <c r="H37" s="49">
        <v>93</v>
      </c>
      <c r="I37" s="42">
        <f t="shared" si="0"/>
        <v>109.71861000000003</v>
      </c>
      <c r="J37" s="42">
        <f t="shared" si="1"/>
        <v>0.19081497391304353</v>
      </c>
      <c r="K37" s="42">
        <f t="shared" si="2"/>
        <v>575</v>
      </c>
      <c r="L37" s="42">
        <f t="shared" si="3"/>
        <v>314.55000000000052</v>
      </c>
      <c r="M37" s="42">
        <f t="shared" si="4"/>
        <v>0.54704347826087052</v>
      </c>
      <c r="N37" s="42">
        <f t="shared" si="5"/>
        <v>575</v>
      </c>
      <c r="O37" s="42">
        <f t="shared" si="6"/>
        <v>32707</v>
      </c>
      <c r="P37" s="42">
        <f t="shared" si="7"/>
        <v>56.881739130434781</v>
      </c>
      <c r="Q37" s="42">
        <f t="shared" si="8"/>
        <v>575</v>
      </c>
      <c r="R37" s="42" t="str">
        <f t="shared" si="9"/>
        <v>3</v>
      </c>
      <c r="S37" s="42" t="str">
        <f t="shared" si="10"/>
        <v>6</v>
      </c>
      <c r="T37" s="42">
        <f t="shared" si="11"/>
        <v>2</v>
      </c>
      <c r="U37" s="42">
        <f t="shared" si="12"/>
        <v>89</v>
      </c>
      <c r="V37" s="42">
        <f t="shared" si="13"/>
        <v>3183</v>
      </c>
      <c r="W37" s="42">
        <f t="shared" si="14"/>
        <v>49.316801509098106</v>
      </c>
      <c r="X37" s="42">
        <f t="shared" si="15"/>
        <v>0.18825987366070532</v>
      </c>
    </row>
    <row r="38" spans="1:24" x14ac:dyDescent="0.2">
      <c r="A38" s="49">
        <v>36</v>
      </c>
      <c r="B38" s="49">
        <v>37</v>
      </c>
      <c r="C38" s="49">
        <v>0.34849999999999998</v>
      </c>
      <c r="D38" s="49">
        <v>0.66</v>
      </c>
      <c r="E38" s="49">
        <v>0.1343</v>
      </c>
      <c r="F38" s="49">
        <v>11</v>
      </c>
      <c r="G38" s="49">
        <v>64</v>
      </c>
      <c r="H38" s="49">
        <v>75</v>
      </c>
      <c r="I38" s="42">
        <f t="shared" si="0"/>
        <v>109.38531000000003</v>
      </c>
      <c r="J38" s="42">
        <f t="shared" si="1"/>
        <v>0.1905667421602788</v>
      </c>
      <c r="K38" s="42">
        <f t="shared" si="2"/>
        <v>574</v>
      </c>
      <c r="L38" s="42">
        <f t="shared" si="3"/>
        <v>313.89000000000055</v>
      </c>
      <c r="M38" s="42">
        <f t="shared" si="4"/>
        <v>0.54684668989547136</v>
      </c>
      <c r="N38" s="42">
        <f t="shared" si="5"/>
        <v>574</v>
      </c>
      <c r="O38" s="42">
        <f t="shared" si="6"/>
        <v>32614</v>
      </c>
      <c r="P38" s="42">
        <f t="shared" si="7"/>
        <v>56.818815331010455</v>
      </c>
      <c r="Q38" s="42">
        <f t="shared" si="8"/>
        <v>574</v>
      </c>
      <c r="R38" s="42" t="str">
        <f t="shared" si="9"/>
        <v>3</v>
      </c>
      <c r="S38" s="42" t="str">
        <f t="shared" si="10"/>
        <v>7</v>
      </c>
      <c r="T38" s="42">
        <f t="shared" si="11"/>
        <v>2</v>
      </c>
      <c r="U38" s="42">
        <f t="shared" si="12"/>
        <v>89</v>
      </c>
      <c r="V38" s="42">
        <f t="shared" si="13"/>
        <v>3183</v>
      </c>
      <c r="W38" s="42">
        <f t="shared" si="14"/>
        <v>49.316801509098106</v>
      </c>
      <c r="X38" s="42">
        <f t="shared" si="15"/>
        <v>0.18825987366070532</v>
      </c>
    </row>
    <row r="39" spans="1:24" x14ac:dyDescent="0.2">
      <c r="A39" s="49">
        <v>37</v>
      </c>
      <c r="B39" s="49">
        <v>38</v>
      </c>
      <c r="C39" s="42">
        <v>0.199935</v>
      </c>
      <c r="D39" s="49">
        <v>0.76</v>
      </c>
      <c r="E39" s="49">
        <v>0.19400000000000001</v>
      </c>
      <c r="F39" s="49">
        <v>4</v>
      </c>
      <c r="G39" s="49">
        <v>55</v>
      </c>
      <c r="H39" s="49">
        <v>59</v>
      </c>
      <c r="I39" s="42">
        <f t="shared" si="0"/>
        <v>109.03681000000003</v>
      </c>
      <c r="J39" s="42">
        <f t="shared" si="1"/>
        <v>0.19029111692844683</v>
      </c>
      <c r="K39" s="42">
        <f t="shared" si="2"/>
        <v>573</v>
      </c>
      <c r="L39" s="42">
        <f t="shared" si="3"/>
        <v>313.23000000000047</v>
      </c>
      <c r="M39" s="42">
        <f t="shared" si="4"/>
        <v>0.54664921465968674</v>
      </c>
      <c r="N39" s="42">
        <f t="shared" si="5"/>
        <v>573</v>
      </c>
      <c r="O39" s="42">
        <f t="shared" si="6"/>
        <v>32539</v>
      </c>
      <c r="P39" s="42">
        <f t="shared" si="7"/>
        <v>56.787085514834203</v>
      </c>
      <c r="Q39" s="42">
        <f t="shared" si="8"/>
        <v>573</v>
      </c>
      <c r="R39" s="42" t="str">
        <f t="shared" si="9"/>
        <v>3</v>
      </c>
      <c r="S39" s="42" t="str">
        <f t="shared" si="10"/>
        <v>8</v>
      </c>
      <c r="T39" s="42">
        <f t="shared" si="11"/>
        <v>2</v>
      </c>
      <c r="U39" s="42">
        <f t="shared" si="12"/>
        <v>89</v>
      </c>
      <c r="V39" s="42">
        <f t="shared" si="13"/>
        <v>3183</v>
      </c>
      <c r="W39" s="42">
        <f t="shared" si="14"/>
        <v>49.316801509098106</v>
      </c>
      <c r="X39" s="42">
        <f t="shared" si="15"/>
        <v>0.18825987366070532</v>
      </c>
    </row>
    <row r="40" spans="1:24" x14ac:dyDescent="0.2">
      <c r="A40" s="49">
        <v>38</v>
      </c>
      <c r="B40" s="49">
        <v>39</v>
      </c>
      <c r="C40" s="49">
        <v>0.33329999999999999</v>
      </c>
      <c r="D40" s="49">
        <v>0.81</v>
      </c>
      <c r="E40" s="49">
        <v>0.16420000000000001</v>
      </c>
      <c r="F40" s="49">
        <v>19</v>
      </c>
      <c r="G40" s="49">
        <v>55</v>
      </c>
      <c r="H40" s="49">
        <v>74</v>
      </c>
      <c r="I40" s="42">
        <f t="shared" si="0"/>
        <v>108.83687500000003</v>
      </c>
      <c r="J40" s="42">
        <f t="shared" si="1"/>
        <v>0.19027425699300704</v>
      </c>
      <c r="K40" s="42">
        <f t="shared" si="2"/>
        <v>572</v>
      </c>
      <c r="L40" s="42">
        <f t="shared" si="3"/>
        <v>312.47000000000048</v>
      </c>
      <c r="M40" s="42">
        <f t="shared" si="4"/>
        <v>0.54627622377622465</v>
      </c>
      <c r="N40" s="42">
        <f t="shared" si="5"/>
        <v>572</v>
      </c>
      <c r="O40" s="42">
        <f t="shared" si="6"/>
        <v>32480</v>
      </c>
      <c r="P40" s="42">
        <f t="shared" si="7"/>
        <v>56.78321678321678</v>
      </c>
      <c r="Q40" s="42">
        <f t="shared" si="8"/>
        <v>572</v>
      </c>
      <c r="R40" s="42" t="str">
        <f t="shared" si="9"/>
        <v>3</v>
      </c>
      <c r="S40" s="42" t="str">
        <f t="shared" si="10"/>
        <v>9</v>
      </c>
      <c r="T40" s="42">
        <f t="shared" si="11"/>
        <v>2</v>
      </c>
      <c r="U40" s="42">
        <f t="shared" si="12"/>
        <v>89</v>
      </c>
      <c r="V40" s="42">
        <f t="shared" si="13"/>
        <v>3183</v>
      </c>
      <c r="W40" s="42">
        <f t="shared" si="14"/>
        <v>49.316801509098106</v>
      </c>
      <c r="X40" s="42">
        <f t="shared" si="15"/>
        <v>0.18825987366070532</v>
      </c>
    </row>
    <row r="41" spans="1:24" x14ac:dyDescent="0.2">
      <c r="A41" s="49">
        <v>39</v>
      </c>
      <c r="B41" s="49">
        <v>40</v>
      </c>
      <c r="C41" s="49">
        <v>0.33329999999999999</v>
      </c>
      <c r="D41" s="49">
        <v>0.71</v>
      </c>
      <c r="E41" s="49">
        <v>0.16420000000000001</v>
      </c>
      <c r="F41" s="49">
        <v>9</v>
      </c>
      <c r="G41" s="49">
        <v>67</v>
      </c>
      <c r="H41" s="49">
        <v>76</v>
      </c>
      <c r="I41" s="42">
        <f t="shared" si="0"/>
        <v>108.50357500000004</v>
      </c>
      <c r="J41" s="42">
        <f t="shared" si="1"/>
        <v>0.19002377408056048</v>
      </c>
      <c r="K41" s="42">
        <f t="shared" si="2"/>
        <v>571</v>
      </c>
      <c r="L41" s="42">
        <f t="shared" si="3"/>
        <v>311.66000000000054</v>
      </c>
      <c r="M41" s="42">
        <f t="shared" si="4"/>
        <v>0.54581436077057888</v>
      </c>
      <c r="N41" s="42">
        <f t="shared" si="5"/>
        <v>571</v>
      </c>
      <c r="O41" s="42">
        <f t="shared" si="6"/>
        <v>32406</v>
      </c>
      <c r="P41" s="42">
        <f t="shared" si="7"/>
        <v>56.753064798598949</v>
      </c>
      <c r="Q41" s="42">
        <f t="shared" si="8"/>
        <v>571</v>
      </c>
      <c r="R41" s="42" t="str">
        <f t="shared" si="9"/>
        <v>4</v>
      </c>
      <c r="S41" s="42" t="str">
        <f t="shared" si="10"/>
        <v>0</v>
      </c>
      <c r="T41" s="42">
        <f t="shared" si="11"/>
        <v>2</v>
      </c>
      <c r="U41" s="42">
        <f t="shared" si="12"/>
        <v>89</v>
      </c>
      <c r="V41" s="42">
        <f t="shared" si="13"/>
        <v>3183</v>
      </c>
      <c r="W41" s="42">
        <f t="shared" si="14"/>
        <v>49.316801509098106</v>
      </c>
      <c r="X41" s="42">
        <f t="shared" si="15"/>
        <v>0.18825987366070532</v>
      </c>
    </row>
    <row r="42" spans="1:24" x14ac:dyDescent="0.2">
      <c r="A42" s="49">
        <v>40</v>
      </c>
      <c r="B42" s="49">
        <v>41</v>
      </c>
      <c r="C42" s="49">
        <v>0.33329999999999999</v>
      </c>
      <c r="D42" s="49">
        <v>0.56999999999999995</v>
      </c>
      <c r="E42" s="49">
        <v>0.19400000000000001</v>
      </c>
      <c r="F42" s="49">
        <v>7</v>
      </c>
      <c r="G42" s="49">
        <v>58</v>
      </c>
      <c r="H42" s="49">
        <v>65</v>
      </c>
      <c r="I42" s="42">
        <f t="shared" si="0"/>
        <v>108.17027500000002</v>
      </c>
      <c r="J42" s="42">
        <f t="shared" si="1"/>
        <v>0.1897724122807018</v>
      </c>
      <c r="K42" s="42">
        <f t="shared" si="2"/>
        <v>570</v>
      </c>
      <c r="L42" s="42">
        <f t="shared" si="3"/>
        <v>310.95000000000044</v>
      </c>
      <c r="M42" s="42">
        <f t="shared" si="4"/>
        <v>0.54552631578947441</v>
      </c>
      <c r="N42" s="42">
        <f t="shared" si="5"/>
        <v>570</v>
      </c>
      <c r="O42" s="42">
        <f t="shared" si="6"/>
        <v>32330</v>
      </c>
      <c r="P42" s="42">
        <f t="shared" si="7"/>
        <v>56.719298245614034</v>
      </c>
      <c r="Q42" s="42">
        <f t="shared" si="8"/>
        <v>570</v>
      </c>
      <c r="R42" s="42" t="str">
        <f t="shared" si="9"/>
        <v>4</v>
      </c>
      <c r="S42" s="42" t="str">
        <f t="shared" si="10"/>
        <v>1</v>
      </c>
      <c r="T42" s="42">
        <f t="shared" si="11"/>
        <v>2</v>
      </c>
      <c r="U42" s="42">
        <f t="shared" si="12"/>
        <v>89</v>
      </c>
      <c r="V42" s="42">
        <f t="shared" si="13"/>
        <v>3183</v>
      </c>
      <c r="W42" s="42">
        <f t="shared" si="14"/>
        <v>49.316801509098106</v>
      </c>
      <c r="X42" s="42">
        <f t="shared" si="15"/>
        <v>0.18825987366070532</v>
      </c>
    </row>
    <row r="43" spans="1:24" x14ac:dyDescent="0.2">
      <c r="A43" s="49">
        <v>41</v>
      </c>
      <c r="B43" s="49">
        <v>42</v>
      </c>
      <c r="C43" s="49">
        <v>0.33329999999999999</v>
      </c>
      <c r="D43" s="49">
        <v>0.46</v>
      </c>
      <c r="E43" s="49">
        <v>0.32840000000000003</v>
      </c>
      <c r="F43" s="49">
        <v>10</v>
      </c>
      <c r="G43" s="49">
        <v>43</v>
      </c>
      <c r="H43" s="49">
        <v>53</v>
      </c>
      <c r="I43" s="42">
        <f t="shared" si="0"/>
        <v>107.83697500000002</v>
      </c>
      <c r="J43" s="42">
        <f t="shared" si="1"/>
        <v>0.18952016695957824</v>
      </c>
      <c r="K43" s="42">
        <f t="shared" si="2"/>
        <v>569</v>
      </c>
      <c r="L43" s="42">
        <f t="shared" si="3"/>
        <v>310.38000000000045</v>
      </c>
      <c r="M43" s="42">
        <f t="shared" si="4"/>
        <v>0.54548330404218004</v>
      </c>
      <c r="N43" s="42">
        <f t="shared" si="5"/>
        <v>569</v>
      </c>
      <c r="O43" s="42">
        <f t="shared" si="6"/>
        <v>32265</v>
      </c>
      <c r="P43" s="42">
        <f t="shared" si="7"/>
        <v>56.704745166959576</v>
      </c>
      <c r="Q43" s="42">
        <f t="shared" si="8"/>
        <v>569</v>
      </c>
      <c r="R43" s="42" t="str">
        <f t="shared" si="9"/>
        <v>4</v>
      </c>
      <c r="S43" s="42" t="str">
        <f t="shared" si="10"/>
        <v>2</v>
      </c>
      <c r="T43" s="42">
        <f t="shared" si="11"/>
        <v>2</v>
      </c>
      <c r="U43" s="42">
        <f t="shared" si="12"/>
        <v>89</v>
      </c>
      <c r="V43" s="42">
        <f t="shared" si="13"/>
        <v>3183</v>
      </c>
      <c r="W43" s="42">
        <f t="shared" si="14"/>
        <v>49.316801509098106</v>
      </c>
      <c r="X43" s="42">
        <f t="shared" si="15"/>
        <v>0.18825987366070532</v>
      </c>
    </row>
    <row r="44" spans="1:24" x14ac:dyDescent="0.2">
      <c r="A44" s="49">
        <v>42</v>
      </c>
      <c r="B44" s="49">
        <v>43</v>
      </c>
      <c r="C44" s="49">
        <v>0.28789999999999999</v>
      </c>
      <c r="D44" s="49">
        <v>0.42</v>
      </c>
      <c r="E44" s="49">
        <v>0.44779999999999998</v>
      </c>
      <c r="F44" s="49">
        <v>1</v>
      </c>
      <c r="G44" s="49">
        <v>29</v>
      </c>
      <c r="H44" s="49">
        <v>30</v>
      </c>
      <c r="I44" s="42">
        <f t="shared" si="0"/>
        <v>107.50367500000002</v>
      </c>
      <c r="J44" s="42">
        <f t="shared" si="1"/>
        <v>0.18926703345070425</v>
      </c>
      <c r="K44" s="42">
        <f t="shared" si="2"/>
        <v>568</v>
      </c>
      <c r="L44" s="42">
        <f t="shared" si="3"/>
        <v>309.92000000000041</v>
      </c>
      <c r="M44" s="42">
        <f t="shared" si="4"/>
        <v>0.5456338028169021</v>
      </c>
      <c r="N44" s="42">
        <f t="shared" si="5"/>
        <v>568</v>
      </c>
      <c r="O44" s="42">
        <f t="shared" si="6"/>
        <v>32212</v>
      </c>
      <c r="P44" s="42">
        <f t="shared" si="7"/>
        <v>56.7112676056338</v>
      </c>
      <c r="Q44" s="42">
        <f t="shared" si="8"/>
        <v>568</v>
      </c>
      <c r="R44" s="42" t="str">
        <f t="shared" si="9"/>
        <v>4</v>
      </c>
      <c r="S44" s="42" t="str">
        <f t="shared" si="10"/>
        <v>3</v>
      </c>
      <c r="T44" s="42">
        <f t="shared" si="11"/>
        <v>2</v>
      </c>
      <c r="U44" s="42">
        <f t="shared" si="12"/>
        <v>89</v>
      </c>
      <c r="V44" s="42">
        <f t="shared" si="13"/>
        <v>3183</v>
      </c>
      <c r="W44" s="42">
        <f t="shared" si="14"/>
        <v>49.316801509098106</v>
      </c>
      <c r="X44" s="42">
        <f t="shared" si="15"/>
        <v>0.18825987366070532</v>
      </c>
    </row>
    <row r="45" spans="1:24" x14ac:dyDescent="0.2">
      <c r="A45" s="49">
        <v>43</v>
      </c>
      <c r="B45" s="49">
        <v>44</v>
      </c>
      <c r="C45" s="42">
        <v>0.199935</v>
      </c>
      <c r="D45" s="49">
        <v>0.39</v>
      </c>
      <c r="E45" s="49">
        <v>0.35820000000000002</v>
      </c>
      <c r="F45" s="49">
        <v>5</v>
      </c>
      <c r="G45" s="49">
        <v>17</v>
      </c>
      <c r="H45" s="49">
        <v>22</v>
      </c>
      <c r="I45" s="42">
        <f t="shared" si="0"/>
        <v>107.21577500000002</v>
      </c>
      <c r="J45" s="42">
        <f t="shared" si="1"/>
        <v>0.18909307760141097</v>
      </c>
      <c r="K45" s="42">
        <f t="shared" si="2"/>
        <v>567</v>
      </c>
      <c r="L45" s="42">
        <f t="shared" si="3"/>
        <v>309.5000000000004</v>
      </c>
      <c r="M45" s="42">
        <f t="shared" si="4"/>
        <v>0.54585537918871319</v>
      </c>
      <c r="N45" s="42">
        <f t="shared" si="5"/>
        <v>567</v>
      </c>
      <c r="O45" s="42">
        <f t="shared" si="6"/>
        <v>32182</v>
      </c>
      <c r="P45" s="42">
        <f t="shared" si="7"/>
        <v>56.758377425044088</v>
      </c>
      <c r="Q45" s="42">
        <f t="shared" si="8"/>
        <v>567</v>
      </c>
      <c r="R45" s="42" t="str">
        <f t="shared" si="9"/>
        <v>4</v>
      </c>
      <c r="S45" s="42" t="str">
        <f t="shared" si="10"/>
        <v>4</v>
      </c>
      <c r="T45" s="42">
        <f t="shared" si="11"/>
        <v>2</v>
      </c>
      <c r="U45" s="42">
        <f t="shared" si="12"/>
        <v>89</v>
      </c>
      <c r="V45" s="42">
        <f t="shared" si="13"/>
        <v>3183</v>
      </c>
      <c r="W45" s="42">
        <f t="shared" si="14"/>
        <v>49.316801509098106</v>
      </c>
      <c r="X45" s="42">
        <f t="shared" si="15"/>
        <v>0.18825987366070532</v>
      </c>
    </row>
    <row r="46" spans="1:24" x14ac:dyDescent="0.2">
      <c r="A46" s="49">
        <v>44</v>
      </c>
      <c r="B46" s="49">
        <v>45</v>
      </c>
      <c r="C46" s="49">
        <v>0.2273</v>
      </c>
      <c r="D46" s="49">
        <v>0.44</v>
      </c>
      <c r="E46" s="49">
        <v>0.32840000000000003</v>
      </c>
      <c r="F46" s="49">
        <v>11</v>
      </c>
      <c r="G46" s="49">
        <v>20</v>
      </c>
      <c r="H46" s="49">
        <v>31</v>
      </c>
      <c r="I46" s="42">
        <f t="shared" si="0"/>
        <v>107.01584000000003</v>
      </c>
      <c r="J46" s="42">
        <f t="shared" si="1"/>
        <v>0.18907392226148415</v>
      </c>
      <c r="K46" s="42">
        <f t="shared" si="2"/>
        <v>566</v>
      </c>
      <c r="L46" s="42">
        <f t="shared" si="3"/>
        <v>309.11000000000035</v>
      </c>
      <c r="M46" s="42">
        <f t="shared" si="4"/>
        <v>0.54613074204947054</v>
      </c>
      <c r="N46" s="42">
        <f t="shared" si="5"/>
        <v>566</v>
      </c>
      <c r="O46" s="42">
        <f t="shared" si="6"/>
        <v>32160</v>
      </c>
      <c r="P46" s="42">
        <f t="shared" si="7"/>
        <v>56.819787985865723</v>
      </c>
      <c r="Q46" s="42">
        <f t="shared" si="8"/>
        <v>566</v>
      </c>
      <c r="R46" s="42" t="str">
        <f t="shared" si="9"/>
        <v>4</v>
      </c>
      <c r="S46" s="42" t="str">
        <f t="shared" si="10"/>
        <v>5</v>
      </c>
      <c r="T46" s="42">
        <f t="shared" si="11"/>
        <v>2</v>
      </c>
      <c r="U46" s="42">
        <f t="shared" si="12"/>
        <v>89</v>
      </c>
      <c r="V46" s="42">
        <f t="shared" si="13"/>
        <v>3183</v>
      </c>
      <c r="W46" s="42">
        <f t="shared" si="14"/>
        <v>49.316801509098106</v>
      </c>
      <c r="X46" s="42">
        <f t="shared" si="15"/>
        <v>0.18825987366070532</v>
      </c>
    </row>
    <row r="47" spans="1:24" x14ac:dyDescent="0.2">
      <c r="A47" s="49">
        <v>45</v>
      </c>
      <c r="B47" s="49">
        <v>46</v>
      </c>
      <c r="C47" s="49">
        <v>0.21210000000000001</v>
      </c>
      <c r="D47" s="49">
        <v>0.44</v>
      </c>
      <c r="E47" s="49">
        <v>0.29849999999999999</v>
      </c>
      <c r="F47" s="49">
        <v>0</v>
      </c>
      <c r="G47" s="49">
        <v>9</v>
      </c>
      <c r="H47" s="49">
        <v>9</v>
      </c>
      <c r="I47" s="42">
        <f t="shared" si="0"/>
        <v>106.78854000000003</v>
      </c>
      <c r="J47" s="42">
        <f t="shared" si="1"/>
        <v>0.18900626548672572</v>
      </c>
      <c r="K47" s="42">
        <f t="shared" si="2"/>
        <v>565</v>
      </c>
      <c r="L47" s="42">
        <f t="shared" si="3"/>
        <v>308.67000000000036</v>
      </c>
      <c r="M47" s="42">
        <f t="shared" si="4"/>
        <v>0.54631858407079714</v>
      </c>
      <c r="N47" s="42">
        <f t="shared" si="5"/>
        <v>565</v>
      </c>
      <c r="O47" s="42">
        <f t="shared" si="6"/>
        <v>32129</v>
      </c>
      <c r="P47" s="42">
        <f t="shared" si="7"/>
        <v>56.865486725663715</v>
      </c>
      <c r="Q47" s="42">
        <f t="shared" si="8"/>
        <v>565</v>
      </c>
      <c r="R47" s="42" t="str">
        <f t="shared" si="9"/>
        <v>4</v>
      </c>
      <c r="S47" s="42" t="str">
        <f t="shared" si="10"/>
        <v>6</v>
      </c>
      <c r="T47" s="42">
        <f t="shared" si="11"/>
        <v>2</v>
      </c>
      <c r="U47" s="42">
        <f t="shared" si="12"/>
        <v>89</v>
      </c>
      <c r="V47" s="42">
        <f t="shared" si="13"/>
        <v>3183</v>
      </c>
      <c r="W47" s="42">
        <f t="shared" si="14"/>
        <v>49.316801509098106</v>
      </c>
      <c r="X47" s="42">
        <f t="shared" si="15"/>
        <v>0.18825987366070532</v>
      </c>
    </row>
    <row r="48" spans="1:24" x14ac:dyDescent="0.2">
      <c r="A48" s="49">
        <v>46</v>
      </c>
      <c r="B48" s="49">
        <v>47</v>
      </c>
      <c r="C48" s="49">
        <v>0.2273</v>
      </c>
      <c r="D48" s="49">
        <v>0.47</v>
      </c>
      <c r="E48" s="49">
        <v>0.16420000000000001</v>
      </c>
      <c r="F48" s="49">
        <v>0</v>
      </c>
      <c r="G48" s="49">
        <v>8</v>
      </c>
      <c r="H48" s="49">
        <v>8</v>
      </c>
      <c r="I48" s="42">
        <f t="shared" si="0"/>
        <v>106.57644000000003</v>
      </c>
      <c r="J48" s="42">
        <f t="shared" si="1"/>
        <v>0.18896531914893622</v>
      </c>
      <c r="K48" s="42">
        <f t="shared" si="2"/>
        <v>564</v>
      </c>
      <c r="L48" s="42">
        <f t="shared" si="3"/>
        <v>308.23000000000036</v>
      </c>
      <c r="M48" s="42">
        <f t="shared" si="4"/>
        <v>0.54650709219858218</v>
      </c>
      <c r="N48" s="42">
        <f t="shared" si="5"/>
        <v>564</v>
      </c>
      <c r="O48" s="42">
        <f t="shared" si="6"/>
        <v>32120</v>
      </c>
      <c r="P48" s="42">
        <f t="shared" si="7"/>
        <v>56.950354609929079</v>
      </c>
      <c r="Q48" s="42">
        <f t="shared" si="8"/>
        <v>564</v>
      </c>
      <c r="R48" s="42" t="str">
        <f t="shared" si="9"/>
        <v>4</v>
      </c>
      <c r="S48" s="42" t="str">
        <f t="shared" si="10"/>
        <v>7</v>
      </c>
      <c r="T48" s="42">
        <f t="shared" si="11"/>
        <v>2</v>
      </c>
      <c r="U48" s="42">
        <f t="shared" si="12"/>
        <v>89</v>
      </c>
      <c r="V48" s="42">
        <f t="shared" si="13"/>
        <v>3183</v>
      </c>
      <c r="W48" s="42">
        <f t="shared" si="14"/>
        <v>49.316801509098106</v>
      </c>
      <c r="X48" s="42">
        <f t="shared" si="15"/>
        <v>0.18825987366070532</v>
      </c>
    </row>
    <row r="49" spans="1:24" x14ac:dyDescent="0.2">
      <c r="A49" s="49">
        <v>47</v>
      </c>
      <c r="B49" s="49">
        <v>48</v>
      </c>
      <c r="C49" s="49">
        <v>0.19700000000000001</v>
      </c>
      <c r="D49" s="49">
        <v>0.44</v>
      </c>
      <c r="E49" s="49">
        <v>0.35820000000000002</v>
      </c>
      <c r="F49" s="49">
        <v>0</v>
      </c>
      <c r="G49" s="49">
        <v>5</v>
      </c>
      <c r="H49" s="49">
        <v>5</v>
      </c>
      <c r="I49" s="42">
        <f t="shared" si="0"/>
        <v>106.34914000000005</v>
      </c>
      <c r="J49" s="42">
        <f t="shared" si="1"/>
        <v>0.18889722912966261</v>
      </c>
      <c r="K49" s="42">
        <f t="shared" si="2"/>
        <v>563</v>
      </c>
      <c r="L49" s="42">
        <f t="shared" si="3"/>
        <v>307.76000000000033</v>
      </c>
      <c r="M49" s="42">
        <f t="shared" si="4"/>
        <v>0.54664298401421019</v>
      </c>
      <c r="N49" s="42">
        <f t="shared" si="5"/>
        <v>563</v>
      </c>
      <c r="O49" s="42">
        <f t="shared" si="6"/>
        <v>32112</v>
      </c>
      <c r="P49" s="42">
        <f t="shared" si="7"/>
        <v>57.03730017761989</v>
      </c>
      <c r="Q49" s="42">
        <f t="shared" si="8"/>
        <v>563</v>
      </c>
      <c r="R49" s="42" t="str">
        <f t="shared" si="9"/>
        <v>4</v>
      </c>
      <c r="S49" s="42" t="str">
        <f t="shared" si="10"/>
        <v>8</v>
      </c>
      <c r="T49" s="42">
        <f t="shared" si="11"/>
        <v>2</v>
      </c>
      <c r="U49" s="42">
        <f t="shared" si="12"/>
        <v>89</v>
      </c>
      <c r="V49" s="42">
        <f t="shared" si="13"/>
        <v>3183</v>
      </c>
      <c r="W49" s="42">
        <f t="shared" si="14"/>
        <v>49.316801509098106</v>
      </c>
      <c r="X49" s="42">
        <f t="shared" si="15"/>
        <v>0.18825987366070532</v>
      </c>
    </row>
    <row r="50" spans="1:24" x14ac:dyDescent="0.2">
      <c r="A50" s="49">
        <v>48</v>
      </c>
      <c r="B50" s="49">
        <v>49</v>
      </c>
      <c r="C50" s="42">
        <v>0.199935</v>
      </c>
      <c r="D50" s="49">
        <v>0.44</v>
      </c>
      <c r="E50" s="49">
        <v>0.41789999999999999</v>
      </c>
      <c r="F50" s="49">
        <v>0</v>
      </c>
      <c r="G50" s="49">
        <v>2</v>
      </c>
      <c r="H50" s="49">
        <v>2</v>
      </c>
      <c r="I50" s="42">
        <f t="shared" si="0"/>
        <v>106.15214000000003</v>
      </c>
      <c r="J50" s="42">
        <f t="shared" si="1"/>
        <v>0.18888281138790042</v>
      </c>
      <c r="K50" s="42">
        <f t="shared" si="2"/>
        <v>562</v>
      </c>
      <c r="L50" s="42">
        <f t="shared" si="3"/>
        <v>307.32000000000033</v>
      </c>
      <c r="M50" s="42">
        <f t="shared" si="4"/>
        <v>0.54683274021352368</v>
      </c>
      <c r="N50" s="42">
        <f t="shared" si="5"/>
        <v>562</v>
      </c>
      <c r="O50" s="42">
        <f t="shared" si="6"/>
        <v>32107</v>
      </c>
      <c r="P50" s="42">
        <f t="shared" si="7"/>
        <v>57.129893238434164</v>
      </c>
      <c r="Q50" s="42">
        <f t="shared" si="8"/>
        <v>562</v>
      </c>
      <c r="R50" s="42" t="str">
        <f t="shared" si="9"/>
        <v>4</v>
      </c>
      <c r="S50" s="42" t="str">
        <f t="shared" si="10"/>
        <v>9</v>
      </c>
      <c r="T50" s="42">
        <f t="shared" si="11"/>
        <v>2</v>
      </c>
      <c r="U50" s="42">
        <f t="shared" si="12"/>
        <v>89</v>
      </c>
      <c r="V50" s="42">
        <f t="shared" si="13"/>
        <v>3183</v>
      </c>
      <c r="W50" s="42">
        <f t="shared" si="14"/>
        <v>49.316801509098106</v>
      </c>
      <c r="X50" s="42">
        <f t="shared" si="15"/>
        <v>0.18825987366070532</v>
      </c>
    </row>
    <row r="51" spans="1:24" x14ac:dyDescent="0.2">
      <c r="A51" s="49">
        <v>49</v>
      </c>
      <c r="B51" s="49">
        <v>50</v>
      </c>
      <c r="C51" s="49">
        <v>0.13639999999999999</v>
      </c>
      <c r="D51" s="49">
        <v>0.47</v>
      </c>
      <c r="E51" s="49">
        <v>0.3881</v>
      </c>
      <c r="F51" s="49">
        <v>0</v>
      </c>
      <c r="G51" s="49">
        <v>1</v>
      </c>
      <c r="H51" s="49">
        <v>1</v>
      </c>
      <c r="I51" s="42">
        <f t="shared" si="0"/>
        <v>105.95220500000003</v>
      </c>
      <c r="J51" s="42">
        <f t="shared" si="1"/>
        <v>0.18886311051693411</v>
      </c>
      <c r="K51" s="42">
        <f t="shared" si="2"/>
        <v>561</v>
      </c>
      <c r="L51" s="42">
        <f t="shared" si="3"/>
        <v>306.88000000000039</v>
      </c>
      <c r="M51" s="42">
        <f t="shared" si="4"/>
        <v>0.5470231729055266</v>
      </c>
      <c r="N51" s="42">
        <f t="shared" si="5"/>
        <v>561</v>
      </c>
      <c r="O51" s="42">
        <f t="shared" si="6"/>
        <v>32105</v>
      </c>
      <c r="P51" s="42">
        <f t="shared" si="7"/>
        <v>57.228163992869874</v>
      </c>
      <c r="Q51" s="42">
        <f t="shared" si="8"/>
        <v>561</v>
      </c>
      <c r="R51" s="42" t="str">
        <f t="shared" si="9"/>
        <v>5</v>
      </c>
      <c r="S51" s="42" t="str">
        <f t="shared" si="10"/>
        <v>0</v>
      </c>
      <c r="T51" s="42">
        <f t="shared" si="11"/>
        <v>2</v>
      </c>
      <c r="U51" s="42">
        <f t="shared" si="12"/>
        <v>89</v>
      </c>
      <c r="V51" s="42">
        <f t="shared" si="13"/>
        <v>3183</v>
      </c>
      <c r="W51" s="42">
        <f t="shared" si="14"/>
        <v>49.316801509098106</v>
      </c>
      <c r="X51" s="42">
        <f t="shared" si="15"/>
        <v>0.18825987366070532</v>
      </c>
    </row>
    <row r="52" spans="1:24" x14ac:dyDescent="0.2">
      <c r="A52" s="49">
        <v>50</v>
      </c>
      <c r="B52" s="49">
        <v>51</v>
      </c>
      <c r="C52" s="49">
        <v>0.13639999999999999</v>
      </c>
      <c r="D52" s="49">
        <v>0.47</v>
      </c>
      <c r="E52" s="49">
        <v>0.28360000000000002</v>
      </c>
      <c r="F52" s="49">
        <v>0</v>
      </c>
      <c r="G52" s="49">
        <v>3</v>
      </c>
      <c r="H52" s="49">
        <v>3</v>
      </c>
      <c r="I52" s="42">
        <f t="shared" si="0"/>
        <v>105.81580500000003</v>
      </c>
      <c r="J52" s="42">
        <f t="shared" si="1"/>
        <v>0.1889567946428572</v>
      </c>
      <c r="K52" s="42">
        <f t="shared" si="2"/>
        <v>560</v>
      </c>
      <c r="L52" s="42">
        <f t="shared" si="3"/>
        <v>306.41000000000042</v>
      </c>
      <c r="M52" s="42">
        <f t="shared" si="4"/>
        <v>0.547160714285715</v>
      </c>
      <c r="N52" s="42">
        <f t="shared" si="5"/>
        <v>560</v>
      </c>
      <c r="O52" s="42">
        <f t="shared" si="6"/>
        <v>32104</v>
      </c>
      <c r="P52" s="42">
        <f t="shared" si="7"/>
        <v>57.328571428571429</v>
      </c>
      <c r="Q52" s="42">
        <f t="shared" si="8"/>
        <v>560</v>
      </c>
      <c r="R52" s="42" t="str">
        <f t="shared" si="9"/>
        <v>5</v>
      </c>
      <c r="S52" s="42" t="str">
        <f t="shared" si="10"/>
        <v>1</v>
      </c>
      <c r="T52" s="42">
        <f t="shared" si="11"/>
        <v>2</v>
      </c>
      <c r="U52" s="42">
        <f t="shared" si="12"/>
        <v>89</v>
      </c>
      <c r="V52" s="42">
        <f t="shared" si="13"/>
        <v>3183</v>
      </c>
      <c r="W52" s="42">
        <f t="shared" si="14"/>
        <v>49.316801509098106</v>
      </c>
      <c r="X52" s="42">
        <f t="shared" si="15"/>
        <v>0.18825987366070532</v>
      </c>
    </row>
    <row r="53" spans="1:24" x14ac:dyDescent="0.2">
      <c r="A53" s="49">
        <v>51</v>
      </c>
      <c r="B53" s="49">
        <v>52</v>
      </c>
      <c r="C53" s="49">
        <v>0.1061</v>
      </c>
      <c r="D53" s="49">
        <v>0.5</v>
      </c>
      <c r="E53" s="49">
        <v>0.3881</v>
      </c>
      <c r="F53" s="49">
        <v>0</v>
      </c>
      <c r="G53" s="49">
        <v>30</v>
      </c>
      <c r="H53" s="49">
        <v>30</v>
      </c>
      <c r="I53" s="42">
        <f t="shared" si="0"/>
        <v>105.67940500000003</v>
      </c>
      <c r="J53" s="42">
        <f t="shared" si="1"/>
        <v>0.18905081395348844</v>
      </c>
      <c r="K53" s="42">
        <f t="shared" si="2"/>
        <v>559</v>
      </c>
      <c r="L53" s="42">
        <f t="shared" si="3"/>
        <v>305.94000000000034</v>
      </c>
      <c r="M53" s="42">
        <f t="shared" si="4"/>
        <v>0.54729874776386467</v>
      </c>
      <c r="N53" s="42">
        <f t="shared" si="5"/>
        <v>559</v>
      </c>
      <c r="O53" s="42">
        <f t="shared" si="6"/>
        <v>32101</v>
      </c>
      <c r="P53" s="42">
        <f t="shared" si="7"/>
        <v>57.425760286225405</v>
      </c>
      <c r="Q53" s="42">
        <f t="shared" si="8"/>
        <v>559</v>
      </c>
      <c r="R53" s="42" t="str">
        <f t="shared" si="9"/>
        <v>5</v>
      </c>
      <c r="S53" s="42" t="str">
        <f t="shared" si="10"/>
        <v>2</v>
      </c>
      <c r="T53" s="42">
        <f t="shared" si="11"/>
        <v>2</v>
      </c>
      <c r="U53" s="42">
        <f t="shared" si="12"/>
        <v>89</v>
      </c>
      <c r="V53" s="42">
        <f t="shared" si="13"/>
        <v>3183</v>
      </c>
      <c r="W53" s="42">
        <f t="shared" si="14"/>
        <v>49.316801509098106</v>
      </c>
      <c r="X53" s="42">
        <f t="shared" si="15"/>
        <v>0.18825987366070532</v>
      </c>
    </row>
    <row r="54" spans="1:24" x14ac:dyDescent="0.2">
      <c r="A54" s="49">
        <v>52</v>
      </c>
      <c r="B54" s="49">
        <v>53</v>
      </c>
      <c r="C54" s="49">
        <v>0.13639999999999999</v>
      </c>
      <c r="D54" s="49">
        <v>0.5</v>
      </c>
      <c r="E54" s="49">
        <v>0.19400000000000001</v>
      </c>
      <c r="F54" s="49">
        <v>1</v>
      </c>
      <c r="G54" s="49">
        <v>63</v>
      </c>
      <c r="H54" s="49">
        <v>64</v>
      </c>
      <c r="I54" s="42">
        <f t="shared" si="0"/>
        <v>105.57330500000003</v>
      </c>
      <c r="J54" s="42">
        <f t="shared" si="1"/>
        <v>0.18919947132616494</v>
      </c>
      <c r="K54" s="42">
        <f t="shared" si="2"/>
        <v>558</v>
      </c>
      <c r="L54" s="42">
        <f t="shared" si="3"/>
        <v>305.4400000000004</v>
      </c>
      <c r="M54" s="42">
        <f t="shared" si="4"/>
        <v>0.54738351254480355</v>
      </c>
      <c r="N54" s="42">
        <f t="shared" si="5"/>
        <v>558</v>
      </c>
      <c r="O54" s="42">
        <f t="shared" si="6"/>
        <v>32071</v>
      </c>
      <c r="P54" s="42">
        <f t="shared" si="7"/>
        <v>57.47491039426523</v>
      </c>
      <c r="Q54" s="42">
        <f t="shared" si="8"/>
        <v>558</v>
      </c>
      <c r="R54" s="42" t="str">
        <f t="shared" si="9"/>
        <v>5</v>
      </c>
      <c r="S54" s="42" t="str">
        <f t="shared" si="10"/>
        <v>3</v>
      </c>
      <c r="T54" s="42">
        <f t="shared" si="11"/>
        <v>2</v>
      </c>
      <c r="U54" s="42">
        <f t="shared" si="12"/>
        <v>89</v>
      </c>
      <c r="V54" s="42">
        <f t="shared" si="13"/>
        <v>3183</v>
      </c>
      <c r="W54" s="42">
        <f t="shared" si="14"/>
        <v>49.316801509098106</v>
      </c>
      <c r="X54" s="42">
        <f t="shared" si="15"/>
        <v>0.18825987366070532</v>
      </c>
    </row>
    <row r="55" spans="1:24" x14ac:dyDescent="0.2">
      <c r="A55" s="49">
        <v>53</v>
      </c>
      <c r="B55" s="49">
        <v>54</v>
      </c>
      <c r="C55" s="49">
        <v>0.1212</v>
      </c>
      <c r="D55" s="49">
        <v>0.5</v>
      </c>
      <c r="E55" s="49">
        <v>0.28360000000000002</v>
      </c>
      <c r="F55" s="49">
        <v>1</v>
      </c>
      <c r="G55" s="49">
        <v>153</v>
      </c>
      <c r="H55" s="49">
        <v>154</v>
      </c>
      <c r="I55" s="42">
        <f t="shared" si="0"/>
        <v>105.43690500000002</v>
      </c>
      <c r="J55" s="42">
        <f t="shared" si="1"/>
        <v>0.18929426391382409</v>
      </c>
      <c r="K55" s="42">
        <f t="shared" si="2"/>
        <v>557</v>
      </c>
      <c r="L55" s="42">
        <f t="shared" si="3"/>
        <v>304.9400000000004</v>
      </c>
      <c r="M55" s="42">
        <f t="shared" si="4"/>
        <v>0.54746858168761292</v>
      </c>
      <c r="N55" s="42">
        <f t="shared" si="5"/>
        <v>557</v>
      </c>
      <c r="O55" s="42">
        <f t="shared" si="6"/>
        <v>32007</v>
      </c>
      <c r="P55" s="42">
        <f t="shared" si="7"/>
        <v>57.46319569120287</v>
      </c>
      <c r="Q55" s="42">
        <f t="shared" si="8"/>
        <v>557</v>
      </c>
      <c r="R55" s="42" t="str">
        <f t="shared" si="9"/>
        <v>5</v>
      </c>
      <c r="S55" s="42" t="str">
        <f t="shared" si="10"/>
        <v>4</v>
      </c>
      <c r="T55" s="42">
        <f t="shared" si="11"/>
        <v>2</v>
      </c>
      <c r="U55" s="42">
        <f t="shared" si="12"/>
        <v>89</v>
      </c>
      <c r="V55" s="42">
        <f t="shared" si="13"/>
        <v>3183</v>
      </c>
      <c r="W55" s="42">
        <f t="shared" si="14"/>
        <v>49.316801509098106</v>
      </c>
      <c r="X55" s="42">
        <f t="shared" si="15"/>
        <v>0.18825987366070532</v>
      </c>
    </row>
    <row r="56" spans="1:24" x14ac:dyDescent="0.2">
      <c r="A56" s="49">
        <v>54</v>
      </c>
      <c r="B56" s="49">
        <v>55</v>
      </c>
      <c r="C56" s="49">
        <v>0.13639999999999999</v>
      </c>
      <c r="D56" s="49">
        <v>0.43</v>
      </c>
      <c r="E56" s="49">
        <v>0.3881</v>
      </c>
      <c r="F56" s="49">
        <v>7</v>
      </c>
      <c r="G56" s="49">
        <v>81</v>
      </c>
      <c r="H56" s="49">
        <v>88</v>
      </c>
      <c r="I56" s="42">
        <f t="shared" si="0"/>
        <v>105.31570500000001</v>
      </c>
      <c r="J56" s="42">
        <f t="shared" si="1"/>
        <v>0.18941673561151082</v>
      </c>
      <c r="K56" s="42">
        <f t="shared" si="2"/>
        <v>556</v>
      </c>
      <c r="L56" s="42">
        <f t="shared" si="3"/>
        <v>304.4400000000004</v>
      </c>
      <c r="M56" s="42">
        <f t="shared" si="4"/>
        <v>0.54755395683453312</v>
      </c>
      <c r="N56" s="42">
        <f t="shared" si="5"/>
        <v>556</v>
      </c>
      <c r="O56" s="42">
        <f t="shared" si="6"/>
        <v>31853</v>
      </c>
      <c r="P56" s="42">
        <f t="shared" si="7"/>
        <v>57.289568345323744</v>
      </c>
      <c r="Q56" s="42">
        <f t="shared" si="8"/>
        <v>556</v>
      </c>
      <c r="R56" s="42" t="str">
        <f t="shared" si="9"/>
        <v>5</v>
      </c>
      <c r="S56" s="42" t="str">
        <f t="shared" si="10"/>
        <v>5</v>
      </c>
      <c r="T56" s="42">
        <f t="shared" si="11"/>
        <v>2</v>
      </c>
      <c r="U56" s="42">
        <f t="shared" si="12"/>
        <v>89</v>
      </c>
      <c r="V56" s="42">
        <f t="shared" si="13"/>
        <v>3183</v>
      </c>
      <c r="W56" s="42">
        <f t="shared" si="14"/>
        <v>49.316801509098106</v>
      </c>
      <c r="X56" s="42">
        <f t="shared" si="15"/>
        <v>0.18825987366070532</v>
      </c>
    </row>
    <row r="57" spans="1:24" x14ac:dyDescent="0.2">
      <c r="A57" s="49">
        <v>55</v>
      </c>
      <c r="B57" s="49">
        <v>56</v>
      </c>
      <c r="C57" s="49">
        <v>0.16669999999999999</v>
      </c>
      <c r="D57" s="49">
        <v>0.43</v>
      </c>
      <c r="E57" s="49">
        <v>0.25369999999999998</v>
      </c>
      <c r="F57" s="49">
        <v>11</v>
      </c>
      <c r="G57" s="49">
        <v>33</v>
      </c>
      <c r="H57" s="49">
        <v>44</v>
      </c>
      <c r="I57" s="42">
        <f t="shared" si="0"/>
        <v>105.179305</v>
      </c>
      <c r="J57" s="42">
        <f t="shared" si="1"/>
        <v>0.18951226126126125</v>
      </c>
      <c r="K57" s="42">
        <f t="shared" si="2"/>
        <v>555</v>
      </c>
      <c r="L57" s="42">
        <f t="shared" si="3"/>
        <v>304.01000000000039</v>
      </c>
      <c r="M57" s="42">
        <f t="shared" si="4"/>
        <v>0.54776576576576652</v>
      </c>
      <c r="N57" s="42">
        <f t="shared" si="5"/>
        <v>555</v>
      </c>
      <c r="O57" s="42">
        <f t="shared" si="6"/>
        <v>31765</v>
      </c>
      <c r="P57" s="42">
        <f t="shared" si="7"/>
        <v>57.234234234234236</v>
      </c>
      <c r="Q57" s="42">
        <f t="shared" si="8"/>
        <v>555</v>
      </c>
      <c r="R57" s="42" t="str">
        <f t="shared" si="9"/>
        <v>5</v>
      </c>
      <c r="S57" s="42" t="str">
        <f t="shared" si="10"/>
        <v>6</v>
      </c>
      <c r="T57" s="42">
        <f t="shared" si="11"/>
        <v>2</v>
      </c>
      <c r="U57" s="42">
        <f t="shared" si="12"/>
        <v>89</v>
      </c>
      <c r="V57" s="42">
        <f t="shared" si="13"/>
        <v>3183</v>
      </c>
      <c r="W57" s="42">
        <f t="shared" si="14"/>
        <v>49.316801509098106</v>
      </c>
      <c r="X57" s="42">
        <f t="shared" si="15"/>
        <v>0.18825987366070532</v>
      </c>
    </row>
    <row r="58" spans="1:24" x14ac:dyDescent="0.2">
      <c r="A58" s="49">
        <v>56</v>
      </c>
      <c r="B58" s="49">
        <v>57</v>
      </c>
      <c r="C58" s="49">
        <v>0.18179999999999999</v>
      </c>
      <c r="D58" s="49">
        <v>0.4</v>
      </c>
      <c r="E58" s="49">
        <v>0.32840000000000003</v>
      </c>
      <c r="F58" s="49">
        <v>10</v>
      </c>
      <c r="G58" s="49">
        <v>41</v>
      </c>
      <c r="H58" s="49">
        <v>51</v>
      </c>
      <c r="I58" s="42">
        <f t="shared" si="0"/>
        <v>105.01260499999999</v>
      </c>
      <c r="J58" s="42">
        <f t="shared" si="1"/>
        <v>0.18955343862815882</v>
      </c>
      <c r="K58" s="42">
        <f t="shared" si="2"/>
        <v>554</v>
      </c>
      <c r="L58" s="42">
        <f t="shared" si="3"/>
        <v>303.58000000000044</v>
      </c>
      <c r="M58" s="42">
        <f t="shared" si="4"/>
        <v>0.54797833935018125</v>
      </c>
      <c r="N58" s="42">
        <f t="shared" si="5"/>
        <v>554</v>
      </c>
      <c r="O58" s="42">
        <f t="shared" si="6"/>
        <v>31721</v>
      </c>
      <c r="P58" s="42">
        <f t="shared" si="7"/>
        <v>57.258122743682307</v>
      </c>
      <c r="Q58" s="42">
        <f t="shared" si="8"/>
        <v>554</v>
      </c>
      <c r="R58" s="42" t="str">
        <f t="shared" si="9"/>
        <v>5</v>
      </c>
      <c r="S58" s="42" t="str">
        <f t="shared" si="10"/>
        <v>7</v>
      </c>
      <c r="T58" s="42">
        <f t="shared" si="11"/>
        <v>2</v>
      </c>
      <c r="U58" s="42">
        <f t="shared" si="12"/>
        <v>89</v>
      </c>
      <c r="V58" s="42">
        <f t="shared" si="13"/>
        <v>3183</v>
      </c>
      <c r="W58" s="42">
        <f t="shared" si="14"/>
        <v>49.316801509098106</v>
      </c>
      <c r="X58" s="42">
        <f t="shared" si="15"/>
        <v>0.18825987366070532</v>
      </c>
    </row>
    <row r="59" spans="1:24" x14ac:dyDescent="0.2">
      <c r="A59" s="49">
        <v>57</v>
      </c>
      <c r="B59" s="49">
        <v>58</v>
      </c>
      <c r="C59" s="49">
        <v>0.21210000000000001</v>
      </c>
      <c r="D59" s="49">
        <v>0.35</v>
      </c>
      <c r="E59" s="49">
        <v>0.29849999999999999</v>
      </c>
      <c r="F59" s="49">
        <v>13</v>
      </c>
      <c r="G59" s="49">
        <v>48</v>
      </c>
      <c r="H59" s="49">
        <v>61</v>
      </c>
      <c r="I59" s="42">
        <f t="shared" si="0"/>
        <v>104.830805</v>
      </c>
      <c r="J59" s="42">
        <f t="shared" si="1"/>
        <v>0.18956745931283905</v>
      </c>
      <c r="K59" s="42">
        <f t="shared" si="2"/>
        <v>553</v>
      </c>
      <c r="L59" s="42">
        <f t="shared" si="3"/>
        <v>303.1800000000004</v>
      </c>
      <c r="M59" s="42">
        <f t="shared" si="4"/>
        <v>0.54824593128390675</v>
      </c>
      <c r="N59" s="42">
        <f t="shared" si="5"/>
        <v>553</v>
      </c>
      <c r="O59" s="42">
        <f t="shared" si="6"/>
        <v>31670</v>
      </c>
      <c r="P59" s="42">
        <f t="shared" si="7"/>
        <v>57.269439421338156</v>
      </c>
      <c r="Q59" s="42">
        <f t="shared" si="8"/>
        <v>553</v>
      </c>
      <c r="R59" s="42" t="str">
        <f t="shared" si="9"/>
        <v>5</v>
      </c>
      <c r="S59" s="42" t="str">
        <f t="shared" si="10"/>
        <v>8</v>
      </c>
      <c r="T59" s="42">
        <f t="shared" si="11"/>
        <v>2</v>
      </c>
      <c r="U59" s="42">
        <f t="shared" si="12"/>
        <v>89</v>
      </c>
      <c r="V59" s="42">
        <f t="shared" si="13"/>
        <v>3183</v>
      </c>
      <c r="W59" s="42">
        <f t="shared" si="14"/>
        <v>49.316801509098106</v>
      </c>
      <c r="X59" s="42">
        <f t="shared" si="15"/>
        <v>0.18825987366070532</v>
      </c>
    </row>
    <row r="60" spans="1:24" x14ac:dyDescent="0.2">
      <c r="A60" s="49">
        <v>58</v>
      </c>
      <c r="B60" s="49">
        <v>59</v>
      </c>
      <c r="C60" s="42">
        <v>0.199935</v>
      </c>
      <c r="D60" s="49">
        <v>0.35</v>
      </c>
      <c r="E60" s="49">
        <v>0.28360000000000002</v>
      </c>
      <c r="F60" s="49">
        <v>8</v>
      </c>
      <c r="G60" s="49">
        <v>53</v>
      </c>
      <c r="H60" s="49">
        <v>61</v>
      </c>
      <c r="I60" s="42">
        <f t="shared" si="0"/>
        <v>104.61870499999999</v>
      </c>
      <c r="J60" s="42">
        <f t="shared" si="1"/>
        <v>0.18952663949275361</v>
      </c>
      <c r="K60" s="42">
        <f t="shared" si="2"/>
        <v>552</v>
      </c>
      <c r="L60" s="42">
        <f t="shared" si="3"/>
        <v>302.83000000000044</v>
      </c>
      <c r="M60" s="42">
        <f t="shared" si="4"/>
        <v>0.54860507246376888</v>
      </c>
      <c r="N60" s="42">
        <f t="shared" si="5"/>
        <v>552</v>
      </c>
      <c r="O60" s="42">
        <f t="shared" si="6"/>
        <v>31609</v>
      </c>
      <c r="P60" s="42">
        <f t="shared" si="7"/>
        <v>57.262681159420289</v>
      </c>
      <c r="Q60" s="42">
        <f t="shared" si="8"/>
        <v>552</v>
      </c>
      <c r="R60" s="42" t="str">
        <f t="shared" si="9"/>
        <v>5</v>
      </c>
      <c r="S60" s="42" t="str">
        <f t="shared" si="10"/>
        <v>9</v>
      </c>
      <c r="T60" s="42">
        <f t="shared" si="11"/>
        <v>2</v>
      </c>
      <c r="U60" s="42">
        <f t="shared" si="12"/>
        <v>89</v>
      </c>
      <c r="V60" s="42">
        <f t="shared" si="13"/>
        <v>3183</v>
      </c>
      <c r="W60" s="42">
        <f t="shared" si="14"/>
        <v>49.316801509098106</v>
      </c>
      <c r="X60" s="42">
        <f t="shared" si="15"/>
        <v>0.18825987366070532</v>
      </c>
    </row>
    <row r="61" spans="1:24" x14ac:dyDescent="0.2">
      <c r="A61" s="49">
        <v>59</v>
      </c>
      <c r="B61" s="49">
        <v>60</v>
      </c>
      <c r="C61" s="49">
        <v>0.2424</v>
      </c>
      <c r="D61" s="49">
        <v>0.3</v>
      </c>
      <c r="E61" s="49">
        <v>0.28360000000000002</v>
      </c>
      <c r="F61" s="49">
        <v>11</v>
      </c>
      <c r="G61" s="49">
        <v>66</v>
      </c>
      <c r="H61" s="49">
        <v>77</v>
      </c>
      <c r="I61" s="42">
        <f t="shared" si="0"/>
        <v>104.41876999999999</v>
      </c>
      <c r="J61" s="42">
        <f t="shared" si="1"/>
        <v>0.18950774954627947</v>
      </c>
      <c r="K61" s="42">
        <f t="shared" si="2"/>
        <v>551</v>
      </c>
      <c r="L61" s="42">
        <f t="shared" si="3"/>
        <v>302.48000000000042</v>
      </c>
      <c r="M61" s="42">
        <f t="shared" si="4"/>
        <v>0.5489655172413801</v>
      </c>
      <c r="N61" s="42">
        <f t="shared" si="5"/>
        <v>551</v>
      </c>
      <c r="O61" s="42">
        <f t="shared" si="6"/>
        <v>31548</v>
      </c>
      <c r="P61" s="42">
        <f t="shared" si="7"/>
        <v>57.255898366606168</v>
      </c>
      <c r="Q61" s="42">
        <f t="shared" si="8"/>
        <v>551</v>
      </c>
      <c r="R61" s="42" t="str">
        <f t="shared" si="9"/>
        <v>6</v>
      </c>
      <c r="S61" s="42" t="str">
        <f t="shared" si="10"/>
        <v>0</v>
      </c>
      <c r="T61" s="42">
        <f t="shared" si="11"/>
        <v>2</v>
      </c>
      <c r="U61" s="42">
        <f t="shared" si="12"/>
        <v>89</v>
      </c>
      <c r="V61" s="42">
        <f t="shared" si="13"/>
        <v>3183</v>
      </c>
      <c r="W61" s="42">
        <f t="shared" si="14"/>
        <v>49.316801509098106</v>
      </c>
      <c r="X61" s="42">
        <f t="shared" si="15"/>
        <v>0.18825987366070532</v>
      </c>
    </row>
    <row r="62" spans="1:24" x14ac:dyDescent="0.2">
      <c r="A62" s="49">
        <v>60</v>
      </c>
      <c r="B62" s="49">
        <v>61</v>
      </c>
      <c r="C62" s="49">
        <v>0.2424</v>
      </c>
      <c r="D62" s="49">
        <v>0.3</v>
      </c>
      <c r="E62" s="49">
        <v>0.25369999999999998</v>
      </c>
      <c r="F62" s="49">
        <v>14</v>
      </c>
      <c r="G62" s="49">
        <v>58</v>
      </c>
      <c r="H62" s="49">
        <v>72</v>
      </c>
      <c r="I62" s="42">
        <f t="shared" si="0"/>
        <v>104.17636999999999</v>
      </c>
      <c r="J62" s="42">
        <f t="shared" si="1"/>
        <v>0.1894115818181818</v>
      </c>
      <c r="K62" s="42">
        <f t="shared" si="2"/>
        <v>550</v>
      </c>
      <c r="L62" s="42">
        <f t="shared" si="3"/>
        <v>302.18000000000046</v>
      </c>
      <c r="M62" s="42">
        <f t="shared" si="4"/>
        <v>0.54941818181818269</v>
      </c>
      <c r="N62" s="42">
        <f t="shared" si="5"/>
        <v>550</v>
      </c>
      <c r="O62" s="42">
        <f t="shared" si="6"/>
        <v>31471</v>
      </c>
      <c r="P62" s="42">
        <f t="shared" si="7"/>
        <v>57.22</v>
      </c>
      <c r="Q62" s="42">
        <f t="shared" si="8"/>
        <v>550</v>
      </c>
      <c r="R62" s="42" t="str">
        <f t="shared" si="9"/>
        <v>6</v>
      </c>
      <c r="S62" s="42" t="str">
        <f t="shared" si="10"/>
        <v>1</v>
      </c>
      <c r="T62" s="42">
        <f t="shared" si="11"/>
        <v>2</v>
      </c>
      <c r="U62" s="42">
        <f t="shared" si="12"/>
        <v>89</v>
      </c>
      <c r="V62" s="42">
        <f t="shared" si="13"/>
        <v>3183</v>
      </c>
      <c r="W62" s="42">
        <f t="shared" si="14"/>
        <v>49.316801509098106</v>
      </c>
      <c r="X62" s="42">
        <f t="shared" si="15"/>
        <v>0.18825987366070532</v>
      </c>
    </row>
    <row r="63" spans="1:24" x14ac:dyDescent="0.2">
      <c r="A63" s="49">
        <v>61</v>
      </c>
      <c r="B63" s="49">
        <v>62</v>
      </c>
      <c r="C63" s="49">
        <v>0.2424</v>
      </c>
      <c r="D63" s="49">
        <v>0.3</v>
      </c>
      <c r="E63" s="49">
        <v>0.25369999999999998</v>
      </c>
      <c r="F63" s="49">
        <v>9</v>
      </c>
      <c r="G63" s="49">
        <v>67</v>
      </c>
      <c r="H63" s="49">
        <v>76</v>
      </c>
      <c r="I63" s="42">
        <f t="shared" si="0"/>
        <v>103.93397</v>
      </c>
      <c r="J63" s="42">
        <f t="shared" si="1"/>
        <v>0.18931506375227686</v>
      </c>
      <c r="K63" s="42">
        <f t="shared" si="2"/>
        <v>549</v>
      </c>
      <c r="L63" s="42">
        <f t="shared" si="3"/>
        <v>301.88000000000045</v>
      </c>
      <c r="M63" s="42">
        <f t="shared" si="4"/>
        <v>0.54987249544626671</v>
      </c>
      <c r="N63" s="42">
        <f t="shared" si="5"/>
        <v>549</v>
      </c>
      <c r="O63" s="42">
        <f t="shared" si="6"/>
        <v>31399</v>
      </c>
      <c r="P63" s="42">
        <f t="shared" si="7"/>
        <v>57.193078324225866</v>
      </c>
      <c r="Q63" s="42">
        <f t="shared" si="8"/>
        <v>549</v>
      </c>
      <c r="R63" s="42" t="str">
        <f t="shared" si="9"/>
        <v>6</v>
      </c>
      <c r="S63" s="42" t="str">
        <f t="shared" si="10"/>
        <v>2</v>
      </c>
      <c r="T63" s="42">
        <f t="shared" si="11"/>
        <v>2</v>
      </c>
      <c r="U63" s="42">
        <f t="shared" si="12"/>
        <v>89</v>
      </c>
      <c r="V63" s="42">
        <f t="shared" si="13"/>
        <v>3183</v>
      </c>
      <c r="W63" s="42">
        <f t="shared" si="14"/>
        <v>49.316801509098106</v>
      </c>
      <c r="X63" s="42">
        <f t="shared" si="15"/>
        <v>0.18825987366070532</v>
      </c>
    </row>
    <row r="64" spans="1:24" x14ac:dyDescent="0.2">
      <c r="A64" s="49">
        <v>62</v>
      </c>
      <c r="B64" s="49">
        <v>63</v>
      </c>
      <c r="C64" s="49">
        <v>0.2273</v>
      </c>
      <c r="D64" s="49">
        <v>0.3</v>
      </c>
      <c r="E64" s="49">
        <v>0.22389999999999999</v>
      </c>
      <c r="F64" s="49">
        <v>11</v>
      </c>
      <c r="G64" s="49">
        <v>146</v>
      </c>
      <c r="H64" s="49">
        <v>157</v>
      </c>
      <c r="I64" s="42">
        <f t="shared" si="0"/>
        <v>103.69157</v>
      </c>
      <c r="J64" s="42">
        <f t="shared" si="1"/>
        <v>0.18921819343065693</v>
      </c>
      <c r="K64" s="42">
        <f t="shared" si="2"/>
        <v>548</v>
      </c>
      <c r="L64" s="42">
        <f t="shared" si="3"/>
        <v>301.58000000000044</v>
      </c>
      <c r="M64" s="42">
        <f t="shared" si="4"/>
        <v>0.55032846715328543</v>
      </c>
      <c r="N64" s="42">
        <f t="shared" si="5"/>
        <v>548</v>
      </c>
      <c r="O64" s="42">
        <f t="shared" si="6"/>
        <v>31323</v>
      </c>
      <c r="P64" s="42">
        <f t="shared" si="7"/>
        <v>57.158759124087588</v>
      </c>
      <c r="Q64" s="42">
        <f t="shared" si="8"/>
        <v>548</v>
      </c>
      <c r="R64" s="42" t="str">
        <f t="shared" si="9"/>
        <v>6</v>
      </c>
      <c r="S64" s="42" t="str">
        <f t="shared" si="10"/>
        <v>3</v>
      </c>
      <c r="T64" s="42">
        <f t="shared" si="11"/>
        <v>2</v>
      </c>
      <c r="U64" s="42">
        <f t="shared" si="12"/>
        <v>89</v>
      </c>
      <c r="V64" s="42">
        <f t="shared" si="13"/>
        <v>3183</v>
      </c>
      <c r="W64" s="42">
        <f t="shared" si="14"/>
        <v>49.316801509098106</v>
      </c>
      <c r="X64" s="42">
        <f t="shared" si="15"/>
        <v>0.18825987366070532</v>
      </c>
    </row>
    <row r="65" spans="1:24" x14ac:dyDescent="0.2">
      <c r="A65" s="49">
        <v>63</v>
      </c>
      <c r="B65" s="49">
        <v>64</v>
      </c>
      <c r="C65" s="49">
        <v>0.2576</v>
      </c>
      <c r="D65" s="49">
        <v>0.32</v>
      </c>
      <c r="E65" s="49">
        <v>0.1045</v>
      </c>
      <c r="F65" s="49">
        <v>9</v>
      </c>
      <c r="G65" s="49">
        <v>148</v>
      </c>
      <c r="H65" s="49">
        <v>157</v>
      </c>
      <c r="I65" s="42">
        <f t="shared" si="0"/>
        <v>103.46427000000001</v>
      </c>
      <c r="J65" s="42">
        <f t="shared" si="1"/>
        <v>0.1891485740402194</v>
      </c>
      <c r="K65" s="42">
        <f t="shared" si="2"/>
        <v>547</v>
      </c>
      <c r="L65" s="42">
        <f t="shared" si="3"/>
        <v>301.28000000000048</v>
      </c>
      <c r="M65" s="42">
        <f t="shared" si="4"/>
        <v>0.55078610603290767</v>
      </c>
      <c r="N65" s="42">
        <f t="shared" si="5"/>
        <v>547</v>
      </c>
      <c r="O65" s="42">
        <f t="shared" si="6"/>
        <v>31166</v>
      </c>
      <c r="P65" s="42">
        <f t="shared" si="7"/>
        <v>56.976234003656309</v>
      </c>
      <c r="Q65" s="42">
        <f t="shared" si="8"/>
        <v>547</v>
      </c>
      <c r="R65" s="42" t="str">
        <f t="shared" si="9"/>
        <v>6</v>
      </c>
      <c r="S65" s="42" t="str">
        <f t="shared" si="10"/>
        <v>4</v>
      </c>
      <c r="T65" s="42">
        <f t="shared" si="11"/>
        <v>2</v>
      </c>
      <c r="U65" s="42">
        <f t="shared" si="12"/>
        <v>89</v>
      </c>
      <c r="V65" s="42">
        <f t="shared" si="13"/>
        <v>3183</v>
      </c>
      <c r="W65" s="42">
        <f t="shared" si="14"/>
        <v>49.316801509098106</v>
      </c>
      <c r="X65" s="42">
        <f t="shared" si="15"/>
        <v>0.18825987366070532</v>
      </c>
    </row>
    <row r="66" spans="1:24" x14ac:dyDescent="0.2">
      <c r="A66" s="49">
        <v>64</v>
      </c>
      <c r="B66" s="49">
        <v>65</v>
      </c>
      <c r="C66" s="49">
        <v>0.2576</v>
      </c>
      <c r="D66" s="49">
        <v>0.47</v>
      </c>
      <c r="E66" s="49">
        <v>0</v>
      </c>
      <c r="F66" s="49">
        <v>8</v>
      </c>
      <c r="G66" s="49">
        <v>102</v>
      </c>
      <c r="H66" s="49">
        <v>110</v>
      </c>
      <c r="I66" s="42">
        <f t="shared" si="0"/>
        <v>103.20667000000002</v>
      </c>
      <c r="J66" s="42">
        <f t="shared" si="1"/>
        <v>0.18902320512820517</v>
      </c>
      <c r="K66" s="42">
        <f t="shared" si="2"/>
        <v>546</v>
      </c>
      <c r="L66" s="42">
        <f t="shared" si="3"/>
        <v>300.96000000000049</v>
      </c>
      <c r="M66" s="42">
        <f t="shared" si="4"/>
        <v>0.55120879120879207</v>
      </c>
      <c r="N66" s="42">
        <f t="shared" si="5"/>
        <v>546</v>
      </c>
      <c r="O66" s="42">
        <f t="shared" si="6"/>
        <v>31009</v>
      </c>
      <c r="P66" s="42">
        <f t="shared" si="7"/>
        <v>56.793040293040292</v>
      </c>
      <c r="Q66" s="42">
        <f t="shared" si="8"/>
        <v>546</v>
      </c>
      <c r="R66" s="42" t="str">
        <f t="shared" si="9"/>
        <v>6</v>
      </c>
      <c r="S66" s="42" t="str">
        <f t="shared" si="10"/>
        <v>5</v>
      </c>
      <c r="T66" s="42">
        <f t="shared" si="11"/>
        <v>2</v>
      </c>
      <c r="U66" s="42">
        <f t="shared" si="12"/>
        <v>89</v>
      </c>
      <c r="V66" s="42">
        <f t="shared" si="13"/>
        <v>3183</v>
      </c>
      <c r="W66" s="42">
        <f t="shared" si="14"/>
        <v>49.316801509098106</v>
      </c>
      <c r="X66" s="42">
        <f t="shared" si="15"/>
        <v>0.18825987366070532</v>
      </c>
    </row>
    <row r="67" spans="1:24" x14ac:dyDescent="0.2">
      <c r="A67" s="49">
        <v>65</v>
      </c>
      <c r="B67" s="49">
        <v>66</v>
      </c>
      <c r="C67" s="42">
        <v>0.199935</v>
      </c>
      <c r="D67" s="49">
        <v>0.47</v>
      </c>
      <c r="E67" s="49">
        <v>0.1045</v>
      </c>
      <c r="F67" s="49">
        <v>3</v>
      </c>
      <c r="G67" s="49">
        <v>49</v>
      </c>
      <c r="H67" s="49">
        <v>52</v>
      </c>
      <c r="I67" s="42">
        <f t="shared" ref="I67:I130" si="16">SUM(C67:C676)</f>
        <v>102.94907000000001</v>
      </c>
      <c r="J67" s="42">
        <f t="shared" ref="J67:J130" si="17">AVERAGE(C67:C676)</f>
        <v>0.188897376146789</v>
      </c>
      <c r="K67" s="42">
        <f t="shared" ref="K67:K130" si="18">COUNT(C67:C676)</f>
        <v>545</v>
      </c>
      <c r="L67" s="42">
        <f t="shared" ref="L67:L130" si="19">SUM(D67:D676)</f>
        <v>300.49000000000046</v>
      </c>
      <c r="M67" s="42">
        <f t="shared" ref="M67:M130" si="20">AVERAGE(D67:D676)</f>
        <v>0.55135779816513841</v>
      </c>
      <c r="N67" s="42">
        <f t="shared" ref="N67:N130" si="21">COUNT(D67:D676)</f>
        <v>545</v>
      </c>
      <c r="O67" s="42">
        <f t="shared" ref="O67:O130" si="22">SUM(H67:H676)</f>
        <v>30899</v>
      </c>
      <c r="P67" s="42">
        <f t="shared" ref="P67:P130" si="23">AVERAGE(H67:H676)</f>
        <v>56.695412844036696</v>
      </c>
      <c r="Q67" s="42">
        <f t="shared" ref="Q67:Q130" si="24">COUNT(H67:H676)</f>
        <v>545</v>
      </c>
      <c r="R67" s="42" t="str">
        <f t="shared" ref="R67:R130" si="25">LEFT(B67,1)</f>
        <v>6</v>
      </c>
      <c r="S67" s="42" t="str">
        <f t="shared" ref="S67:S130" si="26">RIGHT(B67,1)</f>
        <v>6</v>
      </c>
      <c r="T67" s="42">
        <f t="shared" ref="T67:T130" si="27">LEN(B67)</f>
        <v>2</v>
      </c>
      <c r="U67" s="42">
        <f t="shared" ref="U67:U130" si="28">COUNTIF(H:H,"&gt;100")</f>
        <v>89</v>
      </c>
      <c r="V67" s="42">
        <f t="shared" ref="V67:V130" si="29">SUMIF(D:D,"&gt;0.8",H:H)</f>
        <v>3183</v>
      </c>
      <c r="W67" s="42">
        <f t="shared" ref="W67:W130" si="30">STDEV(H:H)</f>
        <v>49.316801509098106</v>
      </c>
      <c r="X67" s="42">
        <f t="shared" ref="X67:X130" si="31">CORREL(C:C,H:H)</f>
        <v>0.18825987366070532</v>
      </c>
    </row>
    <row r="68" spans="1:24" x14ac:dyDescent="0.2">
      <c r="A68" s="49">
        <v>66</v>
      </c>
      <c r="B68" s="49">
        <v>67</v>
      </c>
      <c r="C68" s="49">
        <v>0.19700000000000001</v>
      </c>
      <c r="D68" s="49">
        <v>0.64</v>
      </c>
      <c r="E68" s="49">
        <v>0.1343</v>
      </c>
      <c r="F68" s="49">
        <v>3</v>
      </c>
      <c r="G68" s="49">
        <v>49</v>
      </c>
      <c r="H68" s="49">
        <v>52</v>
      </c>
      <c r="I68" s="42">
        <f t="shared" si="16"/>
        <v>102.74913500000001</v>
      </c>
      <c r="J68" s="42">
        <f t="shared" si="17"/>
        <v>0.18887708639705883</v>
      </c>
      <c r="K68" s="42">
        <f t="shared" si="18"/>
        <v>544</v>
      </c>
      <c r="L68" s="42">
        <f t="shared" si="19"/>
        <v>300.02000000000049</v>
      </c>
      <c r="M68" s="42">
        <f t="shared" si="20"/>
        <v>0.55150735294117736</v>
      </c>
      <c r="N68" s="42">
        <f t="shared" si="21"/>
        <v>544</v>
      </c>
      <c r="O68" s="42">
        <f t="shared" si="22"/>
        <v>30847</v>
      </c>
      <c r="P68" s="42">
        <f t="shared" si="23"/>
        <v>56.704044117647058</v>
      </c>
      <c r="Q68" s="42">
        <f t="shared" si="24"/>
        <v>544</v>
      </c>
      <c r="R68" s="42" t="str">
        <f t="shared" si="25"/>
        <v>6</v>
      </c>
      <c r="S68" s="42" t="str">
        <f t="shared" si="26"/>
        <v>7</v>
      </c>
      <c r="T68" s="42">
        <f t="shared" si="27"/>
        <v>2</v>
      </c>
      <c r="U68" s="42">
        <f t="shared" si="28"/>
        <v>89</v>
      </c>
      <c r="V68" s="42">
        <f t="shared" si="29"/>
        <v>3183</v>
      </c>
      <c r="W68" s="42">
        <f t="shared" si="30"/>
        <v>49.316801509098106</v>
      </c>
      <c r="X68" s="42">
        <f t="shared" si="31"/>
        <v>0.18825987366070532</v>
      </c>
    </row>
    <row r="69" spans="1:24" x14ac:dyDescent="0.2">
      <c r="A69" s="49">
        <v>67</v>
      </c>
      <c r="B69" s="49">
        <v>68</v>
      </c>
      <c r="C69" s="49">
        <v>0.1515</v>
      </c>
      <c r="D69" s="49">
        <v>0.69</v>
      </c>
      <c r="E69" s="49">
        <v>0.1343</v>
      </c>
      <c r="F69" s="49">
        <v>0</v>
      </c>
      <c r="G69" s="49">
        <v>20</v>
      </c>
      <c r="H69" s="49">
        <v>20</v>
      </c>
      <c r="I69" s="42">
        <f t="shared" si="16"/>
        <v>102.55213500000001</v>
      </c>
      <c r="J69" s="42">
        <f t="shared" si="17"/>
        <v>0.1888621270718232</v>
      </c>
      <c r="K69" s="42">
        <f t="shared" si="18"/>
        <v>543</v>
      </c>
      <c r="L69" s="42">
        <f t="shared" si="19"/>
        <v>299.38000000000045</v>
      </c>
      <c r="M69" s="42">
        <f t="shared" si="20"/>
        <v>0.5513443830570911</v>
      </c>
      <c r="N69" s="42">
        <f t="shared" si="21"/>
        <v>543</v>
      </c>
      <c r="O69" s="42">
        <f t="shared" si="22"/>
        <v>30795</v>
      </c>
      <c r="P69" s="42">
        <f t="shared" si="23"/>
        <v>56.712707182320443</v>
      </c>
      <c r="Q69" s="42">
        <f t="shared" si="24"/>
        <v>543</v>
      </c>
      <c r="R69" s="42" t="str">
        <f t="shared" si="25"/>
        <v>6</v>
      </c>
      <c r="S69" s="42" t="str">
        <f t="shared" si="26"/>
        <v>8</v>
      </c>
      <c r="T69" s="42">
        <f t="shared" si="27"/>
        <v>2</v>
      </c>
      <c r="U69" s="42">
        <f t="shared" si="28"/>
        <v>89</v>
      </c>
      <c r="V69" s="42">
        <f t="shared" si="29"/>
        <v>3183</v>
      </c>
      <c r="W69" s="42">
        <f t="shared" si="30"/>
        <v>49.316801509098106</v>
      </c>
      <c r="X69" s="42">
        <f t="shared" si="31"/>
        <v>0.18825987366070532</v>
      </c>
    </row>
    <row r="70" spans="1:24" x14ac:dyDescent="0.2">
      <c r="A70" s="49">
        <v>68</v>
      </c>
      <c r="B70" s="49">
        <v>69</v>
      </c>
      <c r="C70" s="49">
        <v>0.21210000000000001</v>
      </c>
      <c r="D70" s="49">
        <v>0.55000000000000004</v>
      </c>
      <c r="E70" s="49">
        <v>0.1045</v>
      </c>
      <c r="F70" s="49">
        <v>1</v>
      </c>
      <c r="G70" s="49">
        <v>11</v>
      </c>
      <c r="H70" s="49">
        <v>12</v>
      </c>
      <c r="I70" s="42">
        <f t="shared" si="16"/>
        <v>102.40063500000001</v>
      </c>
      <c r="J70" s="42">
        <f t="shared" si="17"/>
        <v>0.18893106088560888</v>
      </c>
      <c r="K70" s="42">
        <f t="shared" si="18"/>
        <v>542</v>
      </c>
      <c r="L70" s="42">
        <f t="shared" si="19"/>
        <v>298.69000000000045</v>
      </c>
      <c r="M70" s="42">
        <f t="shared" si="20"/>
        <v>0.55108856088560965</v>
      </c>
      <c r="N70" s="42">
        <f t="shared" si="21"/>
        <v>542</v>
      </c>
      <c r="O70" s="42">
        <f t="shared" si="22"/>
        <v>30775</v>
      </c>
      <c r="P70" s="42">
        <f t="shared" si="23"/>
        <v>56.780442804428041</v>
      </c>
      <c r="Q70" s="42">
        <f t="shared" si="24"/>
        <v>542</v>
      </c>
      <c r="R70" s="42" t="str">
        <f t="shared" si="25"/>
        <v>6</v>
      </c>
      <c r="S70" s="42" t="str">
        <f t="shared" si="26"/>
        <v>9</v>
      </c>
      <c r="T70" s="42">
        <f t="shared" si="27"/>
        <v>2</v>
      </c>
      <c r="U70" s="42">
        <f t="shared" si="28"/>
        <v>89</v>
      </c>
      <c r="V70" s="42">
        <f t="shared" si="29"/>
        <v>3183</v>
      </c>
      <c r="W70" s="42">
        <f t="shared" si="30"/>
        <v>49.316801509098106</v>
      </c>
      <c r="X70" s="42">
        <f t="shared" si="31"/>
        <v>0.18825987366070532</v>
      </c>
    </row>
    <row r="71" spans="1:24" x14ac:dyDescent="0.2">
      <c r="A71" s="49">
        <v>69</v>
      </c>
      <c r="B71" s="49">
        <v>70</v>
      </c>
      <c r="C71" s="42">
        <v>0.199935</v>
      </c>
      <c r="D71" s="49">
        <v>0.55000000000000004</v>
      </c>
      <c r="E71" s="49">
        <v>0.1045</v>
      </c>
      <c r="F71" s="49">
        <v>0</v>
      </c>
      <c r="G71" s="49">
        <v>5</v>
      </c>
      <c r="H71" s="49">
        <v>5</v>
      </c>
      <c r="I71" s="42">
        <f t="shared" si="16"/>
        <v>102.18853499999999</v>
      </c>
      <c r="J71" s="42">
        <f t="shared" si="17"/>
        <v>0.1888882347504621</v>
      </c>
      <c r="K71" s="42">
        <f t="shared" si="18"/>
        <v>541</v>
      </c>
      <c r="L71" s="42">
        <f t="shared" si="19"/>
        <v>298.14000000000044</v>
      </c>
      <c r="M71" s="42">
        <f t="shared" si="20"/>
        <v>0.55109057301293984</v>
      </c>
      <c r="N71" s="42">
        <f t="shared" si="21"/>
        <v>541</v>
      </c>
      <c r="O71" s="42">
        <f t="shared" si="22"/>
        <v>30763</v>
      </c>
      <c r="P71" s="42">
        <f t="shared" si="23"/>
        <v>56.863216266173751</v>
      </c>
      <c r="Q71" s="42">
        <f t="shared" si="24"/>
        <v>541</v>
      </c>
      <c r="R71" s="42" t="str">
        <f t="shared" si="25"/>
        <v>7</v>
      </c>
      <c r="S71" s="42" t="str">
        <f t="shared" si="26"/>
        <v>0</v>
      </c>
      <c r="T71" s="42">
        <f t="shared" si="27"/>
        <v>2</v>
      </c>
      <c r="U71" s="42">
        <f t="shared" si="28"/>
        <v>89</v>
      </c>
      <c r="V71" s="42">
        <f t="shared" si="29"/>
        <v>3183</v>
      </c>
      <c r="W71" s="42">
        <f t="shared" si="30"/>
        <v>49.316801509098106</v>
      </c>
      <c r="X71" s="42">
        <f t="shared" si="31"/>
        <v>0.18825987366070532</v>
      </c>
    </row>
    <row r="72" spans="1:24" x14ac:dyDescent="0.2">
      <c r="A72" s="49">
        <v>70</v>
      </c>
      <c r="B72" s="49">
        <v>71</v>
      </c>
      <c r="C72" s="49">
        <v>0.18179999999999999</v>
      </c>
      <c r="D72" s="49">
        <v>0.59</v>
      </c>
      <c r="E72" s="49">
        <v>0.1045</v>
      </c>
      <c r="F72" s="49">
        <v>0</v>
      </c>
      <c r="G72" s="49">
        <v>2</v>
      </c>
      <c r="H72" s="49">
        <v>2</v>
      </c>
      <c r="I72" s="42">
        <f t="shared" si="16"/>
        <v>101.98859999999999</v>
      </c>
      <c r="J72" s="42">
        <f t="shared" si="17"/>
        <v>0.18886777777777777</v>
      </c>
      <c r="K72" s="42">
        <f t="shared" si="18"/>
        <v>540</v>
      </c>
      <c r="L72" s="42">
        <f t="shared" si="19"/>
        <v>297.59000000000043</v>
      </c>
      <c r="M72" s="42">
        <f t="shared" si="20"/>
        <v>0.55109259259259336</v>
      </c>
      <c r="N72" s="42">
        <f t="shared" si="21"/>
        <v>540</v>
      </c>
      <c r="O72" s="42">
        <f t="shared" si="22"/>
        <v>30758</v>
      </c>
      <c r="P72" s="42">
        <f t="shared" si="23"/>
        <v>56.959259259259262</v>
      </c>
      <c r="Q72" s="42">
        <f t="shared" si="24"/>
        <v>540</v>
      </c>
      <c r="R72" s="42" t="str">
        <f t="shared" si="25"/>
        <v>7</v>
      </c>
      <c r="S72" s="42" t="str">
        <f t="shared" si="26"/>
        <v>1</v>
      </c>
      <c r="T72" s="42">
        <f t="shared" si="27"/>
        <v>2</v>
      </c>
      <c r="U72" s="42">
        <f t="shared" si="28"/>
        <v>89</v>
      </c>
      <c r="V72" s="42">
        <f t="shared" si="29"/>
        <v>3183</v>
      </c>
      <c r="W72" s="42">
        <f t="shared" si="30"/>
        <v>49.316801509098106</v>
      </c>
      <c r="X72" s="42">
        <f t="shared" si="31"/>
        <v>0.18825987366070532</v>
      </c>
    </row>
    <row r="73" spans="1:24" x14ac:dyDescent="0.2">
      <c r="A73" s="49">
        <v>71</v>
      </c>
      <c r="B73" s="49">
        <v>72</v>
      </c>
      <c r="C73" s="49">
        <v>0.1515</v>
      </c>
      <c r="D73" s="49">
        <v>0.63</v>
      </c>
      <c r="E73" s="49">
        <v>0.1343</v>
      </c>
      <c r="F73" s="49">
        <v>0</v>
      </c>
      <c r="G73" s="49">
        <v>1</v>
      </c>
      <c r="H73" s="49">
        <v>1</v>
      </c>
      <c r="I73" s="42">
        <f t="shared" si="16"/>
        <v>101.8068</v>
      </c>
      <c r="J73" s="42">
        <f t="shared" si="17"/>
        <v>0.18888089053803339</v>
      </c>
      <c r="K73" s="42">
        <f t="shared" si="18"/>
        <v>539</v>
      </c>
      <c r="L73" s="42">
        <f t="shared" si="19"/>
        <v>297.00000000000045</v>
      </c>
      <c r="M73" s="42">
        <f t="shared" si="20"/>
        <v>0.55102040816326614</v>
      </c>
      <c r="N73" s="42">
        <f t="shared" si="21"/>
        <v>539</v>
      </c>
      <c r="O73" s="42">
        <f t="shared" si="22"/>
        <v>30756</v>
      </c>
      <c r="P73" s="42">
        <f t="shared" si="23"/>
        <v>57.061224489795919</v>
      </c>
      <c r="Q73" s="42">
        <f t="shared" si="24"/>
        <v>539</v>
      </c>
      <c r="R73" s="42" t="str">
        <f t="shared" si="25"/>
        <v>7</v>
      </c>
      <c r="S73" s="42" t="str">
        <f t="shared" si="26"/>
        <v>2</v>
      </c>
      <c r="T73" s="42">
        <f t="shared" si="27"/>
        <v>2</v>
      </c>
      <c r="U73" s="42">
        <f t="shared" si="28"/>
        <v>89</v>
      </c>
      <c r="V73" s="42">
        <f t="shared" si="29"/>
        <v>3183</v>
      </c>
      <c r="W73" s="42">
        <f t="shared" si="30"/>
        <v>49.316801509098106</v>
      </c>
      <c r="X73" s="42">
        <f t="shared" si="31"/>
        <v>0.18825987366070532</v>
      </c>
    </row>
    <row r="74" spans="1:24" x14ac:dyDescent="0.2">
      <c r="A74" s="49">
        <v>72</v>
      </c>
      <c r="B74" s="49">
        <v>73</v>
      </c>
      <c r="C74" s="49">
        <v>0.18179999999999999</v>
      </c>
      <c r="D74" s="49">
        <v>0.63</v>
      </c>
      <c r="E74" s="49">
        <v>8.9599999999999999E-2</v>
      </c>
      <c r="F74" s="49">
        <v>0</v>
      </c>
      <c r="G74" s="49">
        <v>2</v>
      </c>
      <c r="H74" s="49">
        <v>2</v>
      </c>
      <c r="I74" s="42">
        <f t="shared" si="16"/>
        <v>101.6553</v>
      </c>
      <c r="J74" s="42">
        <f t="shared" si="17"/>
        <v>0.18895037174721188</v>
      </c>
      <c r="K74" s="42">
        <f t="shared" si="18"/>
        <v>538</v>
      </c>
      <c r="L74" s="42">
        <f t="shared" si="19"/>
        <v>296.37000000000046</v>
      </c>
      <c r="M74" s="42">
        <f t="shared" si="20"/>
        <v>0.5508736059479562</v>
      </c>
      <c r="N74" s="42">
        <f t="shared" si="21"/>
        <v>538</v>
      </c>
      <c r="O74" s="42">
        <f t="shared" si="22"/>
        <v>30755</v>
      </c>
      <c r="P74" s="42">
        <f t="shared" si="23"/>
        <v>57.165427509293679</v>
      </c>
      <c r="Q74" s="42">
        <f t="shared" si="24"/>
        <v>538</v>
      </c>
      <c r="R74" s="42" t="str">
        <f t="shared" si="25"/>
        <v>7</v>
      </c>
      <c r="S74" s="42" t="str">
        <f t="shared" si="26"/>
        <v>3</v>
      </c>
      <c r="T74" s="42">
        <f t="shared" si="27"/>
        <v>2</v>
      </c>
      <c r="U74" s="42">
        <f t="shared" si="28"/>
        <v>89</v>
      </c>
      <c r="V74" s="42">
        <f t="shared" si="29"/>
        <v>3183</v>
      </c>
      <c r="W74" s="42">
        <f t="shared" si="30"/>
        <v>49.316801509098106</v>
      </c>
      <c r="X74" s="42">
        <f t="shared" si="31"/>
        <v>0.18825987366070532</v>
      </c>
    </row>
    <row r="75" spans="1:24" x14ac:dyDescent="0.2">
      <c r="A75" s="49">
        <v>73</v>
      </c>
      <c r="B75" s="49">
        <v>74</v>
      </c>
      <c r="C75" s="49">
        <v>0.1515</v>
      </c>
      <c r="D75" s="49">
        <v>0.68</v>
      </c>
      <c r="E75" s="49">
        <v>0.1045</v>
      </c>
      <c r="F75" s="49">
        <v>0</v>
      </c>
      <c r="G75" s="49">
        <v>4</v>
      </c>
      <c r="H75" s="49">
        <v>4</v>
      </c>
      <c r="I75" s="42">
        <f t="shared" si="16"/>
        <v>101.47349999999999</v>
      </c>
      <c r="J75" s="42">
        <f t="shared" si="17"/>
        <v>0.18896368715083797</v>
      </c>
      <c r="K75" s="42">
        <f t="shared" si="18"/>
        <v>537</v>
      </c>
      <c r="L75" s="42">
        <f t="shared" si="19"/>
        <v>295.74000000000052</v>
      </c>
      <c r="M75" s="42">
        <f t="shared" si="20"/>
        <v>0.55072625698324118</v>
      </c>
      <c r="N75" s="42">
        <f t="shared" si="21"/>
        <v>537</v>
      </c>
      <c r="O75" s="42">
        <f t="shared" si="22"/>
        <v>30753</v>
      </c>
      <c r="P75" s="42">
        <f t="shared" si="23"/>
        <v>57.268156424581008</v>
      </c>
      <c r="Q75" s="42">
        <f t="shared" si="24"/>
        <v>537</v>
      </c>
      <c r="R75" s="42" t="str">
        <f t="shared" si="25"/>
        <v>7</v>
      </c>
      <c r="S75" s="42" t="str">
        <f t="shared" si="26"/>
        <v>4</v>
      </c>
      <c r="T75" s="42">
        <f t="shared" si="27"/>
        <v>2</v>
      </c>
      <c r="U75" s="42">
        <f t="shared" si="28"/>
        <v>89</v>
      </c>
      <c r="V75" s="42">
        <f t="shared" si="29"/>
        <v>3183</v>
      </c>
      <c r="W75" s="42">
        <f t="shared" si="30"/>
        <v>49.316801509098106</v>
      </c>
      <c r="X75" s="42">
        <f t="shared" si="31"/>
        <v>0.18825987366070532</v>
      </c>
    </row>
    <row r="76" spans="1:24" x14ac:dyDescent="0.2">
      <c r="A76" s="49">
        <v>74</v>
      </c>
      <c r="B76" s="49">
        <v>75</v>
      </c>
      <c r="C76" s="49">
        <v>0.1515</v>
      </c>
      <c r="D76" s="49">
        <v>0.74</v>
      </c>
      <c r="E76" s="49">
        <v>0.1045</v>
      </c>
      <c r="F76" s="49">
        <v>0</v>
      </c>
      <c r="G76" s="49">
        <v>36</v>
      </c>
      <c r="H76" s="49">
        <v>36</v>
      </c>
      <c r="I76" s="42">
        <f t="shared" si="16"/>
        <v>101.32199999999999</v>
      </c>
      <c r="J76" s="42">
        <f t="shared" si="17"/>
        <v>0.1890335820895522</v>
      </c>
      <c r="K76" s="42">
        <f t="shared" si="18"/>
        <v>536</v>
      </c>
      <c r="L76" s="42">
        <f t="shared" si="19"/>
        <v>295.06000000000046</v>
      </c>
      <c r="M76" s="42">
        <f t="shared" si="20"/>
        <v>0.55048507462686658</v>
      </c>
      <c r="N76" s="42">
        <f t="shared" si="21"/>
        <v>536</v>
      </c>
      <c r="O76" s="42">
        <f t="shared" si="22"/>
        <v>30749</v>
      </c>
      <c r="P76" s="42">
        <f t="shared" si="23"/>
        <v>57.367537313432834</v>
      </c>
      <c r="Q76" s="42">
        <f t="shared" si="24"/>
        <v>536</v>
      </c>
      <c r="R76" s="42" t="str">
        <f t="shared" si="25"/>
        <v>7</v>
      </c>
      <c r="S76" s="42" t="str">
        <f t="shared" si="26"/>
        <v>5</v>
      </c>
      <c r="T76" s="42">
        <f t="shared" si="27"/>
        <v>2</v>
      </c>
      <c r="U76" s="42">
        <f t="shared" si="28"/>
        <v>89</v>
      </c>
      <c r="V76" s="42">
        <f t="shared" si="29"/>
        <v>3183</v>
      </c>
      <c r="W76" s="42">
        <f t="shared" si="30"/>
        <v>49.316801509098106</v>
      </c>
      <c r="X76" s="42">
        <f t="shared" si="31"/>
        <v>0.18825987366070532</v>
      </c>
    </row>
    <row r="77" spans="1:24" x14ac:dyDescent="0.2">
      <c r="A77" s="49">
        <v>75</v>
      </c>
      <c r="B77" s="49">
        <v>76</v>
      </c>
      <c r="C77" s="49">
        <v>0.1515</v>
      </c>
      <c r="D77" s="49">
        <v>0.74</v>
      </c>
      <c r="E77" s="49">
        <v>0.1343</v>
      </c>
      <c r="F77" s="49">
        <v>2</v>
      </c>
      <c r="G77" s="49">
        <v>92</v>
      </c>
      <c r="H77" s="49">
        <v>94</v>
      </c>
      <c r="I77" s="42">
        <f t="shared" si="16"/>
        <v>101.17049999999999</v>
      </c>
      <c r="J77" s="42">
        <f t="shared" si="17"/>
        <v>0.18910373831775698</v>
      </c>
      <c r="K77" s="42">
        <f t="shared" si="18"/>
        <v>535</v>
      </c>
      <c r="L77" s="42">
        <f t="shared" si="19"/>
        <v>294.32000000000039</v>
      </c>
      <c r="M77" s="42">
        <f t="shared" si="20"/>
        <v>0.55013084112149602</v>
      </c>
      <c r="N77" s="42">
        <f t="shared" si="21"/>
        <v>535</v>
      </c>
      <c r="O77" s="42">
        <f t="shared" si="22"/>
        <v>30713</v>
      </c>
      <c r="P77" s="42">
        <f t="shared" si="23"/>
        <v>57.407476635514016</v>
      </c>
      <c r="Q77" s="42">
        <f t="shared" si="24"/>
        <v>535</v>
      </c>
      <c r="R77" s="42" t="str">
        <f t="shared" si="25"/>
        <v>7</v>
      </c>
      <c r="S77" s="42" t="str">
        <f t="shared" si="26"/>
        <v>6</v>
      </c>
      <c r="T77" s="42">
        <f t="shared" si="27"/>
        <v>2</v>
      </c>
      <c r="U77" s="42">
        <f t="shared" si="28"/>
        <v>89</v>
      </c>
      <c r="V77" s="42">
        <f t="shared" si="29"/>
        <v>3183</v>
      </c>
      <c r="W77" s="42">
        <f t="shared" si="30"/>
        <v>49.316801509098106</v>
      </c>
      <c r="X77" s="42">
        <f t="shared" si="31"/>
        <v>0.18825987366070532</v>
      </c>
    </row>
    <row r="78" spans="1:24" x14ac:dyDescent="0.2">
      <c r="A78" s="49">
        <v>76</v>
      </c>
      <c r="B78" s="49">
        <v>77</v>
      </c>
      <c r="C78" s="49">
        <v>0.1515</v>
      </c>
      <c r="D78" s="49">
        <v>0.69</v>
      </c>
      <c r="E78" s="49">
        <v>0.16420000000000001</v>
      </c>
      <c r="F78" s="49">
        <v>2</v>
      </c>
      <c r="G78" s="49">
        <v>177</v>
      </c>
      <c r="H78" s="49">
        <v>179</v>
      </c>
      <c r="I78" s="42">
        <f t="shared" si="16"/>
        <v>101.01899999999999</v>
      </c>
      <c r="J78" s="42">
        <f t="shared" si="17"/>
        <v>0.18917415730337078</v>
      </c>
      <c r="K78" s="42">
        <f t="shared" si="18"/>
        <v>534</v>
      </c>
      <c r="L78" s="42">
        <f t="shared" si="19"/>
        <v>293.58000000000038</v>
      </c>
      <c r="M78" s="42">
        <f t="shared" si="20"/>
        <v>0.54977528089887717</v>
      </c>
      <c r="N78" s="42">
        <f t="shared" si="21"/>
        <v>534</v>
      </c>
      <c r="O78" s="42">
        <f t="shared" si="22"/>
        <v>30619</v>
      </c>
      <c r="P78" s="42">
        <f t="shared" si="23"/>
        <v>57.338951310861425</v>
      </c>
      <c r="Q78" s="42">
        <f t="shared" si="24"/>
        <v>534</v>
      </c>
      <c r="R78" s="42" t="str">
        <f t="shared" si="25"/>
        <v>7</v>
      </c>
      <c r="S78" s="42" t="str">
        <f t="shared" si="26"/>
        <v>7</v>
      </c>
      <c r="T78" s="42">
        <f t="shared" si="27"/>
        <v>2</v>
      </c>
      <c r="U78" s="42">
        <f t="shared" si="28"/>
        <v>89</v>
      </c>
      <c r="V78" s="42">
        <f t="shared" si="29"/>
        <v>3183</v>
      </c>
      <c r="W78" s="42">
        <f t="shared" si="30"/>
        <v>49.316801509098106</v>
      </c>
      <c r="X78" s="42">
        <f t="shared" si="31"/>
        <v>0.18825987366070532</v>
      </c>
    </row>
    <row r="79" spans="1:24" x14ac:dyDescent="0.2">
      <c r="A79" s="49">
        <v>77</v>
      </c>
      <c r="B79" s="49">
        <v>78</v>
      </c>
      <c r="C79" s="49">
        <v>0.1515</v>
      </c>
      <c r="D79" s="49">
        <v>0.64</v>
      </c>
      <c r="E79" s="49">
        <v>0.22389999999999999</v>
      </c>
      <c r="F79" s="49">
        <v>2</v>
      </c>
      <c r="G79" s="49">
        <v>98</v>
      </c>
      <c r="H79" s="49">
        <v>100</v>
      </c>
      <c r="I79" s="42">
        <f t="shared" si="16"/>
        <v>100.86749999999999</v>
      </c>
      <c r="J79" s="42">
        <f t="shared" si="17"/>
        <v>0.18924484052532831</v>
      </c>
      <c r="K79" s="42">
        <f t="shared" si="18"/>
        <v>533</v>
      </c>
      <c r="L79" s="42">
        <f t="shared" si="19"/>
        <v>292.89000000000044</v>
      </c>
      <c r="M79" s="42">
        <f t="shared" si="20"/>
        <v>0.54951219512195204</v>
      </c>
      <c r="N79" s="42">
        <f t="shared" si="21"/>
        <v>533</v>
      </c>
      <c r="O79" s="42">
        <f t="shared" si="22"/>
        <v>30440</v>
      </c>
      <c r="P79" s="42">
        <f t="shared" si="23"/>
        <v>57.110694183864915</v>
      </c>
      <c r="Q79" s="42">
        <f t="shared" si="24"/>
        <v>533</v>
      </c>
      <c r="R79" s="42" t="str">
        <f t="shared" si="25"/>
        <v>7</v>
      </c>
      <c r="S79" s="42" t="str">
        <f t="shared" si="26"/>
        <v>8</v>
      </c>
      <c r="T79" s="42">
        <f t="shared" si="27"/>
        <v>2</v>
      </c>
      <c r="U79" s="42">
        <f t="shared" si="28"/>
        <v>89</v>
      </c>
      <c r="V79" s="42">
        <f t="shared" si="29"/>
        <v>3183</v>
      </c>
      <c r="W79" s="42">
        <f t="shared" si="30"/>
        <v>49.316801509098106</v>
      </c>
      <c r="X79" s="42">
        <f t="shared" si="31"/>
        <v>0.18825987366070532</v>
      </c>
    </row>
    <row r="80" spans="1:24" x14ac:dyDescent="0.2">
      <c r="A80" s="49">
        <v>78</v>
      </c>
      <c r="B80" s="49">
        <v>79</v>
      </c>
      <c r="C80" s="49">
        <v>0.13639999999999999</v>
      </c>
      <c r="D80" s="49">
        <v>0.69</v>
      </c>
      <c r="E80" s="49">
        <v>0.32840000000000003</v>
      </c>
      <c r="F80" s="49">
        <v>5</v>
      </c>
      <c r="G80" s="49">
        <v>37</v>
      </c>
      <c r="H80" s="49">
        <v>42</v>
      </c>
      <c r="I80" s="42">
        <f t="shared" si="16"/>
        <v>100.71599999999999</v>
      </c>
      <c r="J80" s="42">
        <f t="shared" si="17"/>
        <v>0.18931578947368419</v>
      </c>
      <c r="K80" s="42">
        <f t="shared" si="18"/>
        <v>532</v>
      </c>
      <c r="L80" s="42">
        <f t="shared" si="19"/>
        <v>292.2500000000004</v>
      </c>
      <c r="M80" s="42">
        <f t="shared" si="20"/>
        <v>0.54934210526315863</v>
      </c>
      <c r="N80" s="42">
        <f t="shared" si="21"/>
        <v>532</v>
      </c>
      <c r="O80" s="42">
        <f t="shared" si="22"/>
        <v>30340</v>
      </c>
      <c r="P80" s="42">
        <f t="shared" si="23"/>
        <v>57.030075187969928</v>
      </c>
      <c r="Q80" s="42">
        <f t="shared" si="24"/>
        <v>532</v>
      </c>
      <c r="R80" s="42" t="str">
        <f t="shared" si="25"/>
        <v>7</v>
      </c>
      <c r="S80" s="42" t="str">
        <f t="shared" si="26"/>
        <v>9</v>
      </c>
      <c r="T80" s="42">
        <f t="shared" si="27"/>
        <v>2</v>
      </c>
      <c r="U80" s="42">
        <f t="shared" si="28"/>
        <v>89</v>
      </c>
      <c r="V80" s="42">
        <f t="shared" si="29"/>
        <v>3183</v>
      </c>
      <c r="W80" s="42">
        <f t="shared" si="30"/>
        <v>49.316801509098106</v>
      </c>
      <c r="X80" s="42">
        <f t="shared" si="31"/>
        <v>0.18825987366070532</v>
      </c>
    </row>
    <row r="81" spans="1:24" x14ac:dyDescent="0.2">
      <c r="A81" s="49">
        <v>79</v>
      </c>
      <c r="B81" s="49">
        <v>80</v>
      </c>
      <c r="C81" s="49">
        <v>0.21210000000000001</v>
      </c>
      <c r="D81" s="49">
        <v>0.51</v>
      </c>
      <c r="E81" s="49">
        <v>0.29849999999999999</v>
      </c>
      <c r="F81" s="49">
        <v>7</v>
      </c>
      <c r="G81" s="49">
        <v>50</v>
      </c>
      <c r="H81" s="49">
        <v>57</v>
      </c>
      <c r="I81" s="42">
        <f t="shared" si="16"/>
        <v>100.5796</v>
      </c>
      <c r="J81" s="42">
        <f t="shared" si="17"/>
        <v>0.18941544256120527</v>
      </c>
      <c r="K81" s="42">
        <f t="shared" si="18"/>
        <v>531</v>
      </c>
      <c r="L81" s="42">
        <f t="shared" si="19"/>
        <v>291.56000000000034</v>
      </c>
      <c r="M81" s="42">
        <f t="shared" si="20"/>
        <v>0.54907721280602706</v>
      </c>
      <c r="N81" s="42">
        <f t="shared" si="21"/>
        <v>531</v>
      </c>
      <c r="O81" s="42">
        <f t="shared" si="22"/>
        <v>30298</v>
      </c>
      <c r="P81" s="42">
        <f t="shared" si="23"/>
        <v>57.058380414312616</v>
      </c>
      <c r="Q81" s="42">
        <f t="shared" si="24"/>
        <v>531</v>
      </c>
      <c r="R81" s="42" t="str">
        <f t="shared" si="25"/>
        <v>8</v>
      </c>
      <c r="S81" s="42" t="str">
        <f t="shared" si="26"/>
        <v>0</v>
      </c>
      <c r="T81" s="42">
        <f t="shared" si="27"/>
        <v>2</v>
      </c>
      <c r="U81" s="42">
        <f t="shared" si="28"/>
        <v>89</v>
      </c>
      <c r="V81" s="42">
        <f t="shared" si="29"/>
        <v>3183</v>
      </c>
      <c r="W81" s="42">
        <f t="shared" si="30"/>
        <v>49.316801509098106</v>
      </c>
      <c r="X81" s="42">
        <f t="shared" si="31"/>
        <v>0.18825987366070532</v>
      </c>
    </row>
    <row r="82" spans="1:24" x14ac:dyDescent="0.2">
      <c r="A82" s="49">
        <v>80</v>
      </c>
      <c r="B82" s="49">
        <v>81</v>
      </c>
      <c r="C82" s="49">
        <v>0.2273</v>
      </c>
      <c r="D82" s="49">
        <v>0.51</v>
      </c>
      <c r="E82" s="49">
        <v>0.16420000000000001</v>
      </c>
      <c r="F82" s="49">
        <v>12</v>
      </c>
      <c r="G82" s="49">
        <v>66</v>
      </c>
      <c r="H82" s="49">
        <v>78</v>
      </c>
      <c r="I82" s="42">
        <f t="shared" si="16"/>
        <v>100.36749999999999</v>
      </c>
      <c r="J82" s="42">
        <f t="shared" si="17"/>
        <v>0.18937264150943395</v>
      </c>
      <c r="K82" s="42">
        <f t="shared" si="18"/>
        <v>530</v>
      </c>
      <c r="L82" s="42">
        <f t="shared" si="19"/>
        <v>291.05000000000035</v>
      </c>
      <c r="M82" s="42">
        <f t="shared" si="20"/>
        <v>0.54915094339622705</v>
      </c>
      <c r="N82" s="42">
        <f t="shared" si="21"/>
        <v>530</v>
      </c>
      <c r="O82" s="42">
        <f t="shared" si="22"/>
        <v>30241</v>
      </c>
      <c r="P82" s="42">
        <f t="shared" si="23"/>
        <v>57.058490566037733</v>
      </c>
      <c r="Q82" s="42">
        <f t="shared" si="24"/>
        <v>530</v>
      </c>
      <c r="R82" s="42" t="str">
        <f t="shared" si="25"/>
        <v>8</v>
      </c>
      <c r="S82" s="42" t="str">
        <f t="shared" si="26"/>
        <v>1</v>
      </c>
      <c r="T82" s="42">
        <f t="shared" si="27"/>
        <v>2</v>
      </c>
      <c r="U82" s="42">
        <f t="shared" si="28"/>
        <v>89</v>
      </c>
      <c r="V82" s="42">
        <f t="shared" si="29"/>
        <v>3183</v>
      </c>
      <c r="W82" s="42">
        <f t="shared" si="30"/>
        <v>49.316801509098106</v>
      </c>
      <c r="X82" s="42">
        <f t="shared" si="31"/>
        <v>0.18825987366070532</v>
      </c>
    </row>
    <row r="83" spans="1:24" x14ac:dyDescent="0.2">
      <c r="A83" s="49">
        <v>81</v>
      </c>
      <c r="B83" s="49">
        <v>82</v>
      </c>
      <c r="C83" s="49">
        <v>0.2273</v>
      </c>
      <c r="D83" s="49">
        <v>0.56000000000000005</v>
      </c>
      <c r="E83" s="49">
        <v>0.19400000000000001</v>
      </c>
      <c r="F83" s="49">
        <v>18</v>
      </c>
      <c r="G83" s="49">
        <v>79</v>
      </c>
      <c r="H83" s="49">
        <v>97</v>
      </c>
      <c r="I83" s="42">
        <f t="shared" si="16"/>
        <v>100.14019999999999</v>
      </c>
      <c r="J83" s="42">
        <f t="shared" si="17"/>
        <v>0.1893009451795841</v>
      </c>
      <c r="K83" s="42">
        <f t="shared" si="18"/>
        <v>529</v>
      </c>
      <c r="L83" s="42">
        <f t="shared" si="19"/>
        <v>290.54000000000036</v>
      </c>
      <c r="M83" s="42">
        <f t="shared" si="20"/>
        <v>0.54922495274102145</v>
      </c>
      <c r="N83" s="42">
        <f t="shared" si="21"/>
        <v>529</v>
      </c>
      <c r="O83" s="42">
        <f t="shared" si="22"/>
        <v>30163</v>
      </c>
      <c r="P83" s="42">
        <f t="shared" si="23"/>
        <v>57.018903591682417</v>
      </c>
      <c r="Q83" s="42">
        <f t="shared" si="24"/>
        <v>529</v>
      </c>
      <c r="R83" s="42" t="str">
        <f t="shared" si="25"/>
        <v>8</v>
      </c>
      <c r="S83" s="42" t="str">
        <f t="shared" si="26"/>
        <v>2</v>
      </c>
      <c r="T83" s="42">
        <f t="shared" si="27"/>
        <v>2</v>
      </c>
      <c r="U83" s="42">
        <f t="shared" si="28"/>
        <v>89</v>
      </c>
      <c r="V83" s="42">
        <f t="shared" si="29"/>
        <v>3183</v>
      </c>
      <c r="W83" s="42">
        <f t="shared" si="30"/>
        <v>49.316801509098106</v>
      </c>
      <c r="X83" s="42">
        <f t="shared" si="31"/>
        <v>0.18825987366070532</v>
      </c>
    </row>
    <row r="84" spans="1:24" x14ac:dyDescent="0.2">
      <c r="A84" s="49">
        <v>82</v>
      </c>
      <c r="B84" s="49">
        <v>83</v>
      </c>
      <c r="C84" s="49">
        <v>0.2576</v>
      </c>
      <c r="D84" s="49">
        <v>0.52</v>
      </c>
      <c r="E84" s="49">
        <v>0.22389999999999999</v>
      </c>
      <c r="F84" s="49">
        <v>9</v>
      </c>
      <c r="G84" s="49">
        <v>54</v>
      </c>
      <c r="H84" s="49">
        <v>63</v>
      </c>
      <c r="I84" s="42">
        <f t="shared" si="16"/>
        <v>99.912900000000008</v>
      </c>
      <c r="J84" s="42">
        <f t="shared" si="17"/>
        <v>0.18922897727272728</v>
      </c>
      <c r="K84" s="42">
        <f t="shared" si="18"/>
        <v>528</v>
      </c>
      <c r="L84" s="42">
        <f t="shared" si="19"/>
        <v>289.98000000000042</v>
      </c>
      <c r="M84" s="42">
        <f t="shared" si="20"/>
        <v>0.54920454545454622</v>
      </c>
      <c r="N84" s="42">
        <f t="shared" si="21"/>
        <v>528</v>
      </c>
      <c r="O84" s="42">
        <f t="shared" si="22"/>
        <v>30066</v>
      </c>
      <c r="P84" s="42">
        <f t="shared" si="23"/>
        <v>56.94318181818182</v>
      </c>
      <c r="Q84" s="42">
        <f t="shared" si="24"/>
        <v>528</v>
      </c>
      <c r="R84" s="42" t="str">
        <f t="shared" si="25"/>
        <v>8</v>
      </c>
      <c r="S84" s="42" t="str">
        <f t="shared" si="26"/>
        <v>3</v>
      </c>
      <c r="T84" s="42">
        <f t="shared" si="27"/>
        <v>2</v>
      </c>
      <c r="U84" s="42">
        <f t="shared" si="28"/>
        <v>89</v>
      </c>
      <c r="V84" s="42">
        <f t="shared" si="29"/>
        <v>3183</v>
      </c>
      <c r="W84" s="42">
        <f t="shared" si="30"/>
        <v>49.316801509098106</v>
      </c>
      <c r="X84" s="42">
        <f t="shared" si="31"/>
        <v>0.18825987366070532</v>
      </c>
    </row>
    <row r="85" spans="1:24" x14ac:dyDescent="0.2">
      <c r="A85" s="49">
        <v>83</v>
      </c>
      <c r="B85" s="49">
        <v>84</v>
      </c>
      <c r="C85" s="49">
        <v>0.2727</v>
      </c>
      <c r="D85" s="49">
        <v>0.52</v>
      </c>
      <c r="E85" s="49">
        <v>0.25369999999999998</v>
      </c>
      <c r="F85" s="49">
        <v>17</v>
      </c>
      <c r="G85" s="49">
        <v>48</v>
      </c>
      <c r="H85" s="49">
        <v>65</v>
      </c>
      <c r="I85" s="42">
        <f t="shared" si="16"/>
        <v>99.655299999999997</v>
      </c>
      <c r="J85" s="42">
        <f t="shared" si="17"/>
        <v>0.18909924098671727</v>
      </c>
      <c r="K85" s="42">
        <f t="shared" si="18"/>
        <v>527</v>
      </c>
      <c r="L85" s="42">
        <f t="shared" si="19"/>
        <v>289.46000000000043</v>
      </c>
      <c r="M85" s="42">
        <f t="shared" si="20"/>
        <v>0.54925996204933669</v>
      </c>
      <c r="N85" s="42">
        <f t="shared" si="21"/>
        <v>527</v>
      </c>
      <c r="O85" s="42">
        <f t="shared" si="22"/>
        <v>30003</v>
      </c>
      <c r="P85" s="42">
        <f t="shared" si="23"/>
        <v>56.931688804554078</v>
      </c>
      <c r="Q85" s="42">
        <f t="shared" si="24"/>
        <v>527</v>
      </c>
      <c r="R85" s="42" t="str">
        <f t="shared" si="25"/>
        <v>8</v>
      </c>
      <c r="S85" s="42" t="str">
        <f t="shared" si="26"/>
        <v>4</v>
      </c>
      <c r="T85" s="42">
        <f t="shared" si="27"/>
        <v>2</v>
      </c>
      <c r="U85" s="42">
        <f t="shared" si="28"/>
        <v>89</v>
      </c>
      <c r="V85" s="42">
        <f t="shared" si="29"/>
        <v>3183</v>
      </c>
      <c r="W85" s="42">
        <f t="shared" si="30"/>
        <v>49.316801509098106</v>
      </c>
      <c r="X85" s="42">
        <f t="shared" si="31"/>
        <v>0.18825987366070532</v>
      </c>
    </row>
    <row r="86" spans="1:24" x14ac:dyDescent="0.2">
      <c r="A86" s="49">
        <v>84</v>
      </c>
      <c r="B86" s="49">
        <v>85</v>
      </c>
      <c r="C86" s="49">
        <v>0.28789999999999999</v>
      </c>
      <c r="D86" s="49">
        <v>0.49</v>
      </c>
      <c r="E86" s="49">
        <v>0.25369999999999998</v>
      </c>
      <c r="F86" s="49">
        <v>15</v>
      </c>
      <c r="G86" s="49">
        <v>68</v>
      </c>
      <c r="H86" s="49">
        <v>83</v>
      </c>
      <c r="I86" s="42">
        <f t="shared" si="16"/>
        <v>99.382599999999996</v>
      </c>
      <c r="J86" s="42">
        <f t="shared" si="17"/>
        <v>0.18894030418250951</v>
      </c>
      <c r="K86" s="42">
        <f t="shared" si="18"/>
        <v>526</v>
      </c>
      <c r="L86" s="42">
        <f t="shared" si="19"/>
        <v>288.94000000000045</v>
      </c>
      <c r="M86" s="42">
        <f t="shared" si="20"/>
        <v>0.54931558935361302</v>
      </c>
      <c r="N86" s="42">
        <f t="shared" si="21"/>
        <v>526</v>
      </c>
      <c r="O86" s="42">
        <f t="shared" si="22"/>
        <v>29938</v>
      </c>
      <c r="P86" s="42">
        <f t="shared" si="23"/>
        <v>56.916349809885929</v>
      </c>
      <c r="Q86" s="42">
        <f t="shared" si="24"/>
        <v>526</v>
      </c>
      <c r="R86" s="42" t="str">
        <f t="shared" si="25"/>
        <v>8</v>
      </c>
      <c r="S86" s="42" t="str">
        <f t="shared" si="26"/>
        <v>5</v>
      </c>
      <c r="T86" s="42">
        <f t="shared" si="27"/>
        <v>2</v>
      </c>
      <c r="U86" s="42">
        <f t="shared" si="28"/>
        <v>89</v>
      </c>
      <c r="V86" s="42">
        <f t="shared" si="29"/>
        <v>3183</v>
      </c>
      <c r="W86" s="42">
        <f t="shared" si="30"/>
        <v>49.316801509098106</v>
      </c>
      <c r="X86" s="42">
        <f t="shared" si="31"/>
        <v>0.18825987366070532</v>
      </c>
    </row>
    <row r="87" spans="1:24" x14ac:dyDescent="0.2">
      <c r="A87" s="49">
        <v>85</v>
      </c>
      <c r="B87" s="49">
        <v>86</v>
      </c>
      <c r="C87" s="49">
        <v>0.2727</v>
      </c>
      <c r="D87" s="49">
        <v>0.48</v>
      </c>
      <c r="E87" s="49">
        <v>0.22389999999999999</v>
      </c>
      <c r="F87" s="49">
        <v>10</v>
      </c>
      <c r="G87" s="49">
        <v>202</v>
      </c>
      <c r="H87" s="49">
        <v>212</v>
      </c>
      <c r="I87" s="42">
        <f t="shared" si="16"/>
        <v>99.094699999999989</v>
      </c>
      <c r="J87" s="42">
        <f t="shared" si="17"/>
        <v>0.18875180952380952</v>
      </c>
      <c r="K87" s="42">
        <f t="shared" si="18"/>
        <v>525</v>
      </c>
      <c r="L87" s="42">
        <f t="shared" si="19"/>
        <v>288.45000000000044</v>
      </c>
      <c r="M87" s="42">
        <f t="shared" si="20"/>
        <v>0.54942857142857227</v>
      </c>
      <c r="N87" s="42">
        <f t="shared" si="21"/>
        <v>525</v>
      </c>
      <c r="O87" s="42">
        <f t="shared" si="22"/>
        <v>29855</v>
      </c>
      <c r="P87" s="42">
        <f t="shared" si="23"/>
        <v>56.866666666666667</v>
      </c>
      <c r="Q87" s="42">
        <f t="shared" si="24"/>
        <v>525</v>
      </c>
      <c r="R87" s="42" t="str">
        <f t="shared" si="25"/>
        <v>8</v>
      </c>
      <c r="S87" s="42" t="str">
        <f t="shared" si="26"/>
        <v>6</v>
      </c>
      <c r="T87" s="42">
        <f t="shared" si="27"/>
        <v>2</v>
      </c>
      <c r="U87" s="42">
        <f t="shared" si="28"/>
        <v>89</v>
      </c>
      <c r="V87" s="42">
        <f t="shared" si="29"/>
        <v>3183</v>
      </c>
      <c r="W87" s="42">
        <f t="shared" si="30"/>
        <v>49.316801509098106</v>
      </c>
      <c r="X87" s="42">
        <f t="shared" si="31"/>
        <v>0.18825987366070532</v>
      </c>
    </row>
    <row r="88" spans="1:24" x14ac:dyDescent="0.2">
      <c r="A88" s="49">
        <v>86</v>
      </c>
      <c r="B88" s="49">
        <v>87</v>
      </c>
      <c r="C88" s="49">
        <v>0.2576</v>
      </c>
      <c r="D88" s="49">
        <v>0.48</v>
      </c>
      <c r="E88" s="49">
        <v>0.19400000000000001</v>
      </c>
      <c r="F88" s="49">
        <v>3</v>
      </c>
      <c r="G88" s="49">
        <v>179</v>
      </c>
      <c r="H88" s="49">
        <v>182</v>
      </c>
      <c r="I88" s="42">
        <f t="shared" si="16"/>
        <v>98.821999999999974</v>
      </c>
      <c r="J88" s="42">
        <f t="shared" si="17"/>
        <v>0.18859160305343506</v>
      </c>
      <c r="K88" s="42">
        <f t="shared" si="18"/>
        <v>524</v>
      </c>
      <c r="L88" s="42">
        <f t="shared" si="19"/>
        <v>287.97000000000048</v>
      </c>
      <c r="M88" s="42">
        <f t="shared" si="20"/>
        <v>0.54956106870229104</v>
      </c>
      <c r="N88" s="42">
        <f t="shared" si="21"/>
        <v>524</v>
      </c>
      <c r="O88" s="42">
        <f t="shared" si="22"/>
        <v>29643</v>
      </c>
      <c r="P88" s="42">
        <f t="shared" si="23"/>
        <v>56.570610687022899</v>
      </c>
      <c r="Q88" s="42">
        <f t="shared" si="24"/>
        <v>524</v>
      </c>
      <c r="R88" s="42" t="str">
        <f t="shared" si="25"/>
        <v>8</v>
      </c>
      <c r="S88" s="42" t="str">
        <f t="shared" si="26"/>
        <v>7</v>
      </c>
      <c r="T88" s="42">
        <f t="shared" si="27"/>
        <v>2</v>
      </c>
      <c r="U88" s="42">
        <f t="shared" si="28"/>
        <v>89</v>
      </c>
      <c r="V88" s="42">
        <f t="shared" si="29"/>
        <v>3183</v>
      </c>
      <c r="W88" s="42">
        <f t="shared" si="30"/>
        <v>49.316801509098106</v>
      </c>
      <c r="X88" s="42">
        <f t="shared" si="31"/>
        <v>0.18825987366070532</v>
      </c>
    </row>
    <row r="89" spans="1:24" x14ac:dyDescent="0.2">
      <c r="A89" s="49">
        <v>87</v>
      </c>
      <c r="B89" s="49">
        <v>88</v>
      </c>
      <c r="C89" s="49">
        <v>0.2576</v>
      </c>
      <c r="D89" s="49">
        <v>0.48</v>
      </c>
      <c r="E89" s="49">
        <v>0.1045</v>
      </c>
      <c r="F89" s="49">
        <v>2</v>
      </c>
      <c r="G89" s="49">
        <v>110</v>
      </c>
      <c r="H89" s="49">
        <v>112</v>
      </c>
      <c r="I89" s="42">
        <f t="shared" si="16"/>
        <v>98.564399999999978</v>
      </c>
      <c r="J89" s="42">
        <f t="shared" si="17"/>
        <v>0.18845965583173993</v>
      </c>
      <c r="K89" s="42">
        <f t="shared" si="18"/>
        <v>523</v>
      </c>
      <c r="L89" s="42">
        <f t="shared" si="19"/>
        <v>287.49000000000046</v>
      </c>
      <c r="M89" s="42">
        <f t="shared" si="20"/>
        <v>0.54969407265774473</v>
      </c>
      <c r="N89" s="42">
        <f t="shared" si="21"/>
        <v>523</v>
      </c>
      <c r="O89" s="42">
        <f t="shared" si="22"/>
        <v>29461</v>
      </c>
      <c r="P89" s="42">
        <f t="shared" si="23"/>
        <v>56.330783938814534</v>
      </c>
      <c r="Q89" s="42">
        <f t="shared" si="24"/>
        <v>523</v>
      </c>
      <c r="R89" s="42" t="str">
        <f t="shared" si="25"/>
        <v>8</v>
      </c>
      <c r="S89" s="42" t="str">
        <f t="shared" si="26"/>
        <v>8</v>
      </c>
      <c r="T89" s="42">
        <f t="shared" si="27"/>
        <v>2</v>
      </c>
      <c r="U89" s="42">
        <f t="shared" si="28"/>
        <v>89</v>
      </c>
      <c r="V89" s="42">
        <f t="shared" si="29"/>
        <v>3183</v>
      </c>
      <c r="W89" s="42">
        <f t="shared" si="30"/>
        <v>49.316801509098106</v>
      </c>
      <c r="X89" s="42">
        <f t="shared" si="31"/>
        <v>0.18825987366070532</v>
      </c>
    </row>
    <row r="90" spans="1:24" x14ac:dyDescent="0.2">
      <c r="A90" s="49">
        <v>88</v>
      </c>
      <c r="B90" s="49">
        <v>89</v>
      </c>
      <c r="C90" s="49">
        <v>0.2576</v>
      </c>
      <c r="D90" s="49">
        <v>0.48</v>
      </c>
      <c r="E90" s="49">
        <v>0.1045</v>
      </c>
      <c r="F90" s="49">
        <v>1</v>
      </c>
      <c r="G90" s="49">
        <v>53</v>
      </c>
      <c r="H90" s="49">
        <v>54</v>
      </c>
      <c r="I90" s="42">
        <f t="shared" si="16"/>
        <v>98.306799999999981</v>
      </c>
      <c r="J90" s="42">
        <f t="shared" si="17"/>
        <v>0.18832720306513406</v>
      </c>
      <c r="K90" s="42">
        <f t="shared" si="18"/>
        <v>522</v>
      </c>
      <c r="L90" s="42">
        <f t="shared" si="19"/>
        <v>287.01000000000045</v>
      </c>
      <c r="M90" s="42">
        <f t="shared" si="20"/>
        <v>0.54982758620689742</v>
      </c>
      <c r="N90" s="42">
        <f t="shared" si="21"/>
        <v>522</v>
      </c>
      <c r="O90" s="42">
        <f t="shared" si="22"/>
        <v>29349</v>
      </c>
      <c r="P90" s="42">
        <f t="shared" si="23"/>
        <v>56.224137931034484</v>
      </c>
      <c r="Q90" s="42">
        <f t="shared" si="24"/>
        <v>522</v>
      </c>
      <c r="R90" s="42" t="str">
        <f t="shared" si="25"/>
        <v>8</v>
      </c>
      <c r="S90" s="42" t="str">
        <f t="shared" si="26"/>
        <v>9</v>
      </c>
      <c r="T90" s="42">
        <f t="shared" si="27"/>
        <v>2</v>
      </c>
      <c r="U90" s="42">
        <f t="shared" si="28"/>
        <v>89</v>
      </c>
      <c r="V90" s="42">
        <f t="shared" si="29"/>
        <v>3183</v>
      </c>
      <c r="W90" s="42">
        <f t="shared" si="30"/>
        <v>49.316801509098106</v>
      </c>
      <c r="X90" s="42">
        <f t="shared" si="31"/>
        <v>0.18825987366070532</v>
      </c>
    </row>
    <row r="91" spans="1:24" x14ac:dyDescent="0.2">
      <c r="A91" s="49">
        <v>89</v>
      </c>
      <c r="B91" s="49">
        <v>90</v>
      </c>
      <c r="C91" s="49">
        <v>0.2727</v>
      </c>
      <c r="D91" s="49">
        <v>0.64</v>
      </c>
      <c r="E91" s="49">
        <v>0</v>
      </c>
      <c r="F91" s="49">
        <v>0</v>
      </c>
      <c r="G91" s="49">
        <v>48</v>
      </c>
      <c r="H91" s="49">
        <v>48</v>
      </c>
      <c r="I91" s="42">
        <f t="shared" si="16"/>
        <v>98.049199999999971</v>
      </c>
      <c r="J91" s="42">
        <f t="shared" si="17"/>
        <v>0.1881942418426103</v>
      </c>
      <c r="K91" s="42">
        <f t="shared" si="18"/>
        <v>521</v>
      </c>
      <c r="L91" s="42">
        <f t="shared" si="19"/>
        <v>286.53000000000048</v>
      </c>
      <c r="M91" s="42">
        <f t="shared" si="20"/>
        <v>0.54996161228407003</v>
      </c>
      <c r="N91" s="42">
        <f t="shared" si="21"/>
        <v>521</v>
      </c>
      <c r="O91" s="42">
        <f t="shared" si="22"/>
        <v>29295</v>
      </c>
      <c r="P91" s="42">
        <f t="shared" si="23"/>
        <v>56.228406909788866</v>
      </c>
      <c r="Q91" s="42">
        <f t="shared" si="24"/>
        <v>521</v>
      </c>
      <c r="R91" s="42" t="str">
        <f t="shared" si="25"/>
        <v>9</v>
      </c>
      <c r="S91" s="42" t="str">
        <f t="shared" si="26"/>
        <v>0</v>
      </c>
      <c r="T91" s="42">
        <f t="shared" si="27"/>
        <v>2</v>
      </c>
      <c r="U91" s="42">
        <f t="shared" si="28"/>
        <v>89</v>
      </c>
      <c r="V91" s="42">
        <f t="shared" si="29"/>
        <v>3183</v>
      </c>
      <c r="W91" s="42">
        <f t="shared" si="30"/>
        <v>49.316801509098106</v>
      </c>
      <c r="X91" s="42">
        <f t="shared" si="31"/>
        <v>0.18825987366070532</v>
      </c>
    </row>
    <row r="92" spans="1:24" x14ac:dyDescent="0.2">
      <c r="A92" s="49">
        <v>90</v>
      </c>
      <c r="B92" s="49">
        <v>91</v>
      </c>
      <c r="C92" s="49">
        <v>0.2576</v>
      </c>
      <c r="D92" s="49">
        <v>0.64</v>
      </c>
      <c r="E92" s="49">
        <v>8.9599999999999999E-2</v>
      </c>
      <c r="F92" s="49">
        <v>1</v>
      </c>
      <c r="G92" s="49">
        <v>34</v>
      </c>
      <c r="H92" s="49">
        <v>35</v>
      </c>
      <c r="I92" s="42">
        <f t="shared" si="16"/>
        <v>97.77649999999997</v>
      </c>
      <c r="J92" s="42">
        <f t="shared" si="17"/>
        <v>0.18803173076923071</v>
      </c>
      <c r="K92" s="42">
        <f t="shared" si="18"/>
        <v>520</v>
      </c>
      <c r="L92" s="42">
        <f t="shared" si="19"/>
        <v>285.8900000000005</v>
      </c>
      <c r="M92" s="42">
        <f t="shared" si="20"/>
        <v>0.5497884615384625</v>
      </c>
      <c r="N92" s="42">
        <f t="shared" si="21"/>
        <v>520</v>
      </c>
      <c r="O92" s="42">
        <f t="shared" si="22"/>
        <v>29247</v>
      </c>
      <c r="P92" s="42">
        <f t="shared" si="23"/>
        <v>56.244230769230768</v>
      </c>
      <c r="Q92" s="42">
        <f t="shared" si="24"/>
        <v>520</v>
      </c>
      <c r="R92" s="42" t="str">
        <f t="shared" si="25"/>
        <v>9</v>
      </c>
      <c r="S92" s="42" t="str">
        <f t="shared" si="26"/>
        <v>1</v>
      </c>
      <c r="T92" s="42">
        <f t="shared" si="27"/>
        <v>2</v>
      </c>
      <c r="U92" s="42">
        <f t="shared" si="28"/>
        <v>89</v>
      </c>
      <c r="V92" s="42">
        <f t="shared" si="29"/>
        <v>3183</v>
      </c>
      <c r="W92" s="42">
        <f t="shared" si="30"/>
        <v>49.316801509098106</v>
      </c>
      <c r="X92" s="42">
        <f t="shared" si="31"/>
        <v>0.18825987366070532</v>
      </c>
    </row>
    <row r="93" spans="1:24" x14ac:dyDescent="0.2">
      <c r="A93" s="49">
        <v>91</v>
      </c>
      <c r="B93" s="49">
        <v>92</v>
      </c>
      <c r="C93" s="49">
        <v>0.2273</v>
      </c>
      <c r="D93" s="49">
        <v>0.69</v>
      </c>
      <c r="E93" s="49">
        <v>8.9599999999999999E-2</v>
      </c>
      <c r="F93" s="49">
        <v>2</v>
      </c>
      <c r="G93" s="49">
        <v>9</v>
      </c>
      <c r="H93" s="49">
        <v>11</v>
      </c>
      <c r="I93" s="42">
        <f t="shared" si="16"/>
        <v>97.518899999999974</v>
      </c>
      <c r="J93" s="42">
        <f t="shared" si="17"/>
        <v>0.18789768786127162</v>
      </c>
      <c r="K93" s="42">
        <f t="shared" si="18"/>
        <v>519</v>
      </c>
      <c r="L93" s="42">
        <f t="shared" si="19"/>
        <v>285.25000000000045</v>
      </c>
      <c r="M93" s="42">
        <f t="shared" si="20"/>
        <v>0.54961464354528022</v>
      </c>
      <c r="N93" s="42">
        <f t="shared" si="21"/>
        <v>519</v>
      </c>
      <c r="O93" s="42">
        <f t="shared" si="22"/>
        <v>29212</v>
      </c>
      <c r="P93" s="42">
        <f t="shared" si="23"/>
        <v>56.285163776493256</v>
      </c>
      <c r="Q93" s="42">
        <f t="shared" si="24"/>
        <v>519</v>
      </c>
      <c r="R93" s="42" t="str">
        <f t="shared" si="25"/>
        <v>9</v>
      </c>
      <c r="S93" s="42" t="str">
        <f t="shared" si="26"/>
        <v>2</v>
      </c>
      <c r="T93" s="42">
        <f t="shared" si="27"/>
        <v>2</v>
      </c>
      <c r="U93" s="42">
        <f t="shared" si="28"/>
        <v>89</v>
      </c>
      <c r="V93" s="42">
        <f t="shared" si="29"/>
        <v>3183</v>
      </c>
      <c r="W93" s="42">
        <f t="shared" si="30"/>
        <v>49.316801509098106</v>
      </c>
      <c r="X93" s="42">
        <f t="shared" si="31"/>
        <v>0.18825987366070532</v>
      </c>
    </row>
    <row r="94" spans="1:24" x14ac:dyDescent="0.2">
      <c r="A94" s="49">
        <v>92</v>
      </c>
      <c r="B94" s="49">
        <v>93</v>
      </c>
      <c r="C94" s="49">
        <v>0.2576</v>
      </c>
      <c r="D94" s="49">
        <v>0.64</v>
      </c>
      <c r="E94" s="49">
        <v>0</v>
      </c>
      <c r="F94" s="49">
        <v>0</v>
      </c>
      <c r="G94" s="49">
        <v>6</v>
      </c>
      <c r="H94" s="49">
        <v>6</v>
      </c>
      <c r="I94" s="42">
        <f t="shared" si="16"/>
        <v>97.29159999999996</v>
      </c>
      <c r="J94" s="42">
        <f t="shared" si="17"/>
        <v>0.18782162162162155</v>
      </c>
      <c r="K94" s="42">
        <f t="shared" si="18"/>
        <v>518</v>
      </c>
      <c r="L94" s="42">
        <f t="shared" si="19"/>
        <v>284.56000000000046</v>
      </c>
      <c r="M94" s="42">
        <f t="shared" si="20"/>
        <v>0.54934362934363024</v>
      </c>
      <c r="N94" s="42">
        <f t="shared" si="21"/>
        <v>518</v>
      </c>
      <c r="O94" s="42">
        <f t="shared" si="22"/>
        <v>29201</v>
      </c>
      <c r="P94" s="42">
        <f t="shared" si="23"/>
        <v>56.372586872586872</v>
      </c>
      <c r="Q94" s="42">
        <f t="shared" si="24"/>
        <v>518</v>
      </c>
      <c r="R94" s="42" t="str">
        <f t="shared" si="25"/>
        <v>9</v>
      </c>
      <c r="S94" s="42" t="str">
        <f t="shared" si="26"/>
        <v>3</v>
      </c>
      <c r="T94" s="42">
        <f t="shared" si="27"/>
        <v>2</v>
      </c>
      <c r="U94" s="42">
        <f t="shared" si="28"/>
        <v>89</v>
      </c>
      <c r="V94" s="42">
        <f t="shared" si="29"/>
        <v>3183</v>
      </c>
      <c r="W94" s="42">
        <f t="shared" si="30"/>
        <v>49.316801509098106</v>
      </c>
      <c r="X94" s="42">
        <f t="shared" si="31"/>
        <v>0.18825987366070532</v>
      </c>
    </row>
    <row r="95" spans="1:24" x14ac:dyDescent="0.2">
      <c r="A95" s="49">
        <v>93</v>
      </c>
      <c r="B95" s="49">
        <v>94</v>
      </c>
      <c r="C95" s="49">
        <v>0.19700000000000001</v>
      </c>
      <c r="D95" s="49">
        <v>0.74</v>
      </c>
      <c r="E95" s="49">
        <v>8.9599999999999999E-2</v>
      </c>
      <c r="F95" s="49">
        <v>0</v>
      </c>
      <c r="G95" s="49">
        <v>6</v>
      </c>
      <c r="H95" s="49">
        <v>6</v>
      </c>
      <c r="I95" s="42">
        <f t="shared" si="16"/>
        <v>97.033999999999978</v>
      </c>
      <c r="J95" s="42">
        <f t="shared" si="17"/>
        <v>0.18768665377176011</v>
      </c>
      <c r="K95" s="42">
        <f t="shared" si="18"/>
        <v>517</v>
      </c>
      <c r="L95" s="42">
        <f t="shared" si="19"/>
        <v>283.92000000000047</v>
      </c>
      <c r="M95" s="42">
        <f t="shared" si="20"/>
        <v>0.54916827852998151</v>
      </c>
      <c r="N95" s="42">
        <f t="shared" si="21"/>
        <v>517</v>
      </c>
      <c r="O95" s="42">
        <f t="shared" si="22"/>
        <v>29195</v>
      </c>
      <c r="P95" s="42">
        <f t="shared" si="23"/>
        <v>56.47001934235977</v>
      </c>
      <c r="Q95" s="42">
        <f t="shared" si="24"/>
        <v>517</v>
      </c>
      <c r="R95" s="42" t="str">
        <f t="shared" si="25"/>
        <v>9</v>
      </c>
      <c r="S95" s="42" t="str">
        <f t="shared" si="26"/>
        <v>4</v>
      </c>
      <c r="T95" s="42">
        <f t="shared" si="27"/>
        <v>2</v>
      </c>
      <c r="U95" s="42">
        <f t="shared" si="28"/>
        <v>89</v>
      </c>
      <c r="V95" s="42">
        <f t="shared" si="29"/>
        <v>3183</v>
      </c>
      <c r="W95" s="42">
        <f t="shared" si="30"/>
        <v>49.316801509098106</v>
      </c>
      <c r="X95" s="42">
        <f t="shared" si="31"/>
        <v>0.18825987366070532</v>
      </c>
    </row>
    <row r="96" spans="1:24" x14ac:dyDescent="0.2">
      <c r="A96" s="49">
        <v>94</v>
      </c>
      <c r="B96" s="49">
        <v>95</v>
      </c>
      <c r="C96" s="49">
        <v>0.19700000000000001</v>
      </c>
      <c r="D96" s="49">
        <v>0.74</v>
      </c>
      <c r="E96" s="49">
        <v>8.9599999999999999E-2</v>
      </c>
      <c r="F96" s="49">
        <v>0</v>
      </c>
      <c r="G96" s="49">
        <v>2</v>
      </c>
      <c r="H96" s="49">
        <v>2</v>
      </c>
      <c r="I96" s="42">
        <f t="shared" si="16"/>
        <v>96.836999999999975</v>
      </c>
      <c r="J96" s="42">
        <f t="shared" si="17"/>
        <v>0.18766860465116275</v>
      </c>
      <c r="K96" s="42">
        <f t="shared" si="18"/>
        <v>516</v>
      </c>
      <c r="L96" s="42">
        <f t="shared" si="19"/>
        <v>283.18000000000046</v>
      </c>
      <c r="M96" s="42">
        <f t="shared" si="20"/>
        <v>0.54879844961240398</v>
      </c>
      <c r="N96" s="42">
        <f t="shared" si="21"/>
        <v>516</v>
      </c>
      <c r="O96" s="42">
        <f t="shared" si="22"/>
        <v>29189</v>
      </c>
      <c r="P96" s="42">
        <f t="shared" si="23"/>
        <v>56.56782945736434</v>
      </c>
      <c r="Q96" s="42">
        <f t="shared" si="24"/>
        <v>516</v>
      </c>
      <c r="R96" s="42" t="str">
        <f t="shared" si="25"/>
        <v>9</v>
      </c>
      <c r="S96" s="42" t="str">
        <f t="shared" si="26"/>
        <v>5</v>
      </c>
      <c r="T96" s="42">
        <f t="shared" si="27"/>
        <v>2</v>
      </c>
      <c r="U96" s="42">
        <f t="shared" si="28"/>
        <v>89</v>
      </c>
      <c r="V96" s="42">
        <f t="shared" si="29"/>
        <v>3183</v>
      </c>
      <c r="W96" s="42">
        <f t="shared" si="30"/>
        <v>49.316801509098106</v>
      </c>
      <c r="X96" s="42">
        <f t="shared" si="31"/>
        <v>0.18825987366070532</v>
      </c>
    </row>
    <row r="97" spans="1:24" x14ac:dyDescent="0.2">
      <c r="A97" s="49">
        <v>95</v>
      </c>
      <c r="B97" s="49">
        <v>96</v>
      </c>
      <c r="C97" s="49">
        <v>0.2273</v>
      </c>
      <c r="D97" s="49">
        <v>0.48</v>
      </c>
      <c r="E97" s="49">
        <v>0.22389999999999999</v>
      </c>
      <c r="F97" s="49">
        <v>0</v>
      </c>
      <c r="G97" s="49">
        <v>2</v>
      </c>
      <c r="H97" s="49">
        <v>2</v>
      </c>
      <c r="I97" s="42">
        <f t="shared" si="16"/>
        <v>96.639999999999958</v>
      </c>
      <c r="J97" s="42">
        <f t="shared" si="17"/>
        <v>0.18765048543689311</v>
      </c>
      <c r="K97" s="42">
        <f t="shared" si="18"/>
        <v>515</v>
      </c>
      <c r="L97" s="42">
        <f t="shared" si="19"/>
        <v>282.44000000000045</v>
      </c>
      <c r="M97" s="42">
        <f t="shared" si="20"/>
        <v>0.54842718446602035</v>
      </c>
      <c r="N97" s="42">
        <f t="shared" si="21"/>
        <v>515</v>
      </c>
      <c r="O97" s="42">
        <f t="shared" si="22"/>
        <v>29187</v>
      </c>
      <c r="P97" s="42">
        <f t="shared" si="23"/>
        <v>56.67378640776699</v>
      </c>
      <c r="Q97" s="42">
        <f t="shared" si="24"/>
        <v>515</v>
      </c>
      <c r="R97" s="42" t="str">
        <f t="shared" si="25"/>
        <v>9</v>
      </c>
      <c r="S97" s="42" t="str">
        <f t="shared" si="26"/>
        <v>6</v>
      </c>
      <c r="T97" s="42">
        <f t="shared" si="27"/>
        <v>2</v>
      </c>
      <c r="U97" s="42">
        <f t="shared" si="28"/>
        <v>89</v>
      </c>
      <c r="V97" s="42">
        <f t="shared" si="29"/>
        <v>3183</v>
      </c>
      <c r="W97" s="42">
        <f t="shared" si="30"/>
        <v>49.316801509098106</v>
      </c>
      <c r="X97" s="42">
        <f t="shared" si="31"/>
        <v>0.18825987366070532</v>
      </c>
    </row>
    <row r="98" spans="1:24" x14ac:dyDescent="0.2">
      <c r="A98" s="49">
        <v>96</v>
      </c>
      <c r="B98" s="49">
        <v>97</v>
      </c>
      <c r="C98" s="49">
        <v>0.2273</v>
      </c>
      <c r="D98" s="49">
        <v>0.47</v>
      </c>
      <c r="E98" s="49">
        <v>0.16420000000000001</v>
      </c>
      <c r="F98" s="49">
        <v>0</v>
      </c>
      <c r="G98" s="49">
        <v>3</v>
      </c>
      <c r="H98" s="49">
        <v>3</v>
      </c>
      <c r="I98" s="42">
        <f t="shared" si="16"/>
        <v>96.412699999999973</v>
      </c>
      <c r="J98" s="42">
        <f t="shared" si="17"/>
        <v>0.18757334630350189</v>
      </c>
      <c r="K98" s="42">
        <f t="shared" si="18"/>
        <v>514</v>
      </c>
      <c r="L98" s="42">
        <f t="shared" si="19"/>
        <v>281.96000000000049</v>
      </c>
      <c r="M98" s="42">
        <f t="shared" si="20"/>
        <v>0.5485603112840477</v>
      </c>
      <c r="N98" s="42">
        <f t="shared" si="21"/>
        <v>514</v>
      </c>
      <c r="O98" s="42">
        <f t="shared" si="22"/>
        <v>29185</v>
      </c>
      <c r="P98" s="42">
        <f t="shared" si="23"/>
        <v>56.780155642023345</v>
      </c>
      <c r="Q98" s="42">
        <f t="shared" si="24"/>
        <v>514</v>
      </c>
      <c r="R98" s="42" t="str">
        <f t="shared" si="25"/>
        <v>9</v>
      </c>
      <c r="S98" s="42" t="str">
        <f t="shared" si="26"/>
        <v>7</v>
      </c>
      <c r="T98" s="42">
        <f t="shared" si="27"/>
        <v>2</v>
      </c>
      <c r="U98" s="42">
        <f t="shared" si="28"/>
        <v>89</v>
      </c>
      <c r="V98" s="42">
        <f t="shared" si="29"/>
        <v>3183</v>
      </c>
      <c r="W98" s="42">
        <f t="shared" si="30"/>
        <v>49.316801509098106</v>
      </c>
      <c r="X98" s="42">
        <f t="shared" si="31"/>
        <v>0.18825987366070532</v>
      </c>
    </row>
    <row r="99" spans="1:24" x14ac:dyDescent="0.2">
      <c r="A99" s="49">
        <v>97</v>
      </c>
      <c r="B99" s="49">
        <v>98</v>
      </c>
      <c r="C99" s="49">
        <v>0.19700000000000001</v>
      </c>
      <c r="D99" s="49">
        <v>0.47</v>
      </c>
      <c r="E99" s="49">
        <v>0.22389999999999999</v>
      </c>
      <c r="F99" s="49">
        <v>0</v>
      </c>
      <c r="G99" s="49">
        <v>33</v>
      </c>
      <c r="H99" s="49">
        <v>33</v>
      </c>
      <c r="I99" s="42">
        <f t="shared" si="16"/>
        <v>96.185399999999973</v>
      </c>
      <c r="J99" s="42">
        <f t="shared" si="17"/>
        <v>0.18749590643274849</v>
      </c>
      <c r="K99" s="42">
        <f t="shared" si="18"/>
        <v>513</v>
      </c>
      <c r="L99" s="42">
        <f t="shared" si="19"/>
        <v>281.49000000000046</v>
      </c>
      <c r="M99" s="42">
        <f t="shared" si="20"/>
        <v>0.5487134502923986</v>
      </c>
      <c r="N99" s="42">
        <f t="shared" si="21"/>
        <v>513</v>
      </c>
      <c r="O99" s="42">
        <f t="shared" si="22"/>
        <v>29182</v>
      </c>
      <c r="P99" s="42">
        <f t="shared" si="23"/>
        <v>56.884990253411303</v>
      </c>
      <c r="Q99" s="42">
        <f t="shared" si="24"/>
        <v>513</v>
      </c>
      <c r="R99" s="42" t="str">
        <f t="shared" si="25"/>
        <v>9</v>
      </c>
      <c r="S99" s="42" t="str">
        <f t="shared" si="26"/>
        <v>8</v>
      </c>
      <c r="T99" s="42">
        <f t="shared" si="27"/>
        <v>2</v>
      </c>
      <c r="U99" s="42">
        <f t="shared" si="28"/>
        <v>89</v>
      </c>
      <c r="V99" s="42">
        <f t="shared" si="29"/>
        <v>3183</v>
      </c>
      <c r="W99" s="42">
        <f t="shared" si="30"/>
        <v>49.316801509098106</v>
      </c>
      <c r="X99" s="42">
        <f t="shared" si="31"/>
        <v>0.18825987366070532</v>
      </c>
    </row>
    <row r="100" spans="1:24" x14ac:dyDescent="0.2">
      <c r="A100" s="49">
        <v>98</v>
      </c>
      <c r="B100" s="49">
        <v>99</v>
      </c>
      <c r="C100" s="49">
        <v>0.18179999999999999</v>
      </c>
      <c r="D100" s="49">
        <v>0.43</v>
      </c>
      <c r="E100" s="49">
        <v>0.19400000000000001</v>
      </c>
      <c r="F100" s="49">
        <v>1</v>
      </c>
      <c r="G100" s="49">
        <v>87</v>
      </c>
      <c r="H100" s="49">
        <v>88</v>
      </c>
      <c r="I100" s="42">
        <f t="shared" si="16"/>
        <v>95.98839999999997</v>
      </c>
      <c r="J100" s="42">
        <f t="shared" si="17"/>
        <v>0.18747734374999994</v>
      </c>
      <c r="K100" s="42">
        <f t="shared" si="18"/>
        <v>512</v>
      </c>
      <c r="L100" s="42">
        <f t="shared" si="19"/>
        <v>281.02000000000049</v>
      </c>
      <c r="M100" s="42">
        <f t="shared" si="20"/>
        <v>0.54886718750000096</v>
      </c>
      <c r="N100" s="42">
        <f t="shared" si="21"/>
        <v>512</v>
      </c>
      <c r="O100" s="42">
        <f t="shared" si="22"/>
        <v>29149</v>
      </c>
      <c r="P100" s="42">
        <f t="shared" si="23"/>
        <v>56.931640625</v>
      </c>
      <c r="Q100" s="42">
        <f t="shared" si="24"/>
        <v>512</v>
      </c>
      <c r="R100" s="42" t="str">
        <f t="shared" si="25"/>
        <v>9</v>
      </c>
      <c r="S100" s="42" t="str">
        <f t="shared" si="26"/>
        <v>9</v>
      </c>
      <c r="T100" s="42">
        <f t="shared" si="27"/>
        <v>2</v>
      </c>
      <c r="U100" s="42">
        <f t="shared" si="28"/>
        <v>89</v>
      </c>
      <c r="V100" s="42">
        <f t="shared" si="29"/>
        <v>3183</v>
      </c>
      <c r="W100" s="42">
        <f t="shared" si="30"/>
        <v>49.316801509098106</v>
      </c>
      <c r="X100" s="42">
        <f t="shared" si="31"/>
        <v>0.18825987366070532</v>
      </c>
    </row>
    <row r="101" spans="1:24" x14ac:dyDescent="0.2">
      <c r="A101" s="49">
        <v>99</v>
      </c>
      <c r="B101" s="49">
        <v>100</v>
      </c>
      <c r="C101" s="49">
        <v>0.18179999999999999</v>
      </c>
      <c r="D101" s="49">
        <v>0.4</v>
      </c>
      <c r="E101" s="49">
        <v>0.29849999999999999</v>
      </c>
      <c r="F101" s="49">
        <v>3</v>
      </c>
      <c r="G101" s="49">
        <v>192</v>
      </c>
      <c r="H101" s="49">
        <v>195</v>
      </c>
      <c r="I101" s="42">
        <f t="shared" si="16"/>
        <v>95.806599999999975</v>
      </c>
      <c r="J101" s="42">
        <f t="shared" si="17"/>
        <v>0.18748845401174163</v>
      </c>
      <c r="K101" s="42">
        <f t="shared" si="18"/>
        <v>511</v>
      </c>
      <c r="L101" s="42">
        <f t="shared" si="19"/>
        <v>280.59000000000049</v>
      </c>
      <c r="M101" s="42">
        <f t="shared" si="20"/>
        <v>0.54909980430528471</v>
      </c>
      <c r="N101" s="42">
        <f t="shared" si="21"/>
        <v>511</v>
      </c>
      <c r="O101" s="42">
        <f t="shared" si="22"/>
        <v>29061</v>
      </c>
      <c r="P101" s="42">
        <f t="shared" si="23"/>
        <v>56.87084148727984</v>
      </c>
      <c r="Q101" s="42">
        <f t="shared" si="24"/>
        <v>511</v>
      </c>
      <c r="R101" s="42" t="str">
        <f t="shared" si="25"/>
        <v>1</v>
      </c>
      <c r="S101" s="42" t="str">
        <f t="shared" si="26"/>
        <v>0</v>
      </c>
      <c r="T101" s="42">
        <f t="shared" si="27"/>
        <v>3</v>
      </c>
      <c r="U101" s="42">
        <f t="shared" si="28"/>
        <v>89</v>
      </c>
      <c r="V101" s="42">
        <f t="shared" si="29"/>
        <v>3183</v>
      </c>
      <c r="W101" s="42">
        <f t="shared" si="30"/>
        <v>49.316801509098106</v>
      </c>
      <c r="X101" s="42">
        <f t="shared" si="31"/>
        <v>0.18825987366070532</v>
      </c>
    </row>
    <row r="102" spans="1:24" x14ac:dyDescent="0.2">
      <c r="A102" s="49">
        <v>100</v>
      </c>
      <c r="B102" s="49">
        <v>101</v>
      </c>
      <c r="C102" s="49">
        <v>0.19700000000000001</v>
      </c>
      <c r="D102" s="49">
        <v>0.37</v>
      </c>
      <c r="E102" s="49">
        <v>0.32840000000000003</v>
      </c>
      <c r="F102" s="49">
        <v>6</v>
      </c>
      <c r="G102" s="49">
        <v>109</v>
      </c>
      <c r="H102" s="49">
        <v>115</v>
      </c>
      <c r="I102" s="42">
        <f t="shared" si="16"/>
        <v>95.624799999999979</v>
      </c>
      <c r="J102" s="42">
        <f t="shared" si="17"/>
        <v>0.18749960784313721</v>
      </c>
      <c r="K102" s="42">
        <f t="shared" si="18"/>
        <v>510</v>
      </c>
      <c r="L102" s="42">
        <f t="shared" si="19"/>
        <v>280.19000000000051</v>
      </c>
      <c r="M102" s="42">
        <f t="shared" si="20"/>
        <v>0.54939215686274612</v>
      </c>
      <c r="N102" s="42">
        <f t="shared" si="21"/>
        <v>510</v>
      </c>
      <c r="O102" s="42">
        <f t="shared" si="22"/>
        <v>28866</v>
      </c>
      <c r="P102" s="42">
        <f t="shared" si="23"/>
        <v>56.6</v>
      </c>
      <c r="Q102" s="42">
        <f t="shared" si="24"/>
        <v>510</v>
      </c>
      <c r="R102" s="42" t="str">
        <f t="shared" si="25"/>
        <v>1</v>
      </c>
      <c r="S102" s="42" t="str">
        <f t="shared" si="26"/>
        <v>1</v>
      </c>
      <c r="T102" s="42">
        <f t="shared" si="27"/>
        <v>3</v>
      </c>
      <c r="U102" s="42">
        <f t="shared" si="28"/>
        <v>89</v>
      </c>
      <c r="V102" s="42">
        <f t="shared" si="29"/>
        <v>3183</v>
      </c>
      <c r="W102" s="42">
        <f t="shared" si="30"/>
        <v>49.316801509098106</v>
      </c>
      <c r="X102" s="42">
        <f t="shared" si="31"/>
        <v>0.18825987366070532</v>
      </c>
    </row>
    <row r="103" spans="1:24" x14ac:dyDescent="0.2">
      <c r="A103" s="49">
        <v>101</v>
      </c>
      <c r="B103" s="49">
        <v>102</v>
      </c>
      <c r="C103" s="49">
        <v>0.19700000000000001</v>
      </c>
      <c r="D103" s="49">
        <v>0.37</v>
      </c>
      <c r="E103" s="49">
        <v>0.32840000000000003</v>
      </c>
      <c r="F103" s="49">
        <v>4</v>
      </c>
      <c r="G103" s="49">
        <v>53</v>
      </c>
      <c r="H103" s="49">
        <v>57</v>
      </c>
      <c r="I103" s="42">
        <f t="shared" si="16"/>
        <v>95.427799999999991</v>
      </c>
      <c r="J103" s="42">
        <f t="shared" si="17"/>
        <v>0.18748094302554025</v>
      </c>
      <c r="K103" s="42">
        <f t="shared" si="18"/>
        <v>509</v>
      </c>
      <c r="L103" s="42">
        <f t="shared" si="19"/>
        <v>279.8200000000005</v>
      </c>
      <c r="M103" s="42">
        <f t="shared" si="20"/>
        <v>0.54974459724950986</v>
      </c>
      <c r="N103" s="42">
        <f t="shared" si="21"/>
        <v>509</v>
      </c>
      <c r="O103" s="42">
        <f t="shared" si="22"/>
        <v>28751</v>
      </c>
      <c r="P103" s="42">
        <f t="shared" si="23"/>
        <v>56.485265225933205</v>
      </c>
      <c r="Q103" s="42">
        <f t="shared" si="24"/>
        <v>509</v>
      </c>
      <c r="R103" s="42" t="str">
        <f t="shared" si="25"/>
        <v>1</v>
      </c>
      <c r="S103" s="42" t="str">
        <f t="shared" si="26"/>
        <v>2</v>
      </c>
      <c r="T103" s="42">
        <f t="shared" si="27"/>
        <v>3</v>
      </c>
      <c r="U103" s="42">
        <f t="shared" si="28"/>
        <v>89</v>
      </c>
      <c r="V103" s="42">
        <f t="shared" si="29"/>
        <v>3183</v>
      </c>
      <c r="W103" s="42">
        <f t="shared" si="30"/>
        <v>49.316801509098106</v>
      </c>
      <c r="X103" s="42">
        <f t="shared" si="31"/>
        <v>0.18825987366070532</v>
      </c>
    </row>
    <row r="104" spans="1:24" x14ac:dyDescent="0.2">
      <c r="A104" s="49">
        <v>102</v>
      </c>
      <c r="B104" s="49">
        <v>103</v>
      </c>
      <c r="C104" s="49">
        <v>0.2273</v>
      </c>
      <c r="D104" s="49">
        <v>0.33</v>
      </c>
      <c r="E104" s="49">
        <v>0.32840000000000003</v>
      </c>
      <c r="F104" s="49">
        <v>12</v>
      </c>
      <c r="G104" s="49">
        <v>34</v>
      </c>
      <c r="H104" s="49">
        <v>46</v>
      </c>
      <c r="I104" s="42">
        <f t="shared" si="16"/>
        <v>95.230799999999988</v>
      </c>
      <c r="J104" s="42">
        <f t="shared" si="17"/>
        <v>0.18746220472440941</v>
      </c>
      <c r="K104" s="42">
        <f t="shared" si="18"/>
        <v>508</v>
      </c>
      <c r="L104" s="42">
        <f t="shared" si="19"/>
        <v>279.4500000000005</v>
      </c>
      <c r="M104" s="42">
        <f t="shared" si="20"/>
        <v>0.55009842519685137</v>
      </c>
      <c r="N104" s="42">
        <f t="shared" si="21"/>
        <v>508</v>
      </c>
      <c r="O104" s="42">
        <f t="shared" si="22"/>
        <v>28694</v>
      </c>
      <c r="P104" s="42">
        <f t="shared" si="23"/>
        <v>56.484251968503933</v>
      </c>
      <c r="Q104" s="42">
        <f t="shared" si="24"/>
        <v>508</v>
      </c>
      <c r="R104" s="42" t="str">
        <f t="shared" si="25"/>
        <v>1</v>
      </c>
      <c r="S104" s="42" t="str">
        <f t="shared" si="26"/>
        <v>3</v>
      </c>
      <c r="T104" s="42">
        <f t="shared" si="27"/>
        <v>3</v>
      </c>
      <c r="U104" s="42">
        <f t="shared" si="28"/>
        <v>89</v>
      </c>
      <c r="V104" s="42">
        <f t="shared" si="29"/>
        <v>3183</v>
      </c>
      <c r="W104" s="42">
        <f t="shared" si="30"/>
        <v>49.316801509098106</v>
      </c>
      <c r="X104" s="42">
        <f t="shared" si="31"/>
        <v>0.18825987366070532</v>
      </c>
    </row>
    <row r="105" spans="1:24" x14ac:dyDescent="0.2">
      <c r="A105" s="49">
        <v>103</v>
      </c>
      <c r="B105" s="49">
        <v>104</v>
      </c>
      <c r="C105" s="49">
        <v>0.2273</v>
      </c>
      <c r="D105" s="49">
        <v>0.33</v>
      </c>
      <c r="E105" s="49">
        <v>0.32840000000000003</v>
      </c>
      <c r="F105" s="49">
        <v>5</v>
      </c>
      <c r="G105" s="49">
        <v>74</v>
      </c>
      <c r="H105" s="49">
        <v>79</v>
      </c>
      <c r="I105" s="42">
        <f t="shared" si="16"/>
        <v>95.003499999999988</v>
      </c>
      <c r="J105" s="42">
        <f t="shared" si="17"/>
        <v>0.18738362919132148</v>
      </c>
      <c r="K105" s="42">
        <f t="shared" si="18"/>
        <v>507</v>
      </c>
      <c r="L105" s="42">
        <f t="shared" si="19"/>
        <v>279.12000000000052</v>
      </c>
      <c r="M105" s="42">
        <f t="shared" si="20"/>
        <v>0.55053254437869925</v>
      </c>
      <c r="N105" s="42">
        <f t="shared" si="21"/>
        <v>507</v>
      </c>
      <c r="O105" s="42">
        <f t="shared" si="22"/>
        <v>28648</v>
      </c>
      <c r="P105" s="42">
        <f t="shared" si="23"/>
        <v>56.504930966469431</v>
      </c>
      <c r="Q105" s="42">
        <f t="shared" si="24"/>
        <v>507</v>
      </c>
      <c r="R105" s="42" t="str">
        <f t="shared" si="25"/>
        <v>1</v>
      </c>
      <c r="S105" s="42" t="str">
        <f t="shared" si="26"/>
        <v>4</v>
      </c>
      <c r="T105" s="42">
        <f t="shared" si="27"/>
        <v>3</v>
      </c>
      <c r="U105" s="42">
        <f t="shared" si="28"/>
        <v>89</v>
      </c>
      <c r="V105" s="42">
        <f t="shared" si="29"/>
        <v>3183</v>
      </c>
      <c r="W105" s="42">
        <f t="shared" si="30"/>
        <v>49.316801509098106</v>
      </c>
      <c r="X105" s="42">
        <f t="shared" si="31"/>
        <v>0.18825987366070532</v>
      </c>
    </row>
    <row r="106" spans="1:24" x14ac:dyDescent="0.2">
      <c r="A106" s="49">
        <v>104</v>
      </c>
      <c r="B106" s="49">
        <v>105</v>
      </c>
      <c r="C106" s="49">
        <v>0.2576</v>
      </c>
      <c r="D106" s="49">
        <v>0.3</v>
      </c>
      <c r="E106" s="49">
        <v>0.29849999999999999</v>
      </c>
      <c r="F106" s="49">
        <v>6</v>
      </c>
      <c r="G106" s="49">
        <v>65</v>
      </c>
      <c r="H106" s="49">
        <v>71</v>
      </c>
      <c r="I106" s="42">
        <f t="shared" si="16"/>
        <v>94.776200000000003</v>
      </c>
      <c r="J106" s="42">
        <f t="shared" si="17"/>
        <v>0.18730474308300396</v>
      </c>
      <c r="K106" s="42">
        <f t="shared" si="18"/>
        <v>506</v>
      </c>
      <c r="L106" s="42">
        <f t="shared" si="19"/>
        <v>278.79000000000053</v>
      </c>
      <c r="M106" s="42">
        <f t="shared" si="20"/>
        <v>0.55096837944664134</v>
      </c>
      <c r="N106" s="42">
        <f t="shared" si="21"/>
        <v>506</v>
      </c>
      <c r="O106" s="42">
        <f t="shared" si="22"/>
        <v>28569</v>
      </c>
      <c r="P106" s="42">
        <f t="shared" si="23"/>
        <v>56.460474308300398</v>
      </c>
      <c r="Q106" s="42">
        <f t="shared" si="24"/>
        <v>506</v>
      </c>
      <c r="R106" s="42" t="str">
        <f t="shared" si="25"/>
        <v>1</v>
      </c>
      <c r="S106" s="42" t="str">
        <f t="shared" si="26"/>
        <v>5</v>
      </c>
      <c r="T106" s="42">
        <f t="shared" si="27"/>
        <v>3</v>
      </c>
      <c r="U106" s="42">
        <f t="shared" si="28"/>
        <v>89</v>
      </c>
      <c r="V106" s="42">
        <f t="shared" si="29"/>
        <v>3183</v>
      </c>
      <c r="W106" s="42">
        <f t="shared" si="30"/>
        <v>49.316801509098106</v>
      </c>
      <c r="X106" s="42">
        <f t="shared" si="31"/>
        <v>0.18825987366070532</v>
      </c>
    </row>
    <row r="107" spans="1:24" x14ac:dyDescent="0.2">
      <c r="A107" s="49">
        <v>105</v>
      </c>
      <c r="B107" s="49">
        <v>106</v>
      </c>
      <c r="C107" s="49">
        <v>0.28789999999999999</v>
      </c>
      <c r="D107" s="49">
        <v>0.28000000000000003</v>
      </c>
      <c r="E107" s="49">
        <v>0.19400000000000001</v>
      </c>
      <c r="F107" s="49">
        <v>10</v>
      </c>
      <c r="G107" s="49">
        <v>52</v>
      </c>
      <c r="H107" s="49">
        <v>62</v>
      </c>
      <c r="I107" s="42">
        <f t="shared" si="16"/>
        <v>94.518599999999992</v>
      </c>
      <c r="J107" s="42">
        <f t="shared" si="17"/>
        <v>0.18716554455445544</v>
      </c>
      <c r="K107" s="42">
        <f t="shared" si="18"/>
        <v>505</v>
      </c>
      <c r="L107" s="42">
        <f t="shared" si="19"/>
        <v>278.49000000000052</v>
      </c>
      <c r="M107" s="42">
        <f t="shared" si="20"/>
        <v>0.55146534653465451</v>
      </c>
      <c r="N107" s="42">
        <f t="shared" si="21"/>
        <v>505</v>
      </c>
      <c r="O107" s="42">
        <f t="shared" si="22"/>
        <v>28498</v>
      </c>
      <c r="P107" s="42">
        <f t="shared" si="23"/>
        <v>56.43168316831683</v>
      </c>
      <c r="Q107" s="42">
        <f t="shared" si="24"/>
        <v>505</v>
      </c>
      <c r="R107" s="42" t="str">
        <f t="shared" si="25"/>
        <v>1</v>
      </c>
      <c r="S107" s="42" t="str">
        <f t="shared" si="26"/>
        <v>6</v>
      </c>
      <c r="T107" s="42">
        <f t="shared" si="27"/>
        <v>3</v>
      </c>
      <c r="U107" s="42">
        <f t="shared" si="28"/>
        <v>89</v>
      </c>
      <c r="V107" s="42">
        <f t="shared" si="29"/>
        <v>3183</v>
      </c>
      <c r="W107" s="42">
        <f t="shared" si="30"/>
        <v>49.316801509098106</v>
      </c>
      <c r="X107" s="42">
        <f t="shared" si="31"/>
        <v>0.18825987366070532</v>
      </c>
    </row>
    <row r="108" spans="1:24" x14ac:dyDescent="0.2">
      <c r="A108" s="49">
        <v>106</v>
      </c>
      <c r="B108" s="49">
        <v>107</v>
      </c>
      <c r="C108" s="49">
        <v>0.28789999999999999</v>
      </c>
      <c r="D108" s="49">
        <v>0.28000000000000003</v>
      </c>
      <c r="E108" s="49">
        <v>0.19400000000000001</v>
      </c>
      <c r="F108" s="49">
        <v>7</v>
      </c>
      <c r="G108" s="49">
        <v>55</v>
      </c>
      <c r="H108" s="49">
        <v>62</v>
      </c>
      <c r="I108" s="42">
        <f t="shared" si="16"/>
        <v>94.230699999999999</v>
      </c>
      <c r="J108" s="42">
        <f t="shared" si="17"/>
        <v>0.18696567460317459</v>
      </c>
      <c r="K108" s="42">
        <f t="shared" si="18"/>
        <v>504</v>
      </c>
      <c r="L108" s="42">
        <f t="shared" si="19"/>
        <v>278.21000000000055</v>
      </c>
      <c r="M108" s="42">
        <f t="shared" si="20"/>
        <v>0.55200396825396936</v>
      </c>
      <c r="N108" s="42">
        <f t="shared" si="21"/>
        <v>504</v>
      </c>
      <c r="O108" s="42">
        <f t="shared" si="22"/>
        <v>28436</v>
      </c>
      <c r="P108" s="42">
        <f t="shared" si="23"/>
        <v>56.420634920634917</v>
      </c>
      <c r="Q108" s="42">
        <f t="shared" si="24"/>
        <v>504</v>
      </c>
      <c r="R108" s="42" t="str">
        <f t="shared" si="25"/>
        <v>1</v>
      </c>
      <c r="S108" s="42" t="str">
        <f t="shared" si="26"/>
        <v>7</v>
      </c>
      <c r="T108" s="42">
        <f t="shared" si="27"/>
        <v>3</v>
      </c>
      <c r="U108" s="42">
        <f t="shared" si="28"/>
        <v>89</v>
      </c>
      <c r="V108" s="42">
        <f t="shared" si="29"/>
        <v>3183</v>
      </c>
      <c r="W108" s="42">
        <f t="shared" si="30"/>
        <v>49.316801509098106</v>
      </c>
      <c r="X108" s="42">
        <f t="shared" si="31"/>
        <v>0.18825987366070532</v>
      </c>
    </row>
    <row r="109" spans="1:24" x14ac:dyDescent="0.2">
      <c r="A109" s="49">
        <v>107</v>
      </c>
      <c r="B109" s="49">
        <v>108</v>
      </c>
      <c r="C109" s="49">
        <v>0.31819999999999998</v>
      </c>
      <c r="D109" s="49">
        <v>0.28000000000000003</v>
      </c>
      <c r="E109" s="49">
        <v>8.9599999999999999E-2</v>
      </c>
      <c r="F109" s="49">
        <v>4</v>
      </c>
      <c r="G109" s="49">
        <v>85</v>
      </c>
      <c r="H109" s="49">
        <v>89</v>
      </c>
      <c r="I109" s="42">
        <f t="shared" si="16"/>
        <v>93.942799999999977</v>
      </c>
      <c r="J109" s="42">
        <f t="shared" si="17"/>
        <v>0.1867650099403578</v>
      </c>
      <c r="K109" s="42">
        <f t="shared" si="18"/>
        <v>503</v>
      </c>
      <c r="L109" s="42">
        <f t="shared" si="19"/>
        <v>277.93000000000052</v>
      </c>
      <c r="M109" s="42">
        <f t="shared" si="20"/>
        <v>0.55254473161033901</v>
      </c>
      <c r="N109" s="42">
        <f t="shared" si="21"/>
        <v>503</v>
      </c>
      <c r="O109" s="42">
        <f t="shared" si="22"/>
        <v>28374</v>
      </c>
      <c r="P109" s="42">
        <f t="shared" si="23"/>
        <v>56.409542743538765</v>
      </c>
      <c r="Q109" s="42">
        <f t="shared" si="24"/>
        <v>503</v>
      </c>
      <c r="R109" s="42" t="str">
        <f t="shared" si="25"/>
        <v>1</v>
      </c>
      <c r="S109" s="42" t="str">
        <f t="shared" si="26"/>
        <v>8</v>
      </c>
      <c r="T109" s="42">
        <f t="shared" si="27"/>
        <v>3</v>
      </c>
      <c r="U109" s="42">
        <f t="shared" si="28"/>
        <v>89</v>
      </c>
      <c r="V109" s="42">
        <f t="shared" si="29"/>
        <v>3183</v>
      </c>
      <c r="W109" s="42">
        <f t="shared" si="30"/>
        <v>49.316801509098106</v>
      </c>
      <c r="X109" s="42">
        <f t="shared" si="31"/>
        <v>0.18825987366070532</v>
      </c>
    </row>
    <row r="110" spans="1:24" x14ac:dyDescent="0.2">
      <c r="A110" s="49">
        <v>108</v>
      </c>
      <c r="B110" s="49">
        <v>109</v>
      </c>
      <c r="C110" s="49">
        <v>0.2273</v>
      </c>
      <c r="D110" s="49">
        <v>0.38</v>
      </c>
      <c r="E110" s="49">
        <v>0.19400000000000001</v>
      </c>
      <c r="F110" s="49">
        <v>4</v>
      </c>
      <c r="G110" s="49">
        <v>186</v>
      </c>
      <c r="H110" s="49">
        <v>190</v>
      </c>
      <c r="I110" s="42">
        <f t="shared" si="16"/>
        <v>93.624599999999973</v>
      </c>
      <c r="J110" s="42">
        <f t="shared" si="17"/>
        <v>0.18650318725099596</v>
      </c>
      <c r="K110" s="42">
        <f t="shared" si="18"/>
        <v>502</v>
      </c>
      <c r="L110" s="42">
        <f t="shared" si="19"/>
        <v>277.65000000000049</v>
      </c>
      <c r="M110" s="42">
        <f t="shared" si="20"/>
        <v>0.55308764940239141</v>
      </c>
      <c r="N110" s="42">
        <f t="shared" si="21"/>
        <v>502</v>
      </c>
      <c r="O110" s="42">
        <f t="shared" si="22"/>
        <v>28285</v>
      </c>
      <c r="P110" s="42">
        <f t="shared" si="23"/>
        <v>56.344621513944226</v>
      </c>
      <c r="Q110" s="42">
        <f t="shared" si="24"/>
        <v>502</v>
      </c>
      <c r="R110" s="42" t="str">
        <f t="shared" si="25"/>
        <v>1</v>
      </c>
      <c r="S110" s="42" t="str">
        <f t="shared" si="26"/>
        <v>9</v>
      </c>
      <c r="T110" s="42">
        <f t="shared" si="27"/>
        <v>3</v>
      </c>
      <c r="U110" s="42">
        <f t="shared" si="28"/>
        <v>89</v>
      </c>
      <c r="V110" s="42">
        <f t="shared" si="29"/>
        <v>3183</v>
      </c>
      <c r="W110" s="42">
        <f t="shared" si="30"/>
        <v>49.316801509098106</v>
      </c>
      <c r="X110" s="42">
        <f t="shared" si="31"/>
        <v>0.18825987366070532</v>
      </c>
    </row>
    <row r="111" spans="1:24" x14ac:dyDescent="0.2">
      <c r="A111" s="49">
        <v>109</v>
      </c>
      <c r="B111" s="49">
        <v>110</v>
      </c>
      <c r="C111" s="49">
        <v>0.2424</v>
      </c>
      <c r="D111" s="49">
        <v>0.38</v>
      </c>
      <c r="E111" s="49">
        <v>0.1343</v>
      </c>
      <c r="F111" s="49">
        <v>3</v>
      </c>
      <c r="G111" s="49">
        <v>166</v>
      </c>
      <c r="H111" s="49">
        <v>169</v>
      </c>
      <c r="I111" s="42">
        <f t="shared" si="16"/>
        <v>93.397299999999973</v>
      </c>
      <c r="J111" s="42">
        <f t="shared" si="17"/>
        <v>0.18642175648702589</v>
      </c>
      <c r="K111" s="42">
        <f t="shared" si="18"/>
        <v>501</v>
      </c>
      <c r="L111" s="42">
        <f t="shared" si="19"/>
        <v>277.27000000000049</v>
      </c>
      <c r="M111" s="42">
        <f t="shared" si="20"/>
        <v>0.55343313373253589</v>
      </c>
      <c r="N111" s="42">
        <f t="shared" si="21"/>
        <v>501</v>
      </c>
      <c r="O111" s="42">
        <f t="shared" si="22"/>
        <v>28095</v>
      </c>
      <c r="P111" s="42">
        <f t="shared" si="23"/>
        <v>56.077844311377248</v>
      </c>
      <c r="Q111" s="42">
        <f t="shared" si="24"/>
        <v>501</v>
      </c>
      <c r="R111" s="42" t="str">
        <f t="shared" si="25"/>
        <v>1</v>
      </c>
      <c r="S111" s="42" t="str">
        <f t="shared" si="26"/>
        <v>0</v>
      </c>
      <c r="T111" s="42">
        <f t="shared" si="27"/>
        <v>3</v>
      </c>
      <c r="U111" s="42">
        <f t="shared" si="28"/>
        <v>89</v>
      </c>
      <c r="V111" s="42">
        <f t="shared" si="29"/>
        <v>3183</v>
      </c>
      <c r="W111" s="42">
        <f t="shared" si="30"/>
        <v>49.316801509098106</v>
      </c>
      <c r="X111" s="42">
        <f t="shared" si="31"/>
        <v>0.18825987366070532</v>
      </c>
    </row>
    <row r="112" spans="1:24" x14ac:dyDescent="0.2">
      <c r="A112" s="49">
        <v>110</v>
      </c>
      <c r="B112" s="49">
        <v>111</v>
      </c>
      <c r="C112" s="49">
        <v>0.2576</v>
      </c>
      <c r="D112" s="49">
        <v>0.38</v>
      </c>
      <c r="E112" s="49">
        <v>0.1045</v>
      </c>
      <c r="F112" s="49">
        <v>5</v>
      </c>
      <c r="G112" s="49">
        <v>127</v>
      </c>
      <c r="H112" s="49">
        <v>132</v>
      </c>
      <c r="I112" s="42">
        <f t="shared" si="16"/>
        <v>93.154899999999969</v>
      </c>
      <c r="J112" s="42">
        <f t="shared" si="17"/>
        <v>0.18630979999999994</v>
      </c>
      <c r="K112" s="42">
        <f t="shared" si="18"/>
        <v>500</v>
      </c>
      <c r="L112" s="42">
        <f t="shared" si="19"/>
        <v>276.8900000000005</v>
      </c>
      <c r="M112" s="42">
        <f t="shared" si="20"/>
        <v>0.55378000000000105</v>
      </c>
      <c r="N112" s="42">
        <f t="shared" si="21"/>
        <v>500</v>
      </c>
      <c r="O112" s="42">
        <f t="shared" si="22"/>
        <v>27926</v>
      </c>
      <c r="P112" s="42">
        <f t="shared" si="23"/>
        <v>55.851999999999997</v>
      </c>
      <c r="Q112" s="42">
        <f t="shared" si="24"/>
        <v>500</v>
      </c>
      <c r="R112" s="42" t="str">
        <f t="shared" si="25"/>
        <v>1</v>
      </c>
      <c r="S112" s="42" t="str">
        <f t="shared" si="26"/>
        <v>1</v>
      </c>
      <c r="T112" s="42">
        <f t="shared" si="27"/>
        <v>3</v>
      </c>
      <c r="U112" s="42">
        <f t="shared" si="28"/>
        <v>89</v>
      </c>
      <c r="V112" s="42">
        <f t="shared" si="29"/>
        <v>3183</v>
      </c>
      <c r="W112" s="42">
        <f t="shared" si="30"/>
        <v>49.316801509098106</v>
      </c>
      <c r="X112" s="42">
        <f t="shared" si="31"/>
        <v>0.18825987366070532</v>
      </c>
    </row>
    <row r="113" spans="1:24" x14ac:dyDescent="0.2">
      <c r="A113" s="49">
        <v>111</v>
      </c>
      <c r="B113" s="49">
        <v>112</v>
      </c>
      <c r="C113" s="49">
        <v>0.2273</v>
      </c>
      <c r="D113" s="49">
        <v>0.47</v>
      </c>
      <c r="E113" s="49">
        <v>0.16420000000000001</v>
      </c>
      <c r="F113" s="49">
        <v>7</v>
      </c>
      <c r="G113" s="49">
        <v>82</v>
      </c>
      <c r="H113" s="49">
        <v>89</v>
      </c>
      <c r="I113" s="42">
        <f t="shared" si="16"/>
        <v>92.897299999999959</v>
      </c>
      <c r="J113" s="42">
        <f t="shared" si="17"/>
        <v>0.18616693386773539</v>
      </c>
      <c r="K113" s="42">
        <f t="shared" si="18"/>
        <v>499</v>
      </c>
      <c r="L113" s="42">
        <f t="shared" si="19"/>
        <v>276.5100000000005</v>
      </c>
      <c r="M113" s="42">
        <f t="shared" si="20"/>
        <v>0.55412825651302711</v>
      </c>
      <c r="N113" s="42">
        <f t="shared" si="21"/>
        <v>499</v>
      </c>
      <c r="O113" s="42">
        <f t="shared" si="22"/>
        <v>27794</v>
      </c>
      <c r="P113" s="42">
        <f t="shared" si="23"/>
        <v>55.699398797595194</v>
      </c>
      <c r="Q113" s="42">
        <f t="shared" si="24"/>
        <v>499</v>
      </c>
      <c r="R113" s="42" t="str">
        <f t="shared" si="25"/>
        <v>1</v>
      </c>
      <c r="S113" s="42" t="str">
        <f t="shared" si="26"/>
        <v>2</v>
      </c>
      <c r="T113" s="42">
        <f t="shared" si="27"/>
        <v>3</v>
      </c>
      <c r="U113" s="42">
        <f t="shared" si="28"/>
        <v>89</v>
      </c>
      <c r="V113" s="42">
        <f t="shared" si="29"/>
        <v>3183</v>
      </c>
      <c r="W113" s="42">
        <f t="shared" si="30"/>
        <v>49.316801509098106</v>
      </c>
      <c r="X113" s="42">
        <f t="shared" si="31"/>
        <v>0.18825987366070532</v>
      </c>
    </row>
    <row r="114" spans="1:24" x14ac:dyDescent="0.2">
      <c r="A114" s="49">
        <v>112</v>
      </c>
      <c r="B114" s="49">
        <v>113</v>
      </c>
      <c r="C114" s="49">
        <v>0.19700000000000001</v>
      </c>
      <c r="D114" s="49">
        <v>0.51</v>
      </c>
      <c r="E114" s="49">
        <v>0.19400000000000001</v>
      </c>
      <c r="F114" s="49">
        <v>3</v>
      </c>
      <c r="G114" s="49">
        <v>40</v>
      </c>
      <c r="H114" s="49">
        <v>43</v>
      </c>
      <c r="I114" s="42">
        <f t="shared" si="16"/>
        <v>92.669999999999959</v>
      </c>
      <c r="J114" s="42">
        <f t="shared" si="17"/>
        <v>0.1860843373493975</v>
      </c>
      <c r="K114" s="42">
        <f t="shared" si="18"/>
        <v>498</v>
      </c>
      <c r="L114" s="42">
        <f t="shared" si="19"/>
        <v>276.04000000000048</v>
      </c>
      <c r="M114" s="42">
        <f t="shared" si="20"/>
        <v>0.55429718875502099</v>
      </c>
      <c r="N114" s="42">
        <f t="shared" si="21"/>
        <v>498</v>
      </c>
      <c r="O114" s="42">
        <f t="shared" si="22"/>
        <v>27705</v>
      </c>
      <c r="P114" s="42">
        <f t="shared" si="23"/>
        <v>55.632530120481931</v>
      </c>
      <c r="Q114" s="42">
        <f t="shared" si="24"/>
        <v>498</v>
      </c>
      <c r="R114" s="42" t="str">
        <f t="shared" si="25"/>
        <v>1</v>
      </c>
      <c r="S114" s="42" t="str">
        <f t="shared" si="26"/>
        <v>3</v>
      </c>
      <c r="T114" s="42">
        <f t="shared" si="27"/>
        <v>3</v>
      </c>
      <c r="U114" s="42">
        <f t="shared" si="28"/>
        <v>89</v>
      </c>
      <c r="V114" s="42">
        <f t="shared" si="29"/>
        <v>3183</v>
      </c>
      <c r="W114" s="42">
        <f t="shared" si="30"/>
        <v>49.316801509098106</v>
      </c>
      <c r="X114" s="42">
        <f t="shared" si="31"/>
        <v>0.18825987366070532</v>
      </c>
    </row>
    <row r="115" spans="1:24" x14ac:dyDescent="0.2">
      <c r="A115" s="49">
        <v>113</v>
      </c>
      <c r="B115" s="49">
        <v>114</v>
      </c>
      <c r="C115" s="49">
        <v>0.19700000000000001</v>
      </c>
      <c r="D115" s="49">
        <v>0.55000000000000004</v>
      </c>
      <c r="E115" s="49">
        <v>0.1343</v>
      </c>
      <c r="F115" s="49">
        <v>1</v>
      </c>
      <c r="G115" s="49">
        <v>41</v>
      </c>
      <c r="H115" s="49">
        <v>42</v>
      </c>
      <c r="I115" s="42">
        <f t="shared" si="16"/>
        <v>92.472999999999956</v>
      </c>
      <c r="J115" s="42">
        <f t="shared" si="17"/>
        <v>0.18606237424547276</v>
      </c>
      <c r="K115" s="42">
        <f t="shared" si="18"/>
        <v>497</v>
      </c>
      <c r="L115" s="42">
        <f t="shared" si="19"/>
        <v>275.53000000000048</v>
      </c>
      <c r="M115" s="42">
        <f t="shared" si="20"/>
        <v>0.55438631790744564</v>
      </c>
      <c r="N115" s="42">
        <f t="shared" si="21"/>
        <v>497</v>
      </c>
      <c r="O115" s="42">
        <f t="shared" si="22"/>
        <v>27662</v>
      </c>
      <c r="P115" s="42">
        <f t="shared" si="23"/>
        <v>55.6579476861167</v>
      </c>
      <c r="Q115" s="42">
        <f t="shared" si="24"/>
        <v>497</v>
      </c>
      <c r="R115" s="42" t="str">
        <f t="shared" si="25"/>
        <v>1</v>
      </c>
      <c r="S115" s="42" t="str">
        <f t="shared" si="26"/>
        <v>4</v>
      </c>
      <c r="T115" s="42">
        <f t="shared" si="27"/>
        <v>3</v>
      </c>
      <c r="U115" s="42">
        <f t="shared" si="28"/>
        <v>89</v>
      </c>
      <c r="V115" s="42">
        <f t="shared" si="29"/>
        <v>3183</v>
      </c>
      <c r="W115" s="42">
        <f t="shared" si="30"/>
        <v>49.316801509098106</v>
      </c>
      <c r="X115" s="42">
        <f t="shared" si="31"/>
        <v>0.18825987366070532</v>
      </c>
    </row>
    <row r="116" spans="1:24" x14ac:dyDescent="0.2">
      <c r="A116" s="49">
        <v>114</v>
      </c>
      <c r="B116" s="49">
        <v>115</v>
      </c>
      <c r="C116" s="49">
        <v>0.2576</v>
      </c>
      <c r="D116" s="49">
        <v>0.47</v>
      </c>
      <c r="E116" s="49">
        <v>0</v>
      </c>
      <c r="F116" s="49">
        <v>1</v>
      </c>
      <c r="G116" s="49">
        <v>18</v>
      </c>
      <c r="H116" s="49">
        <v>19</v>
      </c>
      <c r="I116" s="42">
        <f t="shared" si="16"/>
        <v>92.275999999999939</v>
      </c>
      <c r="J116" s="42">
        <f t="shared" si="17"/>
        <v>0.18604032258064504</v>
      </c>
      <c r="K116" s="42">
        <f t="shared" si="18"/>
        <v>496</v>
      </c>
      <c r="L116" s="42">
        <f t="shared" si="19"/>
        <v>274.98000000000047</v>
      </c>
      <c r="M116" s="42">
        <f t="shared" si="20"/>
        <v>0.55439516129032351</v>
      </c>
      <c r="N116" s="42">
        <f t="shared" si="21"/>
        <v>496</v>
      </c>
      <c r="O116" s="42">
        <f t="shared" si="22"/>
        <v>27620</v>
      </c>
      <c r="P116" s="42">
        <f t="shared" si="23"/>
        <v>55.685483870967744</v>
      </c>
      <c r="Q116" s="42">
        <f t="shared" si="24"/>
        <v>496</v>
      </c>
      <c r="R116" s="42" t="str">
        <f t="shared" si="25"/>
        <v>1</v>
      </c>
      <c r="S116" s="42" t="str">
        <f t="shared" si="26"/>
        <v>5</v>
      </c>
      <c r="T116" s="42">
        <f t="shared" si="27"/>
        <v>3</v>
      </c>
      <c r="U116" s="42">
        <f t="shared" si="28"/>
        <v>89</v>
      </c>
      <c r="V116" s="42">
        <f t="shared" si="29"/>
        <v>3183</v>
      </c>
      <c r="W116" s="42">
        <f t="shared" si="30"/>
        <v>49.316801509098106</v>
      </c>
      <c r="X116" s="42">
        <f t="shared" si="31"/>
        <v>0.18825987366070532</v>
      </c>
    </row>
    <row r="117" spans="1:24" x14ac:dyDescent="0.2">
      <c r="A117" s="49">
        <v>115</v>
      </c>
      <c r="B117" s="49">
        <v>116</v>
      </c>
      <c r="C117" s="49">
        <v>0.2424</v>
      </c>
      <c r="D117" s="49">
        <v>0.55000000000000004</v>
      </c>
      <c r="E117" s="49">
        <v>0</v>
      </c>
      <c r="F117" s="49">
        <v>0</v>
      </c>
      <c r="G117" s="49">
        <v>11</v>
      </c>
      <c r="H117" s="49">
        <v>11</v>
      </c>
      <c r="I117" s="42">
        <f t="shared" si="16"/>
        <v>92.018399999999943</v>
      </c>
      <c r="J117" s="42">
        <f t="shared" si="17"/>
        <v>0.18589575757575746</v>
      </c>
      <c r="K117" s="42">
        <f t="shared" si="18"/>
        <v>495</v>
      </c>
      <c r="L117" s="42">
        <f t="shared" si="19"/>
        <v>274.5100000000005</v>
      </c>
      <c r="M117" s="42">
        <f t="shared" si="20"/>
        <v>0.55456565656565759</v>
      </c>
      <c r="N117" s="42">
        <f t="shared" si="21"/>
        <v>495</v>
      </c>
      <c r="O117" s="42">
        <f t="shared" si="22"/>
        <v>27601</v>
      </c>
      <c r="P117" s="42">
        <f t="shared" si="23"/>
        <v>55.759595959595963</v>
      </c>
      <c r="Q117" s="42">
        <f t="shared" si="24"/>
        <v>495</v>
      </c>
      <c r="R117" s="42" t="str">
        <f t="shared" si="25"/>
        <v>1</v>
      </c>
      <c r="S117" s="42" t="str">
        <f t="shared" si="26"/>
        <v>6</v>
      </c>
      <c r="T117" s="42">
        <f t="shared" si="27"/>
        <v>3</v>
      </c>
      <c r="U117" s="42">
        <f t="shared" si="28"/>
        <v>89</v>
      </c>
      <c r="V117" s="42">
        <f t="shared" si="29"/>
        <v>3183</v>
      </c>
      <c r="W117" s="42">
        <f t="shared" si="30"/>
        <v>49.316801509098106</v>
      </c>
      <c r="X117" s="42">
        <f t="shared" si="31"/>
        <v>0.18825987366070532</v>
      </c>
    </row>
    <row r="118" spans="1:24" x14ac:dyDescent="0.2">
      <c r="A118" s="49">
        <v>116</v>
      </c>
      <c r="B118" s="49">
        <v>117</v>
      </c>
      <c r="C118" s="49">
        <v>0.2273</v>
      </c>
      <c r="D118" s="49">
        <v>0.64</v>
      </c>
      <c r="E118" s="49">
        <v>0</v>
      </c>
      <c r="F118" s="49">
        <v>0</v>
      </c>
      <c r="G118" s="49">
        <v>4</v>
      </c>
      <c r="H118" s="49">
        <v>4</v>
      </c>
      <c r="I118" s="42">
        <f t="shared" si="16"/>
        <v>91.775999999999939</v>
      </c>
      <c r="J118" s="42">
        <f t="shared" si="17"/>
        <v>0.18578137651821849</v>
      </c>
      <c r="K118" s="42">
        <f t="shared" si="18"/>
        <v>494</v>
      </c>
      <c r="L118" s="42">
        <f t="shared" si="19"/>
        <v>273.96000000000049</v>
      </c>
      <c r="M118" s="42">
        <f t="shared" si="20"/>
        <v>0.5545748987854261</v>
      </c>
      <c r="N118" s="42">
        <f t="shared" si="21"/>
        <v>494</v>
      </c>
      <c r="O118" s="42">
        <f t="shared" si="22"/>
        <v>27590</v>
      </c>
      <c r="P118" s="42">
        <f t="shared" si="23"/>
        <v>55.850202429149796</v>
      </c>
      <c r="Q118" s="42">
        <f t="shared" si="24"/>
        <v>494</v>
      </c>
      <c r="R118" s="42" t="str">
        <f t="shared" si="25"/>
        <v>1</v>
      </c>
      <c r="S118" s="42" t="str">
        <f t="shared" si="26"/>
        <v>7</v>
      </c>
      <c r="T118" s="42">
        <f t="shared" si="27"/>
        <v>3</v>
      </c>
      <c r="U118" s="42">
        <f t="shared" si="28"/>
        <v>89</v>
      </c>
      <c r="V118" s="42">
        <f t="shared" si="29"/>
        <v>3183</v>
      </c>
      <c r="W118" s="42">
        <f t="shared" si="30"/>
        <v>49.316801509098106</v>
      </c>
      <c r="X118" s="42">
        <f t="shared" si="31"/>
        <v>0.18825987366070532</v>
      </c>
    </row>
    <row r="119" spans="1:24" x14ac:dyDescent="0.2">
      <c r="A119" s="49">
        <v>117</v>
      </c>
      <c r="B119" s="49">
        <v>118</v>
      </c>
      <c r="C119" s="49">
        <v>0.2273</v>
      </c>
      <c r="D119" s="49">
        <v>0.64</v>
      </c>
      <c r="E119" s="49">
        <v>0</v>
      </c>
      <c r="F119" s="49">
        <v>0</v>
      </c>
      <c r="G119" s="49">
        <v>2</v>
      </c>
      <c r="H119" s="49">
        <v>2</v>
      </c>
      <c r="I119" s="42">
        <f t="shared" si="16"/>
        <v>91.54869999999994</v>
      </c>
      <c r="J119" s="42">
        <f t="shared" si="17"/>
        <v>0.1856971602434076</v>
      </c>
      <c r="K119" s="42">
        <f t="shared" si="18"/>
        <v>493</v>
      </c>
      <c r="L119" s="42">
        <f t="shared" si="19"/>
        <v>273.3200000000005</v>
      </c>
      <c r="M119" s="42">
        <f t="shared" si="20"/>
        <v>0.55440162271805371</v>
      </c>
      <c r="N119" s="42">
        <f t="shared" si="21"/>
        <v>493</v>
      </c>
      <c r="O119" s="42">
        <f t="shared" si="22"/>
        <v>27586</v>
      </c>
      <c r="P119" s="42">
        <f t="shared" si="23"/>
        <v>55.955375253549697</v>
      </c>
      <c r="Q119" s="42">
        <f t="shared" si="24"/>
        <v>493</v>
      </c>
      <c r="R119" s="42" t="str">
        <f t="shared" si="25"/>
        <v>1</v>
      </c>
      <c r="S119" s="42" t="str">
        <f t="shared" si="26"/>
        <v>8</v>
      </c>
      <c r="T119" s="42">
        <f t="shared" si="27"/>
        <v>3</v>
      </c>
      <c r="U119" s="42">
        <f t="shared" si="28"/>
        <v>89</v>
      </c>
      <c r="V119" s="42">
        <f t="shared" si="29"/>
        <v>3183</v>
      </c>
      <c r="W119" s="42">
        <f t="shared" si="30"/>
        <v>49.316801509098106</v>
      </c>
      <c r="X119" s="42">
        <f t="shared" si="31"/>
        <v>0.18825987366070532</v>
      </c>
    </row>
    <row r="120" spans="1:24" x14ac:dyDescent="0.2">
      <c r="A120" s="49">
        <v>118</v>
      </c>
      <c r="B120" s="49">
        <v>119</v>
      </c>
      <c r="C120" s="49">
        <v>0.19700000000000001</v>
      </c>
      <c r="D120" s="49">
        <v>0.64</v>
      </c>
      <c r="E120" s="49">
        <v>8.9599999999999999E-2</v>
      </c>
      <c r="F120" s="49">
        <v>0</v>
      </c>
      <c r="G120" s="49">
        <v>1</v>
      </c>
      <c r="H120" s="49">
        <v>1</v>
      </c>
      <c r="I120" s="42">
        <f t="shared" si="16"/>
        <v>91.321399999999926</v>
      </c>
      <c r="J120" s="42">
        <f t="shared" si="17"/>
        <v>0.18561260162601612</v>
      </c>
      <c r="K120" s="42">
        <f t="shared" si="18"/>
        <v>492</v>
      </c>
      <c r="L120" s="42">
        <f t="shared" si="19"/>
        <v>272.68000000000052</v>
      </c>
      <c r="M120" s="42">
        <f t="shared" si="20"/>
        <v>0.55422764227642385</v>
      </c>
      <c r="N120" s="42">
        <f t="shared" si="21"/>
        <v>492</v>
      </c>
      <c r="O120" s="42">
        <f t="shared" si="22"/>
        <v>27584</v>
      </c>
      <c r="P120" s="42">
        <f t="shared" si="23"/>
        <v>56.065040650406502</v>
      </c>
      <c r="Q120" s="42">
        <f t="shared" si="24"/>
        <v>492</v>
      </c>
      <c r="R120" s="42" t="str">
        <f t="shared" si="25"/>
        <v>1</v>
      </c>
      <c r="S120" s="42" t="str">
        <f t="shared" si="26"/>
        <v>9</v>
      </c>
      <c r="T120" s="42">
        <f t="shared" si="27"/>
        <v>3</v>
      </c>
      <c r="U120" s="42">
        <f t="shared" si="28"/>
        <v>89</v>
      </c>
      <c r="V120" s="42">
        <f t="shared" si="29"/>
        <v>3183</v>
      </c>
      <c r="W120" s="42">
        <f t="shared" si="30"/>
        <v>49.316801509098106</v>
      </c>
      <c r="X120" s="42">
        <f t="shared" si="31"/>
        <v>0.18825987366070532</v>
      </c>
    </row>
    <row r="121" spans="1:24" x14ac:dyDescent="0.2">
      <c r="A121" s="49">
        <v>119</v>
      </c>
      <c r="B121" s="49">
        <v>120</v>
      </c>
      <c r="C121" s="49">
        <v>0.18179999999999999</v>
      </c>
      <c r="D121" s="49">
        <v>0.69</v>
      </c>
      <c r="E121" s="49">
        <v>8.9599999999999999E-2</v>
      </c>
      <c r="F121" s="49">
        <v>0</v>
      </c>
      <c r="G121" s="49">
        <v>4</v>
      </c>
      <c r="H121" s="49">
        <v>4</v>
      </c>
      <c r="I121" s="42">
        <f t="shared" si="16"/>
        <v>91.124399999999937</v>
      </c>
      <c r="J121" s="42">
        <f t="shared" si="17"/>
        <v>0.1855894093686353</v>
      </c>
      <c r="K121" s="42">
        <f t="shared" si="18"/>
        <v>491</v>
      </c>
      <c r="L121" s="42">
        <f t="shared" si="19"/>
        <v>272.04000000000053</v>
      </c>
      <c r="M121" s="42">
        <f t="shared" si="20"/>
        <v>0.5540529531568239</v>
      </c>
      <c r="N121" s="42">
        <f t="shared" si="21"/>
        <v>491</v>
      </c>
      <c r="O121" s="42">
        <f t="shared" si="22"/>
        <v>27583</v>
      </c>
      <c r="P121" s="42">
        <f t="shared" si="23"/>
        <v>56.177189409368637</v>
      </c>
      <c r="Q121" s="42">
        <f t="shared" si="24"/>
        <v>491</v>
      </c>
      <c r="R121" s="42" t="str">
        <f t="shared" si="25"/>
        <v>1</v>
      </c>
      <c r="S121" s="42" t="str">
        <f t="shared" si="26"/>
        <v>0</v>
      </c>
      <c r="T121" s="42">
        <f t="shared" si="27"/>
        <v>3</v>
      </c>
      <c r="U121" s="42">
        <f t="shared" si="28"/>
        <v>89</v>
      </c>
      <c r="V121" s="42">
        <f t="shared" si="29"/>
        <v>3183</v>
      </c>
      <c r="W121" s="42">
        <f t="shared" si="30"/>
        <v>49.316801509098106</v>
      </c>
      <c r="X121" s="42">
        <f t="shared" si="31"/>
        <v>0.18825987366070532</v>
      </c>
    </row>
    <row r="122" spans="1:24" x14ac:dyDescent="0.2">
      <c r="A122" s="49">
        <v>120</v>
      </c>
      <c r="B122" s="49">
        <v>121</v>
      </c>
      <c r="C122" s="49">
        <v>0.16669999999999999</v>
      </c>
      <c r="D122" s="49">
        <v>0.63</v>
      </c>
      <c r="E122" s="49">
        <v>0.1045</v>
      </c>
      <c r="F122" s="49">
        <v>0</v>
      </c>
      <c r="G122" s="49">
        <v>36</v>
      </c>
      <c r="H122" s="49">
        <v>36</v>
      </c>
      <c r="I122" s="42">
        <f t="shared" si="16"/>
        <v>90.942599999999942</v>
      </c>
      <c r="J122" s="42">
        <f t="shared" si="17"/>
        <v>0.18559714285714274</v>
      </c>
      <c r="K122" s="42">
        <f t="shared" si="18"/>
        <v>490</v>
      </c>
      <c r="L122" s="42">
        <f t="shared" si="19"/>
        <v>271.35000000000048</v>
      </c>
      <c r="M122" s="42">
        <f t="shared" si="20"/>
        <v>0.55377551020408255</v>
      </c>
      <c r="N122" s="42">
        <f t="shared" si="21"/>
        <v>490</v>
      </c>
      <c r="O122" s="42">
        <f t="shared" si="22"/>
        <v>27579</v>
      </c>
      <c r="P122" s="42">
        <f t="shared" si="23"/>
        <v>56.283673469387757</v>
      </c>
      <c r="Q122" s="42">
        <f t="shared" si="24"/>
        <v>490</v>
      </c>
      <c r="R122" s="42" t="str">
        <f t="shared" si="25"/>
        <v>1</v>
      </c>
      <c r="S122" s="42" t="str">
        <f t="shared" si="26"/>
        <v>1</v>
      </c>
      <c r="T122" s="42">
        <f t="shared" si="27"/>
        <v>3</v>
      </c>
      <c r="U122" s="42">
        <f t="shared" si="28"/>
        <v>89</v>
      </c>
      <c r="V122" s="42">
        <f t="shared" si="29"/>
        <v>3183</v>
      </c>
      <c r="W122" s="42">
        <f t="shared" si="30"/>
        <v>49.316801509098106</v>
      </c>
      <c r="X122" s="42">
        <f t="shared" si="31"/>
        <v>0.18825987366070532</v>
      </c>
    </row>
    <row r="123" spans="1:24" x14ac:dyDescent="0.2">
      <c r="A123" s="49">
        <v>121</v>
      </c>
      <c r="B123" s="49">
        <v>122</v>
      </c>
      <c r="C123" s="49">
        <v>0.2273</v>
      </c>
      <c r="D123" s="49">
        <v>0.59</v>
      </c>
      <c r="E123" s="49">
        <v>0</v>
      </c>
      <c r="F123" s="49">
        <v>0</v>
      </c>
      <c r="G123" s="49">
        <v>95</v>
      </c>
      <c r="H123" s="49">
        <v>95</v>
      </c>
      <c r="I123" s="42">
        <f t="shared" si="16"/>
        <v>90.775899999999936</v>
      </c>
      <c r="J123" s="42">
        <f t="shared" si="17"/>
        <v>0.18563578732106326</v>
      </c>
      <c r="K123" s="42">
        <f t="shared" si="18"/>
        <v>489</v>
      </c>
      <c r="L123" s="42">
        <f t="shared" si="19"/>
        <v>270.72000000000048</v>
      </c>
      <c r="M123" s="42">
        <f t="shared" si="20"/>
        <v>0.55361963190184149</v>
      </c>
      <c r="N123" s="42">
        <f t="shared" si="21"/>
        <v>489</v>
      </c>
      <c r="O123" s="42">
        <f t="shared" si="22"/>
        <v>27543</v>
      </c>
      <c r="P123" s="42">
        <f t="shared" si="23"/>
        <v>56.325153374233132</v>
      </c>
      <c r="Q123" s="42">
        <f t="shared" si="24"/>
        <v>489</v>
      </c>
      <c r="R123" s="42" t="str">
        <f t="shared" si="25"/>
        <v>1</v>
      </c>
      <c r="S123" s="42" t="str">
        <f t="shared" si="26"/>
        <v>2</v>
      </c>
      <c r="T123" s="42">
        <f t="shared" si="27"/>
        <v>3</v>
      </c>
      <c r="U123" s="42">
        <f t="shared" si="28"/>
        <v>89</v>
      </c>
      <c r="V123" s="42">
        <f t="shared" si="29"/>
        <v>3183</v>
      </c>
      <c r="W123" s="42">
        <f t="shared" si="30"/>
        <v>49.316801509098106</v>
      </c>
      <c r="X123" s="42">
        <f t="shared" si="31"/>
        <v>0.18825987366070532</v>
      </c>
    </row>
    <row r="124" spans="1:24" x14ac:dyDescent="0.2">
      <c r="A124" s="49">
        <v>122</v>
      </c>
      <c r="B124" s="49">
        <v>123</v>
      </c>
      <c r="C124" s="49">
        <v>0.2273</v>
      </c>
      <c r="D124" s="49">
        <v>0.59</v>
      </c>
      <c r="E124" s="49">
        <v>0</v>
      </c>
      <c r="F124" s="49">
        <v>3</v>
      </c>
      <c r="G124" s="49">
        <v>216</v>
      </c>
      <c r="H124" s="49">
        <v>219</v>
      </c>
      <c r="I124" s="42">
        <f t="shared" si="16"/>
        <v>90.548599999999922</v>
      </c>
      <c r="J124" s="42">
        <f t="shared" si="17"/>
        <v>0.18555040983606541</v>
      </c>
      <c r="K124" s="42">
        <f t="shared" si="18"/>
        <v>488</v>
      </c>
      <c r="L124" s="42">
        <f t="shared" si="19"/>
        <v>270.13000000000051</v>
      </c>
      <c r="M124" s="42">
        <f t="shared" si="20"/>
        <v>0.55354508196721419</v>
      </c>
      <c r="N124" s="42">
        <f t="shared" si="21"/>
        <v>488</v>
      </c>
      <c r="O124" s="42">
        <f t="shared" si="22"/>
        <v>27448</v>
      </c>
      <c r="P124" s="42">
        <f t="shared" si="23"/>
        <v>56.245901639344261</v>
      </c>
      <c r="Q124" s="42">
        <f t="shared" si="24"/>
        <v>488</v>
      </c>
      <c r="R124" s="42" t="str">
        <f t="shared" si="25"/>
        <v>1</v>
      </c>
      <c r="S124" s="42" t="str">
        <f t="shared" si="26"/>
        <v>3</v>
      </c>
      <c r="T124" s="42">
        <f t="shared" si="27"/>
        <v>3</v>
      </c>
      <c r="U124" s="42">
        <f t="shared" si="28"/>
        <v>89</v>
      </c>
      <c r="V124" s="42">
        <f t="shared" si="29"/>
        <v>3183</v>
      </c>
      <c r="W124" s="42">
        <f t="shared" si="30"/>
        <v>49.316801509098106</v>
      </c>
      <c r="X124" s="42">
        <f t="shared" si="31"/>
        <v>0.18825987366070532</v>
      </c>
    </row>
    <row r="125" spans="1:24" x14ac:dyDescent="0.2">
      <c r="A125" s="49">
        <v>123</v>
      </c>
      <c r="B125" s="49">
        <v>124</v>
      </c>
      <c r="C125" s="49">
        <v>0.2424</v>
      </c>
      <c r="D125" s="49">
        <v>0.51</v>
      </c>
      <c r="E125" s="49">
        <v>0</v>
      </c>
      <c r="F125" s="49">
        <v>6</v>
      </c>
      <c r="G125" s="49">
        <v>116</v>
      </c>
      <c r="H125" s="49">
        <v>122</v>
      </c>
      <c r="I125" s="42">
        <f t="shared" si="16"/>
        <v>90.321299999999923</v>
      </c>
      <c r="J125" s="42">
        <f t="shared" si="17"/>
        <v>0.18546468172484584</v>
      </c>
      <c r="K125" s="42">
        <f t="shared" si="18"/>
        <v>487</v>
      </c>
      <c r="L125" s="42">
        <f t="shared" si="19"/>
        <v>269.54000000000048</v>
      </c>
      <c r="M125" s="42">
        <f t="shared" si="20"/>
        <v>0.5534702258726909</v>
      </c>
      <c r="N125" s="42">
        <f t="shared" si="21"/>
        <v>487</v>
      </c>
      <c r="O125" s="42">
        <f t="shared" si="22"/>
        <v>27229</v>
      </c>
      <c r="P125" s="42">
        <f t="shared" si="23"/>
        <v>55.911704312114992</v>
      </c>
      <c r="Q125" s="42">
        <f t="shared" si="24"/>
        <v>487</v>
      </c>
      <c r="R125" s="42" t="str">
        <f t="shared" si="25"/>
        <v>1</v>
      </c>
      <c r="S125" s="42" t="str">
        <f t="shared" si="26"/>
        <v>4</v>
      </c>
      <c r="T125" s="42">
        <f t="shared" si="27"/>
        <v>3</v>
      </c>
      <c r="U125" s="42">
        <f t="shared" si="28"/>
        <v>89</v>
      </c>
      <c r="V125" s="42">
        <f t="shared" si="29"/>
        <v>3183</v>
      </c>
      <c r="W125" s="42">
        <f t="shared" si="30"/>
        <v>49.316801509098106</v>
      </c>
      <c r="X125" s="42">
        <f t="shared" si="31"/>
        <v>0.18825987366070532</v>
      </c>
    </row>
    <row r="126" spans="1:24" x14ac:dyDescent="0.2">
      <c r="A126" s="49">
        <v>124</v>
      </c>
      <c r="B126" s="49">
        <v>125</v>
      </c>
      <c r="C126" s="49">
        <v>0.2576</v>
      </c>
      <c r="D126" s="49">
        <v>0.47</v>
      </c>
      <c r="E126" s="49">
        <v>0</v>
      </c>
      <c r="F126" s="49">
        <v>3</v>
      </c>
      <c r="G126" s="49">
        <v>42</v>
      </c>
      <c r="H126" s="49">
        <v>45</v>
      </c>
      <c r="I126" s="42">
        <f t="shared" si="16"/>
        <v>90.078899999999919</v>
      </c>
      <c r="J126" s="42">
        <f t="shared" si="17"/>
        <v>0.18534753086419736</v>
      </c>
      <c r="K126" s="42">
        <f t="shared" si="18"/>
        <v>486</v>
      </c>
      <c r="L126" s="42">
        <f t="shared" si="19"/>
        <v>269.03000000000048</v>
      </c>
      <c r="M126" s="42">
        <f t="shared" si="20"/>
        <v>0.55355967078189405</v>
      </c>
      <c r="N126" s="42">
        <f t="shared" si="21"/>
        <v>486</v>
      </c>
      <c r="O126" s="42">
        <f t="shared" si="22"/>
        <v>27107</v>
      </c>
      <c r="P126" s="42">
        <f t="shared" si="23"/>
        <v>55.775720164609055</v>
      </c>
      <c r="Q126" s="42">
        <f t="shared" si="24"/>
        <v>486</v>
      </c>
      <c r="R126" s="42" t="str">
        <f t="shared" si="25"/>
        <v>1</v>
      </c>
      <c r="S126" s="42" t="str">
        <f t="shared" si="26"/>
        <v>5</v>
      </c>
      <c r="T126" s="42">
        <f t="shared" si="27"/>
        <v>3</v>
      </c>
      <c r="U126" s="42">
        <f t="shared" si="28"/>
        <v>89</v>
      </c>
      <c r="V126" s="42">
        <f t="shared" si="29"/>
        <v>3183</v>
      </c>
      <c r="W126" s="42">
        <f t="shared" si="30"/>
        <v>49.316801509098106</v>
      </c>
      <c r="X126" s="42">
        <f t="shared" si="31"/>
        <v>0.18825987366070532</v>
      </c>
    </row>
    <row r="127" spans="1:24" x14ac:dyDescent="0.2">
      <c r="A127" s="49">
        <v>125</v>
      </c>
      <c r="B127" s="49">
        <v>126</v>
      </c>
      <c r="C127" s="49">
        <v>0.2576</v>
      </c>
      <c r="D127" s="49">
        <v>0.44</v>
      </c>
      <c r="E127" s="49">
        <v>8.9599999999999999E-2</v>
      </c>
      <c r="F127" s="49">
        <v>2</v>
      </c>
      <c r="G127" s="49">
        <v>57</v>
      </c>
      <c r="H127" s="49">
        <v>59</v>
      </c>
      <c r="I127" s="42">
        <f t="shared" si="16"/>
        <v>89.821299999999908</v>
      </c>
      <c r="J127" s="42">
        <f t="shared" si="17"/>
        <v>0.18519855670103075</v>
      </c>
      <c r="K127" s="42">
        <f t="shared" si="18"/>
        <v>485</v>
      </c>
      <c r="L127" s="42">
        <f t="shared" si="19"/>
        <v>268.56000000000046</v>
      </c>
      <c r="M127" s="42">
        <f t="shared" si="20"/>
        <v>0.5537319587628875</v>
      </c>
      <c r="N127" s="42">
        <f t="shared" si="21"/>
        <v>485</v>
      </c>
      <c r="O127" s="42">
        <f t="shared" si="22"/>
        <v>27062</v>
      </c>
      <c r="P127" s="42">
        <f t="shared" si="23"/>
        <v>55.797938144329898</v>
      </c>
      <c r="Q127" s="42">
        <f t="shared" si="24"/>
        <v>485</v>
      </c>
      <c r="R127" s="42" t="str">
        <f t="shared" si="25"/>
        <v>1</v>
      </c>
      <c r="S127" s="42" t="str">
        <f t="shared" si="26"/>
        <v>6</v>
      </c>
      <c r="T127" s="42">
        <f t="shared" si="27"/>
        <v>3</v>
      </c>
      <c r="U127" s="42">
        <f t="shared" si="28"/>
        <v>89</v>
      </c>
      <c r="V127" s="42">
        <f t="shared" si="29"/>
        <v>3183</v>
      </c>
      <c r="W127" s="42">
        <f t="shared" si="30"/>
        <v>49.316801509098106</v>
      </c>
      <c r="X127" s="42">
        <f t="shared" si="31"/>
        <v>0.18825987366070532</v>
      </c>
    </row>
    <row r="128" spans="1:24" x14ac:dyDescent="0.2">
      <c r="A128" s="49">
        <v>126</v>
      </c>
      <c r="B128" s="49">
        <v>127</v>
      </c>
      <c r="C128" s="49">
        <v>0.28789999999999999</v>
      </c>
      <c r="D128" s="49">
        <v>0.35</v>
      </c>
      <c r="E128" s="49">
        <v>0</v>
      </c>
      <c r="F128" s="49">
        <v>6</v>
      </c>
      <c r="G128" s="49">
        <v>78</v>
      </c>
      <c r="H128" s="49">
        <v>84</v>
      </c>
      <c r="I128" s="42">
        <f t="shared" si="16"/>
        <v>89.563699999999898</v>
      </c>
      <c r="J128" s="42">
        <f t="shared" si="17"/>
        <v>0.18504896694214856</v>
      </c>
      <c r="K128" s="42">
        <f t="shared" si="18"/>
        <v>484</v>
      </c>
      <c r="L128" s="42">
        <f t="shared" si="19"/>
        <v>268.12000000000046</v>
      </c>
      <c r="M128" s="42">
        <f t="shared" si="20"/>
        <v>0.5539669421487613</v>
      </c>
      <c r="N128" s="42">
        <f t="shared" si="21"/>
        <v>484</v>
      </c>
      <c r="O128" s="42">
        <f t="shared" si="22"/>
        <v>27003</v>
      </c>
      <c r="P128" s="42">
        <f t="shared" si="23"/>
        <v>55.791322314049587</v>
      </c>
      <c r="Q128" s="42">
        <f t="shared" si="24"/>
        <v>484</v>
      </c>
      <c r="R128" s="42" t="str">
        <f t="shared" si="25"/>
        <v>1</v>
      </c>
      <c r="S128" s="42" t="str">
        <f t="shared" si="26"/>
        <v>7</v>
      </c>
      <c r="T128" s="42">
        <f t="shared" si="27"/>
        <v>3</v>
      </c>
      <c r="U128" s="42">
        <f t="shared" si="28"/>
        <v>89</v>
      </c>
      <c r="V128" s="42">
        <f t="shared" si="29"/>
        <v>3183</v>
      </c>
      <c r="W128" s="42">
        <f t="shared" si="30"/>
        <v>49.316801509098106</v>
      </c>
      <c r="X128" s="42">
        <f t="shared" si="31"/>
        <v>0.18825987366070532</v>
      </c>
    </row>
    <row r="129" spans="1:24" x14ac:dyDescent="0.2">
      <c r="A129" s="49">
        <v>127</v>
      </c>
      <c r="B129" s="49">
        <v>128</v>
      </c>
      <c r="C129" s="49">
        <v>0.2727</v>
      </c>
      <c r="D129" s="49">
        <v>0.35</v>
      </c>
      <c r="E129" s="49">
        <v>0.1045</v>
      </c>
      <c r="F129" s="49">
        <v>12</v>
      </c>
      <c r="G129" s="49">
        <v>55</v>
      </c>
      <c r="H129" s="49">
        <v>67</v>
      </c>
      <c r="I129" s="42">
        <f t="shared" si="16"/>
        <v>89.275799999999904</v>
      </c>
      <c r="J129" s="42">
        <f t="shared" si="17"/>
        <v>0.18483602484472031</v>
      </c>
      <c r="K129" s="42">
        <f t="shared" si="18"/>
        <v>483</v>
      </c>
      <c r="L129" s="42">
        <f t="shared" si="19"/>
        <v>267.77000000000044</v>
      </c>
      <c r="M129" s="42">
        <f t="shared" si="20"/>
        <v>0.55438923395445228</v>
      </c>
      <c r="N129" s="42">
        <f t="shared" si="21"/>
        <v>483</v>
      </c>
      <c r="O129" s="42">
        <f t="shared" si="22"/>
        <v>26919</v>
      </c>
      <c r="P129" s="42">
        <f t="shared" si="23"/>
        <v>55.732919254658384</v>
      </c>
      <c r="Q129" s="42">
        <f t="shared" si="24"/>
        <v>483</v>
      </c>
      <c r="R129" s="42" t="str">
        <f t="shared" si="25"/>
        <v>1</v>
      </c>
      <c r="S129" s="42" t="str">
        <f t="shared" si="26"/>
        <v>8</v>
      </c>
      <c r="T129" s="42">
        <f t="shared" si="27"/>
        <v>3</v>
      </c>
      <c r="U129" s="42">
        <f t="shared" si="28"/>
        <v>89</v>
      </c>
      <c r="V129" s="42">
        <f t="shared" si="29"/>
        <v>3183</v>
      </c>
      <c r="W129" s="42">
        <f t="shared" si="30"/>
        <v>49.316801509098106</v>
      </c>
      <c r="X129" s="42">
        <f t="shared" si="31"/>
        <v>0.18825987366070532</v>
      </c>
    </row>
    <row r="130" spans="1:24" x14ac:dyDescent="0.2">
      <c r="A130" s="49">
        <v>128</v>
      </c>
      <c r="B130" s="49">
        <v>129</v>
      </c>
      <c r="C130" s="49">
        <v>0.2727</v>
      </c>
      <c r="D130" s="49">
        <v>0.36</v>
      </c>
      <c r="E130" s="49">
        <v>0.16420000000000001</v>
      </c>
      <c r="F130" s="49">
        <v>11</v>
      </c>
      <c r="G130" s="49">
        <v>59</v>
      </c>
      <c r="H130" s="49">
        <v>70</v>
      </c>
      <c r="I130" s="42">
        <f t="shared" si="16"/>
        <v>89.003099999999904</v>
      </c>
      <c r="J130" s="42">
        <f t="shared" si="17"/>
        <v>0.18465373443983382</v>
      </c>
      <c r="K130" s="42">
        <f t="shared" si="18"/>
        <v>482</v>
      </c>
      <c r="L130" s="42">
        <f t="shared" si="19"/>
        <v>267.42000000000047</v>
      </c>
      <c r="M130" s="42">
        <f t="shared" si="20"/>
        <v>0.55481327800829972</v>
      </c>
      <c r="N130" s="42">
        <f t="shared" si="21"/>
        <v>482</v>
      </c>
      <c r="O130" s="42">
        <f t="shared" si="22"/>
        <v>26852</v>
      </c>
      <c r="P130" s="42">
        <f t="shared" si="23"/>
        <v>55.709543568464731</v>
      </c>
      <c r="Q130" s="42">
        <f t="shared" si="24"/>
        <v>482</v>
      </c>
      <c r="R130" s="42" t="str">
        <f t="shared" si="25"/>
        <v>1</v>
      </c>
      <c r="S130" s="42" t="str">
        <f t="shared" si="26"/>
        <v>9</v>
      </c>
      <c r="T130" s="42">
        <f t="shared" si="27"/>
        <v>3</v>
      </c>
      <c r="U130" s="42">
        <f t="shared" si="28"/>
        <v>89</v>
      </c>
      <c r="V130" s="42">
        <f t="shared" si="29"/>
        <v>3183</v>
      </c>
      <c r="W130" s="42">
        <f t="shared" si="30"/>
        <v>49.316801509098106</v>
      </c>
      <c r="X130" s="42">
        <f t="shared" si="31"/>
        <v>0.18825987366070532</v>
      </c>
    </row>
    <row r="131" spans="1:24" x14ac:dyDescent="0.2">
      <c r="A131" s="49">
        <v>129</v>
      </c>
      <c r="B131" s="49">
        <v>130</v>
      </c>
      <c r="C131" s="49">
        <v>0.2727</v>
      </c>
      <c r="D131" s="49">
        <v>0.36</v>
      </c>
      <c r="E131" s="49">
        <v>0</v>
      </c>
      <c r="F131" s="49">
        <v>8</v>
      </c>
      <c r="G131" s="49">
        <v>54</v>
      </c>
      <c r="H131" s="49">
        <v>62</v>
      </c>
      <c r="I131" s="42">
        <f t="shared" ref="I131:I194" si="32">SUM(C131:C740)</f>
        <v>88.730399999999904</v>
      </c>
      <c r="J131" s="42">
        <f t="shared" ref="J131:J194" si="33">AVERAGE(C131:C740)</f>
        <v>0.18447068607068587</v>
      </c>
      <c r="K131" s="42">
        <f t="shared" ref="K131:K194" si="34">COUNT(C131:C740)</f>
        <v>481</v>
      </c>
      <c r="L131" s="42">
        <f t="shared" ref="L131:L194" si="35">SUM(D131:D740)</f>
        <v>267.06000000000046</v>
      </c>
      <c r="M131" s="42">
        <f t="shared" ref="M131:M194" si="36">AVERAGE(D131:D740)</f>
        <v>0.55521829521829613</v>
      </c>
      <c r="N131" s="42">
        <f t="shared" ref="N131:N194" si="37">COUNT(D131:D740)</f>
        <v>481</v>
      </c>
      <c r="O131" s="42">
        <f t="shared" ref="O131:O194" si="38">SUM(H131:H740)</f>
        <v>26782</v>
      </c>
      <c r="P131" s="42">
        <f t="shared" ref="P131:P194" si="39">AVERAGE(H131:H740)</f>
        <v>55.679833679833678</v>
      </c>
      <c r="Q131" s="42">
        <f t="shared" ref="Q131:Q194" si="40">COUNT(H131:H740)</f>
        <v>481</v>
      </c>
      <c r="R131" s="42" t="str">
        <f t="shared" ref="R131:R194" si="41">LEFT(B131,1)</f>
        <v>1</v>
      </c>
      <c r="S131" s="42" t="str">
        <f t="shared" ref="S131:S194" si="42">RIGHT(B131,1)</f>
        <v>0</v>
      </c>
      <c r="T131" s="42">
        <f t="shared" ref="T131:T194" si="43">LEN(B131)</f>
        <v>3</v>
      </c>
      <c r="U131" s="42">
        <f t="shared" ref="U131:U194" si="44">COUNTIF(H:H,"&gt;100")</f>
        <v>89</v>
      </c>
      <c r="V131" s="42">
        <f t="shared" ref="V131:V194" si="45">SUMIF(D:D,"&gt;0.8",H:H)</f>
        <v>3183</v>
      </c>
      <c r="W131" s="42">
        <f t="shared" ref="W131:W194" si="46">STDEV(H:H)</f>
        <v>49.316801509098106</v>
      </c>
      <c r="X131" s="42">
        <f t="shared" ref="X131:X194" si="47">CORREL(C:C,H:H)</f>
        <v>0.18825987366070532</v>
      </c>
    </row>
    <row r="132" spans="1:24" x14ac:dyDescent="0.2">
      <c r="A132" s="49">
        <v>130</v>
      </c>
      <c r="B132" s="49">
        <v>131</v>
      </c>
      <c r="C132" s="49">
        <v>0.2576</v>
      </c>
      <c r="D132" s="49">
        <v>0.38</v>
      </c>
      <c r="E132" s="49">
        <v>0.16420000000000001</v>
      </c>
      <c r="F132" s="49">
        <v>12</v>
      </c>
      <c r="G132" s="49">
        <v>74</v>
      </c>
      <c r="H132" s="49">
        <v>86</v>
      </c>
      <c r="I132" s="42">
        <f t="shared" si="32"/>
        <v>88.457699999999889</v>
      </c>
      <c r="J132" s="42">
        <f t="shared" si="33"/>
        <v>0.18428687499999977</v>
      </c>
      <c r="K132" s="42">
        <f t="shared" si="34"/>
        <v>480</v>
      </c>
      <c r="L132" s="42">
        <f t="shared" si="35"/>
        <v>266.70000000000044</v>
      </c>
      <c r="M132" s="42">
        <f t="shared" si="36"/>
        <v>0.55562500000000092</v>
      </c>
      <c r="N132" s="42">
        <f t="shared" si="37"/>
        <v>480</v>
      </c>
      <c r="O132" s="42">
        <f t="shared" si="38"/>
        <v>26720</v>
      </c>
      <c r="P132" s="42">
        <f t="shared" si="39"/>
        <v>55.666666666666664</v>
      </c>
      <c r="Q132" s="42">
        <f t="shared" si="40"/>
        <v>480</v>
      </c>
      <c r="R132" s="42" t="str">
        <f t="shared" si="41"/>
        <v>1</v>
      </c>
      <c r="S132" s="42" t="str">
        <f t="shared" si="42"/>
        <v>1</v>
      </c>
      <c r="T132" s="42">
        <f t="shared" si="43"/>
        <v>3</v>
      </c>
      <c r="U132" s="42">
        <f t="shared" si="44"/>
        <v>89</v>
      </c>
      <c r="V132" s="42">
        <f t="shared" si="45"/>
        <v>3183</v>
      </c>
      <c r="W132" s="42">
        <f t="shared" si="46"/>
        <v>49.316801509098106</v>
      </c>
      <c r="X132" s="42">
        <f t="shared" si="47"/>
        <v>0.18825987366070532</v>
      </c>
    </row>
    <row r="133" spans="1:24" x14ac:dyDescent="0.2">
      <c r="A133" s="49">
        <v>131</v>
      </c>
      <c r="B133" s="49">
        <v>132</v>
      </c>
      <c r="C133" s="49">
        <v>0.2273</v>
      </c>
      <c r="D133" s="49">
        <v>0.51</v>
      </c>
      <c r="E133" s="49">
        <v>0.16420000000000001</v>
      </c>
      <c r="F133" s="49">
        <v>9</v>
      </c>
      <c r="G133" s="49">
        <v>163</v>
      </c>
      <c r="H133" s="49">
        <v>172</v>
      </c>
      <c r="I133" s="42">
        <f t="shared" si="32"/>
        <v>88.200099999999892</v>
      </c>
      <c r="J133" s="42">
        <f t="shared" si="33"/>
        <v>0.18413382045928997</v>
      </c>
      <c r="K133" s="42">
        <f t="shared" si="34"/>
        <v>479</v>
      </c>
      <c r="L133" s="42">
        <f t="shared" si="35"/>
        <v>266.32000000000045</v>
      </c>
      <c r="M133" s="42">
        <f t="shared" si="36"/>
        <v>0.55599164926931199</v>
      </c>
      <c r="N133" s="42">
        <f t="shared" si="37"/>
        <v>479</v>
      </c>
      <c r="O133" s="42">
        <f t="shared" si="38"/>
        <v>26634</v>
      </c>
      <c r="P133" s="42">
        <f t="shared" si="39"/>
        <v>55.603340292275576</v>
      </c>
      <c r="Q133" s="42">
        <f t="shared" si="40"/>
        <v>479</v>
      </c>
      <c r="R133" s="42" t="str">
        <f t="shared" si="41"/>
        <v>1</v>
      </c>
      <c r="S133" s="42" t="str">
        <f t="shared" si="42"/>
        <v>2</v>
      </c>
      <c r="T133" s="42">
        <f t="shared" si="43"/>
        <v>3</v>
      </c>
      <c r="U133" s="42">
        <f t="shared" si="44"/>
        <v>89</v>
      </c>
      <c r="V133" s="42">
        <f t="shared" si="45"/>
        <v>3183</v>
      </c>
      <c r="W133" s="42">
        <f t="shared" si="46"/>
        <v>49.316801509098106</v>
      </c>
      <c r="X133" s="42">
        <f t="shared" si="47"/>
        <v>0.18825987366070532</v>
      </c>
    </row>
    <row r="134" spans="1:24" x14ac:dyDescent="0.2">
      <c r="A134" s="49">
        <v>132</v>
      </c>
      <c r="B134" s="49">
        <v>133</v>
      </c>
      <c r="C134" s="49">
        <v>0.2273</v>
      </c>
      <c r="D134" s="49">
        <v>0.51</v>
      </c>
      <c r="E134" s="49">
        <v>0.1343</v>
      </c>
      <c r="F134" s="49">
        <v>5</v>
      </c>
      <c r="G134" s="49">
        <v>158</v>
      </c>
      <c r="H134" s="49">
        <v>163</v>
      </c>
      <c r="I134" s="42">
        <f t="shared" si="32"/>
        <v>87.972799999999893</v>
      </c>
      <c r="J134" s="42">
        <f t="shared" si="33"/>
        <v>0.18404351464435123</v>
      </c>
      <c r="K134" s="42">
        <f t="shared" si="34"/>
        <v>478</v>
      </c>
      <c r="L134" s="42">
        <f t="shared" si="35"/>
        <v>265.81000000000046</v>
      </c>
      <c r="M134" s="42">
        <f t="shared" si="36"/>
        <v>0.55608786610878758</v>
      </c>
      <c r="N134" s="42">
        <f t="shared" si="37"/>
        <v>478</v>
      </c>
      <c r="O134" s="42">
        <f t="shared" si="38"/>
        <v>26462</v>
      </c>
      <c r="P134" s="42">
        <f t="shared" si="39"/>
        <v>55.359832635983267</v>
      </c>
      <c r="Q134" s="42">
        <f t="shared" si="40"/>
        <v>478</v>
      </c>
      <c r="R134" s="42" t="str">
        <f t="shared" si="41"/>
        <v>1</v>
      </c>
      <c r="S134" s="42" t="str">
        <f t="shared" si="42"/>
        <v>3</v>
      </c>
      <c r="T134" s="42">
        <f t="shared" si="43"/>
        <v>3</v>
      </c>
      <c r="U134" s="42">
        <f t="shared" si="44"/>
        <v>89</v>
      </c>
      <c r="V134" s="42">
        <f t="shared" si="45"/>
        <v>3183</v>
      </c>
      <c r="W134" s="42">
        <f t="shared" si="46"/>
        <v>49.316801509098106</v>
      </c>
      <c r="X134" s="42">
        <f t="shared" si="47"/>
        <v>0.18825987366070532</v>
      </c>
    </row>
    <row r="135" spans="1:24" x14ac:dyDescent="0.2">
      <c r="A135" s="49">
        <v>133</v>
      </c>
      <c r="B135" s="49">
        <v>134</v>
      </c>
      <c r="C135" s="49">
        <v>0.2576</v>
      </c>
      <c r="D135" s="49">
        <v>0.55000000000000004</v>
      </c>
      <c r="E135" s="49">
        <v>8.9599999999999999E-2</v>
      </c>
      <c r="F135" s="49">
        <v>3</v>
      </c>
      <c r="G135" s="49">
        <v>109</v>
      </c>
      <c r="H135" s="49">
        <v>112</v>
      </c>
      <c r="I135" s="42">
        <f t="shared" si="32"/>
        <v>87.745499999999879</v>
      </c>
      <c r="J135" s="42">
        <f t="shared" si="33"/>
        <v>0.183952830188679</v>
      </c>
      <c r="K135" s="42">
        <f t="shared" si="34"/>
        <v>477</v>
      </c>
      <c r="L135" s="42">
        <f t="shared" si="35"/>
        <v>265.30000000000041</v>
      </c>
      <c r="M135" s="42">
        <f t="shared" si="36"/>
        <v>0.55618448637316653</v>
      </c>
      <c r="N135" s="42">
        <f t="shared" si="37"/>
        <v>477</v>
      </c>
      <c r="O135" s="42">
        <f t="shared" si="38"/>
        <v>26299</v>
      </c>
      <c r="P135" s="42">
        <f t="shared" si="39"/>
        <v>55.134171907756816</v>
      </c>
      <c r="Q135" s="42">
        <f t="shared" si="40"/>
        <v>477</v>
      </c>
      <c r="R135" s="42" t="str">
        <f t="shared" si="41"/>
        <v>1</v>
      </c>
      <c r="S135" s="42" t="str">
        <f t="shared" si="42"/>
        <v>4</v>
      </c>
      <c r="T135" s="42">
        <f t="shared" si="43"/>
        <v>3</v>
      </c>
      <c r="U135" s="42">
        <f t="shared" si="44"/>
        <v>89</v>
      </c>
      <c r="V135" s="42">
        <f t="shared" si="45"/>
        <v>3183</v>
      </c>
      <c r="W135" s="42">
        <f t="shared" si="46"/>
        <v>49.316801509098106</v>
      </c>
      <c r="X135" s="42">
        <f t="shared" si="47"/>
        <v>0.18825987366070532</v>
      </c>
    </row>
    <row r="136" spans="1:24" x14ac:dyDescent="0.2">
      <c r="A136" s="49">
        <v>134</v>
      </c>
      <c r="B136" s="49">
        <v>135</v>
      </c>
      <c r="C136" s="49">
        <v>0.21210000000000001</v>
      </c>
      <c r="D136" s="49">
        <v>0.51</v>
      </c>
      <c r="E136" s="49">
        <v>0.16420000000000001</v>
      </c>
      <c r="F136" s="49">
        <v>3</v>
      </c>
      <c r="G136" s="49">
        <v>66</v>
      </c>
      <c r="H136" s="49">
        <v>69</v>
      </c>
      <c r="I136" s="42">
        <f t="shared" si="32"/>
        <v>87.487899999999883</v>
      </c>
      <c r="J136" s="42">
        <f t="shared" si="33"/>
        <v>0.18379810924369724</v>
      </c>
      <c r="K136" s="42">
        <f t="shared" si="34"/>
        <v>476</v>
      </c>
      <c r="L136" s="42">
        <f t="shared" si="35"/>
        <v>264.75000000000045</v>
      </c>
      <c r="M136" s="42">
        <f t="shared" si="36"/>
        <v>0.55619747899159755</v>
      </c>
      <c r="N136" s="42">
        <f t="shared" si="37"/>
        <v>476</v>
      </c>
      <c r="O136" s="42">
        <f t="shared" si="38"/>
        <v>26187</v>
      </c>
      <c r="P136" s="42">
        <f t="shared" si="39"/>
        <v>55.014705882352942</v>
      </c>
      <c r="Q136" s="42">
        <f t="shared" si="40"/>
        <v>476</v>
      </c>
      <c r="R136" s="42" t="str">
        <f t="shared" si="41"/>
        <v>1</v>
      </c>
      <c r="S136" s="42" t="str">
        <f t="shared" si="42"/>
        <v>5</v>
      </c>
      <c r="T136" s="42">
        <f t="shared" si="43"/>
        <v>3</v>
      </c>
      <c r="U136" s="42">
        <f t="shared" si="44"/>
        <v>89</v>
      </c>
      <c r="V136" s="42">
        <f t="shared" si="45"/>
        <v>3183</v>
      </c>
      <c r="W136" s="42">
        <f t="shared" si="46"/>
        <v>49.316801509098106</v>
      </c>
      <c r="X136" s="42">
        <f t="shared" si="47"/>
        <v>0.18825987366070532</v>
      </c>
    </row>
    <row r="137" spans="1:24" x14ac:dyDescent="0.2">
      <c r="A137" s="49">
        <v>135</v>
      </c>
      <c r="B137" s="49">
        <v>136</v>
      </c>
      <c r="C137" s="49">
        <v>0.21210000000000001</v>
      </c>
      <c r="D137" s="49">
        <v>0.55000000000000004</v>
      </c>
      <c r="E137" s="49">
        <v>0.22389999999999999</v>
      </c>
      <c r="F137" s="49">
        <v>0</v>
      </c>
      <c r="G137" s="49">
        <v>48</v>
      </c>
      <c r="H137" s="49">
        <v>48</v>
      </c>
      <c r="I137" s="42">
        <f t="shared" si="32"/>
        <v>87.275799999999876</v>
      </c>
      <c r="J137" s="42">
        <f t="shared" si="33"/>
        <v>0.18373852631578921</v>
      </c>
      <c r="K137" s="42">
        <f t="shared" si="34"/>
        <v>475</v>
      </c>
      <c r="L137" s="42">
        <f t="shared" si="35"/>
        <v>264.24000000000046</v>
      </c>
      <c r="M137" s="42">
        <f t="shared" si="36"/>
        <v>0.55629473684210629</v>
      </c>
      <c r="N137" s="42">
        <f t="shared" si="37"/>
        <v>475</v>
      </c>
      <c r="O137" s="42">
        <f t="shared" si="38"/>
        <v>26118</v>
      </c>
      <c r="P137" s="42">
        <f t="shared" si="39"/>
        <v>54.985263157894735</v>
      </c>
      <c r="Q137" s="42">
        <f t="shared" si="40"/>
        <v>475</v>
      </c>
      <c r="R137" s="42" t="str">
        <f t="shared" si="41"/>
        <v>1</v>
      </c>
      <c r="S137" s="42" t="str">
        <f t="shared" si="42"/>
        <v>6</v>
      </c>
      <c r="T137" s="42">
        <f t="shared" si="43"/>
        <v>3</v>
      </c>
      <c r="U137" s="42">
        <f t="shared" si="44"/>
        <v>89</v>
      </c>
      <c r="V137" s="42">
        <f t="shared" si="45"/>
        <v>3183</v>
      </c>
      <c r="W137" s="42">
        <f t="shared" si="46"/>
        <v>49.316801509098106</v>
      </c>
      <c r="X137" s="42">
        <f t="shared" si="47"/>
        <v>0.18825987366070532</v>
      </c>
    </row>
    <row r="138" spans="1:24" x14ac:dyDescent="0.2">
      <c r="A138" s="49">
        <v>136</v>
      </c>
      <c r="B138" s="49">
        <v>137</v>
      </c>
      <c r="C138" s="49">
        <v>0.21210000000000001</v>
      </c>
      <c r="D138" s="49">
        <v>0.51</v>
      </c>
      <c r="E138" s="49">
        <v>0.28360000000000002</v>
      </c>
      <c r="F138" s="49">
        <v>1</v>
      </c>
      <c r="G138" s="49">
        <v>51</v>
      </c>
      <c r="H138" s="49">
        <v>52</v>
      </c>
      <c r="I138" s="42">
        <f t="shared" si="32"/>
        <v>87.063699999999869</v>
      </c>
      <c r="J138" s="42">
        <f t="shared" si="33"/>
        <v>0.18367869198312209</v>
      </c>
      <c r="K138" s="42">
        <f t="shared" si="34"/>
        <v>474</v>
      </c>
      <c r="L138" s="42">
        <f t="shared" si="35"/>
        <v>263.69000000000045</v>
      </c>
      <c r="M138" s="42">
        <f t="shared" si="36"/>
        <v>0.55630801687763809</v>
      </c>
      <c r="N138" s="42">
        <f t="shared" si="37"/>
        <v>474</v>
      </c>
      <c r="O138" s="42">
        <f t="shared" si="38"/>
        <v>26070</v>
      </c>
      <c r="P138" s="42">
        <f t="shared" si="39"/>
        <v>55</v>
      </c>
      <c r="Q138" s="42">
        <f t="shared" si="40"/>
        <v>474</v>
      </c>
      <c r="R138" s="42" t="str">
        <f t="shared" si="41"/>
        <v>1</v>
      </c>
      <c r="S138" s="42" t="str">
        <f t="shared" si="42"/>
        <v>7</v>
      </c>
      <c r="T138" s="42">
        <f t="shared" si="43"/>
        <v>3</v>
      </c>
      <c r="U138" s="42">
        <f t="shared" si="44"/>
        <v>89</v>
      </c>
      <c r="V138" s="42">
        <f t="shared" si="45"/>
        <v>3183</v>
      </c>
      <c r="W138" s="42">
        <f t="shared" si="46"/>
        <v>49.316801509098106</v>
      </c>
      <c r="X138" s="42">
        <f t="shared" si="47"/>
        <v>0.18825987366070532</v>
      </c>
    </row>
    <row r="139" spans="1:24" x14ac:dyDescent="0.2">
      <c r="A139" s="49">
        <v>137</v>
      </c>
      <c r="B139" s="49">
        <v>138</v>
      </c>
      <c r="C139" s="49">
        <v>0.19700000000000001</v>
      </c>
      <c r="D139" s="49">
        <v>0.59</v>
      </c>
      <c r="E139" s="49">
        <v>0.19400000000000001</v>
      </c>
      <c r="F139" s="49">
        <v>4</v>
      </c>
      <c r="G139" s="49">
        <v>19</v>
      </c>
      <c r="H139" s="49">
        <v>23</v>
      </c>
      <c r="I139" s="42">
        <f t="shared" si="32"/>
        <v>86.851599999999877</v>
      </c>
      <c r="J139" s="42">
        <f t="shared" si="33"/>
        <v>0.18361860465116253</v>
      </c>
      <c r="K139" s="42">
        <f t="shared" si="34"/>
        <v>473</v>
      </c>
      <c r="L139" s="42">
        <f t="shared" si="35"/>
        <v>263.18000000000046</v>
      </c>
      <c r="M139" s="42">
        <f t="shared" si="36"/>
        <v>0.55640591966173458</v>
      </c>
      <c r="N139" s="42">
        <f t="shared" si="37"/>
        <v>473</v>
      </c>
      <c r="O139" s="42">
        <f t="shared" si="38"/>
        <v>26018</v>
      </c>
      <c r="P139" s="42">
        <f t="shared" si="39"/>
        <v>55.006342494714588</v>
      </c>
      <c r="Q139" s="42">
        <f t="shared" si="40"/>
        <v>473</v>
      </c>
      <c r="R139" s="42" t="str">
        <f t="shared" si="41"/>
        <v>1</v>
      </c>
      <c r="S139" s="42" t="str">
        <f t="shared" si="42"/>
        <v>8</v>
      </c>
      <c r="T139" s="42">
        <f t="shared" si="43"/>
        <v>3</v>
      </c>
      <c r="U139" s="42">
        <f t="shared" si="44"/>
        <v>89</v>
      </c>
      <c r="V139" s="42">
        <f t="shared" si="45"/>
        <v>3183</v>
      </c>
      <c r="W139" s="42">
        <f t="shared" si="46"/>
        <v>49.316801509098106</v>
      </c>
      <c r="X139" s="42">
        <f t="shared" si="47"/>
        <v>0.18825987366070532</v>
      </c>
    </row>
    <row r="140" spans="1:24" x14ac:dyDescent="0.2">
      <c r="A140" s="49">
        <v>138</v>
      </c>
      <c r="B140" s="49">
        <v>139</v>
      </c>
      <c r="C140" s="49">
        <v>0.19700000000000001</v>
      </c>
      <c r="D140" s="49">
        <v>0.64</v>
      </c>
      <c r="E140" s="49">
        <v>0.19400000000000001</v>
      </c>
      <c r="F140" s="49">
        <v>4</v>
      </c>
      <c r="G140" s="49">
        <v>13</v>
      </c>
      <c r="H140" s="49">
        <v>17</v>
      </c>
      <c r="I140" s="42">
        <f t="shared" si="32"/>
        <v>86.654599999999874</v>
      </c>
      <c r="J140" s="42">
        <f t="shared" si="33"/>
        <v>0.18359025423728786</v>
      </c>
      <c r="K140" s="42">
        <f t="shared" si="34"/>
        <v>472</v>
      </c>
      <c r="L140" s="42">
        <f t="shared" si="35"/>
        <v>262.59000000000043</v>
      </c>
      <c r="M140" s="42">
        <f t="shared" si="36"/>
        <v>0.5563347457627128</v>
      </c>
      <c r="N140" s="42">
        <f t="shared" si="37"/>
        <v>472</v>
      </c>
      <c r="O140" s="42">
        <f t="shared" si="38"/>
        <v>25995</v>
      </c>
      <c r="P140" s="42">
        <f t="shared" si="39"/>
        <v>55.074152542372879</v>
      </c>
      <c r="Q140" s="42">
        <f t="shared" si="40"/>
        <v>472</v>
      </c>
      <c r="R140" s="42" t="str">
        <f t="shared" si="41"/>
        <v>1</v>
      </c>
      <c r="S140" s="42" t="str">
        <f t="shared" si="42"/>
        <v>9</v>
      </c>
      <c r="T140" s="42">
        <f t="shared" si="43"/>
        <v>3</v>
      </c>
      <c r="U140" s="42">
        <f t="shared" si="44"/>
        <v>89</v>
      </c>
      <c r="V140" s="42">
        <f t="shared" si="45"/>
        <v>3183</v>
      </c>
      <c r="W140" s="42">
        <f t="shared" si="46"/>
        <v>49.316801509098106</v>
      </c>
      <c r="X140" s="42">
        <f t="shared" si="47"/>
        <v>0.18825987366070532</v>
      </c>
    </row>
    <row r="141" spans="1:24" x14ac:dyDescent="0.2">
      <c r="A141" s="49">
        <v>139</v>
      </c>
      <c r="B141" s="49">
        <v>140</v>
      </c>
      <c r="C141" s="49">
        <v>0.19700000000000001</v>
      </c>
      <c r="D141" s="49">
        <v>0.69</v>
      </c>
      <c r="E141" s="49">
        <v>0.22389999999999999</v>
      </c>
      <c r="F141" s="49">
        <v>2</v>
      </c>
      <c r="G141" s="49">
        <v>5</v>
      </c>
      <c r="H141" s="49">
        <v>7</v>
      </c>
      <c r="I141" s="42">
        <f t="shared" si="32"/>
        <v>86.457599999999886</v>
      </c>
      <c r="J141" s="42">
        <f t="shared" si="33"/>
        <v>0.1835617834394902</v>
      </c>
      <c r="K141" s="42">
        <f t="shared" si="34"/>
        <v>471</v>
      </c>
      <c r="L141" s="42">
        <f t="shared" si="35"/>
        <v>261.95000000000044</v>
      </c>
      <c r="M141" s="42">
        <f t="shared" si="36"/>
        <v>0.55615711252654021</v>
      </c>
      <c r="N141" s="42">
        <f t="shared" si="37"/>
        <v>471</v>
      </c>
      <c r="O141" s="42">
        <f t="shared" si="38"/>
        <v>25978</v>
      </c>
      <c r="P141" s="42">
        <f t="shared" si="39"/>
        <v>55.154989384288747</v>
      </c>
      <c r="Q141" s="42">
        <f t="shared" si="40"/>
        <v>471</v>
      </c>
      <c r="R141" s="42" t="str">
        <f t="shared" si="41"/>
        <v>1</v>
      </c>
      <c r="S141" s="42" t="str">
        <f t="shared" si="42"/>
        <v>0</v>
      </c>
      <c r="T141" s="42">
        <f t="shared" si="43"/>
        <v>3</v>
      </c>
      <c r="U141" s="42">
        <f t="shared" si="44"/>
        <v>89</v>
      </c>
      <c r="V141" s="42">
        <f t="shared" si="45"/>
        <v>3183</v>
      </c>
      <c r="W141" s="42">
        <f t="shared" si="46"/>
        <v>49.316801509098106</v>
      </c>
      <c r="X141" s="42">
        <f t="shared" si="47"/>
        <v>0.18825987366070532</v>
      </c>
    </row>
    <row r="142" spans="1:24" x14ac:dyDescent="0.2">
      <c r="A142" s="49">
        <v>140</v>
      </c>
      <c r="B142" s="49">
        <v>141</v>
      </c>
      <c r="C142" s="49">
        <v>0.19700000000000001</v>
      </c>
      <c r="D142" s="49">
        <v>0.69</v>
      </c>
      <c r="E142" s="49">
        <v>0.22389999999999999</v>
      </c>
      <c r="F142" s="49">
        <v>0</v>
      </c>
      <c r="G142" s="49">
        <v>1</v>
      </c>
      <c r="H142" s="49">
        <v>1</v>
      </c>
      <c r="I142" s="42">
        <f t="shared" si="32"/>
        <v>86.260599999999883</v>
      </c>
      <c r="J142" s="42">
        <f t="shared" si="33"/>
        <v>0.18353319148936145</v>
      </c>
      <c r="K142" s="42">
        <f t="shared" si="34"/>
        <v>470</v>
      </c>
      <c r="L142" s="42">
        <f t="shared" si="35"/>
        <v>261.26000000000045</v>
      </c>
      <c r="M142" s="42">
        <f t="shared" si="36"/>
        <v>0.55587234042553291</v>
      </c>
      <c r="N142" s="42">
        <f t="shared" si="37"/>
        <v>470</v>
      </c>
      <c r="O142" s="42">
        <f t="shared" si="38"/>
        <v>25971</v>
      </c>
      <c r="P142" s="42">
        <f t="shared" si="39"/>
        <v>55.257446808510636</v>
      </c>
      <c r="Q142" s="42">
        <f t="shared" si="40"/>
        <v>470</v>
      </c>
      <c r="R142" s="42" t="str">
        <f t="shared" si="41"/>
        <v>1</v>
      </c>
      <c r="S142" s="42" t="str">
        <f t="shared" si="42"/>
        <v>1</v>
      </c>
      <c r="T142" s="42">
        <f t="shared" si="43"/>
        <v>3</v>
      </c>
      <c r="U142" s="42">
        <f t="shared" si="44"/>
        <v>89</v>
      </c>
      <c r="V142" s="42">
        <f t="shared" si="45"/>
        <v>3183</v>
      </c>
      <c r="W142" s="42">
        <f t="shared" si="46"/>
        <v>49.316801509098106</v>
      </c>
      <c r="X142" s="42">
        <f t="shared" si="47"/>
        <v>0.18825987366070532</v>
      </c>
    </row>
    <row r="143" spans="1:24" x14ac:dyDescent="0.2">
      <c r="A143" s="49">
        <v>141</v>
      </c>
      <c r="B143" s="49">
        <v>142</v>
      </c>
      <c r="C143" s="49">
        <v>0.21210000000000001</v>
      </c>
      <c r="D143" s="49">
        <v>0.69</v>
      </c>
      <c r="E143" s="49">
        <v>0.1343</v>
      </c>
      <c r="F143" s="49">
        <v>0</v>
      </c>
      <c r="G143" s="49">
        <v>1</v>
      </c>
      <c r="H143" s="49">
        <v>1</v>
      </c>
      <c r="I143" s="42">
        <f t="shared" si="32"/>
        <v>86.06359999999988</v>
      </c>
      <c r="J143" s="42">
        <f t="shared" si="33"/>
        <v>0.18350447761194005</v>
      </c>
      <c r="K143" s="42">
        <f t="shared" si="34"/>
        <v>469</v>
      </c>
      <c r="L143" s="42">
        <f t="shared" si="35"/>
        <v>260.57000000000045</v>
      </c>
      <c r="M143" s="42">
        <f t="shared" si="36"/>
        <v>0.5555863539445639</v>
      </c>
      <c r="N143" s="42">
        <f t="shared" si="37"/>
        <v>469</v>
      </c>
      <c r="O143" s="42">
        <f t="shared" si="38"/>
        <v>25970</v>
      </c>
      <c r="P143" s="42">
        <f t="shared" si="39"/>
        <v>55.373134328358212</v>
      </c>
      <c r="Q143" s="42">
        <f t="shared" si="40"/>
        <v>469</v>
      </c>
      <c r="R143" s="42" t="str">
        <f t="shared" si="41"/>
        <v>1</v>
      </c>
      <c r="S143" s="42" t="str">
        <f t="shared" si="42"/>
        <v>2</v>
      </c>
      <c r="T143" s="42">
        <f t="shared" si="43"/>
        <v>3</v>
      </c>
      <c r="U143" s="42">
        <f t="shared" si="44"/>
        <v>89</v>
      </c>
      <c r="V143" s="42">
        <f t="shared" si="45"/>
        <v>3183</v>
      </c>
      <c r="W143" s="42">
        <f t="shared" si="46"/>
        <v>49.316801509098106</v>
      </c>
      <c r="X143" s="42">
        <f t="shared" si="47"/>
        <v>0.18825987366070532</v>
      </c>
    </row>
    <row r="144" spans="1:24" x14ac:dyDescent="0.2">
      <c r="A144" s="49">
        <v>142</v>
      </c>
      <c r="B144" s="49">
        <v>143</v>
      </c>
      <c r="C144" s="49">
        <v>0.2727</v>
      </c>
      <c r="D144" s="49">
        <v>0.55000000000000004</v>
      </c>
      <c r="E144" s="49">
        <v>0</v>
      </c>
      <c r="F144" s="49">
        <v>0</v>
      </c>
      <c r="G144" s="49">
        <v>5</v>
      </c>
      <c r="H144" s="49">
        <v>5</v>
      </c>
      <c r="I144" s="42">
        <f t="shared" si="32"/>
        <v>85.851499999999888</v>
      </c>
      <c r="J144" s="42">
        <f t="shared" si="33"/>
        <v>0.18344337606837582</v>
      </c>
      <c r="K144" s="42">
        <f t="shared" si="34"/>
        <v>468</v>
      </c>
      <c r="L144" s="42">
        <f t="shared" si="35"/>
        <v>259.88000000000045</v>
      </c>
      <c r="M144" s="42">
        <f t="shared" si="36"/>
        <v>0.55529914529914626</v>
      </c>
      <c r="N144" s="42">
        <f t="shared" si="37"/>
        <v>468</v>
      </c>
      <c r="O144" s="42">
        <f t="shared" si="38"/>
        <v>25969</v>
      </c>
      <c r="P144" s="42">
        <f t="shared" si="39"/>
        <v>55.489316239316238</v>
      </c>
      <c r="Q144" s="42">
        <f t="shared" si="40"/>
        <v>468</v>
      </c>
      <c r="R144" s="42" t="str">
        <f t="shared" si="41"/>
        <v>1</v>
      </c>
      <c r="S144" s="42" t="str">
        <f t="shared" si="42"/>
        <v>3</v>
      </c>
      <c r="T144" s="42">
        <f t="shared" si="43"/>
        <v>3</v>
      </c>
      <c r="U144" s="42">
        <f t="shared" si="44"/>
        <v>89</v>
      </c>
      <c r="V144" s="42">
        <f t="shared" si="45"/>
        <v>3183</v>
      </c>
      <c r="W144" s="42">
        <f t="shared" si="46"/>
        <v>49.316801509098106</v>
      </c>
      <c r="X144" s="42">
        <f t="shared" si="47"/>
        <v>0.18825987366070532</v>
      </c>
    </row>
    <row r="145" spans="1:24" x14ac:dyDescent="0.2">
      <c r="A145" s="49">
        <v>143</v>
      </c>
      <c r="B145" s="49">
        <v>144</v>
      </c>
      <c r="C145" s="49">
        <v>0.2576</v>
      </c>
      <c r="D145" s="49">
        <v>0.69</v>
      </c>
      <c r="E145" s="49">
        <v>0</v>
      </c>
      <c r="F145" s="49">
        <v>8</v>
      </c>
      <c r="G145" s="49">
        <v>26</v>
      </c>
      <c r="H145" s="49">
        <v>34</v>
      </c>
      <c r="I145" s="42">
        <f t="shared" si="32"/>
        <v>85.578799999999887</v>
      </c>
      <c r="J145" s="42">
        <f t="shared" si="33"/>
        <v>0.18325224839400403</v>
      </c>
      <c r="K145" s="42">
        <f t="shared" si="34"/>
        <v>467</v>
      </c>
      <c r="L145" s="42">
        <f t="shared" si="35"/>
        <v>259.33000000000044</v>
      </c>
      <c r="M145" s="42">
        <f t="shared" si="36"/>
        <v>0.55531049250535425</v>
      </c>
      <c r="N145" s="42">
        <f t="shared" si="37"/>
        <v>467</v>
      </c>
      <c r="O145" s="42">
        <f t="shared" si="38"/>
        <v>25964</v>
      </c>
      <c r="P145" s="42">
        <f t="shared" si="39"/>
        <v>55.597430406852247</v>
      </c>
      <c r="Q145" s="42">
        <f t="shared" si="40"/>
        <v>467</v>
      </c>
      <c r="R145" s="42" t="str">
        <f t="shared" si="41"/>
        <v>1</v>
      </c>
      <c r="S145" s="42" t="str">
        <f t="shared" si="42"/>
        <v>4</v>
      </c>
      <c r="T145" s="42">
        <f t="shared" si="43"/>
        <v>3</v>
      </c>
      <c r="U145" s="42">
        <f t="shared" si="44"/>
        <v>89</v>
      </c>
      <c r="V145" s="42">
        <f t="shared" si="45"/>
        <v>3183</v>
      </c>
      <c r="W145" s="42">
        <f t="shared" si="46"/>
        <v>49.316801509098106</v>
      </c>
      <c r="X145" s="42">
        <f t="shared" si="47"/>
        <v>0.18825987366070532</v>
      </c>
    </row>
    <row r="146" spans="1:24" x14ac:dyDescent="0.2">
      <c r="A146" s="49">
        <v>144</v>
      </c>
      <c r="B146" s="49">
        <v>145</v>
      </c>
      <c r="C146" s="49">
        <v>0.21210000000000001</v>
      </c>
      <c r="D146" s="49">
        <v>0.69</v>
      </c>
      <c r="E146" s="49">
        <v>0.1343</v>
      </c>
      <c r="F146" s="49">
        <v>8</v>
      </c>
      <c r="G146" s="49">
        <v>76</v>
      </c>
      <c r="H146" s="49">
        <v>84</v>
      </c>
      <c r="I146" s="42">
        <f t="shared" si="32"/>
        <v>85.321199999999891</v>
      </c>
      <c r="J146" s="42">
        <f t="shared" si="33"/>
        <v>0.18309270386266072</v>
      </c>
      <c r="K146" s="42">
        <f t="shared" si="34"/>
        <v>466</v>
      </c>
      <c r="L146" s="42">
        <f t="shared" si="35"/>
        <v>258.64000000000044</v>
      </c>
      <c r="M146" s="42">
        <f t="shared" si="36"/>
        <v>0.55502145922746871</v>
      </c>
      <c r="N146" s="42">
        <f t="shared" si="37"/>
        <v>466</v>
      </c>
      <c r="O146" s="42">
        <f t="shared" si="38"/>
        <v>25930</v>
      </c>
      <c r="P146" s="42">
        <f t="shared" si="39"/>
        <v>55.643776824034333</v>
      </c>
      <c r="Q146" s="42">
        <f t="shared" si="40"/>
        <v>466</v>
      </c>
      <c r="R146" s="42" t="str">
        <f t="shared" si="41"/>
        <v>1</v>
      </c>
      <c r="S146" s="42" t="str">
        <f t="shared" si="42"/>
        <v>5</v>
      </c>
      <c r="T146" s="42">
        <f t="shared" si="43"/>
        <v>3</v>
      </c>
      <c r="U146" s="42">
        <f t="shared" si="44"/>
        <v>89</v>
      </c>
      <c r="V146" s="42">
        <f t="shared" si="45"/>
        <v>3183</v>
      </c>
      <c r="W146" s="42">
        <f t="shared" si="46"/>
        <v>49.316801509098106</v>
      </c>
      <c r="X146" s="42">
        <f t="shared" si="47"/>
        <v>0.18825987366070532</v>
      </c>
    </row>
    <row r="147" spans="1:24" x14ac:dyDescent="0.2">
      <c r="A147" s="49">
        <v>145</v>
      </c>
      <c r="B147" s="49">
        <v>146</v>
      </c>
      <c r="C147" s="49">
        <v>0.19700000000000001</v>
      </c>
      <c r="D147" s="49">
        <v>0.51</v>
      </c>
      <c r="E147" s="49">
        <v>0.25369999999999998</v>
      </c>
      <c r="F147" s="49">
        <v>20</v>
      </c>
      <c r="G147" s="49">
        <v>190</v>
      </c>
      <c r="H147" s="49">
        <v>210</v>
      </c>
      <c r="I147" s="42">
        <f t="shared" si="32"/>
        <v>85.109099999999899</v>
      </c>
      <c r="J147" s="42">
        <f t="shared" si="33"/>
        <v>0.18303032258064494</v>
      </c>
      <c r="K147" s="42">
        <f t="shared" si="34"/>
        <v>465</v>
      </c>
      <c r="L147" s="42">
        <f t="shared" si="35"/>
        <v>257.95000000000039</v>
      </c>
      <c r="M147" s="42">
        <f t="shared" si="36"/>
        <v>0.55473118279569977</v>
      </c>
      <c r="N147" s="42">
        <f t="shared" si="37"/>
        <v>465</v>
      </c>
      <c r="O147" s="42">
        <f t="shared" si="38"/>
        <v>25846</v>
      </c>
      <c r="P147" s="42">
        <f t="shared" si="39"/>
        <v>55.582795698924734</v>
      </c>
      <c r="Q147" s="42">
        <f t="shared" si="40"/>
        <v>465</v>
      </c>
      <c r="R147" s="42" t="str">
        <f t="shared" si="41"/>
        <v>1</v>
      </c>
      <c r="S147" s="42" t="str">
        <f t="shared" si="42"/>
        <v>6</v>
      </c>
      <c r="T147" s="42">
        <f t="shared" si="43"/>
        <v>3</v>
      </c>
      <c r="U147" s="42">
        <f t="shared" si="44"/>
        <v>89</v>
      </c>
      <c r="V147" s="42">
        <f t="shared" si="45"/>
        <v>3183</v>
      </c>
      <c r="W147" s="42">
        <f t="shared" si="46"/>
        <v>49.316801509098106</v>
      </c>
      <c r="X147" s="42">
        <f t="shared" si="47"/>
        <v>0.18825987366070532</v>
      </c>
    </row>
    <row r="148" spans="1:24" x14ac:dyDescent="0.2">
      <c r="A148" s="49">
        <v>146</v>
      </c>
      <c r="B148" s="49">
        <v>147</v>
      </c>
      <c r="C148" s="49">
        <v>0.18179999999999999</v>
      </c>
      <c r="D148" s="49">
        <v>0.47</v>
      </c>
      <c r="E148" s="49">
        <v>0.29849999999999999</v>
      </c>
      <c r="F148" s="49">
        <v>9</v>
      </c>
      <c r="G148" s="49">
        <v>125</v>
      </c>
      <c r="H148" s="49">
        <v>134</v>
      </c>
      <c r="I148" s="42">
        <f t="shared" si="32"/>
        <v>84.912099999999896</v>
      </c>
      <c r="J148" s="42">
        <f t="shared" si="33"/>
        <v>0.18300021551724116</v>
      </c>
      <c r="K148" s="42">
        <f t="shared" si="34"/>
        <v>464</v>
      </c>
      <c r="L148" s="42">
        <f t="shared" si="35"/>
        <v>257.4400000000004</v>
      </c>
      <c r="M148" s="42">
        <f t="shared" si="36"/>
        <v>0.55482758620689743</v>
      </c>
      <c r="N148" s="42">
        <f t="shared" si="37"/>
        <v>464</v>
      </c>
      <c r="O148" s="42">
        <f t="shared" si="38"/>
        <v>25636</v>
      </c>
      <c r="P148" s="42">
        <f t="shared" si="39"/>
        <v>55.25</v>
      </c>
      <c r="Q148" s="42">
        <f t="shared" si="40"/>
        <v>464</v>
      </c>
      <c r="R148" s="42" t="str">
        <f t="shared" si="41"/>
        <v>1</v>
      </c>
      <c r="S148" s="42" t="str">
        <f t="shared" si="42"/>
        <v>7</v>
      </c>
      <c r="T148" s="42">
        <f t="shared" si="43"/>
        <v>3</v>
      </c>
      <c r="U148" s="42">
        <f t="shared" si="44"/>
        <v>89</v>
      </c>
      <c r="V148" s="42">
        <f t="shared" si="45"/>
        <v>3183</v>
      </c>
      <c r="W148" s="42">
        <f t="shared" si="46"/>
        <v>49.316801509098106</v>
      </c>
      <c r="X148" s="42">
        <f t="shared" si="47"/>
        <v>0.18825987366070532</v>
      </c>
    </row>
    <row r="149" spans="1:24" x14ac:dyDescent="0.2">
      <c r="A149" s="49">
        <v>147</v>
      </c>
      <c r="B149" s="49">
        <v>148</v>
      </c>
      <c r="C149" s="49">
        <v>0.19700000000000001</v>
      </c>
      <c r="D149" s="49">
        <v>0.37</v>
      </c>
      <c r="E149" s="49">
        <v>0.32840000000000003</v>
      </c>
      <c r="F149" s="49">
        <v>16</v>
      </c>
      <c r="G149" s="49">
        <v>47</v>
      </c>
      <c r="H149" s="49">
        <v>63</v>
      </c>
      <c r="I149" s="42">
        <f t="shared" si="32"/>
        <v>84.7302999999999</v>
      </c>
      <c r="J149" s="42">
        <f t="shared" si="33"/>
        <v>0.18300280777537775</v>
      </c>
      <c r="K149" s="42">
        <f t="shared" si="34"/>
        <v>463</v>
      </c>
      <c r="L149" s="42">
        <f t="shared" si="35"/>
        <v>256.97000000000037</v>
      </c>
      <c r="M149" s="42">
        <f t="shared" si="36"/>
        <v>0.55501079913606988</v>
      </c>
      <c r="N149" s="42">
        <f t="shared" si="37"/>
        <v>463</v>
      </c>
      <c r="O149" s="42">
        <f t="shared" si="38"/>
        <v>25502</v>
      </c>
      <c r="P149" s="42">
        <f t="shared" si="39"/>
        <v>55.079913606911447</v>
      </c>
      <c r="Q149" s="42">
        <f t="shared" si="40"/>
        <v>463</v>
      </c>
      <c r="R149" s="42" t="str">
        <f t="shared" si="41"/>
        <v>1</v>
      </c>
      <c r="S149" s="42" t="str">
        <f t="shared" si="42"/>
        <v>8</v>
      </c>
      <c r="T149" s="42">
        <f t="shared" si="43"/>
        <v>3</v>
      </c>
      <c r="U149" s="42">
        <f t="shared" si="44"/>
        <v>89</v>
      </c>
      <c r="V149" s="42">
        <f t="shared" si="45"/>
        <v>3183</v>
      </c>
      <c r="W149" s="42">
        <f t="shared" si="46"/>
        <v>49.316801509098106</v>
      </c>
      <c r="X149" s="42">
        <f t="shared" si="47"/>
        <v>0.18825987366070532</v>
      </c>
    </row>
    <row r="150" spans="1:24" x14ac:dyDescent="0.2">
      <c r="A150" s="49">
        <v>148</v>
      </c>
      <c r="B150" s="49">
        <v>149</v>
      </c>
      <c r="C150" s="49">
        <v>0.19700000000000001</v>
      </c>
      <c r="D150" s="49">
        <v>0.4</v>
      </c>
      <c r="E150" s="49">
        <v>0.22389999999999999</v>
      </c>
      <c r="F150" s="49">
        <v>19</v>
      </c>
      <c r="G150" s="49">
        <v>48</v>
      </c>
      <c r="H150" s="49">
        <v>67</v>
      </c>
      <c r="I150" s="42">
        <f t="shared" si="32"/>
        <v>84.533299999999912</v>
      </c>
      <c r="J150" s="42">
        <f t="shared" si="33"/>
        <v>0.18297251082251062</v>
      </c>
      <c r="K150" s="42">
        <f t="shared" si="34"/>
        <v>462</v>
      </c>
      <c r="L150" s="42">
        <f t="shared" si="35"/>
        <v>256.60000000000036</v>
      </c>
      <c r="M150" s="42">
        <f t="shared" si="36"/>
        <v>0.55541125541125624</v>
      </c>
      <c r="N150" s="42">
        <f t="shared" si="37"/>
        <v>462</v>
      </c>
      <c r="O150" s="42">
        <f t="shared" si="38"/>
        <v>25439</v>
      </c>
      <c r="P150" s="42">
        <f t="shared" si="39"/>
        <v>55.062770562770559</v>
      </c>
      <c r="Q150" s="42">
        <f t="shared" si="40"/>
        <v>462</v>
      </c>
      <c r="R150" s="42" t="str">
        <f t="shared" si="41"/>
        <v>1</v>
      </c>
      <c r="S150" s="42" t="str">
        <f t="shared" si="42"/>
        <v>9</v>
      </c>
      <c r="T150" s="42">
        <f t="shared" si="43"/>
        <v>3</v>
      </c>
      <c r="U150" s="42">
        <f t="shared" si="44"/>
        <v>89</v>
      </c>
      <c r="V150" s="42">
        <f t="shared" si="45"/>
        <v>3183</v>
      </c>
      <c r="W150" s="42">
        <f t="shared" si="46"/>
        <v>49.316801509098106</v>
      </c>
      <c r="X150" s="42">
        <f t="shared" si="47"/>
        <v>0.18825987366070532</v>
      </c>
    </row>
    <row r="151" spans="1:24" x14ac:dyDescent="0.2">
      <c r="A151" s="49">
        <v>149</v>
      </c>
      <c r="B151" s="49">
        <v>150</v>
      </c>
      <c r="C151" s="49">
        <v>0.19700000000000001</v>
      </c>
      <c r="D151" s="49">
        <v>0.37</v>
      </c>
      <c r="E151" s="49">
        <v>0.25369999999999998</v>
      </c>
      <c r="F151" s="49">
        <v>9</v>
      </c>
      <c r="G151" s="49">
        <v>50</v>
      </c>
      <c r="H151" s="49">
        <v>59</v>
      </c>
      <c r="I151" s="42">
        <f t="shared" si="32"/>
        <v>84.336299999999909</v>
      </c>
      <c r="J151" s="42">
        <f t="shared" si="33"/>
        <v>0.18294208242950089</v>
      </c>
      <c r="K151" s="42">
        <f t="shared" si="34"/>
        <v>461</v>
      </c>
      <c r="L151" s="42">
        <f t="shared" si="35"/>
        <v>256.20000000000039</v>
      </c>
      <c r="M151" s="42">
        <f t="shared" si="36"/>
        <v>0.55574837310195313</v>
      </c>
      <c r="N151" s="42">
        <f t="shared" si="37"/>
        <v>461</v>
      </c>
      <c r="O151" s="42">
        <f t="shared" si="38"/>
        <v>25372</v>
      </c>
      <c r="P151" s="42">
        <f t="shared" si="39"/>
        <v>55.036876355748376</v>
      </c>
      <c r="Q151" s="42">
        <f t="shared" si="40"/>
        <v>461</v>
      </c>
      <c r="R151" s="42" t="str">
        <f t="shared" si="41"/>
        <v>1</v>
      </c>
      <c r="S151" s="42" t="str">
        <f t="shared" si="42"/>
        <v>0</v>
      </c>
      <c r="T151" s="42">
        <f t="shared" si="43"/>
        <v>3</v>
      </c>
      <c r="U151" s="42">
        <f t="shared" si="44"/>
        <v>89</v>
      </c>
      <c r="V151" s="42">
        <f t="shared" si="45"/>
        <v>3183</v>
      </c>
      <c r="W151" s="42">
        <f t="shared" si="46"/>
        <v>49.316801509098106</v>
      </c>
      <c r="X151" s="42">
        <f t="shared" si="47"/>
        <v>0.18825987366070532</v>
      </c>
    </row>
    <row r="152" spans="1:24" x14ac:dyDescent="0.2">
      <c r="A152" s="49">
        <v>150</v>
      </c>
      <c r="B152" s="49">
        <v>151</v>
      </c>
      <c r="C152" s="49">
        <v>0.18179999999999999</v>
      </c>
      <c r="D152" s="49">
        <v>0.37</v>
      </c>
      <c r="E152" s="49">
        <v>0.28360000000000002</v>
      </c>
      <c r="F152" s="49">
        <v>9</v>
      </c>
      <c r="G152" s="49">
        <v>64</v>
      </c>
      <c r="H152" s="49">
        <v>73</v>
      </c>
      <c r="I152" s="42">
        <f t="shared" si="32"/>
        <v>84.13929999999992</v>
      </c>
      <c r="J152" s="42">
        <f t="shared" si="33"/>
        <v>0.18291152173913025</v>
      </c>
      <c r="K152" s="42">
        <f t="shared" si="34"/>
        <v>460</v>
      </c>
      <c r="L152" s="42">
        <f t="shared" si="35"/>
        <v>255.83000000000038</v>
      </c>
      <c r="M152" s="42">
        <f t="shared" si="36"/>
        <v>0.55615217391304428</v>
      </c>
      <c r="N152" s="42">
        <f t="shared" si="37"/>
        <v>460</v>
      </c>
      <c r="O152" s="42">
        <f t="shared" si="38"/>
        <v>25313</v>
      </c>
      <c r="P152" s="42">
        <f t="shared" si="39"/>
        <v>55.028260869565216</v>
      </c>
      <c r="Q152" s="42">
        <f t="shared" si="40"/>
        <v>460</v>
      </c>
      <c r="R152" s="42" t="str">
        <f t="shared" si="41"/>
        <v>1</v>
      </c>
      <c r="S152" s="42" t="str">
        <f t="shared" si="42"/>
        <v>1</v>
      </c>
      <c r="T152" s="42">
        <f t="shared" si="43"/>
        <v>3</v>
      </c>
      <c r="U152" s="42">
        <f t="shared" si="44"/>
        <v>89</v>
      </c>
      <c r="V152" s="42">
        <f t="shared" si="45"/>
        <v>3183</v>
      </c>
      <c r="W152" s="42">
        <f t="shared" si="46"/>
        <v>49.316801509098106</v>
      </c>
      <c r="X152" s="42">
        <f t="shared" si="47"/>
        <v>0.18825987366070532</v>
      </c>
    </row>
    <row r="153" spans="1:24" x14ac:dyDescent="0.2">
      <c r="A153" s="49">
        <v>151</v>
      </c>
      <c r="B153" s="49">
        <v>152</v>
      </c>
      <c r="C153" s="49">
        <v>0.19700000000000001</v>
      </c>
      <c r="D153" s="49">
        <v>0.4</v>
      </c>
      <c r="E153" s="49">
        <v>0.25369999999999998</v>
      </c>
      <c r="F153" s="49">
        <v>7</v>
      </c>
      <c r="G153" s="49">
        <v>43</v>
      </c>
      <c r="H153" s="49">
        <v>50</v>
      </c>
      <c r="I153" s="42">
        <f t="shared" si="32"/>
        <v>83.957499999999925</v>
      </c>
      <c r="J153" s="42">
        <f t="shared" si="33"/>
        <v>0.18291394335511965</v>
      </c>
      <c r="K153" s="42">
        <f t="shared" si="34"/>
        <v>459</v>
      </c>
      <c r="L153" s="42">
        <f t="shared" si="35"/>
        <v>255.46000000000038</v>
      </c>
      <c r="M153" s="42">
        <f t="shared" si="36"/>
        <v>0.55655773420479382</v>
      </c>
      <c r="N153" s="42">
        <f t="shared" si="37"/>
        <v>459</v>
      </c>
      <c r="O153" s="42">
        <f t="shared" si="38"/>
        <v>25240</v>
      </c>
      <c r="P153" s="42">
        <f t="shared" si="39"/>
        <v>54.989106753812635</v>
      </c>
      <c r="Q153" s="42">
        <f t="shared" si="40"/>
        <v>459</v>
      </c>
      <c r="R153" s="42" t="str">
        <f t="shared" si="41"/>
        <v>1</v>
      </c>
      <c r="S153" s="42" t="str">
        <f t="shared" si="42"/>
        <v>2</v>
      </c>
      <c r="T153" s="42">
        <f t="shared" si="43"/>
        <v>3</v>
      </c>
      <c r="U153" s="42">
        <f t="shared" si="44"/>
        <v>89</v>
      </c>
      <c r="V153" s="42">
        <f t="shared" si="45"/>
        <v>3183</v>
      </c>
      <c r="W153" s="42">
        <f t="shared" si="46"/>
        <v>49.316801509098106</v>
      </c>
      <c r="X153" s="42">
        <f t="shared" si="47"/>
        <v>0.18825987366070532</v>
      </c>
    </row>
    <row r="154" spans="1:24" x14ac:dyDescent="0.2">
      <c r="A154" s="49">
        <v>152</v>
      </c>
      <c r="B154" s="49">
        <v>153</v>
      </c>
      <c r="C154" s="49">
        <v>0.21210000000000001</v>
      </c>
      <c r="D154" s="49">
        <v>0.37</v>
      </c>
      <c r="E154" s="49">
        <v>0.16420000000000001</v>
      </c>
      <c r="F154" s="49">
        <v>9</v>
      </c>
      <c r="G154" s="49">
        <v>63</v>
      </c>
      <c r="H154" s="49">
        <v>72</v>
      </c>
      <c r="I154" s="42">
        <f t="shared" si="32"/>
        <v>83.760499999999922</v>
      </c>
      <c r="J154" s="42">
        <f t="shared" si="33"/>
        <v>0.18288318777292559</v>
      </c>
      <c r="K154" s="42">
        <f t="shared" si="34"/>
        <v>458</v>
      </c>
      <c r="L154" s="42">
        <f t="shared" si="35"/>
        <v>255.06000000000037</v>
      </c>
      <c r="M154" s="42">
        <f t="shared" si="36"/>
        <v>0.5568995633187781</v>
      </c>
      <c r="N154" s="42">
        <f t="shared" si="37"/>
        <v>458</v>
      </c>
      <c r="O154" s="42">
        <f t="shared" si="38"/>
        <v>25190</v>
      </c>
      <c r="P154" s="42">
        <f t="shared" si="39"/>
        <v>55</v>
      </c>
      <c r="Q154" s="42">
        <f t="shared" si="40"/>
        <v>458</v>
      </c>
      <c r="R154" s="42" t="str">
        <f t="shared" si="41"/>
        <v>1</v>
      </c>
      <c r="S154" s="42" t="str">
        <f t="shared" si="42"/>
        <v>3</v>
      </c>
      <c r="T154" s="42">
        <f t="shared" si="43"/>
        <v>3</v>
      </c>
      <c r="U154" s="42">
        <f t="shared" si="44"/>
        <v>89</v>
      </c>
      <c r="V154" s="42">
        <f t="shared" si="45"/>
        <v>3183</v>
      </c>
      <c r="W154" s="42">
        <f t="shared" si="46"/>
        <v>49.316801509098106</v>
      </c>
      <c r="X154" s="42">
        <f t="shared" si="47"/>
        <v>0.18825987366070532</v>
      </c>
    </row>
    <row r="155" spans="1:24" x14ac:dyDescent="0.2">
      <c r="A155" s="49">
        <v>153</v>
      </c>
      <c r="B155" s="49">
        <v>154</v>
      </c>
      <c r="C155" s="49">
        <v>0.21210000000000001</v>
      </c>
      <c r="D155" s="49">
        <v>0.37</v>
      </c>
      <c r="E155" s="49">
        <v>0.16420000000000001</v>
      </c>
      <c r="F155" s="49">
        <v>5</v>
      </c>
      <c r="G155" s="49">
        <v>82</v>
      </c>
      <c r="H155" s="49">
        <v>87</v>
      </c>
      <c r="I155" s="42">
        <f t="shared" si="32"/>
        <v>83.54839999999993</v>
      </c>
      <c r="J155" s="42">
        <f t="shared" si="33"/>
        <v>0.18281925601750532</v>
      </c>
      <c r="K155" s="42">
        <f t="shared" si="34"/>
        <v>457</v>
      </c>
      <c r="L155" s="42">
        <f t="shared" si="35"/>
        <v>254.69000000000037</v>
      </c>
      <c r="M155" s="42">
        <f t="shared" si="36"/>
        <v>0.55730853391684987</v>
      </c>
      <c r="N155" s="42">
        <f t="shared" si="37"/>
        <v>457</v>
      </c>
      <c r="O155" s="42">
        <f t="shared" si="38"/>
        <v>25118</v>
      </c>
      <c r="P155" s="42">
        <f t="shared" si="39"/>
        <v>54.962800875273523</v>
      </c>
      <c r="Q155" s="42">
        <f t="shared" si="40"/>
        <v>457</v>
      </c>
      <c r="R155" s="42" t="str">
        <f t="shared" si="41"/>
        <v>1</v>
      </c>
      <c r="S155" s="42" t="str">
        <f t="shared" si="42"/>
        <v>4</v>
      </c>
      <c r="T155" s="42">
        <f t="shared" si="43"/>
        <v>3</v>
      </c>
      <c r="U155" s="42">
        <f t="shared" si="44"/>
        <v>89</v>
      </c>
      <c r="V155" s="42">
        <f t="shared" si="45"/>
        <v>3183</v>
      </c>
      <c r="W155" s="42">
        <f t="shared" si="46"/>
        <v>49.316801509098106</v>
      </c>
      <c r="X155" s="42">
        <f t="shared" si="47"/>
        <v>0.18825987366070532</v>
      </c>
    </row>
    <row r="156" spans="1:24" x14ac:dyDescent="0.2">
      <c r="A156" s="49">
        <v>154</v>
      </c>
      <c r="B156" s="49">
        <v>155</v>
      </c>
      <c r="C156" s="49">
        <v>0.2576</v>
      </c>
      <c r="D156" s="49">
        <v>0.37</v>
      </c>
      <c r="E156" s="49">
        <v>0</v>
      </c>
      <c r="F156" s="49">
        <v>9</v>
      </c>
      <c r="G156" s="49">
        <v>178</v>
      </c>
      <c r="H156" s="49">
        <v>187</v>
      </c>
      <c r="I156" s="42">
        <f t="shared" si="32"/>
        <v>83.336299999999937</v>
      </c>
      <c r="J156" s="42">
        <f t="shared" si="33"/>
        <v>0.182755043859649</v>
      </c>
      <c r="K156" s="42">
        <f t="shared" si="34"/>
        <v>456</v>
      </c>
      <c r="L156" s="42">
        <f t="shared" si="35"/>
        <v>254.32000000000036</v>
      </c>
      <c r="M156" s="42">
        <f t="shared" si="36"/>
        <v>0.55771929824561484</v>
      </c>
      <c r="N156" s="42">
        <f t="shared" si="37"/>
        <v>456</v>
      </c>
      <c r="O156" s="42">
        <f t="shared" si="38"/>
        <v>25031</v>
      </c>
      <c r="P156" s="42">
        <f t="shared" si="39"/>
        <v>54.892543859649123</v>
      </c>
      <c r="Q156" s="42">
        <f t="shared" si="40"/>
        <v>456</v>
      </c>
      <c r="R156" s="42" t="str">
        <f t="shared" si="41"/>
        <v>1</v>
      </c>
      <c r="S156" s="42" t="str">
        <f t="shared" si="42"/>
        <v>5</v>
      </c>
      <c r="T156" s="42">
        <f t="shared" si="43"/>
        <v>3</v>
      </c>
      <c r="U156" s="42">
        <f t="shared" si="44"/>
        <v>89</v>
      </c>
      <c r="V156" s="42">
        <f t="shared" si="45"/>
        <v>3183</v>
      </c>
      <c r="W156" s="42">
        <f t="shared" si="46"/>
        <v>49.316801509098106</v>
      </c>
      <c r="X156" s="42">
        <f t="shared" si="47"/>
        <v>0.18825987366070532</v>
      </c>
    </row>
    <row r="157" spans="1:24" x14ac:dyDescent="0.2">
      <c r="A157" s="49">
        <v>155</v>
      </c>
      <c r="B157" s="49">
        <v>156</v>
      </c>
      <c r="C157" s="49">
        <v>0.2273</v>
      </c>
      <c r="D157" s="49">
        <v>0.4</v>
      </c>
      <c r="E157" s="49">
        <v>8.9599999999999999E-2</v>
      </c>
      <c r="F157" s="49">
        <v>7</v>
      </c>
      <c r="G157" s="49">
        <v>116</v>
      </c>
      <c r="H157" s="49">
        <v>123</v>
      </c>
      <c r="I157" s="42">
        <f t="shared" si="32"/>
        <v>83.078699999999941</v>
      </c>
      <c r="J157" s="42">
        <f t="shared" si="33"/>
        <v>0.18259054945054931</v>
      </c>
      <c r="K157" s="42">
        <f t="shared" si="34"/>
        <v>455</v>
      </c>
      <c r="L157" s="42">
        <f t="shared" si="35"/>
        <v>253.95000000000036</v>
      </c>
      <c r="M157" s="42">
        <f t="shared" si="36"/>
        <v>0.55813186813186888</v>
      </c>
      <c r="N157" s="42">
        <f t="shared" si="37"/>
        <v>455</v>
      </c>
      <c r="O157" s="42">
        <f t="shared" si="38"/>
        <v>24844</v>
      </c>
      <c r="P157" s="42">
        <f t="shared" si="39"/>
        <v>54.6021978021978</v>
      </c>
      <c r="Q157" s="42">
        <f t="shared" si="40"/>
        <v>455</v>
      </c>
      <c r="R157" s="42" t="str">
        <f t="shared" si="41"/>
        <v>1</v>
      </c>
      <c r="S157" s="42" t="str">
        <f t="shared" si="42"/>
        <v>6</v>
      </c>
      <c r="T157" s="42">
        <f t="shared" si="43"/>
        <v>3</v>
      </c>
      <c r="U157" s="42">
        <f t="shared" si="44"/>
        <v>89</v>
      </c>
      <c r="V157" s="42">
        <f t="shared" si="45"/>
        <v>3183</v>
      </c>
      <c r="W157" s="42">
        <f t="shared" si="46"/>
        <v>49.316801509098106</v>
      </c>
      <c r="X157" s="42">
        <f t="shared" si="47"/>
        <v>0.18825987366070532</v>
      </c>
    </row>
    <row r="158" spans="1:24" x14ac:dyDescent="0.2">
      <c r="A158" s="49">
        <v>156</v>
      </c>
      <c r="B158" s="49">
        <v>157</v>
      </c>
      <c r="C158" s="49">
        <v>0.19700000000000001</v>
      </c>
      <c r="D158" s="49">
        <v>0.55000000000000004</v>
      </c>
      <c r="E158" s="49">
        <v>8.9599999999999999E-2</v>
      </c>
      <c r="F158" s="49">
        <v>3</v>
      </c>
      <c r="G158" s="49">
        <v>92</v>
      </c>
      <c r="H158" s="49">
        <v>95</v>
      </c>
      <c r="I158" s="42">
        <f t="shared" si="32"/>
        <v>82.851399999999941</v>
      </c>
      <c r="J158" s="42">
        <f t="shared" si="33"/>
        <v>0.18249207048458138</v>
      </c>
      <c r="K158" s="42">
        <f t="shared" si="34"/>
        <v>454</v>
      </c>
      <c r="L158" s="42">
        <f t="shared" si="35"/>
        <v>253.55000000000035</v>
      </c>
      <c r="M158" s="42">
        <f t="shared" si="36"/>
        <v>0.55848017621145452</v>
      </c>
      <c r="N158" s="42">
        <f t="shared" si="37"/>
        <v>454</v>
      </c>
      <c r="O158" s="42">
        <f t="shared" si="38"/>
        <v>24721</v>
      </c>
      <c r="P158" s="42">
        <f t="shared" si="39"/>
        <v>54.451541850220266</v>
      </c>
      <c r="Q158" s="42">
        <f t="shared" si="40"/>
        <v>454</v>
      </c>
      <c r="R158" s="42" t="str">
        <f t="shared" si="41"/>
        <v>1</v>
      </c>
      <c r="S158" s="42" t="str">
        <f t="shared" si="42"/>
        <v>7</v>
      </c>
      <c r="T158" s="42">
        <f t="shared" si="43"/>
        <v>3</v>
      </c>
      <c r="U158" s="42">
        <f t="shared" si="44"/>
        <v>89</v>
      </c>
      <c r="V158" s="42">
        <f t="shared" si="45"/>
        <v>3183</v>
      </c>
      <c r="W158" s="42">
        <f t="shared" si="46"/>
        <v>49.316801509098106</v>
      </c>
      <c r="X158" s="42">
        <f t="shared" si="47"/>
        <v>0.18825987366070532</v>
      </c>
    </row>
    <row r="159" spans="1:24" x14ac:dyDescent="0.2">
      <c r="A159" s="49">
        <v>157</v>
      </c>
      <c r="B159" s="49">
        <v>158</v>
      </c>
      <c r="C159" s="49">
        <v>0.21210000000000001</v>
      </c>
      <c r="D159" s="49">
        <v>0.47</v>
      </c>
      <c r="E159" s="49">
        <v>0.1045</v>
      </c>
      <c r="F159" s="49">
        <v>1</v>
      </c>
      <c r="G159" s="49">
        <v>50</v>
      </c>
      <c r="H159" s="49">
        <v>51</v>
      </c>
      <c r="I159" s="42">
        <f t="shared" si="32"/>
        <v>82.654399999999939</v>
      </c>
      <c r="J159" s="42">
        <f t="shared" si="33"/>
        <v>0.18246004415011025</v>
      </c>
      <c r="K159" s="42">
        <f t="shared" si="34"/>
        <v>453</v>
      </c>
      <c r="L159" s="42">
        <f t="shared" si="35"/>
        <v>253.00000000000034</v>
      </c>
      <c r="M159" s="42">
        <f t="shared" si="36"/>
        <v>0.55849889624724136</v>
      </c>
      <c r="N159" s="42">
        <f t="shared" si="37"/>
        <v>453</v>
      </c>
      <c r="O159" s="42">
        <f t="shared" si="38"/>
        <v>24626</v>
      </c>
      <c r="P159" s="42">
        <f t="shared" si="39"/>
        <v>54.362030905077262</v>
      </c>
      <c r="Q159" s="42">
        <f t="shared" si="40"/>
        <v>453</v>
      </c>
      <c r="R159" s="42" t="str">
        <f t="shared" si="41"/>
        <v>1</v>
      </c>
      <c r="S159" s="42" t="str">
        <f t="shared" si="42"/>
        <v>8</v>
      </c>
      <c r="T159" s="42">
        <f t="shared" si="43"/>
        <v>3</v>
      </c>
      <c r="U159" s="42">
        <f t="shared" si="44"/>
        <v>89</v>
      </c>
      <c r="V159" s="42">
        <f t="shared" si="45"/>
        <v>3183</v>
      </c>
      <c r="W159" s="42">
        <f t="shared" si="46"/>
        <v>49.316801509098106</v>
      </c>
      <c r="X159" s="42">
        <f t="shared" si="47"/>
        <v>0.18825987366070532</v>
      </c>
    </row>
    <row r="160" spans="1:24" x14ac:dyDescent="0.2">
      <c r="A160" s="49">
        <v>158</v>
      </c>
      <c r="B160" s="49">
        <v>159</v>
      </c>
      <c r="C160" s="49">
        <v>0.19700000000000001</v>
      </c>
      <c r="D160" s="49">
        <v>0.47</v>
      </c>
      <c r="E160" s="49">
        <v>0.1343</v>
      </c>
      <c r="F160" s="49">
        <v>0</v>
      </c>
      <c r="G160" s="49">
        <v>39</v>
      </c>
      <c r="H160" s="49">
        <v>39</v>
      </c>
      <c r="I160" s="42">
        <f t="shared" si="32"/>
        <v>82.44229999999996</v>
      </c>
      <c r="J160" s="42">
        <f t="shared" si="33"/>
        <v>0.18239446902654857</v>
      </c>
      <c r="K160" s="42">
        <f t="shared" si="34"/>
        <v>452</v>
      </c>
      <c r="L160" s="42">
        <f t="shared" si="35"/>
        <v>252.53000000000031</v>
      </c>
      <c r="M160" s="42">
        <f t="shared" si="36"/>
        <v>0.55869469026548746</v>
      </c>
      <c r="N160" s="42">
        <f t="shared" si="37"/>
        <v>452</v>
      </c>
      <c r="O160" s="42">
        <f t="shared" si="38"/>
        <v>24575</v>
      </c>
      <c r="P160" s="42">
        <f t="shared" si="39"/>
        <v>54.369469026548671</v>
      </c>
      <c r="Q160" s="42">
        <f t="shared" si="40"/>
        <v>452</v>
      </c>
      <c r="R160" s="42" t="str">
        <f t="shared" si="41"/>
        <v>1</v>
      </c>
      <c r="S160" s="42" t="str">
        <f t="shared" si="42"/>
        <v>9</v>
      </c>
      <c r="T160" s="42">
        <f t="shared" si="43"/>
        <v>3</v>
      </c>
      <c r="U160" s="42">
        <f t="shared" si="44"/>
        <v>89</v>
      </c>
      <c r="V160" s="42">
        <f t="shared" si="45"/>
        <v>3183</v>
      </c>
      <c r="W160" s="42">
        <f t="shared" si="46"/>
        <v>49.316801509098106</v>
      </c>
      <c r="X160" s="42">
        <f t="shared" si="47"/>
        <v>0.18825987366070532</v>
      </c>
    </row>
    <row r="161" spans="1:24" x14ac:dyDescent="0.2">
      <c r="A161" s="49">
        <v>159</v>
      </c>
      <c r="B161" s="49">
        <v>160</v>
      </c>
      <c r="C161" s="49">
        <v>0.19700000000000001</v>
      </c>
      <c r="D161" s="49">
        <v>0.43</v>
      </c>
      <c r="E161" s="49">
        <v>0.16420000000000001</v>
      </c>
      <c r="F161" s="49">
        <v>2</v>
      </c>
      <c r="G161" s="49">
        <v>34</v>
      </c>
      <c r="H161" s="49">
        <v>36</v>
      </c>
      <c r="I161" s="42">
        <f t="shared" si="32"/>
        <v>82.245299999999958</v>
      </c>
      <c r="J161" s="42">
        <f t="shared" si="33"/>
        <v>0.18236208425720613</v>
      </c>
      <c r="K161" s="42">
        <f t="shared" si="34"/>
        <v>451</v>
      </c>
      <c r="L161" s="42">
        <f t="shared" si="35"/>
        <v>252.06000000000031</v>
      </c>
      <c r="M161" s="42">
        <f t="shared" si="36"/>
        <v>0.55889135254988986</v>
      </c>
      <c r="N161" s="42">
        <f t="shared" si="37"/>
        <v>451</v>
      </c>
      <c r="O161" s="42">
        <f t="shared" si="38"/>
        <v>24536</v>
      </c>
      <c r="P161" s="42">
        <f t="shared" si="39"/>
        <v>54.403547671840357</v>
      </c>
      <c r="Q161" s="42">
        <f t="shared" si="40"/>
        <v>451</v>
      </c>
      <c r="R161" s="42" t="str">
        <f t="shared" si="41"/>
        <v>1</v>
      </c>
      <c r="S161" s="42" t="str">
        <f t="shared" si="42"/>
        <v>0</v>
      </c>
      <c r="T161" s="42">
        <f t="shared" si="43"/>
        <v>3</v>
      </c>
      <c r="U161" s="42">
        <f t="shared" si="44"/>
        <v>89</v>
      </c>
      <c r="V161" s="42">
        <f t="shared" si="45"/>
        <v>3183</v>
      </c>
      <c r="W161" s="42">
        <f t="shared" si="46"/>
        <v>49.316801509098106</v>
      </c>
      <c r="X161" s="42">
        <f t="shared" si="47"/>
        <v>0.18825987366070532</v>
      </c>
    </row>
    <row r="162" spans="1:24" x14ac:dyDescent="0.2">
      <c r="A162" s="49">
        <v>160</v>
      </c>
      <c r="B162" s="49">
        <v>161</v>
      </c>
      <c r="C162" s="49">
        <v>0.19700000000000001</v>
      </c>
      <c r="D162" s="49">
        <v>0.51</v>
      </c>
      <c r="E162" s="49">
        <v>0.16420000000000001</v>
      </c>
      <c r="F162" s="49">
        <v>1</v>
      </c>
      <c r="G162" s="49">
        <v>14</v>
      </c>
      <c r="H162" s="49">
        <v>15</v>
      </c>
      <c r="I162" s="42">
        <f t="shared" si="32"/>
        <v>82.048299999999969</v>
      </c>
      <c r="J162" s="42">
        <f t="shared" si="33"/>
        <v>0.18232955555555549</v>
      </c>
      <c r="K162" s="42">
        <f t="shared" si="34"/>
        <v>450</v>
      </c>
      <c r="L162" s="42">
        <f t="shared" si="35"/>
        <v>251.63000000000031</v>
      </c>
      <c r="M162" s="42">
        <f t="shared" si="36"/>
        <v>0.55917777777777844</v>
      </c>
      <c r="N162" s="42">
        <f t="shared" si="37"/>
        <v>450</v>
      </c>
      <c r="O162" s="42">
        <f t="shared" si="38"/>
        <v>24500</v>
      </c>
      <c r="P162" s="42">
        <f t="shared" si="39"/>
        <v>54.444444444444443</v>
      </c>
      <c r="Q162" s="42">
        <f t="shared" si="40"/>
        <v>450</v>
      </c>
      <c r="R162" s="42" t="str">
        <f t="shared" si="41"/>
        <v>1</v>
      </c>
      <c r="S162" s="42" t="str">
        <f t="shared" si="42"/>
        <v>1</v>
      </c>
      <c r="T162" s="42">
        <f t="shared" si="43"/>
        <v>3</v>
      </c>
      <c r="U162" s="42">
        <f t="shared" si="44"/>
        <v>89</v>
      </c>
      <c r="V162" s="42">
        <f t="shared" si="45"/>
        <v>3183</v>
      </c>
      <c r="W162" s="42">
        <f t="shared" si="46"/>
        <v>49.316801509098106</v>
      </c>
      <c r="X162" s="42">
        <f t="shared" si="47"/>
        <v>0.18825987366070532</v>
      </c>
    </row>
    <row r="163" spans="1:24" x14ac:dyDescent="0.2">
      <c r="A163" s="49">
        <v>161</v>
      </c>
      <c r="B163" s="49">
        <v>162</v>
      </c>
      <c r="C163" s="49">
        <v>0.19700000000000001</v>
      </c>
      <c r="D163" s="49">
        <v>0.51</v>
      </c>
      <c r="E163" s="49">
        <v>0.16420000000000001</v>
      </c>
      <c r="F163" s="49">
        <v>1</v>
      </c>
      <c r="G163" s="49">
        <v>24</v>
      </c>
      <c r="H163" s="49">
        <v>25</v>
      </c>
      <c r="I163" s="42">
        <f t="shared" si="32"/>
        <v>81.851299999999981</v>
      </c>
      <c r="J163" s="42">
        <f t="shared" si="33"/>
        <v>0.18229688195991087</v>
      </c>
      <c r="K163" s="42">
        <f t="shared" si="34"/>
        <v>449</v>
      </c>
      <c r="L163" s="42">
        <f t="shared" si="35"/>
        <v>251.12000000000035</v>
      </c>
      <c r="M163" s="42">
        <f t="shared" si="36"/>
        <v>0.55928730512249525</v>
      </c>
      <c r="N163" s="42">
        <f t="shared" si="37"/>
        <v>449</v>
      </c>
      <c r="O163" s="42">
        <f t="shared" si="38"/>
        <v>24485</v>
      </c>
      <c r="P163" s="42">
        <f t="shared" si="39"/>
        <v>54.532293986636972</v>
      </c>
      <c r="Q163" s="42">
        <f t="shared" si="40"/>
        <v>449</v>
      </c>
      <c r="R163" s="42" t="str">
        <f t="shared" si="41"/>
        <v>1</v>
      </c>
      <c r="S163" s="42" t="str">
        <f t="shared" si="42"/>
        <v>2</v>
      </c>
      <c r="T163" s="42">
        <f t="shared" si="43"/>
        <v>3</v>
      </c>
      <c r="U163" s="42">
        <f t="shared" si="44"/>
        <v>89</v>
      </c>
      <c r="V163" s="42">
        <f t="shared" si="45"/>
        <v>3183</v>
      </c>
      <c r="W163" s="42">
        <f t="shared" si="46"/>
        <v>49.316801509098106</v>
      </c>
      <c r="X163" s="42">
        <f t="shared" si="47"/>
        <v>0.18825987366070532</v>
      </c>
    </row>
    <row r="164" spans="1:24" x14ac:dyDescent="0.2">
      <c r="A164" s="49">
        <v>162</v>
      </c>
      <c r="B164" s="49">
        <v>163</v>
      </c>
      <c r="C164" s="49">
        <v>0.21210000000000001</v>
      </c>
      <c r="D164" s="49">
        <v>0.55000000000000004</v>
      </c>
      <c r="E164" s="49">
        <v>8.9599999999999999E-2</v>
      </c>
      <c r="F164" s="49">
        <v>1</v>
      </c>
      <c r="G164" s="49">
        <v>15</v>
      </c>
      <c r="H164" s="49">
        <v>16</v>
      </c>
      <c r="I164" s="42">
        <f t="shared" si="32"/>
        <v>81.654299999999978</v>
      </c>
      <c r="J164" s="42">
        <f t="shared" si="33"/>
        <v>0.18226406249999996</v>
      </c>
      <c r="K164" s="42">
        <f t="shared" si="34"/>
        <v>448</v>
      </c>
      <c r="L164" s="42">
        <f t="shared" si="35"/>
        <v>250.61000000000033</v>
      </c>
      <c r="M164" s="42">
        <f t="shared" si="36"/>
        <v>0.55939732142857213</v>
      </c>
      <c r="N164" s="42">
        <f t="shared" si="37"/>
        <v>448</v>
      </c>
      <c r="O164" s="42">
        <f t="shared" si="38"/>
        <v>24460</v>
      </c>
      <c r="P164" s="42">
        <f t="shared" si="39"/>
        <v>54.598214285714285</v>
      </c>
      <c r="Q164" s="42">
        <f t="shared" si="40"/>
        <v>448</v>
      </c>
      <c r="R164" s="42" t="str">
        <f t="shared" si="41"/>
        <v>1</v>
      </c>
      <c r="S164" s="42" t="str">
        <f t="shared" si="42"/>
        <v>3</v>
      </c>
      <c r="T164" s="42">
        <f t="shared" si="43"/>
        <v>3</v>
      </c>
      <c r="U164" s="42">
        <f t="shared" si="44"/>
        <v>89</v>
      </c>
      <c r="V164" s="42">
        <f t="shared" si="45"/>
        <v>3183</v>
      </c>
      <c r="W164" s="42">
        <f t="shared" si="46"/>
        <v>49.316801509098106</v>
      </c>
      <c r="X164" s="42">
        <f t="shared" si="47"/>
        <v>0.18825987366070532</v>
      </c>
    </row>
    <row r="165" spans="1:24" x14ac:dyDescent="0.2">
      <c r="A165" s="49">
        <v>163</v>
      </c>
      <c r="B165" s="49">
        <v>164</v>
      </c>
      <c r="C165" s="49">
        <v>0.2424</v>
      </c>
      <c r="D165" s="49">
        <v>0.55000000000000004</v>
      </c>
      <c r="E165" s="49">
        <v>0</v>
      </c>
      <c r="F165" s="49">
        <v>3</v>
      </c>
      <c r="G165" s="49">
        <v>13</v>
      </c>
      <c r="H165" s="49">
        <v>16</v>
      </c>
      <c r="I165" s="42">
        <f t="shared" si="32"/>
        <v>81.442199999999985</v>
      </c>
      <c r="J165" s="42">
        <f t="shared" si="33"/>
        <v>0.18219731543624157</v>
      </c>
      <c r="K165" s="42">
        <f t="shared" si="34"/>
        <v>447</v>
      </c>
      <c r="L165" s="42">
        <f t="shared" si="35"/>
        <v>250.06000000000031</v>
      </c>
      <c r="M165" s="42">
        <f t="shared" si="36"/>
        <v>0.5594183445190164</v>
      </c>
      <c r="N165" s="42">
        <f t="shared" si="37"/>
        <v>447</v>
      </c>
      <c r="O165" s="42">
        <f t="shared" si="38"/>
        <v>24444</v>
      </c>
      <c r="P165" s="42">
        <f t="shared" si="39"/>
        <v>54.68456375838926</v>
      </c>
      <c r="Q165" s="42">
        <f t="shared" si="40"/>
        <v>447</v>
      </c>
      <c r="R165" s="42" t="str">
        <f t="shared" si="41"/>
        <v>1</v>
      </c>
      <c r="S165" s="42" t="str">
        <f t="shared" si="42"/>
        <v>4</v>
      </c>
      <c r="T165" s="42">
        <f t="shared" si="43"/>
        <v>3</v>
      </c>
      <c r="U165" s="42">
        <f t="shared" si="44"/>
        <v>89</v>
      </c>
      <c r="V165" s="42">
        <f t="shared" si="45"/>
        <v>3183</v>
      </c>
      <c r="W165" s="42">
        <f t="shared" si="46"/>
        <v>49.316801509098106</v>
      </c>
      <c r="X165" s="42">
        <f t="shared" si="47"/>
        <v>0.18825987366070532</v>
      </c>
    </row>
    <row r="166" spans="1:24" x14ac:dyDescent="0.2">
      <c r="A166" s="49">
        <v>164</v>
      </c>
      <c r="B166" s="49">
        <v>165</v>
      </c>
      <c r="C166" s="49">
        <v>0.19700000000000001</v>
      </c>
      <c r="D166" s="49">
        <v>0.55000000000000004</v>
      </c>
      <c r="E166" s="49">
        <v>0.16420000000000001</v>
      </c>
      <c r="F166" s="49">
        <v>0</v>
      </c>
      <c r="G166" s="49">
        <v>7</v>
      </c>
      <c r="H166" s="49">
        <v>7</v>
      </c>
      <c r="I166" s="42">
        <f t="shared" si="32"/>
        <v>81.199799999999996</v>
      </c>
      <c r="J166" s="42">
        <f t="shared" si="33"/>
        <v>0.18206233183856502</v>
      </c>
      <c r="K166" s="42">
        <f t="shared" si="34"/>
        <v>446</v>
      </c>
      <c r="L166" s="42">
        <f t="shared" si="35"/>
        <v>249.5100000000003</v>
      </c>
      <c r="M166" s="42">
        <f t="shared" si="36"/>
        <v>0.55943946188340876</v>
      </c>
      <c r="N166" s="42">
        <f t="shared" si="37"/>
        <v>446</v>
      </c>
      <c r="O166" s="42">
        <f t="shared" si="38"/>
        <v>24428</v>
      </c>
      <c r="P166" s="42">
        <f t="shared" si="39"/>
        <v>54.771300448430495</v>
      </c>
      <c r="Q166" s="42">
        <f t="shared" si="40"/>
        <v>446</v>
      </c>
      <c r="R166" s="42" t="str">
        <f t="shared" si="41"/>
        <v>1</v>
      </c>
      <c r="S166" s="42" t="str">
        <f t="shared" si="42"/>
        <v>5</v>
      </c>
      <c r="T166" s="42">
        <f t="shared" si="43"/>
        <v>3</v>
      </c>
      <c r="U166" s="42">
        <f t="shared" si="44"/>
        <v>89</v>
      </c>
      <c r="V166" s="42">
        <f t="shared" si="45"/>
        <v>3183</v>
      </c>
      <c r="W166" s="42">
        <f t="shared" si="46"/>
        <v>49.316801509098106</v>
      </c>
      <c r="X166" s="42">
        <f t="shared" si="47"/>
        <v>0.18825987366070532</v>
      </c>
    </row>
    <row r="167" spans="1:24" x14ac:dyDescent="0.2">
      <c r="A167" s="49">
        <v>165</v>
      </c>
      <c r="B167" s="49">
        <v>166</v>
      </c>
      <c r="C167" s="49">
        <v>0.19700000000000001</v>
      </c>
      <c r="D167" s="49">
        <v>0.55000000000000004</v>
      </c>
      <c r="E167" s="49">
        <v>0.16420000000000001</v>
      </c>
      <c r="F167" s="49">
        <v>0</v>
      </c>
      <c r="G167" s="49">
        <v>1</v>
      </c>
      <c r="H167" s="49">
        <v>1</v>
      </c>
      <c r="I167" s="42">
        <f t="shared" si="32"/>
        <v>81.002800000000008</v>
      </c>
      <c r="J167" s="42">
        <f t="shared" si="33"/>
        <v>0.18202876404494384</v>
      </c>
      <c r="K167" s="42">
        <f t="shared" si="34"/>
        <v>445</v>
      </c>
      <c r="L167" s="42">
        <f t="shared" si="35"/>
        <v>248.96000000000029</v>
      </c>
      <c r="M167" s="42">
        <f t="shared" si="36"/>
        <v>0.55946067415730405</v>
      </c>
      <c r="N167" s="42">
        <f t="shared" si="37"/>
        <v>445</v>
      </c>
      <c r="O167" s="42">
        <f t="shared" si="38"/>
        <v>24421</v>
      </c>
      <c r="P167" s="42">
        <f t="shared" si="39"/>
        <v>54.878651685393258</v>
      </c>
      <c r="Q167" s="42">
        <f t="shared" si="40"/>
        <v>445</v>
      </c>
      <c r="R167" s="42" t="str">
        <f t="shared" si="41"/>
        <v>1</v>
      </c>
      <c r="S167" s="42" t="str">
        <f t="shared" si="42"/>
        <v>6</v>
      </c>
      <c r="T167" s="42">
        <f t="shared" si="43"/>
        <v>3</v>
      </c>
      <c r="U167" s="42">
        <f t="shared" si="44"/>
        <v>89</v>
      </c>
      <c r="V167" s="42">
        <f t="shared" si="45"/>
        <v>3183</v>
      </c>
      <c r="W167" s="42">
        <f t="shared" si="46"/>
        <v>49.316801509098106</v>
      </c>
      <c r="X167" s="42">
        <f t="shared" si="47"/>
        <v>0.18825987366070532</v>
      </c>
    </row>
    <row r="168" spans="1:24" x14ac:dyDescent="0.2">
      <c r="A168" s="49">
        <v>166</v>
      </c>
      <c r="B168" s="49">
        <v>167</v>
      </c>
      <c r="C168" s="49">
        <v>0.16669999999999999</v>
      </c>
      <c r="D168" s="49">
        <v>0.74</v>
      </c>
      <c r="E168" s="49">
        <v>0.16420000000000001</v>
      </c>
      <c r="F168" s="49">
        <v>0</v>
      </c>
      <c r="G168" s="49">
        <v>5</v>
      </c>
      <c r="H168" s="49">
        <v>5</v>
      </c>
      <c r="I168" s="42">
        <f t="shared" si="32"/>
        <v>80.805800000000005</v>
      </c>
      <c r="J168" s="42">
        <f t="shared" si="33"/>
        <v>0.18199504504504505</v>
      </c>
      <c r="K168" s="42">
        <f t="shared" si="34"/>
        <v>444</v>
      </c>
      <c r="L168" s="42">
        <f t="shared" si="35"/>
        <v>248.41000000000028</v>
      </c>
      <c r="M168" s="42">
        <f t="shared" si="36"/>
        <v>0.55948198198198262</v>
      </c>
      <c r="N168" s="42">
        <f t="shared" si="37"/>
        <v>444</v>
      </c>
      <c r="O168" s="42">
        <f t="shared" si="38"/>
        <v>24420</v>
      </c>
      <c r="P168" s="42">
        <f t="shared" si="39"/>
        <v>55</v>
      </c>
      <c r="Q168" s="42">
        <f t="shared" si="40"/>
        <v>444</v>
      </c>
      <c r="R168" s="42" t="str">
        <f t="shared" si="41"/>
        <v>1</v>
      </c>
      <c r="S168" s="42" t="str">
        <f t="shared" si="42"/>
        <v>7</v>
      </c>
      <c r="T168" s="42">
        <f t="shared" si="43"/>
        <v>3</v>
      </c>
      <c r="U168" s="42">
        <f t="shared" si="44"/>
        <v>89</v>
      </c>
      <c r="V168" s="42">
        <f t="shared" si="45"/>
        <v>3183</v>
      </c>
      <c r="W168" s="42">
        <f t="shared" si="46"/>
        <v>49.316801509098106</v>
      </c>
      <c r="X168" s="42">
        <f t="shared" si="47"/>
        <v>0.18825987366070532</v>
      </c>
    </row>
    <row r="169" spans="1:24" x14ac:dyDescent="0.2">
      <c r="A169" s="49">
        <v>167</v>
      </c>
      <c r="B169" s="49">
        <v>168</v>
      </c>
      <c r="C169" s="49">
        <v>0.16669999999999999</v>
      </c>
      <c r="D169" s="49">
        <v>0.74</v>
      </c>
      <c r="E169" s="49">
        <v>0.16420000000000001</v>
      </c>
      <c r="F169" s="49">
        <v>0</v>
      </c>
      <c r="G169" s="49">
        <v>2</v>
      </c>
      <c r="H169" s="49">
        <v>2</v>
      </c>
      <c r="I169" s="42">
        <f t="shared" si="32"/>
        <v>80.639100000000013</v>
      </c>
      <c r="J169" s="42">
        <f t="shared" si="33"/>
        <v>0.18202957110609483</v>
      </c>
      <c r="K169" s="42">
        <f t="shared" si="34"/>
        <v>443</v>
      </c>
      <c r="L169" s="42">
        <f t="shared" si="35"/>
        <v>247.67000000000027</v>
      </c>
      <c r="M169" s="42">
        <f t="shared" si="36"/>
        <v>0.55907449209932336</v>
      </c>
      <c r="N169" s="42">
        <f t="shared" si="37"/>
        <v>443</v>
      </c>
      <c r="O169" s="42">
        <f t="shared" si="38"/>
        <v>24415</v>
      </c>
      <c r="P169" s="42">
        <f t="shared" si="39"/>
        <v>55.112866817155755</v>
      </c>
      <c r="Q169" s="42">
        <f t="shared" si="40"/>
        <v>443</v>
      </c>
      <c r="R169" s="42" t="str">
        <f t="shared" si="41"/>
        <v>1</v>
      </c>
      <c r="S169" s="42" t="str">
        <f t="shared" si="42"/>
        <v>8</v>
      </c>
      <c r="T169" s="42">
        <f t="shared" si="43"/>
        <v>3</v>
      </c>
      <c r="U169" s="42">
        <f t="shared" si="44"/>
        <v>89</v>
      </c>
      <c r="V169" s="42">
        <f t="shared" si="45"/>
        <v>3183</v>
      </c>
      <c r="W169" s="42">
        <f t="shared" si="46"/>
        <v>49.316801509098106</v>
      </c>
      <c r="X169" s="42">
        <f t="shared" si="47"/>
        <v>0.18825987366070532</v>
      </c>
    </row>
    <row r="170" spans="1:24" x14ac:dyDescent="0.2">
      <c r="A170" s="49">
        <v>168</v>
      </c>
      <c r="B170" s="49">
        <v>169</v>
      </c>
      <c r="C170" s="49">
        <v>0.18179999999999999</v>
      </c>
      <c r="D170" s="49">
        <v>0.74</v>
      </c>
      <c r="E170" s="49">
        <v>0.1045</v>
      </c>
      <c r="F170" s="49">
        <v>1</v>
      </c>
      <c r="G170" s="49">
        <v>8</v>
      </c>
      <c r="H170" s="49">
        <v>9</v>
      </c>
      <c r="I170" s="42">
        <f t="shared" si="32"/>
        <v>80.472400000000022</v>
      </c>
      <c r="J170" s="42">
        <f t="shared" si="33"/>
        <v>0.18206425339366522</v>
      </c>
      <c r="K170" s="42">
        <f t="shared" si="34"/>
        <v>442</v>
      </c>
      <c r="L170" s="42">
        <f t="shared" si="35"/>
        <v>246.93000000000026</v>
      </c>
      <c r="M170" s="42">
        <f t="shared" si="36"/>
        <v>0.55866515837104136</v>
      </c>
      <c r="N170" s="42">
        <f t="shared" si="37"/>
        <v>442</v>
      </c>
      <c r="O170" s="42">
        <f t="shared" si="38"/>
        <v>24413</v>
      </c>
      <c r="P170" s="42">
        <f t="shared" si="39"/>
        <v>55.233031674208142</v>
      </c>
      <c r="Q170" s="42">
        <f t="shared" si="40"/>
        <v>442</v>
      </c>
      <c r="R170" s="42" t="str">
        <f t="shared" si="41"/>
        <v>1</v>
      </c>
      <c r="S170" s="42" t="str">
        <f t="shared" si="42"/>
        <v>9</v>
      </c>
      <c r="T170" s="42">
        <f t="shared" si="43"/>
        <v>3</v>
      </c>
      <c r="U170" s="42">
        <f t="shared" si="44"/>
        <v>89</v>
      </c>
      <c r="V170" s="42">
        <f t="shared" si="45"/>
        <v>3183</v>
      </c>
      <c r="W170" s="42">
        <f t="shared" si="46"/>
        <v>49.316801509098106</v>
      </c>
      <c r="X170" s="42">
        <f t="shared" si="47"/>
        <v>0.18825987366070532</v>
      </c>
    </row>
    <row r="171" spans="1:24" x14ac:dyDescent="0.2">
      <c r="A171" s="49">
        <v>169</v>
      </c>
      <c r="B171" s="49">
        <v>170</v>
      </c>
      <c r="C171" s="49">
        <v>0.18179999999999999</v>
      </c>
      <c r="D171" s="49">
        <v>0.93</v>
      </c>
      <c r="E171" s="49">
        <v>0.1045</v>
      </c>
      <c r="F171" s="49">
        <v>0</v>
      </c>
      <c r="G171" s="49">
        <v>15</v>
      </c>
      <c r="H171" s="49">
        <v>15</v>
      </c>
      <c r="I171" s="42">
        <f t="shared" si="32"/>
        <v>80.290600000000026</v>
      </c>
      <c r="J171" s="42">
        <f t="shared" si="33"/>
        <v>0.1820648526077098</v>
      </c>
      <c r="K171" s="42">
        <f t="shared" si="34"/>
        <v>441</v>
      </c>
      <c r="L171" s="42">
        <f t="shared" si="35"/>
        <v>246.19000000000028</v>
      </c>
      <c r="M171" s="42">
        <f t="shared" si="36"/>
        <v>0.55825396825396889</v>
      </c>
      <c r="N171" s="42">
        <f t="shared" si="37"/>
        <v>441</v>
      </c>
      <c r="O171" s="42">
        <f t="shared" si="38"/>
        <v>24404</v>
      </c>
      <c r="P171" s="42">
        <f t="shared" si="39"/>
        <v>55.337868480725625</v>
      </c>
      <c r="Q171" s="42">
        <f t="shared" si="40"/>
        <v>441</v>
      </c>
      <c r="R171" s="42" t="str">
        <f t="shared" si="41"/>
        <v>1</v>
      </c>
      <c r="S171" s="42" t="str">
        <f t="shared" si="42"/>
        <v>0</v>
      </c>
      <c r="T171" s="42">
        <f t="shared" si="43"/>
        <v>3</v>
      </c>
      <c r="U171" s="42">
        <f t="shared" si="44"/>
        <v>89</v>
      </c>
      <c r="V171" s="42">
        <f t="shared" si="45"/>
        <v>3183</v>
      </c>
      <c r="W171" s="42">
        <f t="shared" si="46"/>
        <v>49.316801509098106</v>
      </c>
      <c r="X171" s="42">
        <f t="shared" si="47"/>
        <v>0.18825987366070532</v>
      </c>
    </row>
    <row r="172" spans="1:24" x14ac:dyDescent="0.2">
      <c r="A172" s="49">
        <v>170</v>
      </c>
      <c r="B172" s="49">
        <v>171</v>
      </c>
      <c r="C172" s="49">
        <v>0.18179999999999999</v>
      </c>
      <c r="D172" s="49">
        <v>0.93</v>
      </c>
      <c r="E172" s="49">
        <v>0.1045</v>
      </c>
      <c r="F172" s="49">
        <v>0</v>
      </c>
      <c r="G172" s="49">
        <v>20</v>
      </c>
      <c r="H172" s="49">
        <v>20</v>
      </c>
      <c r="I172" s="42">
        <f t="shared" si="32"/>
        <v>80.108800000000045</v>
      </c>
      <c r="J172" s="42">
        <f t="shared" si="33"/>
        <v>0.18206545454545464</v>
      </c>
      <c r="K172" s="42">
        <f t="shared" si="34"/>
        <v>440</v>
      </c>
      <c r="L172" s="42">
        <f t="shared" si="35"/>
        <v>245.26000000000028</v>
      </c>
      <c r="M172" s="42">
        <f t="shared" si="36"/>
        <v>0.55740909090909152</v>
      </c>
      <c r="N172" s="42">
        <f t="shared" si="37"/>
        <v>440</v>
      </c>
      <c r="O172" s="42">
        <f t="shared" si="38"/>
        <v>24389</v>
      </c>
      <c r="P172" s="42">
        <f t="shared" si="39"/>
        <v>55.429545454545455</v>
      </c>
      <c r="Q172" s="42">
        <f t="shared" si="40"/>
        <v>440</v>
      </c>
      <c r="R172" s="42" t="str">
        <f t="shared" si="41"/>
        <v>1</v>
      </c>
      <c r="S172" s="42" t="str">
        <f t="shared" si="42"/>
        <v>1</v>
      </c>
      <c r="T172" s="42">
        <f t="shared" si="43"/>
        <v>3</v>
      </c>
      <c r="U172" s="42">
        <f t="shared" si="44"/>
        <v>89</v>
      </c>
      <c r="V172" s="42">
        <f t="shared" si="45"/>
        <v>3183</v>
      </c>
      <c r="W172" s="42">
        <f t="shared" si="46"/>
        <v>49.316801509098106</v>
      </c>
      <c r="X172" s="42">
        <f t="shared" si="47"/>
        <v>0.18825987366070532</v>
      </c>
    </row>
    <row r="173" spans="1:24" x14ac:dyDescent="0.2">
      <c r="A173" s="49">
        <v>171</v>
      </c>
      <c r="B173" s="49">
        <v>172</v>
      </c>
      <c r="C173" s="49">
        <v>0.19700000000000001</v>
      </c>
      <c r="D173" s="49">
        <v>0.8</v>
      </c>
      <c r="E173" s="49">
        <v>0.16420000000000001</v>
      </c>
      <c r="F173" s="49">
        <v>5</v>
      </c>
      <c r="G173" s="49">
        <v>56</v>
      </c>
      <c r="H173" s="49">
        <v>61</v>
      </c>
      <c r="I173" s="42">
        <f t="shared" si="32"/>
        <v>79.927000000000035</v>
      </c>
      <c r="J173" s="42">
        <f t="shared" si="33"/>
        <v>0.18206605922551261</v>
      </c>
      <c r="K173" s="42">
        <f t="shared" si="34"/>
        <v>439</v>
      </c>
      <c r="L173" s="42">
        <f t="shared" si="35"/>
        <v>244.3300000000003</v>
      </c>
      <c r="M173" s="42">
        <f t="shared" si="36"/>
        <v>0.55656036446469315</v>
      </c>
      <c r="N173" s="42">
        <f t="shared" si="37"/>
        <v>439</v>
      </c>
      <c r="O173" s="42">
        <f t="shared" si="38"/>
        <v>24369</v>
      </c>
      <c r="P173" s="42">
        <f t="shared" si="39"/>
        <v>55.510250569476085</v>
      </c>
      <c r="Q173" s="42">
        <f t="shared" si="40"/>
        <v>439</v>
      </c>
      <c r="R173" s="42" t="str">
        <f t="shared" si="41"/>
        <v>1</v>
      </c>
      <c r="S173" s="42" t="str">
        <f t="shared" si="42"/>
        <v>2</v>
      </c>
      <c r="T173" s="42">
        <f t="shared" si="43"/>
        <v>3</v>
      </c>
      <c r="U173" s="42">
        <f t="shared" si="44"/>
        <v>89</v>
      </c>
      <c r="V173" s="42">
        <f t="shared" si="45"/>
        <v>3183</v>
      </c>
      <c r="W173" s="42">
        <f t="shared" si="46"/>
        <v>49.316801509098106</v>
      </c>
      <c r="X173" s="42">
        <f t="shared" si="47"/>
        <v>0.18825987366070532</v>
      </c>
    </row>
    <row r="174" spans="1:24" x14ac:dyDescent="0.2">
      <c r="A174" s="49">
        <v>172</v>
      </c>
      <c r="B174" s="49">
        <v>173</v>
      </c>
      <c r="C174" s="49">
        <v>0.18179999999999999</v>
      </c>
      <c r="D174" s="49">
        <v>0.69</v>
      </c>
      <c r="E174" s="49">
        <v>0.3881</v>
      </c>
      <c r="F174" s="49">
        <v>2</v>
      </c>
      <c r="G174" s="49">
        <v>60</v>
      </c>
      <c r="H174" s="49">
        <v>62</v>
      </c>
      <c r="I174" s="42">
        <f t="shared" si="32"/>
        <v>79.730000000000047</v>
      </c>
      <c r="J174" s="42">
        <f t="shared" si="33"/>
        <v>0.18203196347031975</v>
      </c>
      <c r="K174" s="42">
        <f t="shared" si="34"/>
        <v>438</v>
      </c>
      <c r="L174" s="42">
        <f t="shared" si="35"/>
        <v>243.53000000000029</v>
      </c>
      <c r="M174" s="42">
        <f t="shared" si="36"/>
        <v>0.55600456621004635</v>
      </c>
      <c r="N174" s="42">
        <f t="shared" si="37"/>
        <v>438</v>
      </c>
      <c r="O174" s="42">
        <f t="shared" si="38"/>
        <v>24308</v>
      </c>
      <c r="P174" s="42">
        <f t="shared" si="39"/>
        <v>55.497716894977167</v>
      </c>
      <c r="Q174" s="42">
        <f t="shared" si="40"/>
        <v>438</v>
      </c>
      <c r="R174" s="42" t="str">
        <f t="shared" si="41"/>
        <v>1</v>
      </c>
      <c r="S174" s="42" t="str">
        <f t="shared" si="42"/>
        <v>3</v>
      </c>
      <c r="T174" s="42">
        <f t="shared" si="43"/>
        <v>3</v>
      </c>
      <c r="U174" s="42">
        <f t="shared" si="44"/>
        <v>89</v>
      </c>
      <c r="V174" s="42">
        <f t="shared" si="45"/>
        <v>3183</v>
      </c>
      <c r="W174" s="42">
        <f t="shared" si="46"/>
        <v>49.316801509098106</v>
      </c>
      <c r="X174" s="42">
        <f t="shared" si="47"/>
        <v>0.18825987366070532</v>
      </c>
    </row>
    <row r="175" spans="1:24" x14ac:dyDescent="0.2">
      <c r="A175" s="49">
        <v>173</v>
      </c>
      <c r="B175" s="49">
        <v>174</v>
      </c>
      <c r="C175" s="49">
        <v>0.18179999999999999</v>
      </c>
      <c r="D175" s="49">
        <v>0.59</v>
      </c>
      <c r="E175" s="49">
        <v>0.35820000000000002</v>
      </c>
      <c r="F175" s="49">
        <v>8</v>
      </c>
      <c r="G175" s="49">
        <v>90</v>
      </c>
      <c r="H175" s="49">
        <v>98</v>
      </c>
      <c r="I175" s="42">
        <f t="shared" si="32"/>
        <v>79.548200000000051</v>
      </c>
      <c r="J175" s="42">
        <f t="shared" si="33"/>
        <v>0.18203249427917631</v>
      </c>
      <c r="K175" s="42">
        <f t="shared" si="34"/>
        <v>437</v>
      </c>
      <c r="L175" s="42">
        <f t="shared" si="35"/>
        <v>242.84000000000029</v>
      </c>
      <c r="M175" s="42">
        <f t="shared" si="36"/>
        <v>0.55569794050343313</v>
      </c>
      <c r="N175" s="42">
        <f t="shared" si="37"/>
        <v>437</v>
      </c>
      <c r="O175" s="42">
        <f t="shared" si="38"/>
        <v>24246</v>
      </c>
      <c r="P175" s="42">
        <f t="shared" si="39"/>
        <v>55.482837528604122</v>
      </c>
      <c r="Q175" s="42">
        <f t="shared" si="40"/>
        <v>437</v>
      </c>
      <c r="R175" s="42" t="str">
        <f t="shared" si="41"/>
        <v>1</v>
      </c>
      <c r="S175" s="42" t="str">
        <f t="shared" si="42"/>
        <v>4</v>
      </c>
      <c r="T175" s="42">
        <f t="shared" si="43"/>
        <v>3</v>
      </c>
      <c r="U175" s="42">
        <f t="shared" si="44"/>
        <v>89</v>
      </c>
      <c r="V175" s="42">
        <f t="shared" si="45"/>
        <v>3183</v>
      </c>
      <c r="W175" s="42">
        <f t="shared" si="46"/>
        <v>49.316801509098106</v>
      </c>
      <c r="X175" s="42">
        <f t="shared" si="47"/>
        <v>0.18825987366070532</v>
      </c>
    </row>
    <row r="176" spans="1:24" x14ac:dyDescent="0.2">
      <c r="A176" s="49">
        <v>174</v>
      </c>
      <c r="B176" s="49">
        <v>175</v>
      </c>
      <c r="C176" s="49">
        <v>0.18179999999999999</v>
      </c>
      <c r="D176" s="49">
        <v>0.44</v>
      </c>
      <c r="E176" s="49">
        <v>0.32840000000000003</v>
      </c>
      <c r="F176" s="49">
        <v>7</v>
      </c>
      <c r="G176" s="49">
        <v>95</v>
      </c>
      <c r="H176" s="49">
        <v>102</v>
      </c>
      <c r="I176" s="42">
        <f t="shared" si="32"/>
        <v>79.366400000000056</v>
      </c>
      <c r="J176" s="42">
        <f t="shared" si="33"/>
        <v>0.1820330275229359</v>
      </c>
      <c r="K176" s="42">
        <f t="shared" si="34"/>
        <v>436</v>
      </c>
      <c r="L176" s="42">
        <f t="shared" si="35"/>
        <v>242.25000000000028</v>
      </c>
      <c r="M176" s="42">
        <f t="shared" si="36"/>
        <v>0.55561926605504652</v>
      </c>
      <c r="N176" s="42">
        <f t="shared" si="37"/>
        <v>436</v>
      </c>
      <c r="O176" s="42">
        <f t="shared" si="38"/>
        <v>24148</v>
      </c>
      <c r="P176" s="42">
        <f t="shared" si="39"/>
        <v>55.38532110091743</v>
      </c>
      <c r="Q176" s="42">
        <f t="shared" si="40"/>
        <v>436</v>
      </c>
      <c r="R176" s="42" t="str">
        <f t="shared" si="41"/>
        <v>1</v>
      </c>
      <c r="S176" s="42" t="str">
        <f t="shared" si="42"/>
        <v>5</v>
      </c>
      <c r="T176" s="42">
        <f t="shared" si="43"/>
        <v>3</v>
      </c>
      <c r="U176" s="42">
        <f t="shared" si="44"/>
        <v>89</v>
      </c>
      <c r="V176" s="42">
        <f t="shared" si="45"/>
        <v>3183</v>
      </c>
      <c r="W176" s="42">
        <f t="shared" si="46"/>
        <v>49.316801509098106</v>
      </c>
      <c r="X176" s="42">
        <f t="shared" si="47"/>
        <v>0.18825987366070532</v>
      </c>
    </row>
    <row r="177" spans="1:24" x14ac:dyDescent="0.2">
      <c r="A177" s="49">
        <v>175</v>
      </c>
      <c r="B177" s="49">
        <v>176</v>
      </c>
      <c r="C177" s="49">
        <v>0.16669999999999999</v>
      </c>
      <c r="D177" s="49">
        <v>0.32</v>
      </c>
      <c r="E177" s="49">
        <v>0.49249999999999999</v>
      </c>
      <c r="F177" s="49">
        <v>12</v>
      </c>
      <c r="G177" s="49">
        <v>83</v>
      </c>
      <c r="H177" s="49">
        <v>95</v>
      </c>
      <c r="I177" s="42">
        <f t="shared" si="32"/>
        <v>79.18460000000006</v>
      </c>
      <c r="J177" s="42">
        <f t="shared" si="33"/>
        <v>0.18203356321839095</v>
      </c>
      <c r="K177" s="42">
        <f t="shared" si="34"/>
        <v>435</v>
      </c>
      <c r="L177" s="42">
        <f t="shared" si="35"/>
        <v>241.81000000000029</v>
      </c>
      <c r="M177" s="42">
        <f t="shared" si="36"/>
        <v>0.55588505747126504</v>
      </c>
      <c r="N177" s="42">
        <f t="shared" si="37"/>
        <v>435</v>
      </c>
      <c r="O177" s="42">
        <f t="shared" si="38"/>
        <v>24046</v>
      </c>
      <c r="P177" s="42">
        <f t="shared" si="39"/>
        <v>55.278160919540227</v>
      </c>
      <c r="Q177" s="42">
        <f t="shared" si="40"/>
        <v>435</v>
      </c>
      <c r="R177" s="42" t="str">
        <f t="shared" si="41"/>
        <v>1</v>
      </c>
      <c r="S177" s="42" t="str">
        <f t="shared" si="42"/>
        <v>6</v>
      </c>
      <c r="T177" s="42">
        <f t="shared" si="43"/>
        <v>3</v>
      </c>
      <c r="U177" s="42">
        <f t="shared" si="44"/>
        <v>89</v>
      </c>
      <c r="V177" s="42">
        <f t="shared" si="45"/>
        <v>3183</v>
      </c>
      <c r="W177" s="42">
        <f t="shared" si="46"/>
        <v>49.316801509098106</v>
      </c>
      <c r="X177" s="42">
        <f t="shared" si="47"/>
        <v>0.18825987366070532</v>
      </c>
    </row>
    <row r="178" spans="1:24" x14ac:dyDescent="0.2">
      <c r="A178" s="49">
        <v>176</v>
      </c>
      <c r="B178" s="49">
        <v>177</v>
      </c>
      <c r="C178" s="49">
        <v>0.16669999999999999</v>
      </c>
      <c r="D178" s="49">
        <v>0.32</v>
      </c>
      <c r="E178" s="49">
        <v>0.44779999999999998</v>
      </c>
      <c r="F178" s="49">
        <v>5</v>
      </c>
      <c r="G178" s="49">
        <v>69</v>
      </c>
      <c r="H178" s="49">
        <v>74</v>
      </c>
      <c r="I178" s="42">
        <f t="shared" si="32"/>
        <v>79.017900000000068</v>
      </c>
      <c r="J178" s="42">
        <f t="shared" si="33"/>
        <v>0.18206889400921675</v>
      </c>
      <c r="K178" s="42">
        <f t="shared" si="34"/>
        <v>434</v>
      </c>
      <c r="L178" s="42">
        <f t="shared" si="35"/>
        <v>241.49000000000029</v>
      </c>
      <c r="M178" s="42">
        <f t="shared" si="36"/>
        <v>0.55642857142857205</v>
      </c>
      <c r="N178" s="42">
        <f t="shared" si="37"/>
        <v>434</v>
      </c>
      <c r="O178" s="42">
        <f t="shared" si="38"/>
        <v>23951</v>
      </c>
      <c r="P178" s="42">
        <f t="shared" si="39"/>
        <v>55.186635944700463</v>
      </c>
      <c r="Q178" s="42">
        <f t="shared" si="40"/>
        <v>434</v>
      </c>
      <c r="R178" s="42" t="str">
        <f t="shared" si="41"/>
        <v>1</v>
      </c>
      <c r="S178" s="42" t="str">
        <f t="shared" si="42"/>
        <v>7</v>
      </c>
      <c r="T178" s="42">
        <f t="shared" si="43"/>
        <v>3</v>
      </c>
      <c r="U178" s="42">
        <f t="shared" si="44"/>
        <v>89</v>
      </c>
      <c r="V178" s="42">
        <f t="shared" si="45"/>
        <v>3183</v>
      </c>
      <c r="W178" s="42">
        <f t="shared" si="46"/>
        <v>49.316801509098106</v>
      </c>
      <c r="X178" s="42">
        <f t="shared" si="47"/>
        <v>0.18825987366070532</v>
      </c>
    </row>
    <row r="179" spans="1:24" x14ac:dyDescent="0.2">
      <c r="A179" s="49">
        <v>177</v>
      </c>
      <c r="B179" s="49">
        <v>178</v>
      </c>
      <c r="C179" s="49">
        <v>0.13639999999999999</v>
      </c>
      <c r="D179" s="49">
        <v>0.28999999999999998</v>
      </c>
      <c r="E179" s="49">
        <v>0.44779999999999998</v>
      </c>
      <c r="F179" s="49">
        <v>8</v>
      </c>
      <c r="G179" s="49">
        <v>68</v>
      </c>
      <c r="H179" s="49">
        <v>76</v>
      </c>
      <c r="I179" s="42">
        <f t="shared" si="32"/>
        <v>78.851200000000063</v>
      </c>
      <c r="J179" s="42">
        <f t="shared" si="33"/>
        <v>0.18210438799076226</v>
      </c>
      <c r="K179" s="42">
        <f t="shared" si="34"/>
        <v>433</v>
      </c>
      <c r="L179" s="42">
        <f t="shared" si="35"/>
        <v>241.1700000000003</v>
      </c>
      <c r="M179" s="42">
        <f t="shared" si="36"/>
        <v>0.55697459584295683</v>
      </c>
      <c r="N179" s="42">
        <f t="shared" si="37"/>
        <v>433</v>
      </c>
      <c r="O179" s="42">
        <f t="shared" si="38"/>
        <v>23877</v>
      </c>
      <c r="P179" s="42">
        <f t="shared" si="39"/>
        <v>55.143187066974598</v>
      </c>
      <c r="Q179" s="42">
        <f t="shared" si="40"/>
        <v>433</v>
      </c>
      <c r="R179" s="42" t="str">
        <f t="shared" si="41"/>
        <v>1</v>
      </c>
      <c r="S179" s="42" t="str">
        <f t="shared" si="42"/>
        <v>8</v>
      </c>
      <c r="T179" s="42">
        <f t="shared" si="43"/>
        <v>3</v>
      </c>
      <c r="U179" s="42">
        <f t="shared" si="44"/>
        <v>89</v>
      </c>
      <c r="V179" s="42">
        <f t="shared" si="45"/>
        <v>3183</v>
      </c>
      <c r="W179" s="42">
        <f t="shared" si="46"/>
        <v>49.316801509098106</v>
      </c>
      <c r="X179" s="42">
        <f t="shared" si="47"/>
        <v>0.18825987366070532</v>
      </c>
    </row>
    <row r="180" spans="1:24" x14ac:dyDescent="0.2">
      <c r="A180" s="49">
        <v>178</v>
      </c>
      <c r="B180" s="49">
        <v>179</v>
      </c>
      <c r="C180" s="49">
        <v>0.1212</v>
      </c>
      <c r="D180" s="49">
        <v>0.37</v>
      </c>
      <c r="E180" s="49">
        <v>0.55220000000000002</v>
      </c>
      <c r="F180" s="49">
        <v>5</v>
      </c>
      <c r="G180" s="49">
        <v>64</v>
      </c>
      <c r="H180" s="49">
        <v>69</v>
      </c>
      <c r="I180" s="42">
        <f t="shared" si="32"/>
        <v>78.714800000000068</v>
      </c>
      <c r="J180" s="42">
        <f t="shared" si="33"/>
        <v>0.18221018518518534</v>
      </c>
      <c r="K180" s="42">
        <f t="shared" si="34"/>
        <v>432</v>
      </c>
      <c r="L180" s="42">
        <f t="shared" si="35"/>
        <v>240.88000000000031</v>
      </c>
      <c r="M180" s="42">
        <f t="shared" si="36"/>
        <v>0.55759259259259331</v>
      </c>
      <c r="N180" s="42">
        <f t="shared" si="37"/>
        <v>432</v>
      </c>
      <c r="O180" s="42">
        <f t="shared" si="38"/>
        <v>23801</v>
      </c>
      <c r="P180" s="42">
        <f t="shared" si="39"/>
        <v>55.094907407407405</v>
      </c>
      <c r="Q180" s="42">
        <f t="shared" si="40"/>
        <v>432</v>
      </c>
      <c r="R180" s="42" t="str">
        <f t="shared" si="41"/>
        <v>1</v>
      </c>
      <c r="S180" s="42" t="str">
        <f t="shared" si="42"/>
        <v>9</v>
      </c>
      <c r="T180" s="42">
        <f t="shared" si="43"/>
        <v>3</v>
      </c>
      <c r="U180" s="42">
        <f t="shared" si="44"/>
        <v>89</v>
      </c>
      <c r="V180" s="42">
        <f t="shared" si="45"/>
        <v>3183</v>
      </c>
      <c r="W180" s="42">
        <f t="shared" si="46"/>
        <v>49.316801509098106</v>
      </c>
      <c r="X180" s="42">
        <f t="shared" si="47"/>
        <v>0.18825987366070532</v>
      </c>
    </row>
    <row r="181" spans="1:24" x14ac:dyDescent="0.2">
      <c r="A181" s="49">
        <v>179</v>
      </c>
      <c r="B181" s="49">
        <v>180</v>
      </c>
      <c r="C181" s="49">
        <v>0.1212</v>
      </c>
      <c r="D181" s="49">
        <v>0.39</v>
      </c>
      <c r="E181" s="49">
        <v>0.29849999999999999</v>
      </c>
      <c r="F181" s="49">
        <v>3</v>
      </c>
      <c r="G181" s="49">
        <v>52</v>
      </c>
      <c r="H181" s="49">
        <v>55</v>
      </c>
      <c r="I181" s="42">
        <f t="shared" si="32"/>
        <v>78.593600000000052</v>
      </c>
      <c r="J181" s="42">
        <f t="shared" si="33"/>
        <v>0.18235174013921127</v>
      </c>
      <c r="K181" s="42">
        <f t="shared" si="34"/>
        <v>431</v>
      </c>
      <c r="L181" s="42">
        <f t="shared" si="35"/>
        <v>240.5100000000003</v>
      </c>
      <c r="M181" s="42">
        <f t="shared" si="36"/>
        <v>0.55802784222737889</v>
      </c>
      <c r="N181" s="42">
        <f t="shared" si="37"/>
        <v>431</v>
      </c>
      <c r="O181" s="42">
        <f t="shared" si="38"/>
        <v>23732</v>
      </c>
      <c r="P181" s="42">
        <f t="shared" si="39"/>
        <v>55.062645011600928</v>
      </c>
      <c r="Q181" s="42">
        <f t="shared" si="40"/>
        <v>431</v>
      </c>
      <c r="R181" s="42" t="str">
        <f t="shared" si="41"/>
        <v>1</v>
      </c>
      <c r="S181" s="42" t="str">
        <f t="shared" si="42"/>
        <v>0</v>
      </c>
      <c r="T181" s="42">
        <f t="shared" si="43"/>
        <v>3</v>
      </c>
      <c r="U181" s="42">
        <f t="shared" si="44"/>
        <v>89</v>
      </c>
      <c r="V181" s="42">
        <f t="shared" si="45"/>
        <v>3183</v>
      </c>
      <c r="W181" s="42">
        <f t="shared" si="46"/>
        <v>49.316801509098106</v>
      </c>
      <c r="X181" s="42">
        <f t="shared" si="47"/>
        <v>0.18825987366070532</v>
      </c>
    </row>
    <row r="182" spans="1:24" x14ac:dyDescent="0.2">
      <c r="A182" s="49">
        <v>180</v>
      </c>
      <c r="B182" s="49">
        <v>181</v>
      </c>
      <c r="C182" s="49">
        <v>0.1212</v>
      </c>
      <c r="D182" s="49">
        <v>0.36</v>
      </c>
      <c r="E182" s="49">
        <v>0.25369999999999998</v>
      </c>
      <c r="F182" s="49">
        <v>4</v>
      </c>
      <c r="G182" s="49">
        <v>26</v>
      </c>
      <c r="H182" s="49">
        <v>30</v>
      </c>
      <c r="I182" s="42">
        <f t="shared" si="32"/>
        <v>78.472400000000064</v>
      </c>
      <c r="J182" s="42">
        <f t="shared" si="33"/>
        <v>0.18249395348837225</v>
      </c>
      <c r="K182" s="42">
        <f t="shared" si="34"/>
        <v>430</v>
      </c>
      <c r="L182" s="42">
        <f t="shared" si="35"/>
        <v>240.12000000000032</v>
      </c>
      <c r="M182" s="42">
        <f t="shared" si="36"/>
        <v>0.55841860465116355</v>
      </c>
      <c r="N182" s="42">
        <f t="shared" si="37"/>
        <v>430</v>
      </c>
      <c r="O182" s="42">
        <f t="shared" si="38"/>
        <v>23677</v>
      </c>
      <c r="P182" s="42">
        <f t="shared" si="39"/>
        <v>55.062790697674416</v>
      </c>
      <c r="Q182" s="42">
        <f t="shared" si="40"/>
        <v>430</v>
      </c>
      <c r="R182" s="42" t="str">
        <f t="shared" si="41"/>
        <v>1</v>
      </c>
      <c r="S182" s="42" t="str">
        <f t="shared" si="42"/>
        <v>1</v>
      </c>
      <c r="T182" s="42">
        <f t="shared" si="43"/>
        <v>3</v>
      </c>
      <c r="U182" s="42">
        <f t="shared" si="44"/>
        <v>89</v>
      </c>
      <c r="V182" s="42">
        <f t="shared" si="45"/>
        <v>3183</v>
      </c>
      <c r="W182" s="42">
        <f t="shared" si="46"/>
        <v>49.316801509098106</v>
      </c>
      <c r="X182" s="42">
        <f t="shared" si="47"/>
        <v>0.18825987366070532</v>
      </c>
    </row>
    <row r="183" spans="1:24" x14ac:dyDescent="0.2">
      <c r="A183" s="49">
        <v>181</v>
      </c>
      <c r="B183" s="49">
        <v>182</v>
      </c>
      <c r="C183" s="49">
        <v>0.1212</v>
      </c>
      <c r="D183" s="49">
        <v>0.36</v>
      </c>
      <c r="E183" s="49">
        <v>0.25369999999999998</v>
      </c>
      <c r="F183" s="49">
        <v>0</v>
      </c>
      <c r="G183" s="49">
        <v>28</v>
      </c>
      <c r="H183" s="49">
        <v>28</v>
      </c>
      <c r="I183" s="42">
        <f t="shared" si="32"/>
        <v>78.351200000000077</v>
      </c>
      <c r="J183" s="42">
        <f t="shared" si="33"/>
        <v>0.18263682983683002</v>
      </c>
      <c r="K183" s="42">
        <f t="shared" si="34"/>
        <v>429</v>
      </c>
      <c r="L183" s="42">
        <f t="shared" si="35"/>
        <v>239.7600000000003</v>
      </c>
      <c r="M183" s="42">
        <f t="shared" si="36"/>
        <v>0.55888111888111958</v>
      </c>
      <c r="N183" s="42">
        <f t="shared" si="37"/>
        <v>429</v>
      </c>
      <c r="O183" s="42">
        <f t="shared" si="38"/>
        <v>23647</v>
      </c>
      <c r="P183" s="42">
        <f t="shared" si="39"/>
        <v>55.121212121212125</v>
      </c>
      <c r="Q183" s="42">
        <f t="shared" si="40"/>
        <v>429</v>
      </c>
      <c r="R183" s="42" t="str">
        <f t="shared" si="41"/>
        <v>1</v>
      </c>
      <c r="S183" s="42" t="str">
        <f t="shared" si="42"/>
        <v>2</v>
      </c>
      <c r="T183" s="42">
        <f t="shared" si="43"/>
        <v>3</v>
      </c>
      <c r="U183" s="42">
        <f t="shared" si="44"/>
        <v>89</v>
      </c>
      <c r="V183" s="42">
        <f t="shared" si="45"/>
        <v>3183</v>
      </c>
      <c r="W183" s="42">
        <f t="shared" si="46"/>
        <v>49.316801509098106</v>
      </c>
      <c r="X183" s="42">
        <f t="shared" si="47"/>
        <v>0.18825987366070532</v>
      </c>
    </row>
    <row r="184" spans="1:24" x14ac:dyDescent="0.2">
      <c r="A184" s="49">
        <v>182</v>
      </c>
      <c r="B184" s="49">
        <v>183</v>
      </c>
      <c r="C184" s="49">
        <v>0.1061</v>
      </c>
      <c r="D184" s="49">
        <v>0.39</v>
      </c>
      <c r="E184" s="49">
        <v>0.35820000000000002</v>
      </c>
      <c r="F184" s="49">
        <v>2</v>
      </c>
      <c r="G184" s="49">
        <v>35</v>
      </c>
      <c r="H184" s="49">
        <v>37</v>
      </c>
      <c r="I184" s="42">
        <f t="shared" si="32"/>
        <v>78.230000000000075</v>
      </c>
      <c r="J184" s="42">
        <f t="shared" si="33"/>
        <v>0.18278037383177587</v>
      </c>
      <c r="K184" s="42">
        <f t="shared" si="34"/>
        <v>428</v>
      </c>
      <c r="L184" s="42">
        <f t="shared" si="35"/>
        <v>239.40000000000032</v>
      </c>
      <c r="M184" s="42">
        <f t="shared" si="36"/>
        <v>0.55934579439252408</v>
      </c>
      <c r="N184" s="42">
        <f t="shared" si="37"/>
        <v>428</v>
      </c>
      <c r="O184" s="42">
        <f t="shared" si="38"/>
        <v>23619</v>
      </c>
      <c r="P184" s="42">
        <f t="shared" si="39"/>
        <v>55.184579439252339</v>
      </c>
      <c r="Q184" s="42">
        <f t="shared" si="40"/>
        <v>428</v>
      </c>
      <c r="R184" s="42" t="str">
        <f t="shared" si="41"/>
        <v>1</v>
      </c>
      <c r="S184" s="42" t="str">
        <f t="shared" si="42"/>
        <v>3</v>
      </c>
      <c r="T184" s="42">
        <f t="shared" si="43"/>
        <v>3</v>
      </c>
      <c r="U184" s="42">
        <f t="shared" si="44"/>
        <v>89</v>
      </c>
      <c r="V184" s="42">
        <f t="shared" si="45"/>
        <v>3183</v>
      </c>
      <c r="W184" s="42">
        <f t="shared" si="46"/>
        <v>49.316801509098106</v>
      </c>
      <c r="X184" s="42">
        <f t="shared" si="47"/>
        <v>0.18825987366070532</v>
      </c>
    </row>
    <row r="185" spans="1:24" x14ac:dyDescent="0.2">
      <c r="A185" s="49">
        <v>183</v>
      </c>
      <c r="B185" s="49">
        <v>184</v>
      </c>
      <c r="C185" s="49">
        <v>0.1061</v>
      </c>
      <c r="D185" s="49">
        <v>0.36</v>
      </c>
      <c r="E185" s="49">
        <v>0.3881</v>
      </c>
      <c r="F185" s="49">
        <v>1</v>
      </c>
      <c r="G185" s="49">
        <v>33</v>
      </c>
      <c r="H185" s="49">
        <v>34</v>
      </c>
      <c r="I185" s="42">
        <f t="shared" si="32"/>
        <v>78.123900000000077</v>
      </c>
      <c r="J185" s="42">
        <f t="shared" si="33"/>
        <v>0.18295995316159269</v>
      </c>
      <c r="K185" s="42">
        <f t="shared" si="34"/>
        <v>427</v>
      </c>
      <c r="L185" s="42">
        <f t="shared" si="35"/>
        <v>239.0100000000003</v>
      </c>
      <c r="M185" s="42">
        <f t="shared" si="36"/>
        <v>0.55974238875878291</v>
      </c>
      <c r="N185" s="42">
        <f t="shared" si="37"/>
        <v>427</v>
      </c>
      <c r="O185" s="42">
        <f t="shared" si="38"/>
        <v>23582</v>
      </c>
      <c r="P185" s="42">
        <f t="shared" si="39"/>
        <v>55.227166276346601</v>
      </c>
      <c r="Q185" s="42">
        <f t="shared" si="40"/>
        <v>427</v>
      </c>
      <c r="R185" s="42" t="str">
        <f t="shared" si="41"/>
        <v>1</v>
      </c>
      <c r="S185" s="42" t="str">
        <f t="shared" si="42"/>
        <v>4</v>
      </c>
      <c r="T185" s="42">
        <f t="shared" si="43"/>
        <v>3</v>
      </c>
      <c r="U185" s="42">
        <f t="shared" si="44"/>
        <v>89</v>
      </c>
      <c r="V185" s="42">
        <f t="shared" si="45"/>
        <v>3183</v>
      </c>
      <c r="W185" s="42">
        <f t="shared" si="46"/>
        <v>49.316801509098106</v>
      </c>
      <c r="X185" s="42">
        <f t="shared" si="47"/>
        <v>0.18825987366070532</v>
      </c>
    </row>
    <row r="186" spans="1:24" x14ac:dyDescent="0.2">
      <c r="A186" s="49">
        <v>184</v>
      </c>
      <c r="B186" s="49">
        <v>185</v>
      </c>
      <c r="C186" s="49">
        <v>6.0600000000000001E-2</v>
      </c>
      <c r="D186" s="49">
        <v>0.39</v>
      </c>
      <c r="E186" s="49">
        <v>0.44779999999999998</v>
      </c>
      <c r="F186" s="49">
        <v>0</v>
      </c>
      <c r="G186" s="49">
        <v>22</v>
      </c>
      <c r="H186" s="49">
        <v>22</v>
      </c>
      <c r="I186" s="42">
        <f t="shared" si="32"/>
        <v>78.017800000000079</v>
      </c>
      <c r="J186" s="42">
        <f t="shared" si="33"/>
        <v>0.18314037558685464</v>
      </c>
      <c r="K186" s="42">
        <f t="shared" si="34"/>
        <v>426</v>
      </c>
      <c r="L186" s="42">
        <f t="shared" si="35"/>
        <v>238.65000000000029</v>
      </c>
      <c r="M186" s="42">
        <f t="shared" si="36"/>
        <v>0.56021126760563444</v>
      </c>
      <c r="N186" s="42">
        <f t="shared" si="37"/>
        <v>426</v>
      </c>
      <c r="O186" s="42">
        <f t="shared" si="38"/>
        <v>23548</v>
      </c>
      <c r="P186" s="42">
        <f t="shared" si="39"/>
        <v>55.27699530516432</v>
      </c>
      <c r="Q186" s="42">
        <f t="shared" si="40"/>
        <v>426</v>
      </c>
      <c r="R186" s="42" t="str">
        <f t="shared" si="41"/>
        <v>1</v>
      </c>
      <c r="S186" s="42" t="str">
        <f t="shared" si="42"/>
        <v>5</v>
      </c>
      <c r="T186" s="42">
        <f t="shared" si="43"/>
        <v>3</v>
      </c>
      <c r="U186" s="42">
        <f t="shared" si="44"/>
        <v>89</v>
      </c>
      <c r="V186" s="42">
        <f t="shared" si="45"/>
        <v>3183</v>
      </c>
      <c r="W186" s="42">
        <f t="shared" si="46"/>
        <v>49.316801509098106</v>
      </c>
      <c r="X186" s="42">
        <f t="shared" si="47"/>
        <v>0.18825987366070532</v>
      </c>
    </row>
    <row r="187" spans="1:24" x14ac:dyDescent="0.2">
      <c r="A187" s="49">
        <v>185</v>
      </c>
      <c r="B187" s="49">
        <v>186</v>
      </c>
      <c r="C187" s="49">
        <v>7.5800000000000006E-2</v>
      </c>
      <c r="D187" s="49">
        <v>0.42</v>
      </c>
      <c r="E187" s="49">
        <v>0.3881</v>
      </c>
      <c r="F187" s="49">
        <v>1</v>
      </c>
      <c r="G187" s="49">
        <v>24</v>
      </c>
      <c r="H187" s="49">
        <v>25</v>
      </c>
      <c r="I187" s="42">
        <f t="shared" si="32"/>
        <v>77.957200000000086</v>
      </c>
      <c r="J187" s="42">
        <f t="shared" si="33"/>
        <v>0.18342870588235313</v>
      </c>
      <c r="K187" s="42">
        <f t="shared" si="34"/>
        <v>425</v>
      </c>
      <c r="L187" s="42">
        <f t="shared" si="35"/>
        <v>238.2600000000003</v>
      </c>
      <c r="M187" s="42">
        <f t="shared" si="36"/>
        <v>0.56061176470588303</v>
      </c>
      <c r="N187" s="42">
        <f t="shared" si="37"/>
        <v>425</v>
      </c>
      <c r="O187" s="42">
        <f t="shared" si="38"/>
        <v>23526</v>
      </c>
      <c r="P187" s="42">
        <f t="shared" si="39"/>
        <v>55.355294117647055</v>
      </c>
      <c r="Q187" s="42">
        <f t="shared" si="40"/>
        <v>425</v>
      </c>
      <c r="R187" s="42" t="str">
        <f t="shared" si="41"/>
        <v>1</v>
      </c>
      <c r="S187" s="42" t="str">
        <f t="shared" si="42"/>
        <v>6</v>
      </c>
      <c r="T187" s="42">
        <f t="shared" si="43"/>
        <v>3</v>
      </c>
      <c r="U187" s="42">
        <f t="shared" si="44"/>
        <v>89</v>
      </c>
      <c r="V187" s="42">
        <f t="shared" si="45"/>
        <v>3183</v>
      </c>
      <c r="W187" s="42">
        <f t="shared" si="46"/>
        <v>49.316801509098106</v>
      </c>
      <c r="X187" s="42">
        <f t="shared" si="47"/>
        <v>0.18825987366070532</v>
      </c>
    </row>
    <row r="188" spans="1:24" x14ac:dyDescent="0.2">
      <c r="A188" s="49">
        <v>186</v>
      </c>
      <c r="B188" s="49">
        <v>187</v>
      </c>
      <c r="C188" s="49">
        <v>6.0600000000000001E-2</v>
      </c>
      <c r="D188" s="49">
        <v>0.42</v>
      </c>
      <c r="E188" s="49">
        <v>0.4627</v>
      </c>
      <c r="F188" s="49">
        <v>0</v>
      </c>
      <c r="G188" s="49">
        <v>12</v>
      </c>
      <c r="H188" s="49">
        <v>12</v>
      </c>
      <c r="I188" s="42">
        <f t="shared" si="32"/>
        <v>77.881400000000085</v>
      </c>
      <c r="J188" s="42">
        <f t="shared" si="33"/>
        <v>0.18368254716981153</v>
      </c>
      <c r="K188" s="42">
        <f t="shared" si="34"/>
        <v>424</v>
      </c>
      <c r="L188" s="42">
        <f t="shared" si="35"/>
        <v>237.84000000000029</v>
      </c>
      <c r="M188" s="42">
        <f t="shared" si="36"/>
        <v>0.56094339622641576</v>
      </c>
      <c r="N188" s="42">
        <f t="shared" si="37"/>
        <v>424</v>
      </c>
      <c r="O188" s="42">
        <f t="shared" si="38"/>
        <v>23501</v>
      </c>
      <c r="P188" s="42">
        <f t="shared" si="39"/>
        <v>55.426886792452834</v>
      </c>
      <c r="Q188" s="42">
        <f t="shared" si="40"/>
        <v>424</v>
      </c>
      <c r="R188" s="42" t="str">
        <f t="shared" si="41"/>
        <v>1</v>
      </c>
      <c r="S188" s="42" t="str">
        <f t="shared" si="42"/>
        <v>7</v>
      </c>
      <c r="T188" s="42">
        <f t="shared" si="43"/>
        <v>3</v>
      </c>
      <c r="U188" s="42">
        <f t="shared" si="44"/>
        <v>89</v>
      </c>
      <c r="V188" s="42">
        <f t="shared" si="45"/>
        <v>3183</v>
      </c>
      <c r="W188" s="42">
        <f t="shared" si="46"/>
        <v>49.316801509098106</v>
      </c>
      <c r="X188" s="42">
        <f t="shared" si="47"/>
        <v>0.18825987366070532</v>
      </c>
    </row>
    <row r="189" spans="1:24" x14ac:dyDescent="0.2">
      <c r="A189" s="49">
        <v>187</v>
      </c>
      <c r="B189" s="49">
        <v>188</v>
      </c>
      <c r="C189" s="49">
        <v>6.0600000000000001E-2</v>
      </c>
      <c r="D189" s="49">
        <v>0.46</v>
      </c>
      <c r="E189" s="49">
        <v>0.4627</v>
      </c>
      <c r="F189" s="49">
        <v>0</v>
      </c>
      <c r="G189" s="49">
        <v>11</v>
      </c>
      <c r="H189" s="49">
        <v>11</v>
      </c>
      <c r="I189" s="42">
        <f t="shared" si="32"/>
        <v>77.820800000000091</v>
      </c>
      <c r="J189" s="42">
        <f t="shared" si="33"/>
        <v>0.18397352245862905</v>
      </c>
      <c r="K189" s="42">
        <f t="shared" si="34"/>
        <v>423</v>
      </c>
      <c r="L189" s="42">
        <f t="shared" si="35"/>
        <v>237.4200000000003</v>
      </c>
      <c r="M189" s="42">
        <f t="shared" si="36"/>
        <v>0.56127659574468158</v>
      </c>
      <c r="N189" s="42">
        <f t="shared" si="37"/>
        <v>423</v>
      </c>
      <c r="O189" s="42">
        <f t="shared" si="38"/>
        <v>23489</v>
      </c>
      <c r="P189" s="42">
        <f t="shared" si="39"/>
        <v>55.529550827423165</v>
      </c>
      <c r="Q189" s="42">
        <f t="shared" si="40"/>
        <v>423</v>
      </c>
      <c r="R189" s="42" t="str">
        <f t="shared" si="41"/>
        <v>1</v>
      </c>
      <c r="S189" s="42" t="str">
        <f t="shared" si="42"/>
        <v>8</v>
      </c>
      <c r="T189" s="42">
        <f t="shared" si="43"/>
        <v>3</v>
      </c>
      <c r="U189" s="42">
        <f t="shared" si="44"/>
        <v>89</v>
      </c>
      <c r="V189" s="42">
        <f t="shared" si="45"/>
        <v>3183</v>
      </c>
      <c r="W189" s="42">
        <f t="shared" si="46"/>
        <v>49.316801509098106</v>
      </c>
      <c r="X189" s="42">
        <f t="shared" si="47"/>
        <v>0.18825987366070532</v>
      </c>
    </row>
    <row r="190" spans="1:24" x14ac:dyDescent="0.2">
      <c r="A190" s="49">
        <v>188</v>
      </c>
      <c r="B190" s="49">
        <v>189</v>
      </c>
      <c r="C190" s="49">
        <v>7.5800000000000006E-2</v>
      </c>
      <c r="D190" s="49">
        <v>0.46</v>
      </c>
      <c r="E190" s="49">
        <v>0.41789999999999999</v>
      </c>
      <c r="F190" s="49">
        <v>0</v>
      </c>
      <c r="G190" s="49">
        <v>4</v>
      </c>
      <c r="H190" s="49">
        <v>4</v>
      </c>
      <c r="I190" s="42">
        <f t="shared" si="32"/>
        <v>77.760200000000097</v>
      </c>
      <c r="J190" s="42">
        <f t="shared" si="33"/>
        <v>0.18426587677725143</v>
      </c>
      <c r="K190" s="42">
        <f t="shared" si="34"/>
        <v>422</v>
      </c>
      <c r="L190" s="42">
        <f t="shared" si="35"/>
        <v>236.96000000000029</v>
      </c>
      <c r="M190" s="42">
        <f t="shared" si="36"/>
        <v>0.56151658767772583</v>
      </c>
      <c r="N190" s="42">
        <f t="shared" si="37"/>
        <v>422</v>
      </c>
      <c r="O190" s="42">
        <f t="shared" si="38"/>
        <v>23478</v>
      </c>
      <c r="P190" s="42">
        <f t="shared" si="39"/>
        <v>55.63507109004739</v>
      </c>
      <c r="Q190" s="42">
        <f t="shared" si="40"/>
        <v>422</v>
      </c>
      <c r="R190" s="42" t="str">
        <f t="shared" si="41"/>
        <v>1</v>
      </c>
      <c r="S190" s="42" t="str">
        <f t="shared" si="42"/>
        <v>9</v>
      </c>
      <c r="T190" s="42">
        <f t="shared" si="43"/>
        <v>3</v>
      </c>
      <c r="U190" s="42">
        <f t="shared" si="44"/>
        <v>89</v>
      </c>
      <c r="V190" s="42">
        <f t="shared" si="45"/>
        <v>3183</v>
      </c>
      <c r="W190" s="42">
        <f t="shared" si="46"/>
        <v>49.316801509098106</v>
      </c>
      <c r="X190" s="42">
        <f t="shared" si="47"/>
        <v>0.18825987366070532</v>
      </c>
    </row>
    <row r="191" spans="1:24" x14ac:dyDescent="0.2">
      <c r="A191" s="49">
        <v>189</v>
      </c>
      <c r="B191" s="49">
        <v>190</v>
      </c>
      <c r="C191" s="49">
        <v>9.0899999999999995E-2</v>
      </c>
      <c r="D191" s="49">
        <v>0.53</v>
      </c>
      <c r="E191" s="49">
        <v>0.19400000000000001</v>
      </c>
      <c r="F191" s="49">
        <v>0</v>
      </c>
      <c r="G191" s="49">
        <v>1</v>
      </c>
      <c r="H191" s="49">
        <v>1</v>
      </c>
      <c r="I191" s="42">
        <f t="shared" si="32"/>
        <v>77.684400000000096</v>
      </c>
      <c r="J191" s="42">
        <f t="shared" si="33"/>
        <v>0.18452351543943016</v>
      </c>
      <c r="K191" s="42">
        <f t="shared" si="34"/>
        <v>421</v>
      </c>
      <c r="L191" s="42">
        <f t="shared" si="35"/>
        <v>236.50000000000028</v>
      </c>
      <c r="M191" s="42">
        <f t="shared" si="36"/>
        <v>0.56175771971496502</v>
      </c>
      <c r="N191" s="42">
        <f t="shared" si="37"/>
        <v>421</v>
      </c>
      <c r="O191" s="42">
        <f t="shared" si="38"/>
        <v>23474</v>
      </c>
      <c r="P191" s="42">
        <f t="shared" si="39"/>
        <v>55.757719714964374</v>
      </c>
      <c r="Q191" s="42">
        <f t="shared" si="40"/>
        <v>421</v>
      </c>
      <c r="R191" s="42" t="str">
        <f t="shared" si="41"/>
        <v>1</v>
      </c>
      <c r="S191" s="42" t="str">
        <f t="shared" si="42"/>
        <v>0</v>
      </c>
      <c r="T191" s="42">
        <f t="shared" si="43"/>
        <v>3</v>
      </c>
      <c r="U191" s="42">
        <f t="shared" si="44"/>
        <v>89</v>
      </c>
      <c r="V191" s="42">
        <f t="shared" si="45"/>
        <v>3183</v>
      </c>
      <c r="W191" s="42">
        <f t="shared" si="46"/>
        <v>49.316801509098106</v>
      </c>
      <c r="X191" s="42">
        <f t="shared" si="47"/>
        <v>0.18825987366070532</v>
      </c>
    </row>
    <row r="192" spans="1:24" x14ac:dyDescent="0.2">
      <c r="A192" s="49">
        <v>190</v>
      </c>
      <c r="B192" s="49">
        <v>191</v>
      </c>
      <c r="C192" s="49">
        <v>9.0899999999999995E-2</v>
      </c>
      <c r="D192" s="49">
        <v>0.53</v>
      </c>
      <c r="E192" s="49">
        <v>0.19400000000000001</v>
      </c>
      <c r="F192" s="49">
        <v>0</v>
      </c>
      <c r="G192" s="49">
        <v>1</v>
      </c>
      <c r="H192" s="49">
        <v>1</v>
      </c>
      <c r="I192" s="42">
        <f t="shared" si="32"/>
        <v>77.593500000000091</v>
      </c>
      <c r="J192" s="42">
        <f t="shared" si="33"/>
        <v>0.18474642857142878</v>
      </c>
      <c r="K192" s="42">
        <f t="shared" si="34"/>
        <v>420</v>
      </c>
      <c r="L192" s="42">
        <f t="shared" si="35"/>
        <v>235.97000000000028</v>
      </c>
      <c r="M192" s="42">
        <f t="shared" si="36"/>
        <v>0.56183333333333396</v>
      </c>
      <c r="N192" s="42">
        <f t="shared" si="37"/>
        <v>420</v>
      </c>
      <c r="O192" s="42">
        <f t="shared" si="38"/>
        <v>23473</v>
      </c>
      <c r="P192" s="42">
        <f t="shared" si="39"/>
        <v>55.888095238095239</v>
      </c>
      <c r="Q192" s="42">
        <f t="shared" si="40"/>
        <v>420</v>
      </c>
      <c r="R192" s="42" t="str">
        <f t="shared" si="41"/>
        <v>1</v>
      </c>
      <c r="S192" s="42" t="str">
        <f t="shared" si="42"/>
        <v>1</v>
      </c>
      <c r="T192" s="42">
        <f t="shared" si="43"/>
        <v>3</v>
      </c>
      <c r="U192" s="42">
        <f t="shared" si="44"/>
        <v>89</v>
      </c>
      <c r="V192" s="42">
        <f t="shared" si="45"/>
        <v>3183</v>
      </c>
      <c r="W192" s="42">
        <f t="shared" si="46"/>
        <v>49.316801509098106</v>
      </c>
      <c r="X192" s="42">
        <f t="shared" si="47"/>
        <v>0.18825987366070532</v>
      </c>
    </row>
    <row r="193" spans="1:24" x14ac:dyDescent="0.2">
      <c r="A193" s="49">
        <v>191</v>
      </c>
      <c r="B193" s="49">
        <v>192</v>
      </c>
      <c r="C193" s="49">
        <v>9.0899999999999995E-2</v>
      </c>
      <c r="D193" s="49">
        <v>0.49</v>
      </c>
      <c r="E193" s="49">
        <v>0.28360000000000002</v>
      </c>
      <c r="F193" s="49">
        <v>0</v>
      </c>
      <c r="G193" s="49">
        <v>1</v>
      </c>
      <c r="H193" s="49">
        <v>1</v>
      </c>
      <c r="I193" s="42">
        <f t="shared" si="32"/>
        <v>77.502600000000086</v>
      </c>
      <c r="J193" s="42">
        <f t="shared" si="33"/>
        <v>0.18497040572792384</v>
      </c>
      <c r="K193" s="42">
        <f t="shared" si="34"/>
        <v>419</v>
      </c>
      <c r="L193" s="42">
        <f t="shared" si="35"/>
        <v>235.44000000000031</v>
      </c>
      <c r="M193" s="42">
        <f t="shared" si="36"/>
        <v>0.56190930787589577</v>
      </c>
      <c r="N193" s="42">
        <f t="shared" si="37"/>
        <v>419</v>
      </c>
      <c r="O193" s="42">
        <f t="shared" si="38"/>
        <v>23472</v>
      </c>
      <c r="P193" s="42">
        <f t="shared" si="39"/>
        <v>56.019093078758949</v>
      </c>
      <c r="Q193" s="42">
        <f t="shared" si="40"/>
        <v>419</v>
      </c>
      <c r="R193" s="42" t="str">
        <f t="shared" si="41"/>
        <v>1</v>
      </c>
      <c r="S193" s="42" t="str">
        <f t="shared" si="42"/>
        <v>2</v>
      </c>
      <c r="T193" s="42">
        <f t="shared" si="43"/>
        <v>3</v>
      </c>
      <c r="U193" s="42">
        <f t="shared" si="44"/>
        <v>89</v>
      </c>
      <c r="V193" s="42">
        <f t="shared" si="45"/>
        <v>3183</v>
      </c>
      <c r="W193" s="42">
        <f t="shared" si="46"/>
        <v>49.316801509098106</v>
      </c>
      <c r="X193" s="42">
        <f t="shared" si="47"/>
        <v>0.18825987366070532</v>
      </c>
    </row>
    <row r="194" spans="1:24" x14ac:dyDescent="0.2">
      <c r="A194" s="49">
        <v>192</v>
      </c>
      <c r="B194" s="49">
        <v>193</v>
      </c>
      <c r="C194" s="49">
        <v>9.0899999999999995E-2</v>
      </c>
      <c r="D194" s="49">
        <v>0.53</v>
      </c>
      <c r="E194" s="49">
        <v>0.19400000000000001</v>
      </c>
      <c r="F194" s="49">
        <v>1</v>
      </c>
      <c r="G194" s="49">
        <v>5</v>
      </c>
      <c r="H194" s="49">
        <v>6</v>
      </c>
      <c r="I194" s="42">
        <f t="shared" si="32"/>
        <v>77.411700000000096</v>
      </c>
      <c r="J194" s="42">
        <f t="shared" si="33"/>
        <v>0.18519545454545477</v>
      </c>
      <c r="K194" s="42">
        <f t="shared" si="34"/>
        <v>418</v>
      </c>
      <c r="L194" s="42">
        <f t="shared" si="35"/>
        <v>234.9500000000003</v>
      </c>
      <c r="M194" s="42">
        <f t="shared" si="36"/>
        <v>0.5620813397129194</v>
      </c>
      <c r="N194" s="42">
        <f t="shared" si="37"/>
        <v>418</v>
      </c>
      <c r="O194" s="42">
        <f t="shared" si="38"/>
        <v>23471</v>
      </c>
      <c r="P194" s="42">
        <f t="shared" si="39"/>
        <v>56.150717703349279</v>
      </c>
      <c r="Q194" s="42">
        <f t="shared" si="40"/>
        <v>418</v>
      </c>
      <c r="R194" s="42" t="str">
        <f t="shared" si="41"/>
        <v>1</v>
      </c>
      <c r="S194" s="42" t="str">
        <f t="shared" si="42"/>
        <v>3</v>
      </c>
      <c r="T194" s="42">
        <f t="shared" si="43"/>
        <v>3</v>
      </c>
      <c r="U194" s="42">
        <f t="shared" si="44"/>
        <v>89</v>
      </c>
      <c r="V194" s="42">
        <f t="shared" si="45"/>
        <v>3183</v>
      </c>
      <c r="W194" s="42">
        <f t="shared" si="46"/>
        <v>49.316801509098106</v>
      </c>
      <c r="X194" s="42">
        <f t="shared" si="47"/>
        <v>0.18825987366070532</v>
      </c>
    </row>
    <row r="195" spans="1:24" x14ac:dyDescent="0.2">
      <c r="A195" s="49">
        <v>193</v>
      </c>
      <c r="B195" s="49">
        <v>194</v>
      </c>
      <c r="C195" s="49">
        <v>9.0899999999999995E-2</v>
      </c>
      <c r="D195" s="49">
        <v>0.49</v>
      </c>
      <c r="E195" s="49">
        <v>0.28360000000000002</v>
      </c>
      <c r="F195" s="49">
        <v>0</v>
      </c>
      <c r="G195" s="49">
        <v>10</v>
      </c>
      <c r="H195" s="49">
        <v>10</v>
      </c>
      <c r="I195" s="42">
        <f t="shared" ref="I195:I258" si="48">SUM(C195:C804)</f>
        <v>77.320800000000091</v>
      </c>
      <c r="J195" s="42">
        <f t="shared" ref="J195:J258" si="49">AVERAGE(C195:C804)</f>
        <v>0.18542158273381318</v>
      </c>
      <c r="K195" s="42">
        <f t="shared" ref="K195:K258" si="50">COUNT(C195:C804)</f>
        <v>417</v>
      </c>
      <c r="L195" s="42">
        <f t="shared" ref="L195:L258" si="51">SUM(D195:D804)</f>
        <v>234.4200000000003</v>
      </c>
      <c r="M195" s="42">
        <f t="shared" ref="M195:M258" si="52">AVERAGE(D195:D804)</f>
        <v>0.56215827338129565</v>
      </c>
      <c r="N195" s="42">
        <f t="shared" ref="N195:N258" si="53">COUNT(D195:D804)</f>
        <v>417</v>
      </c>
      <c r="O195" s="42">
        <f t="shared" ref="O195:O258" si="54">SUM(H195:H804)</f>
        <v>23465</v>
      </c>
      <c r="P195" s="42">
        <f t="shared" ref="P195:P258" si="55">AVERAGE(H195:H804)</f>
        <v>56.270983213429254</v>
      </c>
      <c r="Q195" s="42">
        <f t="shared" ref="Q195:Q258" si="56">COUNT(H195:H804)</f>
        <v>417</v>
      </c>
      <c r="R195" s="42" t="str">
        <f t="shared" ref="R195:R258" si="57">LEFT(B195,1)</f>
        <v>1</v>
      </c>
      <c r="S195" s="42" t="str">
        <f t="shared" ref="S195:S258" si="58">RIGHT(B195,1)</f>
        <v>4</v>
      </c>
      <c r="T195" s="42">
        <f t="shared" ref="T195:T258" si="59">LEN(B195)</f>
        <v>3</v>
      </c>
      <c r="U195" s="42">
        <f t="shared" ref="U195:U258" si="60">COUNTIF(H:H,"&gt;100")</f>
        <v>89</v>
      </c>
      <c r="V195" s="42">
        <f t="shared" ref="V195:V258" si="61">SUMIF(D:D,"&gt;0.8",H:H)</f>
        <v>3183</v>
      </c>
      <c r="W195" s="42">
        <f t="shared" ref="W195:W258" si="62">STDEV(H:H)</f>
        <v>49.316801509098106</v>
      </c>
      <c r="X195" s="42">
        <f t="shared" ref="X195:X258" si="63">CORREL(C:C,H:H)</f>
        <v>0.18825987366070532</v>
      </c>
    </row>
    <row r="196" spans="1:24" x14ac:dyDescent="0.2">
      <c r="A196" s="49">
        <v>194</v>
      </c>
      <c r="B196" s="49">
        <v>195</v>
      </c>
      <c r="C196" s="49">
        <v>7.5800000000000006E-2</v>
      </c>
      <c r="D196" s="49">
        <v>0.46</v>
      </c>
      <c r="E196" s="49">
        <v>0.52239999999999998</v>
      </c>
      <c r="F196" s="49">
        <v>0</v>
      </c>
      <c r="G196" s="49">
        <v>19</v>
      </c>
      <c r="H196" s="49">
        <v>19</v>
      </c>
      <c r="I196" s="42">
        <f t="shared" si="48"/>
        <v>77.229900000000086</v>
      </c>
      <c r="J196" s="42">
        <f t="shared" si="49"/>
        <v>0.18564879807692328</v>
      </c>
      <c r="K196" s="42">
        <f t="shared" si="50"/>
        <v>416</v>
      </c>
      <c r="L196" s="42">
        <f t="shared" si="51"/>
        <v>233.93000000000029</v>
      </c>
      <c r="M196" s="42">
        <f t="shared" si="52"/>
        <v>0.56233173076923149</v>
      </c>
      <c r="N196" s="42">
        <f t="shared" si="53"/>
        <v>416</v>
      </c>
      <c r="O196" s="42">
        <f t="shared" si="54"/>
        <v>23455</v>
      </c>
      <c r="P196" s="42">
        <f t="shared" si="55"/>
        <v>56.38221153846154</v>
      </c>
      <c r="Q196" s="42">
        <f t="shared" si="56"/>
        <v>416</v>
      </c>
      <c r="R196" s="42" t="str">
        <f t="shared" si="57"/>
        <v>1</v>
      </c>
      <c r="S196" s="42" t="str">
        <f t="shared" si="58"/>
        <v>5</v>
      </c>
      <c r="T196" s="42">
        <f t="shared" si="59"/>
        <v>3</v>
      </c>
      <c r="U196" s="42">
        <f t="shared" si="60"/>
        <v>89</v>
      </c>
      <c r="V196" s="42">
        <f t="shared" si="61"/>
        <v>3183</v>
      </c>
      <c r="W196" s="42">
        <f t="shared" si="62"/>
        <v>49.316801509098106</v>
      </c>
      <c r="X196" s="42">
        <f t="shared" si="63"/>
        <v>0.18825987366070532</v>
      </c>
    </row>
    <row r="197" spans="1:24" x14ac:dyDescent="0.2">
      <c r="A197" s="49">
        <v>195</v>
      </c>
      <c r="B197" s="49">
        <v>196</v>
      </c>
      <c r="C197" s="49">
        <v>0.1061</v>
      </c>
      <c r="D197" s="49">
        <v>0.43</v>
      </c>
      <c r="E197" s="49">
        <v>0.3881</v>
      </c>
      <c r="F197" s="49">
        <v>0</v>
      </c>
      <c r="G197" s="49">
        <v>49</v>
      </c>
      <c r="H197" s="49">
        <v>49</v>
      </c>
      <c r="I197" s="42">
        <f t="shared" si="48"/>
        <v>77.154100000000085</v>
      </c>
      <c r="J197" s="42">
        <f t="shared" si="49"/>
        <v>0.18591349397590382</v>
      </c>
      <c r="K197" s="42">
        <f t="shared" si="50"/>
        <v>415</v>
      </c>
      <c r="L197" s="42">
        <f t="shared" si="51"/>
        <v>233.47000000000028</v>
      </c>
      <c r="M197" s="42">
        <f t="shared" si="52"/>
        <v>0.56257831325301277</v>
      </c>
      <c r="N197" s="42">
        <f t="shared" si="53"/>
        <v>415</v>
      </c>
      <c r="O197" s="42">
        <f t="shared" si="54"/>
        <v>23436</v>
      </c>
      <c r="P197" s="42">
        <f t="shared" si="55"/>
        <v>56.472289156626509</v>
      </c>
      <c r="Q197" s="42">
        <f t="shared" si="56"/>
        <v>415</v>
      </c>
      <c r="R197" s="42" t="str">
        <f t="shared" si="57"/>
        <v>1</v>
      </c>
      <c r="S197" s="42" t="str">
        <f t="shared" si="58"/>
        <v>6</v>
      </c>
      <c r="T197" s="42">
        <f t="shared" si="59"/>
        <v>3</v>
      </c>
      <c r="U197" s="42">
        <f t="shared" si="60"/>
        <v>89</v>
      </c>
      <c r="V197" s="42">
        <f t="shared" si="61"/>
        <v>3183</v>
      </c>
      <c r="W197" s="42">
        <f t="shared" si="62"/>
        <v>49.316801509098106</v>
      </c>
      <c r="X197" s="42">
        <f t="shared" si="63"/>
        <v>0.18825987366070532</v>
      </c>
    </row>
    <row r="198" spans="1:24" x14ac:dyDescent="0.2">
      <c r="A198" s="49">
        <v>196</v>
      </c>
      <c r="B198" s="49">
        <v>197</v>
      </c>
      <c r="C198" s="49">
        <v>0.1212</v>
      </c>
      <c r="D198" s="49">
        <v>0.4</v>
      </c>
      <c r="E198" s="49">
        <v>0.52239999999999998</v>
      </c>
      <c r="F198" s="49">
        <v>2</v>
      </c>
      <c r="G198" s="49">
        <v>47</v>
      </c>
      <c r="H198" s="49">
        <v>49</v>
      </c>
      <c r="I198" s="42">
        <f t="shared" si="48"/>
        <v>77.048000000000073</v>
      </c>
      <c r="J198" s="42">
        <f t="shared" si="49"/>
        <v>0.18610628019323688</v>
      </c>
      <c r="K198" s="42">
        <f t="shared" si="50"/>
        <v>414</v>
      </c>
      <c r="L198" s="42">
        <f t="shared" si="51"/>
        <v>233.0400000000003</v>
      </c>
      <c r="M198" s="42">
        <f t="shared" si="52"/>
        <v>0.56289855072463846</v>
      </c>
      <c r="N198" s="42">
        <f t="shared" si="53"/>
        <v>414</v>
      </c>
      <c r="O198" s="42">
        <f t="shared" si="54"/>
        <v>23387</v>
      </c>
      <c r="P198" s="42">
        <f t="shared" si="55"/>
        <v>56.490338164251206</v>
      </c>
      <c r="Q198" s="42">
        <f t="shared" si="56"/>
        <v>414</v>
      </c>
      <c r="R198" s="42" t="str">
        <f t="shared" si="57"/>
        <v>1</v>
      </c>
      <c r="S198" s="42" t="str">
        <f t="shared" si="58"/>
        <v>7</v>
      </c>
      <c r="T198" s="42">
        <f t="shared" si="59"/>
        <v>3</v>
      </c>
      <c r="U198" s="42">
        <f t="shared" si="60"/>
        <v>89</v>
      </c>
      <c r="V198" s="42">
        <f t="shared" si="61"/>
        <v>3183</v>
      </c>
      <c r="W198" s="42">
        <f t="shared" si="62"/>
        <v>49.316801509098106</v>
      </c>
      <c r="X198" s="42">
        <f t="shared" si="63"/>
        <v>0.18825987366070532</v>
      </c>
    </row>
    <row r="199" spans="1:24" x14ac:dyDescent="0.2">
      <c r="A199" s="49">
        <v>197</v>
      </c>
      <c r="B199" s="49">
        <v>198</v>
      </c>
      <c r="C199" s="49">
        <v>0.13639999999999999</v>
      </c>
      <c r="D199" s="49">
        <v>0.37</v>
      </c>
      <c r="E199" s="49">
        <v>0.44779999999999998</v>
      </c>
      <c r="F199" s="49">
        <v>4</v>
      </c>
      <c r="G199" s="49">
        <v>79</v>
      </c>
      <c r="H199" s="49">
        <v>83</v>
      </c>
      <c r="I199" s="42">
        <f t="shared" si="48"/>
        <v>76.926800000000085</v>
      </c>
      <c r="J199" s="42">
        <f t="shared" si="49"/>
        <v>0.18626343825665881</v>
      </c>
      <c r="K199" s="42">
        <f t="shared" si="50"/>
        <v>413</v>
      </c>
      <c r="L199" s="42">
        <f t="shared" si="51"/>
        <v>232.6400000000003</v>
      </c>
      <c r="M199" s="42">
        <f t="shared" si="52"/>
        <v>0.56329297820823321</v>
      </c>
      <c r="N199" s="42">
        <f t="shared" si="53"/>
        <v>413</v>
      </c>
      <c r="O199" s="42">
        <f t="shared" si="54"/>
        <v>23338</v>
      </c>
      <c r="P199" s="42">
        <f t="shared" si="55"/>
        <v>56.508474576271183</v>
      </c>
      <c r="Q199" s="42">
        <f t="shared" si="56"/>
        <v>413</v>
      </c>
      <c r="R199" s="42" t="str">
        <f t="shared" si="57"/>
        <v>1</v>
      </c>
      <c r="S199" s="42" t="str">
        <f t="shared" si="58"/>
        <v>8</v>
      </c>
      <c r="T199" s="42">
        <f t="shared" si="59"/>
        <v>3</v>
      </c>
      <c r="U199" s="42">
        <f t="shared" si="60"/>
        <v>89</v>
      </c>
      <c r="V199" s="42">
        <f t="shared" si="61"/>
        <v>3183</v>
      </c>
      <c r="W199" s="42">
        <f t="shared" si="62"/>
        <v>49.316801509098106</v>
      </c>
      <c r="X199" s="42">
        <f t="shared" si="63"/>
        <v>0.18825987366070532</v>
      </c>
    </row>
    <row r="200" spans="1:24" x14ac:dyDescent="0.2">
      <c r="A200" s="49">
        <v>198</v>
      </c>
      <c r="B200" s="49">
        <v>199</v>
      </c>
      <c r="C200" s="49">
        <v>0.16669999999999999</v>
      </c>
      <c r="D200" s="49">
        <v>0.34</v>
      </c>
      <c r="E200" s="49">
        <v>0.44779999999999998</v>
      </c>
      <c r="F200" s="49">
        <v>6</v>
      </c>
      <c r="G200" s="49">
        <v>69</v>
      </c>
      <c r="H200" s="49">
        <v>75</v>
      </c>
      <c r="I200" s="42">
        <f t="shared" si="48"/>
        <v>76.790400000000091</v>
      </c>
      <c r="J200" s="42">
        <f t="shared" si="49"/>
        <v>0.18638446601941769</v>
      </c>
      <c r="K200" s="42">
        <f t="shared" si="50"/>
        <v>412</v>
      </c>
      <c r="L200" s="42">
        <f t="shared" si="51"/>
        <v>232.27000000000029</v>
      </c>
      <c r="M200" s="42">
        <f t="shared" si="52"/>
        <v>0.56376213592233082</v>
      </c>
      <c r="N200" s="42">
        <f t="shared" si="53"/>
        <v>412</v>
      </c>
      <c r="O200" s="42">
        <f t="shared" si="54"/>
        <v>23255</v>
      </c>
      <c r="P200" s="42">
        <f t="shared" si="55"/>
        <v>56.444174757281552</v>
      </c>
      <c r="Q200" s="42">
        <f t="shared" si="56"/>
        <v>412</v>
      </c>
      <c r="R200" s="42" t="str">
        <f t="shared" si="57"/>
        <v>1</v>
      </c>
      <c r="S200" s="42" t="str">
        <f t="shared" si="58"/>
        <v>9</v>
      </c>
      <c r="T200" s="42">
        <f t="shared" si="59"/>
        <v>3</v>
      </c>
      <c r="U200" s="42">
        <f t="shared" si="60"/>
        <v>89</v>
      </c>
      <c r="V200" s="42">
        <f t="shared" si="61"/>
        <v>3183</v>
      </c>
      <c r="W200" s="42">
        <f t="shared" si="62"/>
        <v>49.316801509098106</v>
      </c>
      <c r="X200" s="42">
        <f t="shared" si="63"/>
        <v>0.18825987366070532</v>
      </c>
    </row>
    <row r="201" spans="1:24" x14ac:dyDescent="0.2">
      <c r="A201" s="49">
        <v>199</v>
      </c>
      <c r="B201" s="49">
        <v>200</v>
      </c>
      <c r="C201" s="49">
        <v>0.18179999999999999</v>
      </c>
      <c r="D201" s="49">
        <v>0.32</v>
      </c>
      <c r="E201" s="49">
        <v>0.4627</v>
      </c>
      <c r="F201" s="49">
        <v>8</v>
      </c>
      <c r="G201" s="49">
        <v>64</v>
      </c>
      <c r="H201" s="49">
        <v>72</v>
      </c>
      <c r="I201" s="42">
        <f t="shared" si="48"/>
        <v>76.623700000000099</v>
      </c>
      <c r="J201" s="42">
        <f t="shared" si="49"/>
        <v>0.18643236009732383</v>
      </c>
      <c r="K201" s="42">
        <f t="shared" si="50"/>
        <v>411</v>
      </c>
      <c r="L201" s="42">
        <f t="shared" si="51"/>
        <v>231.93000000000029</v>
      </c>
      <c r="M201" s="42">
        <f t="shared" si="52"/>
        <v>0.56430656934306644</v>
      </c>
      <c r="N201" s="42">
        <f t="shared" si="53"/>
        <v>411</v>
      </c>
      <c r="O201" s="42">
        <f t="shared" si="54"/>
        <v>23180</v>
      </c>
      <c r="P201" s="42">
        <f t="shared" si="55"/>
        <v>56.399026763990271</v>
      </c>
      <c r="Q201" s="42">
        <f t="shared" si="56"/>
        <v>411</v>
      </c>
      <c r="R201" s="42" t="str">
        <f t="shared" si="57"/>
        <v>2</v>
      </c>
      <c r="S201" s="42" t="str">
        <f t="shared" si="58"/>
        <v>0</v>
      </c>
      <c r="T201" s="42">
        <f t="shared" si="59"/>
        <v>3</v>
      </c>
      <c r="U201" s="42">
        <f t="shared" si="60"/>
        <v>89</v>
      </c>
      <c r="V201" s="42">
        <f t="shared" si="61"/>
        <v>3183</v>
      </c>
      <c r="W201" s="42">
        <f t="shared" si="62"/>
        <v>49.316801509098106</v>
      </c>
      <c r="X201" s="42">
        <f t="shared" si="63"/>
        <v>0.18825987366070532</v>
      </c>
    </row>
    <row r="202" spans="1:24" x14ac:dyDescent="0.2">
      <c r="A202" s="49">
        <v>200</v>
      </c>
      <c r="B202" s="49">
        <v>201</v>
      </c>
      <c r="C202" s="49">
        <v>0.19700000000000001</v>
      </c>
      <c r="D202" s="49">
        <v>0.35</v>
      </c>
      <c r="E202" s="49">
        <v>0.35820000000000002</v>
      </c>
      <c r="F202" s="49">
        <v>5</v>
      </c>
      <c r="G202" s="49">
        <v>77</v>
      </c>
      <c r="H202" s="49">
        <v>82</v>
      </c>
      <c r="I202" s="42">
        <f t="shared" si="48"/>
        <v>76.441900000000089</v>
      </c>
      <c r="J202" s="42">
        <f t="shared" si="49"/>
        <v>0.18644365853658559</v>
      </c>
      <c r="K202" s="42">
        <f t="shared" si="50"/>
        <v>410</v>
      </c>
      <c r="L202" s="42">
        <f t="shared" si="51"/>
        <v>231.61000000000027</v>
      </c>
      <c r="M202" s="42">
        <f t="shared" si="52"/>
        <v>0.56490243902439086</v>
      </c>
      <c r="N202" s="42">
        <f t="shared" si="53"/>
        <v>410</v>
      </c>
      <c r="O202" s="42">
        <f t="shared" si="54"/>
        <v>23108</v>
      </c>
      <c r="P202" s="42">
        <f t="shared" si="55"/>
        <v>56.360975609756096</v>
      </c>
      <c r="Q202" s="42">
        <f t="shared" si="56"/>
        <v>410</v>
      </c>
      <c r="R202" s="42" t="str">
        <f t="shared" si="57"/>
        <v>2</v>
      </c>
      <c r="S202" s="42" t="str">
        <f t="shared" si="58"/>
        <v>1</v>
      </c>
      <c r="T202" s="42">
        <f t="shared" si="59"/>
        <v>3</v>
      </c>
      <c r="U202" s="42">
        <f t="shared" si="60"/>
        <v>89</v>
      </c>
      <c r="V202" s="42">
        <f t="shared" si="61"/>
        <v>3183</v>
      </c>
      <c r="W202" s="42">
        <f t="shared" si="62"/>
        <v>49.316801509098106</v>
      </c>
      <c r="X202" s="42">
        <f t="shared" si="63"/>
        <v>0.18825987366070532</v>
      </c>
    </row>
    <row r="203" spans="1:24" x14ac:dyDescent="0.2">
      <c r="A203" s="49">
        <v>201</v>
      </c>
      <c r="B203" s="49">
        <v>202</v>
      </c>
      <c r="C203" s="49">
        <v>0.16669999999999999</v>
      </c>
      <c r="D203" s="49">
        <v>0.34</v>
      </c>
      <c r="E203" s="49">
        <v>0.44779999999999998</v>
      </c>
      <c r="F203" s="49">
        <v>13</v>
      </c>
      <c r="G203" s="49">
        <v>79</v>
      </c>
      <c r="H203" s="49">
        <v>92</v>
      </c>
      <c r="I203" s="42">
        <f t="shared" si="48"/>
        <v>76.244900000000101</v>
      </c>
      <c r="J203" s="42">
        <f t="shared" si="49"/>
        <v>0.1864178484107582</v>
      </c>
      <c r="K203" s="42">
        <f t="shared" si="50"/>
        <v>409</v>
      </c>
      <c r="L203" s="42">
        <f t="shared" si="51"/>
        <v>231.26000000000028</v>
      </c>
      <c r="M203" s="42">
        <f t="shared" si="52"/>
        <v>0.56542787286063634</v>
      </c>
      <c r="N203" s="42">
        <f t="shared" si="53"/>
        <v>409</v>
      </c>
      <c r="O203" s="42">
        <f t="shared" si="54"/>
        <v>23026</v>
      </c>
      <c r="P203" s="42">
        <f t="shared" si="55"/>
        <v>56.298288508557455</v>
      </c>
      <c r="Q203" s="42">
        <f t="shared" si="56"/>
        <v>409</v>
      </c>
      <c r="R203" s="42" t="str">
        <f t="shared" si="57"/>
        <v>2</v>
      </c>
      <c r="S203" s="42" t="str">
        <f t="shared" si="58"/>
        <v>2</v>
      </c>
      <c r="T203" s="42">
        <f t="shared" si="59"/>
        <v>3</v>
      </c>
      <c r="U203" s="42">
        <f t="shared" si="60"/>
        <v>89</v>
      </c>
      <c r="V203" s="42">
        <f t="shared" si="61"/>
        <v>3183</v>
      </c>
      <c r="W203" s="42">
        <f t="shared" si="62"/>
        <v>49.316801509098106</v>
      </c>
      <c r="X203" s="42">
        <f t="shared" si="63"/>
        <v>0.18825987366070532</v>
      </c>
    </row>
    <row r="204" spans="1:24" x14ac:dyDescent="0.2">
      <c r="A204" s="49">
        <v>202</v>
      </c>
      <c r="B204" s="49">
        <v>203</v>
      </c>
      <c r="C204" s="49">
        <v>0.1515</v>
      </c>
      <c r="D204" s="49">
        <v>0.37</v>
      </c>
      <c r="E204" s="49">
        <v>0.3881</v>
      </c>
      <c r="F204" s="49">
        <v>3</v>
      </c>
      <c r="G204" s="49">
        <v>59</v>
      </c>
      <c r="H204" s="49">
        <v>62</v>
      </c>
      <c r="I204" s="42">
        <f t="shared" si="48"/>
        <v>76.078200000000095</v>
      </c>
      <c r="J204" s="42">
        <f t="shared" si="49"/>
        <v>0.18646617647058847</v>
      </c>
      <c r="K204" s="42">
        <f t="shared" si="50"/>
        <v>408</v>
      </c>
      <c r="L204" s="42">
        <f t="shared" si="51"/>
        <v>230.92000000000027</v>
      </c>
      <c r="M204" s="42">
        <f t="shared" si="52"/>
        <v>0.56598039215686347</v>
      </c>
      <c r="N204" s="42">
        <f t="shared" si="53"/>
        <v>408</v>
      </c>
      <c r="O204" s="42">
        <f t="shared" si="54"/>
        <v>22934</v>
      </c>
      <c r="P204" s="42">
        <f t="shared" si="55"/>
        <v>56.21078431372549</v>
      </c>
      <c r="Q204" s="42">
        <f t="shared" si="56"/>
        <v>408</v>
      </c>
      <c r="R204" s="42" t="str">
        <f t="shared" si="57"/>
        <v>2</v>
      </c>
      <c r="S204" s="42" t="str">
        <f t="shared" si="58"/>
        <v>3</v>
      </c>
      <c r="T204" s="42">
        <f t="shared" si="59"/>
        <v>3</v>
      </c>
      <c r="U204" s="42">
        <f t="shared" si="60"/>
        <v>89</v>
      </c>
      <c r="V204" s="42">
        <f t="shared" si="61"/>
        <v>3183</v>
      </c>
      <c r="W204" s="42">
        <f t="shared" si="62"/>
        <v>49.316801509098106</v>
      </c>
      <c r="X204" s="42">
        <f t="shared" si="63"/>
        <v>0.18825987366070532</v>
      </c>
    </row>
    <row r="205" spans="1:24" x14ac:dyDescent="0.2">
      <c r="A205" s="49">
        <v>203</v>
      </c>
      <c r="B205" s="49">
        <v>204</v>
      </c>
      <c r="C205" s="49">
        <v>0.13639999999999999</v>
      </c>
      <c r="D205" s="49">
        <v>0.4</v>
      </c>
      <c r="E205" s="49">
        <v>0.32840000000000003</v>
      </c>
      <c r="F205" s="49">
        <v>4</v>
      </c>
      <c r="G205" s="49">
        <v>44</v>
      </c>
      <c r="H205" s="49">
        <v>48</v>
      </c>
      <c r="I205" s="42">
        <f t="shared" si="48"/>
        <v>75.926700000000082</v>
      </c>
      <c r="J205" s="42">
        <f t="shared" si="49"/>
        <v>0.18655208845208865</v>
      </c>
      <c r="K205" s="42">
        <f t="shared" si="50"/>
        <v>407</v>
      </c>
      <c r="L205" s="42">
        <f t="shared" si="51"/>
        <v>230.55000000000027</v>
      </c>
      <c r="M205" s="42">
        <f t="shared" si="52"/>
        <v>0.56646191646191713</v>
      </c>
      <c r="N205" s="42">
        <f t="shared" si="53"/>
        <v>407</v>
      </c>
      <c r="O205" s="42">
        <f t="shared" si="54"/>
        <v>22872</v>
      </c>
      <c r="P205" s="42">
        <f t="shared" si="55"/>
        <v>56.196560196560199</v>
      </c>
      <c r="Q205" s="42">
        <f t="shared" si="56"/>
        <v>407</v>
      </c>
      <c r="R205" s="42" t="str">
        <f t="shared" si="57"/>
        <v>2</v>
      </c>
      <c r="S205" s="42" t="str">
        <f t="shared" si="58"/>
        <v>4</v>
      </c>
      <c r="T205" s="42">
        <f t="shared" si="59"/>
        <v>3</v>
      </c>
      <c r="U205" s="42">
        <f t="shared" si="60"/>
        <v>89</v>
      </c>
      <c r="V205" s="42">
        <f t="shared" si="61"/>
        <v>3183</v>
      </c>
      <c r="W205" s="42">
        <f t="shared" si="62"/>
        <v>49.316801509098106</v>
      </c>
      <c r="X205" s="42">
        <f t="shared" si="63"/>
        <v>0.18825987366070532</v>
      </c>
    </row>
    <row r="206" spans="1:24" x14ac:dyDescent="0.2">
      <c r="A206" s="49">
        <v>204</v>
      </c>
      <c r="B206" s="49">
        <v>205</v>
      </c>
      <c r="C206" s="49">
        <v>0.13639999999999999</v>
      </c>
      <c r="D206" s="49">
        <v>0.43</v>
      </c>
      <c r="E206" s="49">
        <v>0.32840000000000003</v>
      </c>
      <c r="F206" s="49">
        <v>1</v>
      </c>
      <c r="G206" s="49">
        <v>40</v>
      </c>
      <c r="H206" s="49">
        <v>41</v>
      </c>
      <c r="I206" s="42">
        <f t="shared" si="48"/>
        <v>75.790300000000087</v>
      </c>
      <c r="J206" s="42">
        <f t="shared" si="49"/>
        <v>0.18667561576354702</v>
      </c>
      <c r="K206" s="42">
        <f t="shared" si="50"/>
        <v>406</v>
      </c>
      <c r="L206" s="42">
        <f t="shared" si="51"/>
        <v>230.15000000000026</v>
      </c>
      <c r="M206" s="42">
        <f t="shared" si="52"/>
        <v>0.5668719211822667</v>
      </c>
      <c r="N206" s="42">
        <f t="shared" si="53"/>
        <v>406</v>
      </c>
      <c r="O206" s="42">
        <f t="shared" si="54"/>
        <v>22824</v>
      </c>
      <c r="P206" s="42">
        <f t="shared" si="55"/>
        <v>56.216748768472904</v>
      </c>
      <c r="Q206" s="42">
        <f t="shared" si="56"/>
        <v>406</v>
      </c>
      <c r="R206" s="42" t="str">
        <f t="shared" si="57"/>
        <v>2</v>
      </c>
      <c r="S206" s="42" t="str">
        <f t="shared" si="58"/>
        <v>5</v>
      </c>
      <c r="T206" s="42">
        <f t="shared" si="59"/>
        <v>3</v>
      </c>
      <c r="U206" s="42">
        <f t="shared" si="60"/>
        <v>89</v>
      </c>
      <c r="V206" s="42">
        <f t="shared" si="61"/>
        <v>3183</v>
      </c>
      <c r="W206" s="42">
        <f t="shared" si="62"/>
        <v>49.316801509098106</v>
      </c>
      <c r="X206" s="42">
        <f t="shared" si="63"/>
        <v>0.18825987366070532</v>
      </c>
    </row>
    <row r="207" spans="1:24" x14ac:dyDescent="0.2">
      <c r="A207" s="49">
        <v>205</v>
      </c>
      <c r="B207" s="49">
        <v>206</v>
      </c>
      <c r="C207" s="49">
        <v>0.1212</v>
      </c>
      <c r="D207" s="49">
        <v>0.46</v>
      </c>
      <c r="E207" s="49">
        <v>0.25369999999999998</v>
      </c>
      <c r="F207" s="49">
        <v>0</v>
      </c>
      <c r="G207" s="49">
        <v>38</v>
      </c>
      <c r="H207" s="49">
        <v>38</v>
      </c>
      <c r="I207" s="42">
        <f t="shared" si="48"/>
        <v>75.653900000000093</v>
      </c>
      <c r="J207" s="42">
        <f t="shared" si="49"/>
        <v>0.18679975308642</v>
      </c>
      <c r="K207" s="42">
        <f t="shared" si="50"/>
        <v>405</v>
      </c>
      <c r="L207" s="42">
        <f t="shared" si="51"/>
        <v>229.72000000000025</v>
      </c>
      <c r="M207" s="42">
        <f t="shared" si="52"/>
        <v>0.56720987654321053</v>
      </c>
      <c r="N207" s="42">
        <f t="shared" si="53"/>
        <v>405</v>
      </c>
      <c r="O207" s="42">
        <f t="shared" si="54"/>
        <v>22783</v>
      </c>
      <c r="P207" s="42">
        <f t="shared" si="55"/>
        <v>56.254320987654324</v>
      </c>
      <c r="Q207" s="42">
        <f t="shared" si="56"/>
        <v>405</v>
      </c>
      <c r="R207" s="42" t="str">
        <f t="shared" si="57"/>
        <v>2</v>
      </c>
      <c r="S207" s="42" t="str">
        <f t="shared" si="58"/>
        <v>6</v>
      </c>
      <c r="T207" s="42">
        <f t="shared" si="59"/>
        <v>3</v>
      </c>
      <c r="U207" s="42">
        <f t="shared" si="60"/>
        <v>89</v>
      </c>
      <c r="V207" s="42">
        <f t="shared" si="61"/>
        <v>3183</v>
      </c>
      <c r="W207" s="42">
        <f t="shared" si="62"/>
        <v>49.316801509098106</v>
      </c>
      <c r="X207" s="42">
        <f t="shared" si="63"/>
        <v>0.18825987366070532</v>
      </c>
    </row>
    <row r="208" spans="1:24" x14ac:dyDescent="0.2">
      <c r="A208" s="49">
        <v>206</v>
      </c>
      <c r="B208" s="49">
        <v>207</v>
      </c>
      <c r="C208" s="49">
        <v>0.1061</v>
      </c>
      <c r="D208" s="49">
        <v>0.46</v>
      </c>
      <c r="E208" s="49">
        <v>0.41789999999999999</v>
      </c>
      <c r="F208" s="49">
        <v>1</v>
      </c>
      <c r="G208" s="49">
        <v>19</v>
      </c>
      <c r="H208" s="49">
        <v>20</v>
      </c>
      <c r="I208" s="42">
        <f t="shared" si="48"/>
        <v>75.532700000000091</v>
      </c>
      <c r="J208" s="42">
        <f t="shared" si="49"/>
        <v>0.18696212871287152</v>
      </c>
      <c r="K208" s="42">
        <f t="shared" si="50"/>
        <v>404</v>
      </c>
      <c r="L208" s="42">
        <f t="shared" si="51"/>
        <v>229.26000000000025</v>
      </c>
      <c r="M208" s="42">
        <f t="shared" si="52"/>
        <v>0.56747524752475309</v>
      </c>
      <c r="N208" s="42">
        <f t="shared" si="53"/>
        <v>404</v>
      </c>
      <c r="O208" s="42">
        <f t="shared" si="54"/>
        <v>22745</v>
      </c>
      <c r="P208" s="42">
        <f t="shared" si="55"/>
        <v>56.299504950495049</v>
      </c>
      <c r="Q208" s="42">
        <f t="shared" si="56"/>
        <v>404</v>
      </c>
      <c r="R208" s="42" t="str">
        <f t="shared" si="57"/>
        <v>2</v>
      </c>
      <c r="S208" s="42" t="str">
        <f t="shared" si="58"/>
        <v>7</v>
      </c>
      <c r="T208" s="42">
        <f t="shared" si="59"/>
        <v>3</v>
      </c>
      <c r="U208" s="42">
        <f t="shared" si="60"/>
        <v>89</v>
      </c>
      <c r="V208" s="42">
        <f t="shared" si="61"/>
        <v>3183</v>
      </c>
      <c r="W208" s="42">
        <f t="shared" si="62"/>
        <v>49.316801509098106</v>
      </c>
      <c r="X208" s="42">
        <f t="shared" si="63"/>
        <v>0.18825987366070532</v>
      </c>
    </row>
    <row r="209" spans="1:24" x14ac:dyDescent="0.2">
      <c r="A209" s="49">
        <v>207</v>
      </c>
      <c r="B209" s="49">
        <v>208</v>
      </c>
      <c r="C209" s="49">
        <v>0.1212</v>
      </c>
      <c r="D209" s="49">
        <v>0.46</v>
      </c>
      <c r="E209" s="49">
        <v>0.29849999999999999</v>
      </c>
      <c r="F209" s="49">
        <v>5</v>
      </c>
      <c r="G209" s="49">
        <v>10</v>
      </c>
      <c r="H209" s="49">
        <v>15</v>
      </c>
      <c r="I209" s="42">
        <f t="shared" si="48"/>
        <v>75.426600000000093</v>
      </c>
      <c r="J209" s="42">
        <f t="shared" si="49"/>
        <v>0.18716277915632779</v>
      </c>
      <c r="K209" s="42">
        <f t="shared" si="50"/>
        <v>403</v>
      </c>
      <c r="L209" s="42">
        <f t="shared" si="51"/>
        <v>228.80000000000021</v>
      </c>
      <c r="M209" s="42">
        <f t="shared" si="52"/>
        <v>0.56774193548387153</v>
      </c>
      <c r="N209" s="42">
        <f t="shared" si="53"/>
        <v>403</v>
      </c>
      <c r="O209" s="42">
        <f t="shared" si="54"/>
        <v>22725</v>
      </c>
      <c r="P209" s="42">
        <f t="shared" si="55"/>
        <v>56.389578163771709</v>
      </c>
      <c r="Q209" s="42">
        <f t="shared" si="56"/>
        <v>403</v>
      </c>
      <c r="R209" s="42" t="str">
        <f t="shared" si="57"/>
        <v>2</v>
      </c>
      <c r="S209" s="42" t="str">
        <f t="shared" si="58"/>
        <v>8</v>
      </c>
      <c r="T209" s="42">
        <f t="shared" si="59"/>
        <v>3</v>
      </c>
      <c r="U209" s="42">
        <f t="shared" si="60"/>
        <v>89</v>
      </c>
      <c r="V209" s="42">
        <f t="shared" si="61"/>
        <v>3183</v>
      </c>
      <c r="W209" s="42">
        <f t="shared" si="62"/>
        <v>49.316801509098106</v>
      </c>
      <c r="X209" s="42">
        <f t="shared" si="63"/>
        <v>0.18825987366070532</v>
      </c>
    </row>
    <row r="210" spans="1:24" x14ac:dyDescent="0.2">
      <c r="A210" s="49">
        <v>208</v>
      </c>
      <c r="B210" s="49">
        <v>209</v>
      </c>
      <c r="C210" s="49">
        <v>0.13639999999999999</v>
      </c>
      <c r="D210" s="49">
        <v>0.5</v>
      </c>
      <c r="E210" s="49">
        <v>0.19400000000000001</v>
      </c>
      <c r="F210" s="49">
        <v>0</v>
      </c>
      <c r="G210" s="49">
        <v>6</v>
      </c>
      <c r="H210" s="49">
        <v>6</v>
      </c>
      <c r="I210" s="42">
        <f t="shared" si="48"/>
        <v>75.305400000000091</v>
      </c>
      <c r="J210" s="42">
        <f t="shared" si="49"/>
        <v>0.18732686567164203</v>
      </c>
      <c r="K210" s="42">
        <f t="shared" si="50"/>
        <v>402</v>
      </c>
      <c r="L210" s="42">
        <f t="shared" si="51"/>
        <v>228.3400000000002</v>
      </c>
      <c r="M210" s="42">
        <f t="shared" si="52"/>
        <v>0.56800995024875667</v>
      </c>
      <c r="N210" s="42">
        <f t="shared" si="53"/>
        <v>402</v>
      </c>
      <c r="O210" s="42">
        <f t="shared" si="54"/>
        <v>22710</v>
      </c>
      <c r="P210" s="42">
        <f t="shared" si="55"/>
        <v>56.492537313432834</v>
      </c>
      <c r="Q210" s="42">
        <f t="shared" si="56"/>
        <v>402</v>
      </c>
      <c r="R210" s="42" t="str">
        <f t="shared" si="57"/>
        <v>2</v>
      </c>
      <c r="S210" s="42" t="str">
        <f t="shared" si="58"/>
        <v>9</v>
      </c>
      <c r="T210" s="42">
        <f t="shared" si="59"/>
        <v>3</v>
      </c>
      <c r="U210" s="42">
        <f t="shared" si="60"/>
        <v>89</v>
      </c>
      <c r="V210" s="42">
        <f t="shared" si="61"/>
        <v>3183</v>
      </c>
      <c r="W210" s="42">
        <f t="shared" si="62"/>
        <v>49.316801509098106</v>
      </c>
      <c r="X210" s="42">
        <f t="shared" si="63"/>
        <v>0.18825987366070532</v>
      </c>
    </row>
    <row r="211" spans="1:24" x14ac:dyDescent="0.2">
      <c r="A211" s="49">
        <v>209</v>
      </c>
      <c r="B211" s="49">
        <v>210</v>
      </c>
      <c r="C211" s="49">
        <v>0.1212</v>
      </c>
      <c r="D211" s="49">
        <v>0.5</v>
      </c>
      <c r="E211" s="49">
        <v>0.28360000000000002</v>
      </c>
      <c r="F211" s="49">
        <v>2</v>
      </c>
      <c r="G211" s="49">
        <v>3</v>
      </c>
      <c r="H211" s="49">
        <v>5</v>
      </c>
      <c r="I211" s="42">
        <f t="shared" si="48"/>
        <v>75.169000000000082</v>
      </c>
      <c r="J211" s="42">
        <f t="shared" si="49"/>
        <v>0.18745386533665856</v>
      </c>
      <c r="K211" s="42">
        <f t="shared" si="50"/>
        <v>401</v>
      </c>
      <c r="L211" s="42">
        <f t="shared" si="51"/>
        <v>227.8400000000002</v>
      </c>
      <c r="M211" s="42">
        <f t="shared" si="52"/>
        <v>0.56817955112219498</v>
      </c>
      <c r="N211" s="42">
        <f t="shared" si="53"/>
        <v>401</v>
      </c>
      <c r="O211" s="42">
        <f t="shared" si="54"/>
        <v>22704</v>
      </c>
      <c r="P211" s="42">
        <f t="shared" si="55"/>
        <v>56.618453865336662</v>
      </c>
      <c r="Q211" s="42">
        <f t="shared" si="56"/>
        <v>401</v>
      </c>
      <c r="R211" s="42" t="str">
        <f t="shared" si="57"/>
        <v>2</v>
      </c>
      <c r="S211" s="42" t="str">
        <f t="shared" si="58"/>
        <v>0</v>
      </c>
      <c r="T211" s="42">
        <f t="shared" si="59"/>
        <v>3</v>
      </c>
      <c r="U211" s="42">
        <f t="shared" si="60"/>
        <v>89</v>
      </c>
      <c r="V211" s="42">
        <f t="shared" si="61"/>
        <v>3183</v>
      </c>
      <c r="W211" s="42">
        <f t="shared" si="62"/>
        <v>49.316801509098106</v>
      </c>
      <c r="X211" s="42">
        <f t="shared" si="63"/>
        <v>0.18825987366070532</v>
      </c>
    </row>
    <row r="212" spans="1:24" x14ac:dyDescent="0.2">
      <c r="A212" s="49">
        <v>210</v>
      </c>
      <c r="B212" s="49">
        <v>211</v>
      </c>
      <c r="C212" s="49">
        <v>0.1212</v>
      </c>
      <c r="D212" s="49">
        <v>0.5</v>
      </c>
      <c r="E212" s="49">
        <v>0.28360000000000002</v>
      </c>
      <c r="F212" s="49">
        <v>1</v>
      </c>
      <c r="G212" s="49">
        <v>0</v>
      </c>
      <c r="H212" s="49">
        <v>1</v>
      </c>
      <c r="I212" s="42">
        <f t="shared" si="48"/>
        <v>75.047800000000095</v>
      </c>
      <c r="J212" s="42">
        <f t="shared" si="49"/>
        <v>0.18761950000000024</v>
      </c>
      <c r="K212" s="42">
        <f t="shared" si="50"/>
        <v>400</v>
      </c>
      <c r="L212" s="42">
        <f t="shared" si="51"/>
        <v>227.3400000000002</v>
      </c>
      <c r="M212" s="42">
        <f t="shared" si="52"/>
        <v>0.56835000000000047</v>
      </c>
      <c r="N212" s="42">
        <f t="shared" si="53"/>
        <v>400</v>
      </c>
      <c r="O212" s="42">
        <f t="shared" si="54"/>
        <v>22699</v>
      </c>
      <c r="P212" s="42">
        <f t="shared" si="55"/>
        <v>56.747500000000002</v>
      </c>
      <c r="Q212" s="42">
        <f t="shared" si="56"/>
        <v>400</v>
      </c>
      <c r="R212" s="42" t="str">
        <f t="shared" si="57"/>
        <v>2</v>
      </c>
      <c r="S212" s="42" t="str">
        <f t="shared" si="58"/>
        <v>1</v>
      </c>
      <c r="T212" s="42">
        <f t="shared" si="59"/>
        <v>3</v>
      </c>
      <c r="U212" s="42">
        <f t="shared" si="60"/>
        <v>89</v>
      </c>
      <c r="V212" s="42">
        <f t="shared" si="61"/>
        <v>3183</v>
      </c>
      <c r="W212" s="42">
        <f t="shared" si="62"/>
        <v>49.316801509098106</v>
      </c>
      <c r="X212" s="42">
        <f t="shared" si="63"/>
        <v>0.18825987366070532</v>
      </c>
    </row>
    <row r="213" spans="1:24" x14ac:dyDescent="0.2">
      <c r="A213" s="49">
        <v>211</v>
      </c>
      <c r="B213" s="49">
        <v>212</v>
      </c>
      <c r="C213" s="49">
        <v>0.1212</v>
      </c>
      <c r="D213" s="49">
        <v>0.5</v>
      </c>
      <c r="E213" s="49">
        <v>0.22389999999999999</v>
      </c>
      <c r="F213" s="49">
        <v>0</v>
      </c>
      <c r="G213" s="49">
        <v>3</v>
      </c>
      <c r="H213" s="49">
        <v>3</v>
      </c>
      <c r="I213" s="42">
        <f t="shared" si="48"/>
        <v>74.926600000000093</v>
      </c>
      <c r="J213" s="42">
        <f t="shared" si="49"/>
        <v>0.18778596491228094</v>
      </c>
      <c r="K213" s="42">
        <f t="shared" si="50"/>
        <v>399</v>
      </c>
      <c r="L213" s="42">
        <f t="shared" si="51"/>
        <v>226.8400000000002</v>
      </c>
      <c r="M213" s="42">
        <f t="shared" si="52"/>
        <v>0.56852130325814587</v>
      </c>
      <c r="N213" s="42">
        <f t="shared" si="53"/>
        <v>399</v>
      </c>
      <c r="O213" s="42">
        <f t="shared" si="54"/>
        <v>22698</v>
      </c>
      <c r="P213" s="42">
        <f t="shared" si="55"/>
        <v>56.887218045112782</v>
      </c>
      <c r="Q213" s="42">
        <f t="shared" si="56"/>
        <v>399</v>
      </c>
      <c r="R213" s="42" t="str">
        <f t="shared" si="57"/>
        <v>2</v>
      </c>
      <c r="S213" s="42" t="str">
        <f t="shared" si="58"/>
        <v>2</v>
      </c>
      <c r="T213" s="42">
        <f t="shared" si="59"/>
        <v>3</v>
      </c>
      <c r="U213" s="42">
        <f t="shared" si="60"/>
        <v>89</v>
      </c>
      <c r="V213" s="42">
        <f t="shared" si="61"/>
        <v>3183</v>
      </c>
      <c r="W213" s="42">
        <f t="shared" si="62"/>
        <v>49.316801509098106</v>
      </c>
      <c r="X213" s="42">
        <f t="shared" si="63"/>
        <v>0.18825987366070532</v>
      </c>
    </row>
    <row r="214" spans="1:24" x14ac:dyDescent="0.2">
      <c r="A214" s="49">
        <v>212</v>
      </c>
      <c r="B214" s="49">
        <v>213</v>
      </c>
      <c r="C214" s="49">
        <v>0.1212</v>
      </c>
      <c r="D214" s="49">
        <v>0.5</v>
      </c>
      <c r="E214" s="49">
        <v>0.22389999999999999</v>
      </c>
      <c r="F214" s="49">
        <v>0</v>
      </c>
      <c r="G214" s="49">
        <v>1</v>
      </c>
      <c r="H214" s="49">
        <v>1</v>
      </c>
      <c r="I214" s="42">
        <f t="shared" si="48"/>
        <v>74.805400000000091</v>
      </c>
      <c r="J214" s="42">
        <f t="shared" si="49"/>
        <v>0.18795326633165851</v>
      </c>
      <c r="K214" s="42">
        <f t="shared" si="50"/>
        <v>398</v>
      </c>
      <c r="L214" s="42">
        <f t="shared" si="51"/>
        <v>226.3400000000002</v>
      </c>
      <c r="M214" s="42">
        <f t="shared" si="52"/>
        <v>0.56869346733668391</v>
      </c>
      <c r="N214" s="42">
        <f t="shared" si="53"/>
        <v>398</v>
      </c>
      <c r="O214" s="42">
        <f t="shared" si="54"/>
        <v>22695</v>
      </c>
      <c r="P214" s="42">
        <f t="shared" si="55"/>
        <v>57.022613065326631</v>
      </c>
      <c r="Q214" s="42">
        <f t="shared" si="56"/>
        <v>398</v>
      </c>
      <c r="R214" s="42" t="str">
        <f t="shared" si="57"/>
        <v>2</v>
      </c>
      <c r="S214" s="42" t="str">
        <f t="shared" si="58"/>
        <v>3</v>
      </c>
      <c r="T214" s="42">
        <f t="shared" si="59"/>
        <v>3</v>
      </c>
      <c r="U214" s="42">
        <f t="shared" si="60"/>
        <v>89</v>
      </c>
      <c r="V214" s="42">
        <f t="shared" si="61"/>
        <v>3183</v>
      </c>
      <c r="W214" s="42">
        <f t="shared" si="62"/>
        <v>49.316801509098106</v>
      </c>
      <c r="X214" s="42">
        <f t="shared" si="63"/>
        <v>0.18825987366070532</v>
      </c>
    </row>
    <row r="215" spans="1:24" x14ac:dyDescent="0.2">
      <c r="A215" s="49">
        <v>213</v>
      </c>
      <c r="B215" s="49">
        <v>214</v>
      </c>
      <c r="C215" s="49">
        <v>0.1212</v>
      </c>
      <c r="D215" s="49">
        <v>0.54</v>
      </c>
      <c r="E215" s="49">
        <v>0.1343</v>
      </c>
      <c r="F215" s="49">
        <v>1</v>
      </c>
      <c r="G215" s="49">
        <v>2</v>
      </c>
      <c r="H215" s="49">
        <v>3</v>
      </c>
      <c r="I215" s="42">
        <f t="shared" si="48"/>
        <v>74.684200000000089</v>
      </c>
      <c r="J215" s="42">
        <f t="shared" si="49"/>
        <v>0.18812141057934531</v>
      </c>
      <c r="K215" s="42">
        <f t="shared" si="50"/>
        <v>397</v>
      </c>
      <c r="L215" s="42">
        <f t="shared" si="51"/>
        <v>225.8400000000002</v>
      </c>
      <c r="M215" s="42">
        <f t="shared" si="52"/>
        <v>0.56886649874055462</v>
      </c>
      <c r="N215" s="42">
        <f t="shared" si="53"/>
        <v>397</v>
      </c>
      <c r="O215" s="42">
        <f t="shared" si="54"/>
        <v>22694</v>
      </c>
      <c r="P215" s="42">
        <f t="shared" si="55"/>
        <v>57.163727959697731</v>
      </c>
      <c r="Q215" s="42">
        <f t="shared" si="56"/>
        <v>397</v>
      </c>
      <c r="R215" s="42" t="str">
        <f t="shared" si="57"/>
        <v>2</v>
      </c>
      <c r="S215" s="42" t="str">
        <f t="shared" si="58"/>
        <v>4</v>
      </c>
      <c r="T215" s="42">
        <f t="shared" si="59"/>
        <v>3</v>
      </c>
      <c r="U215" s="42">
        <f t="shared" si="60"/>
        <v>89</v>
      </c>
      <c r="V215" s="42">
        <f t="shared" si="61"/>
        <v>3183</v>
      </c>
      <c r="W215" s="42">
        <f t="shared" si="62"/>
        <v>49.316801509098106</v>
      </c>
      <c r="X215" s="42">
        <f t="shared" si="63"/>
        <v>0.18825987366070532</v>
      </c>
    </row>
    <row r="216" spans="1:24" x14ac:dyDescent="0.2">
      <c r="A216" s="49">
        <v>214</v>
      </c>
      <c r="B216" s="49">
        <v>215</v>
      </c>
      <c r="C216" s="49">
        <v>0.1061</v>
      </c>
      <c r="D216" s="49">
        <v>0.54</v>
      </c>
      <c r="E216" s="49">
        <v>0.25369999999999998</v>
      </c>
      <c r="F216" s="49">
        <v>0</v>
      </c>
      <c r="G216" s="49">
        <v>3</v>
      </c>
      <c r="H216" s="49">
        <v>3</v>
      </c>
      <c r="I216" s="42">
        <f t="shared" si="48"/>
        <v>74.563000000000088</v>
      </c>
      <c r="J216" s="42">
        <f t="shared" si="49"/>
        <v>0.18829040404040426</v>
      </c>
      <c r="K216" s="42">
        <f t="shared" si="50"/>
        <v>396</v>
      </c>
      <c r="L216" s="42">
        <f t="shared" si="51"/>
        <v>225.30000000000021</v>
      </c>
      <c r="M216" s="42">
        <f t="shared" si="52"/>
        <v>0.56893939393939452</v>
      </c>
      <c r="N216" s="42">
        <f t="shared" si="53"/>
        <v>396</v>
      </c>
      <c r="O216" s="42">
        <f t="shared" si="54"/>
        <v>22691</v>
      </c>
      <c r="P216" s="42">
        <f t="shared" si="55"/>
        <v>57.300505050505052</v>
      </c>
      <c r="Q216" s="42">
        <f t="shared" si="56"/>
        <v>396</v>
      </c>
      <c r="R216" s="42" t="str">
        <f t="shared" si="57"/>
        <v>2</v>
      </c>
      <c r="S216" s="42" t="str">
        <f t="shared" si="58"/>
        <v>5</v>
      </c>
      <c r="T216" s="42">
        <f t="shared" si="59"/>
        <v>3</v>
      </c>
      <c r="U216" s="42">
        <f t="shared" si="60"/>
        <v>89</v>
      </c>
      <c r="V216" s="42">
        <f t="shared" si="61"/>
        <v>3183</v>
      </c>
      <c r="W216" s="42">
        <f t="shared" si="62"/>
        <v>49.316801509098106</v>
      </c>
      <c r="X216" s="42">
        <f t="shared" si="63"/>
        <v>0.18825987366070532</v>
      </c>
    </row>
    <row r="217" spans="1:24" x14ac:dyDescent="0.2">
      <c r="A217" s="49">
        <v>215</v>
      </c>
      <c r="B217" s="49">
        <v>216</v>
      </c>
      <c r="C217" s="49">
        <v>0.1212</v>
      </c>
      <c r="D217" s="49">
        <v>0.5</v>
      </c>
      <c r="E217" s="49">
        <v>0.28360000000000002</v>
      </c>
      <c r="F217" s="49">
        <v>0</v>
      </c>
      <c r="G217" s="49">
        <v>31</v>
      </c>
      <c r="H217" s="49">
        <v>31</v>
      </c>
      <c r="I217" s="42">
        <f t="shared" si="48"/>
        <v>74.45690000000009</v>
      </c>
      <c r="J217" s="42">
        <f t="shared" si="49"/>
        <v>0.18849848101265845</v>
      </c>
      <c r="K217" s="42">
        <f t="shared" si="50"/>
        <v>395</v>
      </c>
      <c r="L217" s="42">
        <f t="shared" si="51"/>
        <v>224.76000000000022</v>
      </c>
      <c r="M217" s="42">
        <f t="shared" si="52"/>
        <v>0.56901265822784863</v>
      </c>
      <c r="N217" s="42">
        <f t="shared" si="53"/>
        <v>395</v>
      </c>
      <c r="O217" s="42">
        <f t="shared" si="54"/>
        <v>22688</v>
      </c>
      <c r="P217" s="42">
        <f t="shared" si="55"/>
        <v>57.437974683544304</v>
      </c>
      <c r="Q217" s="42">
        <f t="shared" si="56"/>
        <v>395</v>
      </c>
      <c r="R217" s="42" t="str">
        <f t="shared" si="57"/>
        <v>2</v>
      </c>
      <c r="S217" s="42" t="str">
        <f t="shared" si="58"/>
        <v>6</v>
      </c>
      <c r="T217" s="42">
        <f t="shared" si="59"/>
        <v>3</v>
      </c>
      <c r="U217" s="42">
        <f t="shared" si="60"/>
        <v>89</v>
      </c>
      <c r="V217" s="42">
        <f t="shared" si="61"/>
        <v>3183</v>
      </c>
      <c r="W217" s="42">
        <f t="shared" si="62"/>
        <v>49.316801509098106</v>
      </c>
      <c r="X217" s="42">
        <f t="shared" si="63"/>
        <v>0.18825987366070532</v>
      </c>
    </row>
    <row r="218" spans="1:24" x14ac:dyDescent="0.2">
      <c r="A218" s="49">
        <v>216</v>
      </c>
      <c r="B218" s="49">
        <v>217</v>
      </c>
      <c r="C218" s="49">
        <v>0.1212</v>
      </c>
      <c r="D218" s="49">
        <v>0.5</v>
      </c>
      <c r="E218" s="49">
        <v>0.22389999999999999</v>
      </c>
      <c r="F218" s="49">
        <v>2</v>
      </c>
      <c r="G218" s="49">
        <v>75</v>
      </c>
      <c r="H218" s="49">
        <v>77</v>
      </c>
      <c r="I218" s="42">
        <f t="shared" si="48"/>
        <v>74.335700000000088</v>
      </c>
      <c r="J218" s="42">
        <f t="shared" si="49"/>
        <v>0.18866928934010174</v>
      </c>
      <c r="K218" s="42">
        <f t="shared" si="50"/>
        <v>394</v>
      </c>
      <c r="L218" s="42">
        <f t="shared" si="51"/>
        <v>224.26000000000022</v>
      </c>
      <c r="M218" s="42">
        <f t="shared" si="52"/>
        <v>0.56918781725888379</v>
      </c>
      <c r="N218" s="42">
        <f t="shared" si="53"/>
        <v>394</v>
      </c>
      <c r="O218" s="42">
        <f t="shared" si="54"/>
        <v>22657</v>
      </c>
      <c r="P218" s="42">
        <f t="shared" si="55"/>
        <v>57.505076142131976</v>
      </c>
      <c r="Q218" s="42">
        <f t="shared" si="56"/>
        <v>394</v>
      </c>
      <c r="R218" s="42" t="str">
        <f t="shared" si="57"/>
        <v>2</v>
      </c>
      <c r="S218" s="42" t="str">
        <f t="shared" si="58"/>
        <v>7</v>
      </c>
      <c r="T218" s="42">
        <f t="shared" si="59"/>
        <v>3</v>
      </c>
      <c r="U218" s="42">
        <f t="shared" si="60"/>
        <v>89</v>
      </c>
      <c r="V218" s="42">
        <f t="shared" si="61"/>
        <v>3183</v>
      </c>
      <c r="W218" s="42">
        <f t="shared" si="62"/>
        <v>49.316801509098106</v>
      </c>
      <c r="X218" s="42">
        <f t="shared" si="63"/>
        <v>0.18825987366070532</v>
      </c>
    </row>
    <row r="219" spans="1:24" x14ac:dyDescent="0.2">
      <c r="A219" s="49">
        <v>217</v>
      </c>
      <c r="B219" s="49">
        <v>218</v>
      </c>
      <c r="C219" s="49">
        <v>0.1212</v>
      </c>
      <c r="D219" s="49">
        <v>0.5</v>
      </c>
      <c r="E219" s="49">
        <v>0.28360000000000002</v>
      </c>
      <c r="F219" s="49">
        <v>4</v>
      </c>
      <c r="G219" s="49">
        <v>184</v>
      </c>
      <c r="H219" s="49">
        <v>188</v>
      </c>
      <c r="I219" s="42">
        <f t="shared" si="48"/>
        <v>74.214500000000086</v>
      </c>
      <c r="J219" s="42">
        <f t="shared" si="49"/>
        <v>0.18884096692111982</v>
      </c>
      <c r="K219" s="42">
        <f t="shared" si="50"/>
        <v>393</v>
      </c>
      <c r="L219" s="42">
        <f t="shared" si="51"/>
        <v>223.76000000000019</v>
      </c>
      <c r="M219" s="42">
        <f t="shared" si="52"/>
        <v>0.56936386768447889</v>
      </c>
      <c r="N219" s="42">
        <f t="shared" si="53"/>
        <v>393</v>
      </c>
      <c r="O219" s="42">
        <f t="shared" si="54"/>
        <v>22580</v>
      </c>
      <c r="P219" s="42">
        <f t="shared" si="55"/>
        <v>57.455470737913487</v>
      </c>
      <c r="Q219" s="42">
        <f t="shared" si="56"/>
        <v>393</v>
      </c>
      <c r="R219" s="42" t="str">
        <f t="shared" si="57"/>
        <v>2</v>
      </c>
      <c r="S219" s="42" t="str">
        <f t="shared" si="58"/>
        <v>8</v>
      </c>
      <c r="T219" s="42">
        <f t="shared" si="59"/>
        <v>3</v>
      </c>
      <c r="U219" s="42">
        <f t="shared" si="60"/>
        <v>89</v>
      </c>
      <c r="V219" s="42">
        <f t="shared" si="61"/>
        <v>3183</v>
      </c>
      <c r="W219" s="42">
        <f t="shared" si="62"/>
        <v>49.316801509098106</v>
      </c>
      <c r="X219" s="42">
        <f t="shared" si="63"/>
        <v>0.18825987366070532</v>
      </c>
    </row>
    <row r="220" spans="1:24" x14ac:dyDescent="0.2">
      <c r="A220" s="49">
        <v>218</v>
      </c>
      <c r="B220" s="49">
        <v>219</v>
      </c>
      <c r="C220" s="49">
        <v>0.1212</v>
      </c>
      <c r="D220" s="49">
        <v>0.5</v>
      </c>
      <c r="E220" s="49">
        <v>0.25369999999999998</v>
      </c>
      <c r="F220" s="49">
        <v>2</v>
      </c>
      <c r="G220" s="49">
        <v>92</v>
      </c>
      <c r="H220" s="49">
        <v>94</v>
      </c>
      <c r="I220" s="42">
        <f t="shared" si="48"/>
        <v>74.093300000000085</v>
      </c>
      <c r="J220" s="42">
        <f t="shared" si="49"/>
        <v>0.18901352040816349</v>
      </c>
      <c r="K220" s="42">
        <f t="shared" si="50"/>
        <v>392</v>
      </c>
      <c r="L220" s="42">
        <f t="shared" si="51"/>
        <v>223.26000000000019</v>
      </c>
      <c r="M220" s="42">
        <f t="shared" si="52"/>
        <v>0.56954081632653109</v>
      </c>
      <c r="N220" s="42">
        <f t="shared" si="53"/>
        <v>392</v>
      </c>
      <c r="O220" s="42">
        <f t="shared" si="54"/>
        <v>22392</v>
      </c>
      <c r="P220" s="42">
        <f t="shared" si="55"/>
        <v>57.122448979591837</v>
      </c>
      <c r="Q220" s="42">
        <f t="shared" si="56"/>
        <v>392</v>
      </c>
      <c r="R220" s="42" t="str">
        <f t="shared" si="57"/>
        <v>2</v>
      </c>
      <c r="S220" s="42" t="str">
        <f t="shared" si="58"/>
        <v>9</v>
      </c>
      <c r="T220" s="42">
        <f t="shared" si="59"/>
        <v>3</v>
      </c>
      <c r="U220" s="42">
        <f t="shared" si="60"/>
        <v>89</v>
      </c>
      <c r="V220" s="42">
        <f t="shared" si="61"/>
        <v>3183</v>
      </c>
      <c r="W220" s="42">
        <f t="shared" si="62"/>
        <v>49.316801509098106</v>
      </c>
      <c r="X220" s="42">
        <f t="shared" si="63"/>
        <v>0.18825987366070532</v>
      </c>
    </row>
    <row r="221" spans="1:24" x14ac:dyDescent="0.2">
      <c r="A221" s="49">
        <v>219</v>
      </c>
      <c r="B221" s="49">
        <v>220</v>
      </c>
      <c r="C221" s="49">
        <v>0.1212</v>
      </c>
      <c r="D221" s="49">
        <v>0.5</v>
      </c>
      <c r="E221" s="49">
        <v>0.29849999999999999</v>
      </c>
      <c r="F221" s="49">
        <v>0</v>
      </c>
      <c r="G221" s="49">
        <v>31</v>
      </c>
      <c r="H221" s="49">
        <v>31</v>
      </c>
      <c r="I221" s="42">
        <f t="shared" si="48"/>
        <v>73.972100000000097</v>
      </c>
      <c r="J221" s="42">
        <f t="shared" si="49"/>
        <v>0.18918695652173939</v>
      </c>
      <c r="K221" s="42">
        <f t="shared" si="50"/>
        <v>391</v>
      </c>
      <c r="L221" s="42">
        <f t="shared" si="51"/>
        <v>222.76000000000019</v>
      </c>
      <c r="M221" s="42">
        <f t="shared" si="52"/>
        <v>0.56971867007672683</v>
      </c>
      <c r="N221" s="42">
        <f t="shared" si="53"/>
        <v>391</v>
      </c>
      <c r="O221" s="42">
        <f t="shared" si="54"/>
        <v>22298</v>
      </c>
      <c r="P221" s="42">
        <f t="shared" si="55"/>
        <v>57.028132992327365</v>
      </c>
      <c r="Q221" s="42">
        <f t="shared" si="56"/>
        <v>391</v>
      </c>
      <c r="R221" s="42" t="str">
        <f t="shared" si="57"/>
        <v>2</v>
      </c>
      <c r="S221" s="42" t="str">
        <f t="shared" si="58"/>
        <v>0</v>
      </c>
      <c r="T221" s="42">
        <f t="shared" si="59"/>
        <v>3</v>
      </c>
      <c r="U221" s="42">
        <f t="shared" si="60"/>
        <v>89</v>
      </c>
      <c r="V221" s="42">
        <f t="shared" si="61"/>
        <v>3183</v>
      </c>
      <c r="W221" s="42">
        <f t="shared" si="62"/>
        <v>49.316801509098106</v>
      </c>
      <c r="X221" s="42">
        <f t="shared" si="63"/>
        <v>0.18825987366070532</v>
      </c>
    </row>
    <row r="222" spans="1:24" x14ac:dyDescent="0.2">
      <c r="A222" s="49">
        <v>220</v>
      </c>
      <c r="B222" s="49">
        <v>221</v>
      </c>
      <c r="C222" s="49">
        <v>0.13639999999999999</v>
      </c>
      <c r="D222" s="49">
        <v>0.47</v>
      </c>
      <c r="E222" s="49">
        <v>0.28360000000000002</v>
      </c>
      <c r="F222" s="49">
        <v>2</v>
      </c>
      <c r="G222" s="49">
        <v>28</v>
      </c>
      <c r="H222" s="49">
        <v>30</v>
      </c>
      <c r="I222" s="42">
        <f t="shared" si="48"/>
        <v>73.850900000000095</v>
      </c>
      <c r="J222" s="42">
        <f t="shared" si="49"/>
        <v>0.1893612820512823</v>
      </c>
      <c r="K222" s="42">
        <f t="shared" si="50"/>
        <v>390</v>
      </c>
      <c r="L222" s="42">
        <f t="shared" si="51"/>
        <v>222.26000000000022</v>
      </c>
      <c r="M222" s="42">
        <f t="shared" si="52"/>
        <v>0.56989743589743647</v>
      </c>
      <c r="N222" s="42">
        <f t="shared" si="53"/>
        <v>390</v>
      </c>
      <c r="O222" s="42">
        <f t="shared" si="54"/>
        <v>22267</v>
      </c>
      <c r="P222" s="42">
        <f t="shared" si="55"/>
        <v>57.094871794871793</v>
      </c>
      <c r="Q222" s="42">
        <f t="shared" si="56"/>
        <v>390</v>
      </c>
      <c r="R222" s="42" t="str">
        <f t="shared" si="57"/>
        <v>2</v>
      </c>
      <c r="S222" s="42" t="str">
        <f t="shared" si="58"/>
        <v>1</v>
      </c>
      <c r="T222" s="42">
        <f t="shared" si="59"/>
        <v>3</v>
      </c>
      <c r="U222" s="42">
        <f t="shared" si="60"/>
        <v>89</v>
      </c>
      <c r="V222" s="42">
        <f t="shared" si="61"/>
        <v>3183</v>
      </c>
      <c r="W222" s="42">
        <f t="shared" si="62"/>
        <v>49.316801509098106</v>
      </c>
      <c r="X222" s="42">
        <f t="shared" si="63"/>
        <v>0.18825987366070532</v>
      </c>
    </row>
    <row r="223" spans="1:24" x14ac:dyDescent="0.2">
      <c r="A223" s="49">
        <v>221</v>
      </c>
      <c r="B223" s="49">
        <v>222</v>
      </c>
      <c r="C223" s="49">
        <v>0.18179999999999999</v>
      </c>
      <c r="D223" s="49">
        <v>0.4</v>
      </c>
      <c r="E223" s="49">
        <v>0.28360000000000002</v>
      </c>
      <c r="F223" s="49">
        <v>5</v>
      </c>
      <c r="G223" s="49">
        <v>47</v>
      </c>
      <c r="H223" s="49">
        <v>52</v>
      </c>
      <c r="I223" s="42">
        <f t="shared" si="48"/>
        <v>73.714500000000086</v>
      </c>
      <c r="J223" s="42">
        <f t="shared" si="49"/>
        <v>0.18949742930591282</v>
      </c>
      <c r="K223" s="42">
        <f t="shared" si="50"/>
        <v>389</v>
      </c>
      <c r="L223" s="42">
        <f t="shared" si="51"/>
        <v>221.79000000000022</v>
      </c>
      <c r="M223" s="42">
        <f t="shared" si="52"/>
        <v>0.57015424164524475</v>
      </c>
      <c r="N223" s="42">
        <f t="shared" si="53"/>
        <v>389</v>
      </c>
      <c r="O223" s="42">
        <f t="shared" si="54"/>
        <v>22237</v>
      </c>
      <c r="P223" s="42">
        <f t="shared" si="55"/>
        <v>57.164524421593832</v>
      </c>
      <c r="Q223" s="42">
        <f t="shared" si="56"/>
        <v>389</v>
      </c>
      <c r="R223" s="42" t="str">
        <f t="shared" si="57"/>
        <v>2</v>
      </c>
      <c r="S223" s="42" t="str">
        <f t="shared" si="58"/>
        <v>2</v>
      </c>
      <c r="T223" s="42">
        <f t="shared" si="59"/>
        <v>3</v>
      </c>
      <c r="U223" s="42">
        <f t="shared" si="60"/>
        <v>89</v>
      </c>
      <c r="V223" s="42">
        <f t="shared" si="61"/>
        <v>3183</v>
      </c>
      <c r="W223" s="42">
        <f t="shared" si="62"/>
        <v>49.316801509098106</v>
      </c>
      <c r="X223" s="42">
        <f t="shared" si="63"/>
        <v>0.18825987366070532</v>
      </c>
    </row>
    <row r="224" spans="1:24" x14ac:dyDescent="0.2">
      <c r="A224" s="49">
        <v>222</v>
      </c>
      <c r="B224" s="49">
        <v>223</v>
      </c>
      <c r="C224" s="49">
        <v>0.18179999999999999</v>
      </c>
      <c r="D224" s="49">
        <v>0.4</v>
      </c>
      <c r="E224" s="49">
        <v>0.28360000000000002</v>
      </c>
      <c r="F224" s="49">
        <v>4</v>
      </c>
      <c r="G224" s="49">
        <v>50</v>
      </c>
      <c r="H224" s="49">
        <v>54</v>
      </c>
      <c r="I224" s="42">
        <f t="shared" si="48"/>
        <v>73.532700000000091</v>
      </c>
      <c r="J224" s="42">
        <f t="shared" si="49"/>
        <v>0.18951726804123734</v>
      </c>
      <c r="K224" s="42">
        <f t="shared" si="50"/>
        <v>388</v>
      </c>
      <c r="L224" s="42">
        <f t="shared" si="51"/>
        <v>221.39000000000024</v>
      </c>
      <c r="M224" s="42">
        <f t="shared" si="52"/>
        <v>0.5705927835051553</v>
      </c>
      <c r="N224" s="42">
        <f t="shared" si="53"/>
        <v>388</v>
      </c>
      <c r="O224" s="42">
        <f t="shared" si="54"/>
        <v>22185</v>
      </c>
      <c r="P224" s="42">
        <f t="shared" si="55"/>
        <v>57.177835051546388</v>
      </c>
      <c r="Q224" s="42">
        <f t="shared" si="56"/>
        <v>388</v>
      </c>
      <c r="R224" s="42" t="str">
        <f t="shared" si="57"/>
        <v>2</v>
      </c>
      <c r="S224" s="42" t="str">
        <f t="shared" si="58"/>
        <v>3</v>
      </c>
      <c r="T224" s="42">
        <f t="shared" si="59"/>
        <v>3</v>
      </c>
      <c r="U224" s="42">
        <f t="shared" si="60"/>
        <v>89</v>
      </c>
      <c r="V224" s="42">
        <f t="shared" si="61"/>
        <v>3183</v>
      </c>
      <c r="W224" s="42">
        <f t="shared" si="62"/>
        <v>49.316801509098106</v>
      </c>
      <c r="X224" s="42">
        <f t="shared" si="63"/>
        <v>0.18825987366070532</v>
      </c>
    </row>
    <row r="225" spans="1:24" x14ac:dyDescent="0.2">
      <c r="A225" s="49">
        <v>223</v>
      </c>
      <c r="B225" s="49">
        <v>224</v>
      </c>
      <c r="C225" s="49">
        <v>0.19700000000000001</v>
      </c>
      <c r="D225" s="49">
        <v>0.4</v>
      </c>
      <c r="E225" s="49">
        <v>0.22389999999999999</v>
      </c>
      <c r="F225" s="49">
        <v>0</v>
      </c>
      <c r="G225" s="49">
        <v>47</v>
      </c>
      <c r="H225" s="49">
        <v>47</v>
      </c>
      <c r="I225" s="42">
        <f t="shared" si="48"/>
        <v>73.350900000000095</v>
      </c>
      <c r="J225" s="42">
        <f t="shared" si="49"/>
        <v>0.18953720930232582</v>
      </c>
      <c r="K225" s="42">
        <f t="shared" si="50"/>
        <v>387</v>
      </c>
      <c r="L225" s="42">
        <f t="shared" si="51"/>
        <v>220.99000000000026</v>
      </c>
      <c r="M225" s="42">
        <f t="shared" si="52"/>
        <v>0.57103359173126689</v>
      </c>
      <c r="N225" s="42">
        <f t="shared" si="53"/>
        <v>387</v>
      </c>
      <c r="O225" s="42">
        <f t="shared" si="54"/>
        <v>22131</v>
      </c>
      <c r="P225" s="42">
        <f t="shared" si="55"/>
        <v>57.186046511627907</v>
      </c>
      <c r="Q225" s="42">
        <f t="shared" si="56"/>
        <v>387</v>
      </c>
      <c r="R225" s="42" t="str">
        <f t="shared" si="57"/>
        <v>2</v>
      </c>
      <c r="S225" s="42" t="str">
        <f t="shared" si="58"/>
        <v>4</v>
      </c>
      <c r="T225" s="42">
        <f t="shared" si="59"/>
        <v>3</v>
      </c>
      <c r="U225" s="42">
        <f t="shared" si="60"/>
        <v>89</v>
      </c>
      <c r="V225" s="42">
        <f t="shared" si="61"/>
        <v>3183</v>
      </c>
      <c r="W225" s="42">
        <f t="shared" si="62"/>
        <v>49.316801509098106</v>
      </c>
      <c r="X225" s="42">
        <f t="shared" si="63"/>
        <v>0.18825987366070532</v>
      </c>
    </row>
    <row r="226" spans="1:24" x14ac:dyDescent="0.2">
      <c r="A226" s="49">
        <v>224</v>
      </c>
      <c r="B226" s="49">
        <v>225</v>
      </c>
      <c r="C226" s="49">
        <v>0.19700000000000001</v>
      </c>
      <c r="D226" s="49">
        <v>0.4</v>
      </c>
      <c r="E226" s="49">
        <v>0.22389999999999999</v>
      </c>
      <c r="F226" s="49">
        <v>2</v>
      </c>
      <c r="G226" s="49">
        <v>43</v>
      </c>
      <c r="H226" s="49">
        <v>45</v>
      </c>
      <c r="I226" s="42">
        <f t="shared" si="48"/>
        <v>73.153900000000093</v>
      </c>
      <c r="J226" s="42">
        <f t="shared" si="49"/>
        <v>0.18951787564766864</v>
      </c>
      <c r="K226" s="42">
        <f t="shared" si="50"/>
        <v>386</v>
      </c>
      <c r="L226" s="42">
        <f t="shared" si="51"/>
        <v>220.59000000000026</v>
      </c>
      <c r="M226" s="42">
        <f t="shared" si="52"/>
        <v>0.57147668393782447</v>
      </c>
      <c r="N226" s="42">
        <f t="shared" si="53"/>
        <v>386</v>
      </c>
      <c r="O226" s="42">
        <f t="shared" si="54"/>
        <v>22084</v>
      </c>
      <c r="P226" s="42">
        <f t="shared" si="55"/>
        <v>57.212435233160619</v>
      </c>
      <c r="Q226" s="42">
        <f t="shared" si="56"/>
        <v>386</v>
      </c>
      <c r="R226" s="42" t="str">
        <f t="shared" si="57"/>
        <v>2</v>
      </c>
      <c r="S226" s="42" t="str">
        <f t="shared" si="58"/>
        <v>5</v>
      </c>
      <c r="T226" s="42">
        <f t="shared" si="59"/>
        <v>3</v>
      </c>
      <c r="U226" s="42">
        <f t="shared" si="60"/>
        <v>89</v>
      </c>
      <c r="V226" s="42">
        <f t="shared" si="61"/>
        <v>3183</v>
      </c>
      <c r="W226" s="42">
        <f t="shared" si="62"/>
        <v>49.316801509098106</v>
      </c>
      <c r="X226" s="42">
        <f t="shared" si="63"/>
        <v>0.18825987366070532</v>
      </c>
    </row>
    <row r="227" spans="1:24" x14ac:dyDescent="0.2">
      <c r="A227" s="49">
        <v>225</v>
      </c>
      <c r="B227" s="49">
        <v>226</v>
      </c>
      <c r="C227" s="49">
        <v>0.21210000000000001</v>
      </c>
      <c r="D227" s="49">
        <v>0.4</v>
      </c>
      <c r="E227" s="49">
        <v>0.1343</v>
      </c>
      <c r="F227" s="49">
        <v>4</v>
      </c>
      <c r="G227" s="49">
        <v>70</v>
      </c>
      <c r="H227" s="49">
        <v>74</v>
      </c>
      <c r="I227" s="42">
        <f t="shared" si="48"/>
        <v>72.95690000000009</v>
      </c>
      <c r="J227" s="42">
        <f t="shared" si="49"/>
        <v>0.18949844155844178</v>
      </c>
      <c r="K227" s="42">
        <f t="shared" si="50"/>
        <v>385</v>
      </c>
      <c r="L227" s="42">
        <f t="shared" si="51"/>
        <v>220.19000000000028</v>
      </c>
      <c r="M227" s="42">
        <f t="shared" si="52"/>
        <v>0.57192207792207861</v>
      </c>
      <c r="N227" s="42">
        <f t="shared" si="53"/>
        <v>385</v>
      </c>
      <c r="O227" s="42">
        <f t="shared" si="54"/>
        <v>22039</v>
      </c>
      <c r="P227" s="42">
        <f t="shared" si="55"/>
        <v>57.244155844155841</v>
      </c>
      <c r="Q227" s="42">
        <f t="shared" si="56"/>
        <v>385</v>
      </c>
      <c r="R227" s="42" t="str">
        <f t="shared" si="57"/>
        <v>2</v>
      </c>
      <c r="S227" s="42" t="str">
        <f t="shared" si="58"/>
        <v>6</v>
      </c>
      <c r="T227" s="42">
        <f t="shared" si="59"/>
        <v>3</v>
      </c>
      <c r="U227" s="42">
        <f t="shared" si="60"/>
        <v>89</v>
      </c>
      <c r="V227" s="42">
        <f t="shared" si="61"/>
        <v>3183</v>
      </c>
      <c r="W227" s="42">
        <f t="shared" si="62"/>
        <v>49.316801509098106</v>
      </c>
      <c r="X227" s="42">
        <f t="shared" si="63"/>
        <v>0.18825987366070532</v>
      </c>
    </row>
    <row r="228" spans="1:24" x14ac:dyDescent="0.2">
      <c r="A228" s="49">
        <v>226</v>
      </c>
      <c r="B228" s="49">
        <v>227</v>
      </c>
      <c r="C228" s="49">
        <v>0.2273</v>
      </c>
      <c r="D228" s="49">
        <v>0.4</v>
      </c>
      <c r="E228" s="49">
        <v>0.1045</v>
      </c>
      <c r="F228" s="49">
        <v>4</v>
      </c>
      <c r="G228" s="49">
        <v>174</v>
      </c>
      <c r="H228" s="49">
        <v>178</v>
      </c>
      <c r="I228" s="42">
        <f t="shared" si="48"/>
        <v>72.744800000000083</v>
      </c>
      <c r="J228" s="42">
        <f t="shared" si="49"/>
        <v>0.18943958333333355</v>
      </c>
      <c r="K228" s="42">
        <f t="shared" si="50"/>
        <v>384</v>
      </c>
      <c r="L228" s="42">
        <f t="shared" si="51"/>
        <v>219.79000000000028</v>
      </c>
      <c r="M228" s="42">
        <f t="shared" si="52"/>
        <v>0.57236979166666735</v>
      </c>
      <c r="N228" s="42">
        <f t="shared" si="53"/>
        <v>384</v>
      </c>
      <c r="O228" s="42">
        <f t="shared" si="54"/>
        <v>21965</v>
      </c>
      <c r="P228" s="42">
        <f t="shared" si="55"/>
        <v>57.200520833333336</v>
      </c>
      <c r="Q228" s="42">
        <f t="shared" si="56"/>
        <v>384</v>
      </c>
      <c r="R228" s="42" t="str">
        <f t="shared" si="57"/>
        <v>2</v>
      </c>
      <c r="S228" s="42" t="str">
        <f t="shared" si="58"/>
        <v>7</v>
      </c>
      <c r="T228" s="42">
        <f t="shared" si="59"/>
        <v>3</v>
      </c>
      <c r="U228" s="42">
        <f t="shared" si="60"/>
        <v>89</v>
      </c>
      <c r="V228" s="42">
        <f t="shared" si="61"/>
        <v>3183</v>
      </c>
      <c r="W228" s="42">
        <f t="shared" si="62"/>
        <v>49.316801509098106</v>
      </c>
      <c r="X228" s="42">
        <f t="shared" si="63"/>
        <v>0.18825987366070532</v>
      </c>
    </row>
    <row r="229" spans="1:24" x14ac:dyDescent="0.2">
      <c r="A229" s="49">
        <v>227</v>
      </c>
      <c r="B229" s="49">
        <v>228</v>
      </c>
      <c r="C229" s="49">
        <v>0.19700000000000001</v>
      </c>
      <c r="D229" s="49">
        <v>0.4</v>
      </c>
      <c r="E229" s="49">
        <v>0.22389999999999999</v>
      </c>
      <c r="F229" s="49">
        <v>1</v>
      </c>
      <c r="G229" s="49">
        <v>154</v>
      </c>
      <c r="H229" s="49">
        <v>155</v>
      </c>
      <c r="I229" s="42">
        <f t="shared" si="48"/>
        <v>72.517500000000084</v>
      </c>
      <c r="J229" s="42">
        <f t="shared" si="49"/>
        <v>0.18934073107049632</v>
      </c>
      <c r="K229" s="42">
        <f t="shared" si="50"/>
        <v>383</v>
      </c>
      <c r="L229" s="42">
        <f t="shared" si="51"/>
        <v>219.39000000000024</v>
      </c>
      <c r="M229" s="42">
        <f t="shared" si="52"/>
        <v>0.57281984334203717</v>
      </c>
      <c r="N229" s="42">
        <f t="shared" si="53"/>
        <v>383</v>
      </c>
      <c r="O229" s="42">
        <f t="shared" si="54"/>
        <v>21787</v>
      </c>
      <c r="P229" s="42">
        <f t="shared" si="55"/>
        <v>56.885117493472585</v>
      </c>
      <c r="Q229" s="42">
        <f t="shared" si="56"/>
        <v>383</v>
      </c>
      <c r="R229" s="42" t="str">
        <f t="shared" si="57"/>
        <v>2</v>
      </c>
      <c r="S229" s="42" t="str">
        <f t="shared" si="58"/>
        <v>8</v>
      </c>
      <c r="T229" s="42">
        <f t="shared" si="59"/>
        <v>3</v>
      </c>
      <c r="U229" s="42">
        <f t="shared" si="60"/>
        <v>89</v>
      </c>
      <c r="V229" s="42">
        <f t="shared" si="61"/>
        <v>3183</v>
      </c>
      <c r="W229" s="42">
        <f t="shared" si="62"/>
        <v>49.316801509098106</v>
      </c>
      <c r="X229" s="42">
        <f t="shared" si="63"/>
        <v>0.18825987366070532</v>
      </c>
    </row>
    <row r="230" spans="1:24" x14ac:dyDescent="0.2">
      <c r="A230" s="49">
        <v>228</v>
      </c>
      <c r="B230" s="49">
        <v>229</v>
      </c>
      <c r="C230" s="49">
        <v>0.16669999999999999</v>
      </c>
      <c r="D230" s="49">
        <v>0.47</v>
      </c>
      <c r="E230" s="49">
        <v>0.16420000000000001</v>
      </c>
      <c r="F230" s="49">
        <v>3</v>
      </c>
      <c r="G230" s="49">
        <v>92</v>
      </c>
      <c r="H230" s="49">
        <v>95</v>
      </c>
      <c r="I230" s="42">
        <f t="shared" si="48"/>
        <v>72.320500000000081</v>
      </c>
      <c r="J230" s="42">
        <f t="shared" si="49"/>
        <v>0.18932068062827245</v>
      </c>
      <c r="K230" s="42">
        <f t="shared" si="50"/>
        <v>382</v>
      </c>
      <c r="L230" s="42">
        <f t="shared" si="51"/>
        <v>218.99000000000024</v>
      </c>
      <c r="M230" s="42">
        <f t="shared" si="52"/>
        <v>0.57327225130890114</v>
      </c>
      <c r="N230" s="42">
        <f t="shared" si="53"/>
        <v>382</v>
      </c>
      <c r="O230" s="42">
        <f t="shared" si="54"/>
        <v>21632</v>
      </c>
      <c r="P230" s="42">
        <f t="shared" si="55"/>
        <v>56.6282722513089</v>
      </c>
      <c r="Q230" s="42">
        <f t="shared" si="56"/>
        <v>382</v>
      </c>
      <c r="R230" s="42" t="str">
        <f t="shared" si="57"/>
        <v>2</v>
      </c>
      <c r="S230" s="42" t="str">
        <f t="shared" si="58"/>
        <v>9</v>
      </c>
      <c r="T230" s="42">
        <f t="shared" si="59"/>
        <v>3</v>
      </c>
      <c r="U230" s="42">
        <f t="shared" si="60"/>
        <v>89</v>
      </c>
      <c r="V230" s="42">
        <f t="shared" si="61"/>
        <v>3183</v>
      </c>
      <c r="W230" s="42">
        <f t="shared" si="62"/>
        <v>49.316801509098106</v>
      </c>
      <c r="X230" s="42">
        <f t="shared" si="63"/>
        <v>0.18825987366070532</v>
      </c>
    </row>
    <row r="231" spans="1:24" x14ac:dyDescent="0.2">
      <c r="A231" s="49">
        <v>229</v>
      </c>
      <c r="B231" s="49">
        <v>230</v>
      </c>
      <c r="C231" s="49">
        <v>0.16669999999999999</v>
      </c>
      <c r="D231" s="49">
        <v>0.5</v>
      </c>
      <c r="E231" s="49">
        <v>0.16420000000000001</v>
      </c>
      <c r="F231" s="49">
        <v>1</v>
      </c>
      <c r="G231" s="49">
        <v>73</v>
      </c>
      <c r="H231" s="49">
        <v>74</v>
      </c>
      <c r="I231" s="42">
        <f t="shared" si="48"/>
        <v>72.153800000000075</v>
      </c>
      <c r="J231" s="42">
        <f t="shared" si="49"/>
        <v>0.18938005249343851</v>
      </c>
      <c r="K231" s="42">
        <f t="shared" si="50"/>
        <v>381</v>
      </c>
      <c r="L231" s="42">
        <f t="shared" si="51"/>
        <v>218.52000000000024</v>
      </c>
      <c r="M231" s="42">
        <f t="shared" si="52"/>
        <v>0.57354330708661483</v>
      </c>
      <c r="N231" s="42">
        <f t="shared" si="53"/>
        <v>381</v>
      </c>
      <c r="O231" s="42">
        <f t="shared" si="54"/>
        <v>21537</v>
      </c>
      <c r="P231" s="42">
        <f t="shared" si="55"/>
        <v>56.527559055118111</v>
      </c>
      <c r="Q231" s="42">
        <f t="shared" si="56"/>
        <v>381</v>
      </c>
      <c r="R231" s="42" t="str">
        <f t="shared" si="57"/>
        <v>2</v>
      </c>
      <c r="S231" s="42" t="str">
        <f t="shared" si="58"/>
        <v>0</v>
      </c>
      <c r="T231" s="42">
        <f t="shared" si="59"/>
        <v>3</v>
      </c>
      <c r="U231" s="42">
        <f t="shared" si="60"/>
        <v>89</v>
      </c>
      <c r="V231" s="42">
        <f t="shared" si="61"/>
        <v>3183</v>
      </c>
      <c r="W231" s="42">
        <f t="shared" si="62"/>
        <v>49.316801509098106</v>
      </c>
      <c r="X231" s="42">
        <f t="shared" si="63"/>
        <v>0.18825987366070532</v>
      </c>
    </row>
    <row r="232" spans="1:24" x14ac:dyDescent="0.2">
      <c r="A232" s="49">
        <v>230</v>
      </c>
      <c r="B232" s="49">
        <v>231</v>
      </c>
      <c r="C232" s="49">
        <v>0.13639999999999999</v>
      </c>
      <c r="D232" s="49">
        <v>0.59</v>
      </c>
      <c r="E232" s="49">
        <v>0.19400000000000001</v>
      </c>
      <c r="F232" s="49">
        <v>1</v>
      </c>
      <c r="G232" s="49">
        <v>37</v>
      </c>
      <c r="H232" s="49">
        <v>38</v>
      </c>
      <c r="I232" s="42">
        <f t="shared" si="48"/>
        <v>71.987100000000069</v>
      </c>
      <c r="J232" s="42">
        <f t="shared" si="49"/>
        <v>0.18943973684210544</v>
      </c>
      <c r="K232" s="42">
        <f t="shared" si="50"/>
        <v>380</v>
      </c>
      <c r="L232" s="42">
        <f t="shared" si="51"/>
        <v>218.02000000000024</v>
      </c>
      <c r="M232" s="42">
        <f t="shared" si="52"/>
        <v>0.57373684210526377</v>
      </c>
      <c r="N232" s="42">
        <f t="shared" si="53"/>
        <v>380</v>
      </c>
      <c r="O232" s="42">
        <f t="shared" si="54"/>
        <v>21463</v>
      </c>
      <c r="P232" s="42">
        <f t="shared" si="55"/>
        <v>56.481578947368419</v>
      </c>
      <c r="Q232" s="42">
        <f t="shared" si="56"/>
        <v>380</v>
      </c>
      <c r="R232" s="42" t="str">
        <f t="shared" si="57"/>
        <v>2</v>
      </c>
      <c r="S232" s="42" t="str">
        <f t="shared" si="58"/>
        <v>1</v>
      </c>
      <c r="T232" s="42">
        <f t="shared" si="59"/>
        <v>3</v>
      </c>
      <c r="U232" s="42">
        <f t="shared" si="60"/>
        <v>89</v>
      </c>
      <c r="V232" s="42">
        <f t="shared" si="61"/>
        <v>3183</v>
      </c>
      <c r="W232" s="42">
        <f t="shared" si="62"/>
        <v>49.316801509098106</v>
      </c>
      <c r="X232" s="42">
        <f t="shared" si="63"/>
        <v>0.18825987366070532</v>
      </c>
    </row>
    <row r="233" spans="1:24" x14ac:dyDescent="0.2">
      <c r="A233" s="49">
        <v>231</v>
      </c>
      <c r="B233" s="49">
        <v>232</v>
      </c>
      <c r="C233" s="49">
        <v>0.1515</v>
      </c>
      <c r="D233" s="49">
        <v>0.59</v>
      </c>
      <c r="E233" s="49">
        <v>0.16420000000000001</v>
      </c>
      <c r="F233" s="49">
        <v>2</v>
      </c>
      <c r="G233" s="49">
        <v>22</v>
      </c>
      <c r="H233" s="49">
        <v>24</v>
      </c>
      <c r="I233" s="42">
        <f t="shared" si="48"/>
        <v>71.85070000000006</v>
      </c>
      <c r="J233" s="42">
        <f t="shared" si="49"/>
        <v>0.18957968337730888</v>
      </c>
      <c r="K233" s="42">
        <f t="shared" si="50"/>
        <v>379</v>
      </c>
      <c r="L233" s="42">
        <f t="shared" si="51"/>
        <v>217.43000000000026</v>
      </c>
      <c r="M233" s="42">
        <f t="shared" si="52"/>
        <v>0.57369393139841762</v>
      </c>
      <c r="N233" s="42">
        <f t="shared" si="53"/>
        <v>379</v>
      </c>
      <c r="O233" s="42">
        <f t="shared" si="54"/>
        <v>21425</v>
      </c>
      <c r="P233" s="42">
        <f t="shared" si="55"/>
        <v>56.530343007915569</v>
      </c>
      <c r="Q233" s="42">
        <f t="shared" si="56"/>
        <v>379</v>
      </c>
      <c r="R233" s="42" t="str">
        <f t="shared" si="57"/>
        <v>2</v>
      </c>
      <c r="S233" s="42" t="str">
        <f t="shared" si="58"/>
        <v>2</v>
      </c>
      <c r="T233" s="42">
        <f t="shared" si="59"/>
        <v>3</v>
      </c>
      <c r="U233" s="42">
        <f t="shared" si="60"/>
        <v>89</v>
      </c>
      <c r="V233" s="42">
        <f t="shared" si="61"/>
        <v>3183</v>
      </c>
      <c r="W233" s="42">
        <f t="shared" si="62"/>
        <v>49.316801509098106</v>
      </c>
      <c r="X233" s="42">
        <f t="shared" si="63"/>
        <v>0.18825987366070532</v>
      </c>
    </row>
    <row r="234" spans="1:24" x14ac:dyDescent="0.2">
      <c r="A234" s="49">
        <v>232</v>
      </c>
      <c r="B234" s="49">
        <v>233</v>
      </c>
      <c r="C234" s="49">
        <v>0.1515</v>
      </c>
      <c r="D234" s="49">
        <v>0.59</v>
      </c>
      <c r="E234" s="49">
        <v>0.16420000000000001</v>
      </c>
      <c r="F234" s="49">
        <v>0</v>
      </c>
      <c r="G234" s="49">
        <v>18</v>
      </c>
      <c r="H234" s="49">
        <v>18</v>
      </c>
      <c r="I234" s="42">
        <f t="shared" si="48"/>
        <v>71.699200000000076</v>
      </c>
      <c r="J234" s="42">
        <f t="shared" si="49"/>
        <v>0.18968042328042348</v>
      </c>
      <c r="K234" s="42">
        <f t="shared" si="50"/>
        <v>378</v>
      </c>
      <c r="L234" s="42">
        <f t="shared" si="51"/>
        <v>216.84000000000026</v>
      </c>
      <c r="M234" s="42">
        <f t="shared" si="52"/>
        <v>0.5736507936507943</v>
      </c>
      <c r="N234" s="42">
        <f t="shared" si="53"/>
        <v>378</v>
      </c>
      <c r="O234" s="42">
        <f t="shared" si="54"/>
        <v>21401</v>
      </c>
      <c r="P234" s="42">
        <f t="shared" si="55"/>
        <v>56.616402116402114</v>
      </c>
      <c r="Q234" s="42">
        <f t="shared" si="56"/>
        <v>378</v>
      </c>
      <c r="R234" s="42" t="str">
        <f t="shared" si="57"/>
        <v>2</v>
      </c>
      <c r="S234" s="42" t="str">
        <f t="shared" si="58"/>
        <v>3</v>
      </c>
      <c r="T234" s="42">
        <f t="shared" si="59"/>
        <v>3</v>
      </c>
      <c r="U234" s="42">
        <f t="shared" si="60"/>
        <v>89</v>
      </c>
      <c r="V234" s="42">
        <f t="shared" si="61"/>
        <v>3183</v>
      </c>
      <c r="W234" s="42">
        <f t="shared" si="62"/>
        <v>49.316801509098106</v>
      </c>
      <c r="X234" s="42">
        <f t="shared" si="63"/>
        <v>0.18825987366070532</v>
      </c>
    </row>
    <row r="235" spans="1:24" x14ac:dyDescent="0.2">
      <c r="A235" s="49">
        <v>233</v>
      </c>
      <c r="B235" s="49">
        <v>234</v>
      </c>
      <c r="C235" s="49">
        <v>0.16669999999999999</v>
      </c>
      <c r="D235" s="49">
        <v>0.59</v>
      </c>
      <c r="E235" s="49">
        <v>0.1045</v>
      </c>
      <c r="F235" s="49">
        <v>2</v>
      </c>
      <c r="G235" s="49">
        <v>10</v>
      </c>
      <c r="H235" s="49">
        <v>12</v>
      </c>
      <c r="I235" s="42">
        <f t="shared" si="48"/>
        <v>71.547700000000077</v>
      </c>
      <c r="J235" s="42">
        <f t="shared" si="49"/>
        <v>0.18978169761273231</v>
      </c>
      <c r="K235" s="42">
        <f t="shared" si="50"/>
        <v>377</v>
      </c>
      <c r="L235" s="42">
        <f t="shared" si="51"/>
        <v>216.25000000000023</v>
      </c>
      <c r="M235" s="42">
        <f t="shared" si="52"/>
        <v>0.57360742705570356</v>
      </c>
      <c r="N235" s="42">
        <f t="shared" si="53"/>
        <v>377</v>
      </c>
      <c r="O235" s="42">
        <f t="shared" si="54"/>
        <v>21383</v>
      </c>
      <c r="P235" s="42">
        <f t="shared" si="55"/>
        <v>56.718832891246684</v>
      </c>
      <c r="Q235" s="42">
        <f t="shared" si="56"/>
        <v>377</v>
      </c>
      <c r="R235" s="42" t="str">
        <f t="shared" si="57"/>
        <v>2</v>
      </c>
      <c r="S235" s="42" t="str">
        <f t="shared" si="58"/>
        <v>4</v>
      </c>
      <c r="T235" s="42">
        <f t="shared" si="59"/>
        <v>3</v>
      </c>
      <c r="U235" s="42">
        <f t="shared" si="60"/>
        <v>89</v>
      </c>
      <c r="V235" s="42">
        <f t="shared" si="61"/>
        <v>3183</v>
      </c>
      <c r="W235" s="42">
        <f t="shared" si="62"/>
        <v>49.316801509098106</v>
      </c>
      <c r="X235" s="42">
        <f t="shared" si="63"/>
        <v>0.18825987366070532</v>
      </c>
    </row>
    <row r="236" spans="1:24" x14ac:dyDescent="0.2">
      <c r="A236" s="49">
        <v>234</v>
      </c>
      <c r="B236" s="49">
        <v>235</v>
      </c>
      <c r="C236" s="49">
        <v>0.1515</v>
      </c>
      <c r="D236" s="49">
        <v>0.59</v>
      </c>
      <c r="E236" s="49">
        <v>0.16420000000000001</v>
      </c>
      <c r="F236" s="49">
        <v>0</v>
      </c>
      <c r="G236" s="49">
        <v>3</v>
      </c>
      <c r="H236" s="49">
        <v>3</v>
      </c>
      <c r="I236" s="42">
        <f t="shared" si="48"/>
        <v>71.381000000000071</v>
      </c>
      <c r="J236" s="42">
        <f t="shared" si="49"/>
        <v>0.18984308510638317</v>
      </c>
      <c r="K236" s="42">
        <f t="shared" si="50"/>
        <v>376</v>
      </c>
      <c r="L236" s="42">
        <f t="shared" si="51"/>
        <v>215.66000000000022</v>
      </c>
      <c r="M236" s="42">
        <f t="shared" si="52"/>
        <v>0.57356382978723464</v>
      </c>
      <c r="N236" s="42">
        <f t="shared" si="53"/>
        <v>376</v>
      </c>
      <c r="O236" s="42">
        <f t="shared" si="54"/>
        <v>21371</v>
      </c>
      <c r="P236" s="42">
        <f t="shared" si="55"/>
        <v>56.837765957446805</v>
      </c>
      <c r="Q236" s="42">
        <f t="shared" si="56"/>
        <v>376</v>
      </c>
      <c r="R236" s="42" t="str">
        <f t="shared" si="57"/>
        <v>2</v>
      </c>
      <c r="S236" s="42" t="str">
        <f t="shared" si="58"/>
        <v>5</v>
      </c>
      <c r="T236" s="42">
        <f t="shared" si="59"/>
        <v>3</v>
      </c>
      <c r="U236" s="42">
        <f t="shared" si="60"/>
        <v>89</v>
      </c>
      <c r="V236" s="42">
        <f t="shared" si="61"/>
        <v>3183</v>
      </c>
      <c r="W236" s="42">
        <f t="shared" si="62"/>
        <v>49.316801509098106</v>
      </c>
      <c r="X236" s="42">
        <f t="shared" si="63"/>
        <v>0.18825987366070532</v>
      </c>
    </row>
    <row r="237" spans="1:24" x14ac:dyDescent="0.2">
      <c r="A237" s="49">
        <v>235</v>
      </c>
      <c r="B237" s="49">
        <v>236</v>
      </c>
      <c r="C237" s="49">
        <v>0.1515</v>
      </c>
      <c r="D237" s="49">
        <v>0.55000000000000004</v>
      </c>
      <c r="E237" s="49">
        <v>0.19400000000000001</v>
      </c>
      <c r="F237" s="49">
        <v>0</v>
      </c>
      <c r="G237" s="49">
        <v>3</v>
      </c>
      <c r="H237" s="49">
        <v>3</v>
      </c>
      <c r="I237" s="42">
        <f t="shared" si="48"/>
        <v>71.229500000000073</v>
      </c>
      <c r="J237" s="42">
        <f t="shared" si="49"/>
        <v>0.18994533333333352</v>
      </c>
      <c r="K237" s="42">
        <f t="shared" si="50"/>
        <v>375</v>
      </c>
      <c r="L237" s="42">
        <f t="shared" si="51"/>
        <v>215.07000000000025</v>
      </c>
      <c r="M237" s="42">
        <f t="shared" si="52"/>
        <v>0.5735200000000007</v>
      </c>
      <c r="N237" s="42">
        <f t="shared" si="53"/>
        <v>375</v>
      </c>
      <c r="O237" s="42">
        <f t="shared" si="54"/>
        <v>21368</v>
      </c>
      <c r="P237" s="42">
        <f t="shared" si="55"/>
        <v>56.981333333333332</v>
      </c>
      <c r="Q237" s="42">
        <f t="shared" si="56"/>
        <v>375</v>
      </c>
      <c r="R237" s="42" t="str">
        <f t="shared" si="57"/>
        <v>2</v>
      </c>
      <c r="S237" s="42" t="str">
        <f t="shared" si="58"/>
        <v>6</v>
      </c>
      <c r="T237" s="42">
        <f t="shared" si="59"/>
        <v>3</v>
      </c>
      <c r="U237" s="42">
        <f t="shared" si="60"/>
        <v>89</v>
      </c>
      <c r="V237" s="42">
        <f t="shared" si="61"/>
        <v>3183</v>
      </c>
      <c r="W237" s="42">
        <f t="shared" si="62"/>
        <v>49.316801509098106</v>
      </c>
      <c r="X237" s="42">
        <f t="shared" si="63"/>
        <v>0.18825987366070532</v>
      </c>
    </row>
    <row r="238" spans="1:24" x14ac:dyDescent="0.2">
      <c r="A238" s="49">
        <v>236</v>
      </c>
      <c r="B238" s="49">
        <v>237</v>
      </c>
      <c r="C238" s="49">
        <v>0.18179999999999999</v>
      </c>
      <c r="D238" s="49">
        <v>0.55000000000000004</v>
      </c>
      <c r="E238" s="49">
        <v>0.1343</v>
      </c>
      <c r="F238" s="49">
        <v>0</v>
      </c>
      <c r="G238" s="49">
        <v>6</v>
      </c>
      <c r="H238" s="49">
        <v>6</v>
      </c>
      <c r="I238" s="42">
        <f t="shared" si="48"/>
        <v>71.078000000000074</v>
      </c>
      <c r="J238" s="42">
        <f t="shared" si="49"/>
        <v>0.19004812834224619</v>
      </c>
      <c r="K238" s="42">
        <f t="shared" si="50"/>
        <v>374</v>
      </c>
      <c r="L238" s="42">
        <f t="shared" si="51"/>
        <v>214.52000000000027</v>
      </c>
      <c r="M238" s="42">
        <f t="shared" si="52"/>
        <v>0.57358288770053545</v>
      </c>
      <c r="N238" s="42">
        <f t="shared" si="53"/>
        <v>374</v>
      </c>
      <c r="O238" s="42">
        <f t="shared" si="54"/>
        <v>21365</v>
      </c>
      <c r="P238" s="42">
        <f t="shared" si="55"/>
        <v>57.12566844919786</v>
      </c>
      <c r="Q238" s="42">
        <f t="shared" si="56"/>
        <v>374</v>
      </c>
      <c r="R238" s="42" t="str">
        <f t="shared" si="57"/>
        <v>2</v>
      </c>
      <c r="S238" s="42" t="str">
        <f t="shared" si="58"/>
        <v>7</v>
      </c>
      <c r="T238" s="42">
        <f t="shared" si="59"/>
        <v>3</v>
      </c>
      <c r="U238" s="42">
        <f t="shared" si="60"/>
        <v>89</v>
      </c>
      <c r="V238" s="42">
        <f t="shared" si="61"/>
        <v>3183</v>
      </c>
      <c r="W238" s="42">
        <f t="shared" si="62"/>
        <v>49.316801509098106</v>
      </c>
      <c r="X238" s="42">
        <f t="shared" si="63"/>
        <v>0.18825987366070532</v>
      </c>
    </row>
    <row r="239" spans="1:24" x14ac:dyDescent="0.2">
      <c r="A239" s="49">
        <v>237</v>
      </c>
      <c r="B239" s="49">
        <v>238</v>
      </c>
      <c r="C239" s="49">
        <v>0.18179999999999999</v>
      </c>
      <c r="D239" s="49">
        <v>0.55000000000000004</v>
      </c>
      <c r="E239" s="49">
        <v>0.1343</v>
      </c>
      <c r="F239" s="49">
        <v>0</v>
      </c>
      <c r="G239" s="49">
        <v>27</v>
      </c>
      <c r="H239" s="49">
        <v>27</v>
      </c>
      <c r="I239" s="42">
        <f t="shared" si="48"/>
        <v>70.896200000000064</v>
      </c>
      <c r="J239" s="42">
        <f t="shared" si="49"/>
        <v>0.19007024128686345</v>
      </c>
      <c r="K239" s="42">
        <f t="shared" si="50"/>
        <v>373</v>
      </c>
      <c r="L239" s="42">
        <f t="shared" si="51"/>
        <v>213.97000000000028</v>
      </c>
      <c r="M239" s="42">
        <f t="shared" si="52"/>
        <v>0.57364611260053699</v>
      </c>
      <c r="N239" s="42">
        <f t="shared" si="53"/>
        <v>373</v>
      </c>
      <c r="O239" s="42">
        <f t="shared" si="54"/>
        <v>21359</v>
      </c>
      <c r="P239" s="42">
        <f t="shared" si="55"/>
        <v>57.262734584450399</v>
      </c>
      <c r="Q239" s="42">
        <f t="shared" si="56"/>
        <v>373</v>
      </c>
      <c r="R239" s="42" t="str">
        <f t="shared" si="57"/>
        <v>2</v>
      </c>
      <c r="S239" s="42" t="str">
        <f t="shared" si="58"/>
        <v>8</v>
      </c>
      <c r="T239" s="42">
        <f t="shared" si="59"/>
        <v>3</v>
      </c>
      <c r="U239" s="42">
        <f t="shared" si="60"/>
        <v>89</v>
      </c>
      <c r="V239" s="42">
        <f t="shared" si="61"/>
        <v>3183</v>
      </c>
      <c r="W239" s="42">
        <f t="shared" si="62"/>
        <v>49.316801509098106</v>
      </c>
      <c r="X239" s="42">
        <f t="shared" si="63"/>
        <v>0.18825987366070532</v>
      </c>
    </row>
    <row r="240" spans="1:24" x14ac:dyDescent="0.2">
      <c r="A240" s="49">
        <v>238</v>
      </c>
      <c r="B240" s="49">
        <v>239</v>
      </c>
      <c r="C240" s="49">
        <v>0.2273</v>
      </c>
      <c r="D240" s="49">
        <v>0.55000000000000004</v>
      </c>
      <c r="E240" s="49">
        <v>0</v>
      </c>
      <c r="F240" s="49">
        <v>2</v>
      </c>
      <c r="G240" s="49">
        <v>97</v>
      </c>
      <c r="H240" s="49">
        <v>99</v>
      </c>
      <c r="I240" s="42">
        <f t="shared" si="48"/>
        <v>70.714400000000069</v>
      </c>
      <c r="J240" s="42">
        <f t="shared" si="49"/>
        <v>0.19009247311827976</v>
      </c>
      <c r="K240" s="42">
        <f t="shared" si="50"/>
        <v>372</v>
      </c>
      <c r="L240" s="42">
        <f t="shared" si="51"/>
        <v>213.42000000000027</v>
      </c>
      <c r="M240" s="42">
        <f t="shared" si="52"/>
        <v>0.57370967741935552</v>
      </c>
      <c r="N240" s="42">
        <f t="shared" si="53"/>
        <v>372</v>
      </c>
      <c r="O240" s="42">
        <f t="shared" si="54"/>
        <v>21332</v>
      </c>
      <c r="P240" s="42">
        <f t="shared" si="55"/>
        <v>57.344086021505376</v>
      </c>
      <c r="Q240" s="42">
        <f t="shared" si="56"/>
        <v>372</v>
      </c>
      <c r="R240" s="42" t="str">
        <f t="shared" si="57"/>
        <v>2</v>
      </c>
      <c r="S240" s="42" t="str">
        <f t="shared" si="58"/>
        <v>9</v>
      </c>
      <c r="T240" s="42">
        <f t="shared" si="59"/>
        <v>3</v>
      </c>
      <c r="U240" s="42">
        <f t="shared" si="60"/>
        <v>89</v>
      </c>
      <c r="V240" s="42">
        <f t="shared" si="61"/>
        <v>3183</v>
      </c>
      <c r="W240" s="42">
        <f t="shared" si="62"/>
        <v>49.316801509098106</v>
      </c>
      <c r="X240" s="42">
        <f t="shared" si="63"/>
        <v>0.18825987366070532</v>
      </c>
    </row>
    <row r="241" spans="1:24" x14ac:dyDescent="0.2">
      <c r="A241" s="49">
        <v>239</v>
      </c>
      <c r="B241" s="49">
        <v>240</v>
      </c>
      <c r="C241" s="49">
        <v>0.21210000000000001</v>
      </c>
      <c r="D241" s="49">
        <v>0.51</v>
      </c>
      <c r="E241" s="49">
        <v>8.9599999999999999E-2</v>
      </c>
      <c r="F241" s="49">
        <v>3</v>
      </c>
      <c r="G241" s="49">
        <v>214</v>
      </c>
      <c r="H241" s="49">
        <v>217</v>
      </c>
      <c r="I241" s="42">
        <f t="shared" si="48"/>
        <v>70.487100000000055</v>
      </c>
      <c r="J241" s="42">
        <f t="shared" si="49"/>
        <v>0.18999218328840986</v>
      </c>
      <c r="K241" s="42">
        <f t="shared" si="50"/>
        <v>371</v>
      </c>
      <c r="L241" s="42">
        <f t="shared" si="51"/>
        <v>212.87000000000029</v>
      </c>
      <c r="M241" s="42">
        <f t="shared" si="52"/>
        <v>0.5737735849056611</v>
      </c>
      <c r="N241" s="42">
        <f t="shared" si="53"/>
        <v>371</v>
      </c>
      <c r="O241" s="42">
        <f t="shared" si="54"/>
        <v>21233</v>
      </c>
      <c r="P241" s="42">
        <f t="shared" si="55"/>
        <v>57.23180592991914</v>
      </c>
      <c r="Q241" s="42">
        <f t="shared" si="56"/>
        <v>371</v>
      </c>
      <c r="R241" s="42" t="str">
        <f t="shared" si="57"/>
        <v>2</v>
      </c>
      <c r="S241" s="42" t="str">
        <f t="shared" si="58"/>
        <v>0</v>
      </c>
      <c r="T241" s="42">
        <f t="shared" si="59"/>
        <v>3</v>
      </c>
      <c r="U241" s="42">
        <f t="shared" si="60"/>
        <v>89</v>
      </c>
      <c r="V241" s="42">
        <f t="shared" si="61"/>
        <v>3183</v>
      </c>
      <c r="W241" s="42">
        <f t="shared" si="62"/>
        <v>49.316801509098106</v>
      </c>
      <c r="X241" s="42">
        <f t="shared" si="63"/>
        <v>0.18825987366070532</v>
      </c>
    </row>
    <row r="242" spans="1:24" x14ac:dyDescent="0.2">
      <c r="A242" s="49">
        <v>240</v>
      </c>
      <c r="B242" s="49">
        <v>241</v>
      </c>
      <c r="C242" s="49">
        <v>0.19700000000000001</v>
      </c>
      <c r="D242" s="49">
        <v>0.51</v>
      </c>
      <c r="E242" s="49">
        <v>0.16420000000000001</v>
      </c>
      <c r="F242" s="49">
        <v>3</v>
      </c>
      <c r="G242" s="49">
        <v>127</v>
      </c>
      <c r="H242" s="49">
        <v>130</v>
      </c>
      <c r="I242" s="42">
        <f t="shared" si="48"/>
        <v>70.275000000000048</v>
      </c>
      <c r="J242" s="42">
        <f t="shared" si="49"/>
        <v>0.18993243243243257</v>
      </c>
      <c r="K242" s="42">
        <f t="shared" si="50"/>
        <v>370</v>
      </c>
      <c r="L242" s="42">
        <f t="shared" si="51"/>
        <v>212.36000000000027</v>
      </c>
      <c r="M242" s="42">
        <f t="shared" si="52"/>
        <v>0.57394594594594672</v>
      </c>
      <c r="N242" s="42">
        <f t="shared" si="53"/>
        <v>370</v>
      </c>
      <c r="O242" s="42">
        <f t="shared" si="54"/>
        <v>21016</v>
      </c>
      <c r="P242" s="42">
        <f t="shared" si="55"/>
        <v>56.8</v>
      </c>
      <c r="Q242" s="42">
        <f t="shared" si="56"/>
        <v>370</v>
      </c>
      <c r="R242" s="42" t="str">
        <f t="shared" si="57"/>
        <v>2</v>
      </c>
      <c r="S242" s="42" t="str">
        <f t="shared" si="58"/>
        <v>1</v>
      </c>
      <c r="T242" s="42">
        <f t="shared" si="59"/>
        <v>3</v>
      </c>
      <c r="U242" s="42">
        <f t="shared" si="60"/>
        <v>89</v>
      </c>
      <c r="V242" s="42">
        <f t="shared" si="61"/>
        <v>3183</v>
      </c>
      <c r="W242" s="42">
        <f t="shared" si="62"/>
        <v>49.316801509098106</v>
      </c>
      <c r="X242" s="42">
        <f t="shared" si="63"/>
        <v>0.18825987366070532</v>
      </c>
    </row>
    <row r="243" spans="1:24" x14ac:dyDescent="0.2">
      <c r="A243" s="49">
        <v>241</v>
      </c>
      <c r="B243" s="49">
        <v>242</v>
      </c>
      <c r="C243" s="49">
        <v>0.21210000000000001</v>
      </c>
      <c r="D243" s="49">
        <v>0.51</v>
      </c>
      <c r="E243" s="49">
        <v>0.16420000000000001</v>
      </c>
      <c r="F243" s="49">
        <v>3</v>
      </c>
      <c r="G243" s="49">
        <v>51</v>
      </c>
      <c r="H243" s="49">
        <v>54</v>
      </c>
      <c r="I243" s="42">
        <f t="shared" si="48"/>
        <v>70.078000000000046</v>
      </c>
      <c r="J243" s="42">
        <f t="shared" si="49"/>
        <v>0.18991327913279146</v>
      </c>
      <c r="K243" s="42">
        <f t="shared" si="50"/>
        <v>369</v>
      </c>
      <c r="L243" s="42">
        <f t="shared" si="51"/>
        <v>211.85000000000025</v>
      </c>
      <c r="M243" s="42">
        <f t="shared" si="52"/>
        <v>0.57411924119241264</v>
      </c>
      <c r="N243" s="42">
        <f t="shared" si="53"/>
        <v>369</v>
      </c>
      <c r="O243" s="42">
        <f t="shared" si="54"/>
        <v>20886</v>
      </c>
      <c r="P243" s="42">
        <f t="shared" si="55"/>
        <v>56.601626016260163</v>
      </c>
      <c r="Q243" s="42">
        <f t="shared" si="56"/>
        <v>369</v>
      </c>
      <c r="R243" s="42" t="str">
        <f t="shared" si="57"/>
        <v>2</v>
      </c>
      <c r="S243" s="42" t="str">
        <f t="shared" si="58"/>
        <v>2</v>
      </c>
      <c r="T243" s="42">
        <f t="shared" si="59"/>
        <v>3</v>
      </c>
      <c r="U243" s="42">
        <f t="shared" si="60"/>
        <v>89</v>
      </c>
      <c r="V243" s="42">
        <f t="shared" si="61"/>
        <v>3183</v>
      </c>
      <c r="W243" s="42">
        <f t="shared" si="62"/>
        <v>49.316801509098106</v>
      </c>
      <c r="X243" s="42">
        <f t="shared" si="63"/>
        <v>0.18825987366070532</v>
      </c>
    </row>
    <row r="244" spans="1:24" x14ac:dyDescent="0.2">
      <c r="A244" s="49">
        <v>242</v>
      </c>
      <c r="B244" s="49">
        <v>243</v>
      </c>
      <c r="C244" s="49">
        <v>0.21210000000000001</v>
      </c>
      <c r="D244" s="49">
        <v>0.47</v>
      </c>
      <c r="E244" s="49">
        <v>0.1343</v>
      </c>
      <c r="F244" s="49">
        <v>4</v>
      </c>
      <c r="G244" s="49">
        <v>31</v>
      </c>
      <c r="H244" s="49">
        <v>35</v>
      </c>
      <c r="I244" s="42">
        <f t="shared" si="48"/>
        <v>69.865900000000053</v>
      </c>
      <c r="J244" s="42">
        <f t="shared" si="49"/>
        <v>0.18985298913043494</v>
      </c>
      <c r="K244" s="42">
        <f t="shared" si="50"/>
        <v>368</v>
      </c>
      <c r="L244" s="42">
        <f t="shared" si="51"/>
        <v>211.34000000000029</v>
      </c>
      <c r="M244" s="42">
        <f t="shared" si="52"/>
        <v>0.57429347826087029</v>
      </c>
      <c r="N244" s="42">
        <f t="shared" si="53"/>
        <v>368</v>
      </c>
      <c r="O244" s="42">
        <f t="shared" si="54"/>
        <v>20832</v>
      </c>
      <c r="P244" s="42">
        <f t="shared" si="55"/>
        <v>56.608695652173914</v>
      </c>
      <c r="Q244" s="42">
        <f t="shared" si="56"/>
        <v>368</v>
      </c>
      <c r="R244" s="42" t="str">
        <f t="shared" si="57"/>
        <v>2</v>
      </c>
      <c r="S244" s="42" t="str">
        <f t="shared" si="58"/>
        <v>3</v>
      </c>
      <c r="T244" s="42">
        <f t="shared" si="59"/>
        <v>3</v>
      </c>
      <c r="U244" s="42">
        <f t="shared" si="60"/>
        <v>89</v>
      </c>
      <c r="V244" s="42">
        <f t="shared" si="61"/>
        <v>3183</v>
      </c>
      <c r="W244" s="42">
        <f t="shared" si="62"/>
        <v>49.316801509098106</v>
      </c>
      <c r="X244" s="42">
        <f t="shared" si="63"/>
        <v>0.18825987366070532</v>
      </c>
    </row>
    <row r="245" spans="1:24" x14ac:dyDescent="0.2">
      <c r="A245" s="49">
        <v>243</v>
      </c>
      <c r="B245" s="49">
        <v>244</v>
      </c>
      <c r="C245" s="49">
        <v>0.2273</v>
      </c>
      <c r="D245" s="49">
        <v>0.51</v>
      </c>
      <c r="E245" s="49">
        <v>0.1045</v>
      </c>
      <c r="F245" s="49">
        <v>2</v>
      </c>
      <c r="G245" s="49">
        <v>55</v>
      </c>
      <c r="H245" s="49">
        <v>57</v>
      </c>
      <c r="I245" s="42">
        <f t="shared" si="48"/>
        <v>69.653800000000047</v>
      </c>
      <c r="J245" s="42">
        <f t="shared" si="49"/>
        <v>0.18979237057220721</v>
      </c>
      <c r="K245" s="42">
        <f t="shared" si="50"/>
        <v>367</v>
      </c>
      <c r="L245" s="42">
        <f t="shared" si="51"/>
        <v>210.87000000000026</v>
      </c>
      <c r="M245" s="42">
        <f t="shared" si="52"/>
        <v>0.57457765667575</v>
      </c>
      <c r="N245" s="42">
        <f t="shared" si="53"/>
        <v>367</v>
      </c>
      <c r="O245" s="42">
        <f t="shared" si="54"/>
        <v>20797</v>
      </c>
      <c r="P245" s="42">
        <f t="shared" si="55"/>
        <v>56.667574931880111</v>
      </c>
      <c r="Q245" s="42">
        <f t="shared" si="56"/>
        <v>367</v>
      </c>
      <c r="R245" s="42" t="str">
        <f t="shared" si="57"/>
        <v>2</v>
      </c>
      <c r="S245" s="42" t="str">
        <f t="shared" si="58"/>
        <v>4</v>
      </c>
      <c r="T245" s="42">
        <f t="shared" si="59"/>
        <v>3</v>
      </c>
      <c r="U245" s="42">
        <f t="shared" si="60"/>
        <v>89</v>
      </c>
      <c r="V245" s="42">
        <f t="shared" si="61"/>
        <v>3183</v>
      </c>
      <c r="W245" s="42">
        <f t="shared" si="62"/>
        <v>49.316801509098106</v>
      </c>
      <c r="X245" s="42">
        <f t="shared" si="63"/>
        <v>0.18825987366070532</v>
      </c>
    </row>
    <row r="246" spans="1:24" x14ac:dyDescent="0.2">
      <c r="A246" s="49">
        <v>244</v>
      </c>
      <c r="B246" s="49">
        <v>245</v>
      </c>
      <c r="C246" s="49">
        <v>0.2273</v>
      </c>
      <c r="D246" s="49">
        <v>0.59</v>
      </c>
      <c r="E246" s="49">
        <v>8.9599999999999999E-2</v>
      </c>
      <c r="F246" s="49">
        <v>6</v>
      </c>
      <c r="G246" s="49">
        <v>46</v>
      </c>
      <c r="H246" s="49">
        <v>52</v>
      </c>
      <c r="I246" s="42">
        <f t="shared" si="48"/>
        <v>69.426500000000061</v>
      </c>
      <c r="J246" s="42">
        <f t="shared" si="49"/>
        <v>0.18968989071038267</v>
      </c>
      <c r="K246" s="42">
        <f t="shared" si="50"/>
        <v>366</v>
      </c>
      <c r="L246" s="42">
        <f t="shared" si="51"/>
        <v>210.36000000000024</v>
      </c>
      <c r="M246" s="42">
        <f t="shared" si="52"/>
        <v>0.57475409836065638</v>
      </c>
      <c r="N246" s="42">
        <f t="shared" si="53"/>
        <v>366</v>
      </c>
      <c r="O246" s="42">
        <f t="shared" si="54"/>
        <v>20740</v>
      </c>
      <c r="P246" s="42">
        <f t="shared" si="55"/>
        <v>56.666666666666664</v>
      </c>
      <c r="Q246" s="42">
        <f t="shared" si="56"/>
        <v>366</v>
      </c>
      <c r="R246" s="42" t="str">
        <f t="shared" si="57"/>
        <v>2</v>
      </c>
      <c r="S246" s="42" t="str">
        <f t="shared" si="58"/>
        <v>5</v>
      </c>
      <c r="T246" s="42">
        <f t="shared" si="59"/>
        <v>3</v>
      </c>
      <c r="U246" s="42">
        <f t="shared" si="60"/>
        <v>89</v>
      </c>
      <c r="V246" s="42">
        <f t="shared" si="61"/>
        <v>3183</v>
      </c>
      <c r="W246" s="42">
        <f t="shared" si="62"/>
        <v>49.316801509098106</v>
      </c>
      <c r="X246" s="42">
        <f t="shared" si="63"/>
        <v>0.18825987366070532</v>
      </c>
    </row>
    <row r="247" spans="1:24" x14ac:dyDescent="0.2">
      <c r="A247" s="49">
        <v>245</v>
      </c>
      <c r="B247" s="49">
        <v>246</v>
      </c>
      <c r="C247" s="49">
        <v>0.2273</v>
      </c>
      <c r="D247" s="49">
        <v>0.59</v>
      </c>
      <c r="E247" s="49">
        <v>8.9599999999999999E-2</v>
      </c>
      <c r="F247" s="49">
        <v>3</v>
      </c>
      <c r="G247" s="49">
        <v>60</v>
      </c>
      <c r="H247" s="49">
        <v>63</v>
      </c>
      <c r="I247" s="42">
        <f t="shared" si="48"/>
        <v>69.199200000000062</v>
      </c>
      <c r="J247" s="42">
        <f t="shared" si="49"/>
        <v>0.18958684931506867</v>
      </c>
      <c r="K247" s="42">
        <f t="shared" si="50"/>
        <v>365</v>
      </c>
      <c r="L247" s="42">
        <f t="shared" si="51"/>
        <v>209.77000000000027</v>
      </c>
      <c r="M247" s="42">
        <f t="shared" si="52"/>
        <v>0.57471232876712397</v>
      </c>
      <c r="N247" s="42">
        <f t="shared" si="53"/>
        <v>365</v>
      </c>
      <c r="O247" s="42">
        <f t="shared" si="54"/>
        <v>20688</v>
      </c>
      <c r="P247" s="42">
        <f t="shared" si="55"/>
        <v>56.679452054794524</v>
      </c>
      <c r="Q247" s="42">
        <f t="shared" si="56"/>
        <v>365</v>
      </c>
      <c r="R247" s="42" t="str">
        <f t="shared" si="57"/>
        <v>2</v>
      </c>
      <c r="S247" s="42" t="str">
        <f t="shared" si="58"/>
        <v>6</v>
      </c>
      <c r="T247" s="42">
        <f t="shared" si="59"/>
        <v>3</v>
      </c>
      <c r="U247" s="42">
        <f t="shared" si="60"/>
        <v>89</v>
      </c>
      <c r="V247" s="42">
        <f t="shared" si="61"/>
        <v>3183</v>
      </c>
      <c r="W247" s="42">
        <f t="shared" si="62"/>
        <v>49.316801509098106</v>
      </c>
      <c r="X247" s="42">
        <f t="shared" si="63"/>
        <v>0.18825987366070532</v>
      </c>
    </row>
    <row r="248" spans="1:24" x14ac:dyDescent="0.2">
      <c r="A248" s="49">
        <v>246</v>
      </c>
      <c r="B248" s="49">
        <v>247</v>
      </c>
      <c r="C248" s="49">
        <v>0.19700000000000001</v>
      </c>
      <c r="D248" s="49">
        <v>0.8</v>
      </c>
      <c r="E248" s="49">
        <v>8.9599999999999999E-2</v>
      </c>
      <c r="F248" s="49">
        <v>2</v>
      </c>
      <c r="G248" s="49">
        <v>45</v>
      </c>
      <c r="H248" s="49">
        <v>47</v>
      </c>
      <c r="I248" s="42">
        <f t="shared" si="48"/>
        <v>68.971900000000062</v>
      </c>
      <c r="J248" s="42">
        <f t="shared" si="49"/>
        <v>0.18948324175824194</v>
      </c>
      <c r="K248" s="42">
        <f t="shared" si="50"/>
        <v>364</v>
      </c>
      <c r="L248" s="42">
        <f t="shared" si="51"/>
        <v>209.18000000000026</v>
      </c>
      <c r="M248" s="42">
        <f t="shared" si="52"/>
        <v>0.57467032967033038</v>
      </c>
      <c r="N248" s="42">
        <f t="shared" si="53"/>
        <v>364</v>
      </c>
      <c r="O248" s="42">
        <f t="shared" si="54"/>
        <v>20625</v>
      </c>
      <c r="P248" s="42">
        <f t="shared" si="55"/>
        <v>56.662087912087912</v>
      </c>
      <c r="Q248" s="42">
        <f t="shared" si="56"/>
        <v>364</v>
      </c>
      <c r="R248" s="42" t="str">
        <f t="shared" si="57"/>
        <v>2</v>
      </c>
      <c r="S248" s="42" t="str">
        <f t="shared" si="58"/>
        <v>7</v>
      </c>
      <c r="T248" s="42">
        <f t="shared" si="59"/>
        <v>3</v>
      </c>
      <c r="U248" s="42">
        <f t="shared" si="60"/>
        <v>89</v>
      </c>
      <c r="V248" s="42">
        <f t="shared" si="61"/>
        <v>3183</v>
      </c>
      <c r="W248" s="42">
        <f t="shared" si="62"/>
        <v>49.316801509098106</v>
      </c>
      <c r="X248" s="42">
        <f t="shared" si="63"/>
        <v>0.18825987366070532</v>
      </c>
    </row>
    <row r="249" spans="1:24" x14ac:dyDescent="0.2">
      <c r="A249" s="49">
        <v>247</v>
      </c>
      <c r="B249" s="49">
        <v>248</v>
      </c>
      <c r="C249" s="49">
        <v>0.1515</v>
      </c>
      <c r="D249" s="49">
        <v>0.86</v>
      </c>
      <c r="E249" s="49">
        <v>0.22389999999999999</v>
      </c>
      <c r="F249" s="49">
        <v>4</v>
      </c>
      <c r="G249" s="49">
        <v>72</v>
      </c>
      <c r="H249" s="49">
        <v>76</v>
      </c>
      <c r="I249" s="42">
        <f t="shared" si="48"/>
        <v>68.774900000000059</v>
      </c>
      <c r="J249" s="42">
        <f t="shared" si="49"/>
        <v>0.18946253443526187</v>
      </c>
      <c r="K249" s="42">
        <f t="shared" si="50"/>
        <v>363</v>
      </c>
      <c r="L249" s="42">
        <f t="shared" si="51"/>
        <v>208.38000000000028</v>
      </c>
      <c r="M249" s="42">
        <f t="shared" si="52"/>
        <v>0.57404958677686024</v>
      </c>
      <c r="N249" s="42">
        <f t="shared" si="53"/>
        <v>363</v>
      </c>
      <c r="O249" s="42">
        <f t="shared" si="54"/>
        <v>20578</v>
      </c>
      <c r="P249" s="42">
        <f t="shared" si="55"/>
        <v>56.688705234159777</v>
      </c>
      <c r="Q249" s="42">
        <f t="shared" si="56"/>
        <v>363</v>
      </c>
      <c r="R249" s="42" t="str">
        <f t="shared" si="57"/>
        <v>2</v>
      </c>
      <c r="S249" s="42" t="str">
        <f t="shared" si="58"/>
        <v>8</v>
      </c>
      <c r="T249" s="42">
        <f t="shared" si="59"/>
        <v>3</v>
      </c>
      <c r="U249" s="42">
        <f t="shared" si="60"/>
        <v>89</v>
      </c>
      <c r="V249" s="42">
        <f t="shared" si="61"/>
        <v>3183</v>
      </c>
      <c r="W249" s="42">
        <f t="shared" si="62"/>
        <v>49.316801509098106</v>
      </c>
      <c r="X249" s="42">
        <f t="shared" si="63"/>
        <v>0.18825987366070532</v>
      </c>
    </row>
    <row r="250" spans="1:24" x14ac:dyDescent="0.2">
      <c r="A250" s="49">
        <v>248</v>
      </c>
      <c r="B250" s="49">
        <v>249</v>
      </c>
      <c r="C250" s="49">
        <v>0.1515</v>
      </c>
      <c r="D250" s="49">
        <v>0.86</v>
      </c>
      <c r="E250" s="49">
        <v>0.22389999999999999</v>
      </c>
      <c r="F250" s="49">
        <v>6</v>
      </c>
      <c r="G250" s="49">
        <v>130</v>
      </c>
      <c r="H250" s="49">
        <v>136</v>
      </c>
      <c r="I250" s="42">
        <f t="shared" si="48"/>
        <v>68.623400000000061</v>
      </c>
      <c r="J250" s="42">
        <f t="shared" si="49"/>
        <v>0.18956740331491728</v>
      </c>
      <c r="K250" s="42">
        <f t="shared" si="50"/>
        <v>362</v>
      </c>
      <c r="L250" s="42">
        <f t="shared" si="51"/>
        <v>207.52000000000027</v>
      </c>
      <c r="M250" s="42">
        <f t="shared" si="52"/>
        <v>0.57325966850828802</v>
      </c>
      <c r="N250" s="42">
        <f t="shared" si="53"/>
        <v>362</v>
      </c>
      <c r="O250" s="42">
        <f t="shared" si="54"/>
        <v>20502</v>
      </c>
      <c r="P250" s="42">
        <f t="shared" si="55"/>
        <v>56.635359116022101</v>
      </c>
      <c r="Q250" s="42">
        <f t="shared" si="56"/>
        <v>362</v>
      </c>
      <c r="R250" s="42" t="str">
        <f t="shared" si="57"/>
        <v>2</v>
      </c>
      <c r="S250" s="42" t="str">
        <f t="shared" si="58"/>
        <v>9</v>
      </c>
      <c r="T250" s="42">
        <f t="shared" si="59"/>
        <v>3</v>
      </c>
      <c r="U250" s="42">
        <f t="shared" si="60"/>
        <v>89</v>
      </c>
      <c r="V250" s="42">
        <f t="shared" si="61"/>
        <v>3183</v>
      </c>
      <c r="W250" s="42">
        <f t="shared" si="62"/>
        <v>49.316801509098106</v>
      </c>
      <c r="X250" s="42">
        <f t="shared" si="63"/>
        <v>0.18825987366070532</v>
      </c>
    </row>
    <row r="251" spans="1:24" x14ac:dyDescent="0.2">
      <c r="A251" s="49">
        <v>249</v>
      </c>
      <c r="B251" s="49">
        <v>250</v>
      </c>
      <c r="C251" s="49">
        <v>0.18179999999999999</v>
      </c>
      <c r="D251" s="49">
        <v>0.93</v>
      </c>
      <c r="E251" s="49">
        <v>0.1045</v>
      </c>
      <c r="F251" s="49">
        <v>1</v>
      </c>
      <c r="G251" s="49">
        <v>94</v>
      </c>
      <c r="H251" s="49">
        <v>95</v>
      </c>
      <c r="I251" s="42">
        <f t="shared" si="48"/>
        <v>68.471900000000076</v>
      </c>
      <c r="J251" s="42">
        <f t="shared" si="49"/>
        <v>0.18967285318559579</v>
      </c>
      <c r="K251" s="42">
        <f t="shared" si="50"/>
        <v>361</v>
      </c>
      <c r="L251" s="42">
        <f t="shared" si="51"/>
        <v>206.66000000000028</v>
      </c>
      <c r="M251" s="42">
        <f t="shared" si="52"/>
        <v>0.57246537396121966</v>
      </c>
      <c r="N251" s="42">
        <f t="shared" si="53"/>
        <v>361</v>
      </c>
      <c r="O251" s="42">
        <f t="shared" si="54"/>
        <v>20366</v>
      </c>
      <c r="P251" s="42">
        <f t="shared" si="55"/>
        <v>56.415512465373958</v>
      </c>
      <c r="Q251" s="42">
        <f t="shared" si="56"/>
        <v>361</v>
      </c>
      <c r="R251" s="42" t="str">
        <f t="shared" si="57"/>
        <v>2</v>
      </c>
      <c r="S251" s="42" t="str">
        <f t="shared" si="58"/>
        <v>0</v>
      </c>
      <c r="T251" s="42">
        <f t="shared" si="59"/>
        <v>3</v>
      </c>
      <c r="U251" s="42">
        <f t="shared" si="60"/>
        <v>89</v>
      </c>
      <c r="V251" s="42">
        <f t="shared" si="61"/>
        <v>3183</v>
      </c>
      <c r="W251" s="42">
        <f t="shared" si="62"/>
        <v>49.316801509098106</v>
      </c>
      <c r="X251" s="42">
        <f t="shared" si="63"/>
        <v>0.18825987366070532</v>
      </c>
    </row>
    <row r="252" spans="1:24" x14ac:dyDescent="0.2">
      <c r="A252" s="49">
        <v>250</v>
      </c>
      <c r="B252" s="49">
        <v>251</v>
      </c>
      <c r="C252" s="49">
        <v>0.2273</v>
      </c>
      <c r="D252" s="49">
        <v>0.93</v>
      </c>
      <c r="E252" s="49">
        <v>0</v>
      </c>
      <c r="F252" s="49">
        <v>0</v>
      </c>
      <c r="G252" s="49">
        <v>51</v>
      </c>
      <c r="H252" s="49">
        <v>51</v>
      </c>
      <c r="I252" s="42">
        <f t="shared" si="48"/>
        <v>68.290100000000066</v>
      </c>
      <c r="J252" s="42">
        <f t="shared" si="49"/>
        <v>0.18969472222222242</v>
      </c>
      <c r="K252" s="42">
        <f t="shared" si="50"/>
        <v>360</v>
      </c>
      <c r="L252" s="42">
        <f t="shared" si="51"/>
        <v>205.73000000000025</v>
      </c>
      <c r="M252" s="42">
        <f t="shared" si="52"/>
        <v>0.57147222222222294</v>
      </c>
      <c r="N252" s="42">
        <f t="shared" si="53"/>
        <v>360</v>
      </c>
      <c r="O252" s="42">
        <f t="shared" si="54"/>
        <v>20271</v>
      </c>
      <c r="P252" s="42">
        <f t="shared" si="55"/>
        <v>56.30833333333333</v>
      </c>
      <c r="Q252" s="42">
        <f t="shared" si="56"/>
        <v>360</v>
      </c>
      <c r="R252" s="42" t="str">
        <f t="shared" si="57"/>
        <v>2</v>
      </c>
      <c r="S252" s="42" t="str">
        <f t="shared" si="58"/>
        <v>1</v>
      </c>
      <c r="T252" s="42">
        <f t="shared" si="59"/>
        <v>3</v>
      </c>
      <c r="U252" s="42">
        <f t="shared" si="60"/>
        <v>89</v>
      </c>
      <c r="V252" s="42">
        <f t="shared" si="61"/>
        <v>3183</v>
      </c>
      <c r="W252" s="42">
        <f t="shared" si="62"/>
        <v>49.316801509098106</v>
      </c>
      <c r="X252" s="42">
        <f t="shared" si="63"/>
        <v>0.18825987366070532</v>
      </c>
    </row>
    <row r="253" spans="1:24" x14ac:dyDescent="0.2">
      <c r="A253" s="49">
        <v>251</v>
      </c>
      <c r="B253" s="49">
        <v>252</v>
      </c>
      <c r="C253" s="49">
        <v>0.1515</v>
      </c>
      <c r="D253" s="49">
        <v>0.93</v>
      </c>
      <c r="E253" s="49">
        <v>0.19400000000000001</v>
      </c>
      <c r="F253" s="49">
        <v>0</v>
      </c>
      <c r="G253" s="49">
        <v>32</v>
      </c>
      <c r="H253" s="49">
        <v>32</v>
      </c>
      <c r="I253" s="42">
        <f t="shared" si="48"/>
        <v>68.062800000000067</v>
      </c>
      <c r="J253" s="42">
        <f t="shared" si="49"/>
        <v>0.18958997214484699</v>
      </c>
      <c r="K253" s="42">
        <f t="shared" si="50"/>
        <v>359</v>
      </c>
      <c r="L253" s="42">
        <f t="shared" si="51"/>
        <v>204.80000000000024</v>
      </c>
      <c r="M253" s="42">
        <f t="shared" si="52"/>
        <v>0.57047353760445751</v>
      </c>
      <c r="N253" s="42">
        <f t="shared" si="53"/>
        <v>359</v>
      </c>
      <c r="O253" s="42">
        <f t="shared" si="54"/>
        <v>20220</v>
      </c>
      <c r="P253" s="42">
        <f t="shared" si="55"/>
        <v>56.323119777158773</v>
      </c>
      <c r="Q253" s="42">
        <f t="shared" si="56"/>
        <v>359</v>
      </c>
      <c r="R253" s="42" t="str">
        <f t="shared" si="57"/>
        <v>2</v>
      </c>
      <c r="S253" s="42" t="str">
        <f t="shared" si="58"/>
        <v>2</v>
      </c>
      <c r="T253" s="42">
        <f t="shared" si="59"/>
        <v>3</v>
      </c>
      <c r="U253" s="42">
        <f t="shared" si="60"/>
        <v>89</v>
      </c>
      <c r="V253" s="42">
        <f t="shared" si="61"/>
        <v>3183</v>
      </c>
      <c r="W253" s="42">
        <f t="shared" si="62"/>
        <v>49.316801509098106</v>
      </c>
      <c r="X253" s="42">
        <f t="shared" si="63"/>
        <v>0.18825987366070532</v>
      </c>
    </row>
    <row r="254" spans="1:24" x14ac:dyDescent="0.2">
      <c r="A254" s="49">
        <v>252</v>
      </c>
      <c r="B254" s="49">
        <v>253</v>
      </c>
      <c r="C254" s="49">
        <v>0.19700000000000001</v>
      </c>
      <c r="D254" s="49">
        <v>0.86</v>
      </c>
      <c r="E254" s="49">
        <v>8.9599999999999999E-2</v>
      </c>
      <c r="F254" s="49">
        <v>0</v>
      </c>
      <c r="G254" s="49">
        <v>20</v>
      </c>
      <c r="H254" s="49">
        <v>20</v>
      </c>
      <c r="I254" s="42">
        <f t="shared" si="48"/>
        <v>67.911300000000068</v>
      </c>
      <c r="J254" s="42">
        <f t="shared" si="49"/>
        <v>0.189696368715084</v>
      </c>
      <c r="K254" s="42">
        <f t="shared" si="50"/>
        <v>358</v>
      </c>
      <c r="L254" s="42">
        <f t="shared" si="51"/>
        <v>203.87000000000026</v>
      </c>
      <c r="M254" s="42">
        <f t="shared" si="52"/>
        <v>0.56946927374301748</v>
      </c>
      <c r="N254" s="42">
        <f t="shared" si="53"/>
        <v>358</v>
      </c>
      <c r="O254" s="42">
        <f t="shared" si="54"/>
        <v>20188</v>
      </c>
      <c r="P254" s="42">
        <f t="shared" si="55"/>
        <v>56.391061452513966</v>
      </c>
      <c r="Q254" s="42">
        <f t="shared" si="56"/>
        <v>358</v>
      </c>
      <c r="R254" s="42" t="str">
        <f t="shared" si="57"/>
        <v>2</v>
      </c>
      <c r="S254" s="42" t="str">
        <f t="shared" si="58"/>
        <v>3</v>
      </c>
      <c r="T254" s="42">
        <f t="shared" si="59"/>
        <v>3</v>
      </c>
      <c r="U254" s="42">
        <f t="shared" si="60"/>
        <v>89</v>
      </c>
      <c r="V254" s="42">
        <f t="shared" si="61"/>
        <v>3183</v>
      </c>
      <c r="W254" s="42">
        <f t="shared" si="62"/>
        <v>49.316801509098106</v>
      </c>
      <c r="X254" s="42">
        <f t="shared" si="63"/>
        <v>0.18825987366070532</v>
      </c>
    </row>
    <row r="255" spans="1:24" x14ac:dyDescent="0.2">
      <c r="A255" s="49">
        <v>253</v>
      </c>
      <c r="B255" s="49">
        <v>254</v>
      </c>
      <c r="C255" s="49">
        <v>0.18179999999999999</v>
      </c>
      <c r="D255" s="49">
        <v>0.93</v>
      </c>
      <c r="E255" s="49">
        <v>0.1045</v>
      </c>
      <c r="F255" s="49">
        <v>1</v>
      </c>
      <c r="G255" s="49">
        <v>28</v>
      </c>
      <c r="H255" s="49">
        <v>29</v>
      </c>
      <c r="I255" s="42">
        <f t="shared" si="48"/>
        <v>67.714300000000065</v>
      </c>
      <c r="J255" s="42">
        <f t="shared" si="49"/>
        <v>0.18967591036414583</v>
      </c>
      <c r="K255" s="42">
        <f t="shared" si="50"/>
        <v>357</v>
      </c>
      <c r="L255" s="42">
        <f t="shared" si="51"/>
        <v>203.01000000000025</v>
      </c>
      <c r="M255" s="42">
        <f t="shared" si="52"/>
        <v>0.56865546218487462</v>
      </c>
      <c r="N255" s="42">
        <f t="shared" si="53"/>
        <v>357</v>
      </c>
      <c r="O255" s="42">
        <f t="shared" si="54"/>
        <v>20168</v>
      </c>
      <c r="P255" s="42">
        <f t="shared" si="55"/>
        <v>56.49299719887955</v>
      </c>
      <c r="Q255" s="42">
        <f t="shared" si="56"/>
        <v>357</v>
      </c>
      <c r="R255" s="42" t="str">
        <f t="shared" si="57"/>
        <v>2</v>
      </c>
      <c r="S255" s="42" t="str">
        <f t="shared" si="58"/>
        <v>4</v>
      </c>
      <c r="T255" s="42">
        <f t="shared" si="59"/>
        <v>3</v>
      </c>
      <c r="U255" s="42">
        <f t="shared" si="60"/>
        <v>89</v>
      </c>
      <c r="V255" s="42">
        <f t="shared" si="61"/>
        <v>3183</v>
      </c>
      <c r="W255" s="42">
        <f t="shared" si="62"/>
        <v>49.316801509098106</v>
      </c>
      <c r="X255" s="42">
        <f t="shared" si="63"/>
        <v>0.18825987366070532</v>
      </c>
    </row>
    <row r="256" spans="1:24" x14ac:dyDescent="0.2">
      <c r="A256" s="49">
        <v>254</v>
      </c>
      <c r="B256" s="49">
        <v>255</v>
      </c>
      <c r="C256" s="49">
        <v>0.19700000000000001</v>
      </c>
      <c r="D256" s="49">
        <v>0.93</v>
      </c>
      <c r="E256" s="49">
        <v>8.9599999999999999E-2</v>
      </c>
      <c r="F256" s="49">
        <v>1</v>
      </c>
      <c r="G256" s="49">
        <v>18</v>
      </c>
      <c r="H256" s="49">
        <v>19</v>
      </c>
      <c r="I256" s="42">
        <f t="shared" si="48"/>
        <v>67.532500000000056</v>
      </c>
      <c r="J256" s="42">
        <f t="shared" si="49"/>
        <v>0.18969803370786534</v>
      </c>
      <c r="K256" s="42">
        <f t="shared" si="50"/>
        <v>356</v>
      </c>
      <c r="L256" s="42">
        <f t="shared" si="51"/>
        <v>202.08000000000024</v>
      </c>
      <c r="M256" s="42">
        <f t="shared" si="52"/>
        <v>0.56764044943820291</v>
      </c>
      <c r="N256" s="42">
        <f t="shared" si="53"/>
        <v>356</v>
      </c>
      <c r="O256" s="42">
        <f t="shared" si="54"/>
        <v>20139</v>
      </c>
      <c r="P256" s="42">
        <f t="shared" si="55"/>
        <v>56.570224719101127</v>
      </c>
      <c r="Q256" s="42">
        <f t="shared" si="56"/>
        <v>356</v>
      </c>
      <c r="R256" s="42" t="str">
        <f t="shared" si="57"/>
        <v>2</v>
      </c>
      <c r="S256" s="42" t="str">
        <f t="shared" si="58"/>
        <v>5</v>
      </c>
      <c r="T256" s="42">
        <f t="shared" si="59"/>
        <v>3</v>
      </c>
      <c r="U256" s="42">
        <f t="shared" si="60"/>
        <v>89</v>
      </c>
      <c r="V256" s="42">
        <f t="shared" si="61"/>
        <v>3183</v>
      </c>
      <c r="W256" s="42">
        <f t="shared" si="62"/>
        <v>49.316801509098106</v>
      </c>
      <c r="X256" s="42">
        <f t="shared" si="63"/>
        <v>0.18825987366070532</v>
      </c>
    </row>
    <row r="257" spans="1:24" x14ac:dyDescent="0.2">
      <c r="A257" s="49">
        <v>255</v>
      </c>
      <c r="B257" s="49">
        <v>256</v>
      </c>
      <c r="C257" s="49">
        <v>0.19700000000000001</v>
      </c>
      <c r="D257" s="49">
        <v>0.86</v>
      </c>
      <c r="E257" s="49">
        <v>8.9599999999999999E-2</v>
      </c>
      <c r="F257" s="49">
        <v>0</v>
      </c>
      <c r="G257" s="49">
        <v>7</v>
      </c>
      <c r="H257" s="49">
        <v>7</v>
      </c>
      <c r="I257" s="42">
        <f t="shared" si="48"/>
        <v>67.335500000000053</v>
      </c>
      <c r="J257" s="42">
        <f t="shared" si="49"/>
        <v>0.18967746478873254</v>
      </c>
      <c r="K257" s="42">
        <f t="shared" si="50"/>
        <v>355</v>
      </c>
      <c r="L257" s="42">
        <f t="shared" si="51"/>
        <v>201.15000000000026</v>
      </c>
      <c r="M257" s="42">
        <f t="shared" si="52"/>
        <v>0.56661971830985991</v>
      </c>
      <c r="N257" s="42">
        <f t="shared" si="53"/>
        <v>355</v>
      </c>
      <c r="O257" s="42">
        <f t="shared" si="54"/>
        <v>20120</v>
      </c>
      <c r="P257" s="42">
        <f t="shared" si="55"/>
        <v>56.676056338028168</v>
      </c>
      <c r="Q257" s="42">
        <f t="shared" si="56"/>
        <v>355</v>
      </c>
      <c r="R257" s="42" t="str">
        <f t="shared" si="57"/>
        <v>2</v>
      </c>
      <c r="S257" s="42" t="str">
        <f t="shared" si="58"/>
        <v>6</v>
      </c>
      <c r="T257" s="42">
        <f t="shared" si="59"/>
        <v>3</v>
      </c>
      <c r="U257" s="42">
        <f t="shared" si="60"/>
        <v>89</v>
      </c>
      <c r="V257" s="42">
        <f t="shared" si="61"/>
        <v>3183</v>
      </c>
      <c r="W257" s="42">
        <f t="shared" si="62"/>
        <v>49.316801509098106</v>
      </c>
      <c r="X257" s="42">
        <f t="shared" si="63"/>
        <v>0.18825987366070532</v>
      </c>
    </row>
    <row r="258" spans="1:24" x14ac:dyDescent="0.2">
      <c r="A258" s="49">
        <v>256</v>
      </c>
      <c r="B258" s="49">
        <v>257</v>
      </c>
      <c r="C258" s="49">
        <v>0.18179999999999999</v>
      </c>
      <c r="D258" s="49">
        <v>0.86</v>
      </c>
      <c r="E258" s="49">
        <v>0.1045</v>
      </c>
      <c r="F258" s="49">
        <v>0</v>
      </c>
      <c r="G258" s="49">
        <v>6</v>
      </c>
      <c r="H258" s="49">
        <v>6</v>
      </c>
      <c r="I258" s="42">
        <f t="shared" si="48"/>
        <v>67.13850000000005</v>
      </c>
      <c r="J258" s="42">
        <f t="shared" si="49"/>
        <v>0.1896567796610171</v>
      </c>
      <c r="K258" s="42">
        <f t="shared" si="50"/>
        <v>354</v>
      </c>
      <c r="L258" s="42">
        <f t="shared" si="51"/>
        <v>200.29000000000025</v>
      </c>
      <c r="M258" s="42">
        <f t="shared" si="52"/>
        <v>0.56579096045197808</v>
      </c>
      <c r="N258" s="42">
        <f t="shared" si="53"/>
        <v>354</v>
      </c>
      <c r="O258" s="42">
        <f t="shared" si="54"/>
        <v>20113</v>
      </c>
      <c r="P258" s="42">
        <f t="shared" si="55"/>
        <v>56.816384180790962</v>
      </c>
      <c r="Q258" s="42">
        <f t="shared" si="56"/>
        <v>354</v>
      </c>
      <c r="R258" s="42" t="str">
        <f t="shared" si="57"/>
        <v>2</v>
      </c>
      <c r="S258" s="42" t="str">
        <f t="shared" si="58"/>
        <v>7</v>
      </c>
      <c r="T258" s="42">
        <f t="shared" si="59"/>
        <v>3</v>
      </c>
      <c r="U258" s="42">
        <f t="shared" si="60"/>
        <v>89</v>
      </c>
      <c r="V258" s="42">
        <f t="shared" si="61"/>
        <v>3183</v>
      </c>
      <c r="W258" s="42">
        <f t="shared" si="62"/>
        <v>49.316801509098106</v>
      </c>
      <c r="X258" s="42">
        <f t="shared" si="63"/>
        <v>0.18825987366070532</v>
      </c>
    </row>
    <row r="259" spans="1:24" x14ac:dyDescent="0.2">
      <c r="A259" s="49">
        <v>257</v>
      </c>
      <c r="B259" s="49">
        <v>258</v>
      </c>
      <c r="C259" s="49">
        <v>0.1515</v>
      </c>
      <c r="D259" s="49">
        <v>0.86</v>
      </c>
      <c r="E259" s="49">
        <v>0.1343</v>
      </c>
      <c r="F259" s="49">
        <v>0</v>
      </c>
      <c r="G259" s="49">
        <v>1</v>
      </c>
      <c r="H259" s="49">
        <v>1</v>
      </c>
      <c r="I259" s="42">
        <f t="shared" ref="I259:I322" si="64">SUM(C259:C868)</f>
        <v>66.956700000000041</v>
      </c>
      <c r="J259" s="42">
        <f t="shared" ref="J259:J322" si="65">AVERAGE(C259:C868)</f>
        <v>0.18967903682719559</v>
      </c>
      <c r="K259" s="42">
        <f t="shared" ref="K259:K322" si="66">COUNT(C259:C868)</f>
        <v>353</v>
      </c>
      <c r="L259" s="42">
        <f t="shared" ref="L259:L322" si="67">SUM(D259:D868)</f>
        <v>199.43000000000026</v>
      </c>
      <c r="M259" s="42">
        <f t="shared" ref="M259:M322" si="68">AVERAGE(D259:D868)</f>
        <v>0.56495750708215375</v>
      </c>
      <c r="N259" s="42">
        <f t="shared" ref="N259:N322" si="69">COUNT(D259:D868)</f>
        <v>353</v>
      </c>
      <c r="O259" s="42">
        <f t="shared" ref="O259:O322" si="70">SUM(H259:H868)</f>
        <v>20107</v>
      </c>
      <c r="P259" s="42">
        <f t="shared" ref="P259:P322" si="71">AVERAGE(H259:H868)</f>
        <v>56.960339943342774</v>
      </c>
      <c r="Q259" s="42">
        <f t="shared" ref="Q259:Q322" si="72">COUNT(H259:H868)</f>
        <v>353</v>
      </c>
      <c r="R259" s="42" t="str">
        <f t="shared" ref="R259:R322" si="73">LEFT(B259,1)</f>
        <v>2</v>
      </c>
      <c r="S259" s="42" t="str">
        <f t="shared" ref="S259:S322" si="74">RIGHT(B259,1)</f>
        <v>8</v>
      </c>
      <c r="T259" s="42">
        <f t="shared" ref="T259:T322" si="75">LEN(B259)</f>
        <v>3</v>
      </c>
      <c r="U259" s="42">
        <f t="shared" ref="U259:U322" si="76">COUNTIF(H:H,"&gt;100")</f>
        <v>89</v>
      </c>
      <c r="V259" s="42">
        <f t="shared" ref="V259:V322" si="77">SUMIF(D:D,"&gt;0.8",H:H)</f>
        <v>3183</v>
      </c>
      <c r="W259" s="42">
        <f t="shared" ref="W259:W322" si="78">STDEV(H:H)</f>
        <v>49.316801509098106</v>
      </c>
      <c r="X259" s="42">
        <f t="shared" ref="X259:X322" si="79">CORREL(C:C,H:H)</f>
        <v>0.18825987366070532</v>
      </c>
    </row>
    <row r="260" spans="1:24" x14ac:dyDescent="0.2">
      <c r="A260" s="49">
        <v>258</v>
      </c>
      <c r="B260" s="49">
        <v>259</v>
      </c>
      <c r="C260" s="49">
        <v>0.1515</v>
      </c>
      <c r="D260" s="49">
        <v>0.86</v>
      </c>
      <c r="E260" s="49">
        <v>0.16420000000000001</v>
      </c>
      <c r="F260" s="49">
        <v>0</v>
      </c>
      <c r="G260" s="49">
        <v>5</v>
      </c>
      <c r="H260" s="49">
        <v>5</v>
      </c>
      <c r="I260" s="42">
        <f t="shared" si="64"/>
        <v>66.805200000000042</v>
      </c>
      <c r="J260" s="42">
        <f t="shared" si="65"/>
        <v>0.18978750000000011</v>
      </c>
      <c r="K260" s="42">
        <f t="shared" si="66"/>
        <v>352</v>
      </c>
      <c r="L260" s="42">
        <f t="shared" si="67"/>
        <v>198.57000000000022</v>
      </c>
      <c r="M260" s="42">
        <f t="shared" si="68"/>
        <v>0.56411931818181882</v>
      </c>
      <c r="N260" s="42">
        <f t="shared" si="69"/>
        <v>352</v>
      </c>
      <c r="O260" s="42">
        <f t="shared" si="70"/>
        <v>20106</v>
      </c>
      <c r="P260" s="42">
        <f t="shared" si="71"/>
        <v>57.11931818181818</v>
      </c>
      <c r="Q260" s="42">
        <f t="shared" si="72"/>
        <v>352</v>
      </c>
      <c r="R260" s="42" t="str">
        <f t="shared" si="73"/>
        <v>2</v>
      </c>
      <c r="S260" s="42" t="str">
        <f t="shared" si="74"/>
        <v>9</v>
      </c>
      <c r="T260" s="42">
        <f t="shared" si="75"/>
        <v>3</v>
      </c>
      <c r="U260" s="42">
        <f t="shared" si="76"/>
        <v>89</v>
      </c>
      <c r="V260" s="42">
        <f t="shared" si="77"/>
        <v>3183</v>
      </c>
      <c r="W260" s="42">
        <f t="shared" si="78"/>
        <v>49.316801509098106</v>
      </c>
      <c r="X260" s="42">
        <f t="shared" si="79"/>
        <v>0.18825987366070532</v>
      </c>
    </row>
    <row r="261" spans="1:24" x14ac:dyDescent="0.2">
      <c r="A261" s="49">
        <v>259</v>
      </c>
      <c r="B261" s="49">
        <v>260</v>
      </c>
      <c r="C261" s="49">
        <v>0.1515</v>
      </c>
      <c r="D261" s="49">
        <v>0.93</v>
      </c>
      <c r="E261" s="49">
        <v>0.1343</v>
      </c>
      <c r="F261" s="49">
        <v>0</v>
      </c>
      <c r="G261" s="49">
        <v>16</v>
      </c>
      <c r="H261" s="49">
        <v>16</v>
      </c>
      <c r="I261" s="42">
        <f t="shared" si="64"/>
        <v>66.653700000000043</v>
      </c>
      <c r="J261" s="42">
        <f t="shared" si="65"/>
        <v>0.18989658119658132</v>
      </c>
      <c r="K261" s="42">
        <f t="shared" si="66"/>
        <v>351</v>
      </c>
      <c r="L261" s="42">
        <f t="shared" si="67"/>
        <v>197.71000000000024</v>
      </c>
      <c r="M261" s="42">
        <f t="shared" si="68"/>
        <v>0.56327635327635395</v>
      </c>
      <c r="N261" s="42">
        <f t="shared" si="69"/>
        <v>351</v>
      </c>
      <c r="O261" s="42">
        <f t="shared" si="70"/>
        <v>20101</v>
      </c>
      <c r="P261" s="42">
        <f t="shared" si="71"/>
        <v>57.267806267806264</v>
      </c>
      <c r="Q261" s="42">
        <f t="shared" si="72"/>
        <v>351</v>
      </c>
      <c r="R261" s="42" t="str">
        <f t="shared" si="73"/>
        <v>2</v>
      </c>
      <c r="S261" s="42" t="str">
        <f t="shared" si="74"/>
        <v>0</v>
      </c>
      <c r="T261" s="42">
        <f t="shared" si="75"/>
        <v>3</v>
      </c>
      <c r="U261" s="42">
        <f t="shared" si="76"/>
        <v>89</v>
      </c>
      <c r="V261" s="42">
        <f t="shared" si="77"/>
        <v>3183</v>
      </c>
      <c r="W261" s="42">
        <f t="shared" si="78"/>
        <v>49.316801509098106</v>
      </c>
      <c r="X261" s="42">
        <f t="shared" si="79"/>
        <v>0.18825987366070532</v>
      </c>
    </row>
    <row r="262" spans="1:24" x14ac:dyDescent="0.2">
      <c r="A262" s="49">
        <v>260</v>
      </c>
      <c r="B262" s="49">
        <v>261</v>
      </c>
      <c r="C262" s="49">
        <v>0.1515</v>
      </c>
      <c r="D262" s="49">
        <v>0.69</v>
      </c>
      <c r="E262" s="49">
        <v>0.1343</v>
      </c>
      <c r="F262" s="49">
        <v>0</v>
      </c>
      <c r="G262" s="49">
        <v>54</v>
      </c>
      <c r="H262" s="49">
        <v>54</v>
      </c>
      <c r="I262" s="42">
        <f t="shared" si="64"/>
        <v>66.502200000000045</v>
      </c>
      <c r="J262" s="42">
        <f t="shared" si="65"/>
        <v>0.19000628571428585</v>
      </c>
      <c r="K262" s="42">
        <f t="shared" si="66"/>
        <v>350</v>
      </c>
      <c r="L262" s="42">
        <f t="shared" si="67"/>
        <v>196.78000000000023</v>
      </c>
      <c r="M262" s="42">
        <f t="shared" si="68"/>
        <v>0.56222857142857208</v>
      </c>
      <c r="N262" s="42">
        <f t="shared" si="69"/>
        <v>350</v>
      </c>
      <c r="O262" s="42">
        <f t="shared" si="70"/>
        <v>20085</v>
      </c>
      <c r="P262" s="42">
        <f t="shared" si="71"/>
        <v>57.385714285714286</v>
      </c>
      <c r="Q262" s="42">
        <f t="shared" si="72"/>
        <v>350</v>
      </c>
      <c r="R262" s="42" t="str">
        <f t="shared" si="73"/>
        <v>2</v>
      </c>
      <c r="S262" s="42" t="str">
        <f t="shared" si="74"/>
        <v>1</v>
      </c>
      <c r="T262" s="42">
        <f t="shared" si="75"/>
        <v>3</v>
      </c>
      <c r="U262" s="42">
        <f t="shared" si="76"/>
        <v>89</v>
      </c>
      <c r="V262" s="42">
        <f t="shared" si="77"/>
        <v>3183</v>
      </c>
      <c r="W262" s="42">
        <f t="shared" si="78"/>
        <v>49.316801509098106</v>
      </c>
      <c r="X262" s="42">
        <f t="shared" si="79"/>
        <v>0.18825987366070532</v>
      </c>
    </row>
    <row r="263" spans="1:24" x14ac:dyDescent="0.2">
      <c r="A263" s="49">
        <v>261</v>
      </c>
      <c r="B263" s="49">
        <v>262</v>
      </c>
      <c r="C263" s="49">
        <v>0.16669999999999999</v>
      </c>
      <c r="D263" s="49">
        <v>0.59</v>
      </c>
      <c r="E263" s="49">
        <v>0.16420000000000001</v>
      </c>
      <c r="F263" s="49">
        <v>3</v>
      </c>
      <c r="G263" s="49">
        <v>125</v>
      </c>
      <c r="H263" s="49">
        <v>128</v>
      </c>
      <c r="I263" s="42">
        <f t="shared" si="64"/>
        <v>66.350700000000032</v>
      </c>
      <c r="J263" s="42">
        <f t="shared" si="65"/>
        <v>0.19011661891117487</v>
      </c>
      <c r="K263" s="42">
        <f t="shared" si="66"/>
        <v>349</v>
      </c>
      <c r="L263" s="42">
        <f t="shared" si="67"/>
        <v>196.09000000000023</v>
      </c>
      <c r="M263" s="42">
        <f t="shared" si="68"/>
        <v>0.5618624641833817</v>
      </c>
      <c r="N263" s="42">
        <f t="shared" si="69"/>
        <v>349</v>
      </c>
      <c r="O263" s="42">
        <f t="shared" si="70"/>
        <v>20031</v>
      </c>
      <c r="P263" s="42">
        <f t="shared" si="71"/>
        <v>57.395415472779369</v>
      </c>
      <c r="Q263" s="42">
        <f t="shared" si="72"/>
        <v>349</v>
      </c>
      <c r="R263" s="42" t="str">
        <f t="shared" si="73"/>
        <v>2</v>
      </c>
      <c r="S263" s="42" t="str">
        <f t="shared" si="74"/>
        <v>2</v>
      </c>
      <c r="T263" s="42">
        <f t="shared" si="75"/>
        <v>3</v>
      </c>
      <c r="U263" s="42">
        <f t="shared" si="76"/>
        <v>89</v>
      </c>
      <c r="V263" s="42">
        <f t="shared" si="77"/>
        <v>3183</v>
      </c>
      <c r="W263" s="42">
        <f t="shared" si="78"/>
        <v>49.316801509098106</v>
      </c>
      <c r="X263" s="42">
        <f t="shared" si="79"/>
        <v>0.18825987366070532</v>
      </c>
    </row>
    <row r="264" spans="1:24" x14ac:dyDescent="0.2">
      <c r="A264" s="49">
        <v>262</v>
      </c>
      <c r="B264" s="49">
        <v>263</v>
      </c>
      <c r="C264" s="49">
        <v>0.13639999999999999</v>
      </c>
      <c r="D264" s="49">
        <v>0.59</v>
      </c>
      <c r="E264" s="49">
        <v>0.32840000000000003</v>
      </c>
      <c r="F264" s="49">
        <v>3</v>
      </c>
      <c r="G264" s="49">
        <v>78</v>
      </c>
      <c r="H264" s="49">
        <v>81</v>
      </c>
      <c r="I264" s="42">
        <f t="shared" si="64"/>
        <v>66.18400000000004</v>
      </c>
      <c r="J264" s="42">
        <f t="shared" si="65"/>
        <v>0.19018390804597712</v>
      </c>
      <c r="K264" s="42">
        <f t="shared" si="66"/>
        <v>348</v>
      </c>
      <c r="L264" s="42">
        <f t="shared" si="67"/>
        <v>195.50000000000023</v>
      </c>
      <c r="M264" s="42">
        <f t="shared" si="68"/>
        <v>0.56178160919540299</v>
      </c>
      <c r="N264" s="42">
        <f t="shared" si="69"/>
        <v>348</v>
      </c>
      <c r="O264" s="42">
        <f t="shared" si="70"/>
        <v>19903</v>
      </c>
      <c r="P264" s="42">
        <f t="shared" si="71"/>
        <v>57.192528735632187</v>
      </c>
      <c r="Q264" s="42">
        <f t="shared" si="72"/>
        <v>348</v>
      </c>
      <c r="R264" s="42" t="str">
        <f t="shared" si="73"/>
        <v>2</v>
      </c>
      <c r="S264" s="42" t="str">
        <f t="shared" si="74"/>
        <v>3</v>
      </c>
      <c r="T264" s="42">
        <f t="shared" si="75"/>
        <v>3</v>
      </c>
      <c r="U264" s="42">
        <f t="shared" si="76"/>
        <v>89</v>
      </c>
      <c r="V264" s="42">
        <f t="shared" si="77"/>
        <v>3183</v>
      </c>
      <c r="W264" s="42">
        <f t="shared" si="78"/>
        <v>49.316801509098106</v>
      </c>
      <c r="X264" s="42">
        <f t="shared" si="79"/>
        <v>0.18825987366070532</v>
      </c>
    </row>
    <row r="265" spans="1:24" x14ac:dyDescent="0.2">
      <c r="A265" s="49">
        <v>263</v>
      </c>
      <c r="B265" s="49">
        <v>264</v>
      </c>
      <c r="C265" s="49">
        <v>0.18179999999999999</v>
      </c>
      <c r="D265" s="49">
        <v>0.55000000000000004</v>
      </c>
      <c r="E265" s="49">
        <v>0.22389999999999999</v>
      </c>
      <c r="F265" s="49">
        <v>0</v>
      </c>
      <c r="G265" s="49">
        <v>39</v>
      </c>
      <c r="H265" s="49">
        <v>39</v>
      </c>
      <c r="I265" s="42">
        <f t="shared" si="64"/>
        <v>66.047600000000031</v>
      </c>
      <c r="J265" s="42">
        <f t="shared" si="65"/>
        <v>0.19033890489913555</v>
      </c>
      <c r="K265" s="42">
        <f t="shared" si="66"/>
        <v>347</v>
      </c>
      <c r="L265" s="42">
        <f t="shared" si="67"/>
        <v>194.91000000000022</v>
      </c>
      <c r="M265" s="42">
        <f t="shared" si="68"/>
        <v>0.56170028818443873</v>
      </c>
      <c r="N265" s="42">
        <f t="shared" si="69"/>
        <v>347</v>
      </c>
      <c r="O265" s="42">
        <f t="shared" si="70"/>
        <v>19822</v>
      </c>
      <c r="P265" s="42">
        <f t="shared" si="71"/>
        <v>57.123919308357351</v>
      </c>
      <c r="Q265" s="42">
        <f t="shared" si="72"/>
        <v>347</v>
      </c>
      <c r="R265" s="42" t="str">
        <f t="shared" si="73"/>
        <v>2</v>
      </c>
      <c r="S265" s="42" t="str">
        <f t="shared" si="74"/>
        <v>4</v>
      </c>
      <c r="T265" s="42">
        <f t="shared" si="75"/>
        <v>3</v>
      </c>
      <c r="U265" s="42">
        <f t="shared" si="76"/>
        <v>89</v>
      </c>
      <c r="V265" s="42">
        <f t="shared" si="77"/>
        <v>3183</v>
      </c>
      <c r="W265" s="42">
        <f t="shared" si="78"/>
        <v>49.316801509098106</v>
      </c>
      <c r="X265" s="42">
        <f t="shared" si="79"/>
        <v>0.18825987366070532</v>
      </c>
    </row>
    <row r="266" spans="1:24" x14ac:dyDescent="0.2">
      <c r="A266" s="49">
        <v>264</v>
      </c>
      <c r="B266" s="49">
        <v>265</v>
      </c>
      <c r="C266" s="49">
        <v>0.18179999999999999</v>
      </c>
      <c r="D266" s="49">
        <v>0.51</v>
      </c>
      <c r="E266" s="49">
        <v>0.3881</v>
      </c>
      <c r="F266" s="49">
        <v>3</v>
      </c>
      <c r="G266" s="49">
        <v>32</v>
      </c>
      <c r="H266" s="49">
        <v>35</v>
      </c>
      <c r="I266" s="42">
        <f t="shared" si="64"/>
        <v>65.865800000000036</v>
      </c>
      <c r="J266" s="42">
        <f t="shared" si="65"/>
        <v>0.19036358381502899</v>
      </c>
      <c r="K266" s="42">
        <f t="shared" si="66"/>
        <v>346</v>
      </c>
      <c r="L266" s="42">
        <f t="shared" si="67"/>
        <v>194.36000000000024</v>
      </c>
      <c r="M266" s="42">
        <f t="shared" si="68"/>
        <v>0.56173410404624347</v>
      </c>
      <c r="N266" s="42">
        <f t="shared" si="69"/>
        <v>346</v>
      </c>
      <c r="O266" s="42">
        <f t="shared" si="70"/>
        <v>19783</v>
      </c>
      <c r="P266" s="42">
        <f t="shared" si="71"/>
        <v>57.176300578034684</v>
      </c>
      <c r="Q266" s="42">
        <f t="shared" si="72"/>
        <v>346</v>
      </c>
      <c r="R266" s="42" t="str">
        <f t="shared" si="73"/>
        <v>2</v>
      </c>
      <c r="S266" s="42" t="str">
        <f t="shared" si="74"/>
        <v>5</v>
      </c>
      <c r="T266" s="42">
        <f t="shared" si="75"/>
        <v>3</v>
      </c>
      <c r="U266" s="42">
        <f t="shared" si="76"/>
        <v>89</v>
      </c>
      <c r="V266" s="42">
        <f t="shared" si="77"/>
        <v>3183</v>
      </c>
      <c r="W266" s="42">
        <f t="shared" si="78"/>
        <v>49.316801509098106</v>
      </c>
      <c r="X266" s="42">
        <f t="shared" si="79"/>
        <v>0.18825987366070532</v>
      </c>
    </row>
    <row r="267" spans="1:24" x14ac:dyDescent="0.2">
      <c r="A267" s="49">
        <v>265</v>
      </c>
      <c r="B267" s="49">
        <v>266</v>
      </c>
      <c r="C267" s="49">
        <v>0.1515</v>
      </c>
      <c r="D267" s="49">
        <v>0.47</v>
      </c>
      <c r="E267" s="49">
        <v>0.58209999999999995</v>
      </c>
      <c r="F267" s="49">
        <v>3</v>
      </c>
      <c r="G267" s="49">
        <v>52</v>
      </c>
      <c r="H267" s="49">
        <v>55</v>
      </c>
      <c r="I267" s="42">
        <f t="shared" si="64"/>
        <v>65.684000000000026</v>
      </c>
      <c r="J267" s="42">
        <f t="shared" si="65"/>
        <v>0.19038840579710153</v>
      </c>
      <c r="K267" s="42">
        <f t="shared" si="66"/>
        <v>345</v>
      </c>
      <c r="L267" s="42">
        <f t="shared" si="67"/>
        <v>193.85000000000022</v>
      </c>
      <c r="M267" s="42">
        <f t="shared" si="68"/>
        <v>0.56188405797101515</v>
      </c>
      <c r="N267" s="42">
        <f t="shared" si="69"/>
        <v>345</v>
      </c>
      <c r="O267" s="42">
        <f t="shared" si="70"/>
        <v>19748</v>
      </c>
      <c r="P267" s="42">
        <f t="shared" si="71"/>
        <v>57.240579710144928</v>
      </c>
      <c r="Q267" s="42">
        <f t="shared" si="72"/>
        <v>345</v>
      </c>
      <c r="R267" s="42" t="str">
        <f t="shared" si="73"/>
        <v>2</v>
      </c>
      <c r="S267" s="42" t="str">
        <f t="shared" si="74"/>
        <v>6</v>
      </c>
      <c r="T267" s="42">
        <f t="shared" si="75"/>
        <v>3</v>
      </c>
      <c r="U267" s="42">
        <f t="shared" si="76"/>
        <v>89</v>
      </c>
      <c r="V267" s="42">
        <f t="shared" si="77"/>
        <v>3183</v>
      </c>
      <c r="W267" s="42">
        <f t="shared" si="78"/>
        <v>49.316801509098106</v>
      </c>
      <c r="X267" s="42">
        <f t="shared" si="79"/>
        <v>0.18825987366070532</v>
      </c>
    </row>
    <row r="268" spans="1:24" x14ac:dyDescent="0.2">
      <c r="A268" s="49">
        <v>266</v>
      </c>
      <c r="B268" s="49">
        <v>267</v>
      </c>
      <c r="C268" s="49">
        <v>0.19700000000000001</v>
      </c>
      <c r="D268" s="49">
        <v>0.44</v>
      </c>
      <c r="E268" s="49">
        <v>0.35820000000000002</v>
      </c>
      <c r="F268" s="49">
        <v>0</v>
      </c>
      <c r="G268" s="49">
        <v>49</v>
      </c>
      <c r="H268" s="49">
        <v>49</v>
      </c>
      <c r="I268" s="42">
        <f t="shared" si="64"/>
        <v>65.532500000000027</v>
      </c>
      <c r="J268" s="42">
        <f t="shared" si="65"/>
        <v>0.19050145348837216</v>
      </c>
      <c r="K268" s="42">
        <f t="shared" si="66"/>
        <v>344</v>
      </c>
      <c r="L268" s="42">
        <f t="shared" si="67"/>
        <v>193.38000000000019</v>
      </c>
      <c r="M268" s="42">
        <f t="shared" si="68"/>
        <v>0.56215116279069821</v>
      </c>
      <c r="N268" s="42">
        <f t="shared" si="69"/>
        <v>344</v>
      </c>
      <c r="O268" s="42">
        <f t="shared" si="70"/>
        <v>19693</v>
      </c>
      <c r="P268" s="42">
        <f t="shared" si="71"/>
        <v>57.247093023255815</v>
      </c>
      <c r="Q268" s="42">
        <f t="shared" si="72"/>
        <v>344</v>
      </c>
      <c r="R268" s="42" t="str">
        <f t="shared" si="73"/>
        <v>2</v>
      </c>
      <c r="S268" s="42" t="str">
        <f t="shared" si="74"/>
        <v>7</v>
      </c>
      <c r="T268" s="42">
        <f t="shared" si="75"/>
        <v>3</v>
      </c>
      <c r="U268" s="42">
        <f t="shared" si="76"/>
        <v>89</v>
      </c>
      <c r="V268" s="42">
        <f t="shared" si="77"/>
        <v>3183</v>
      </c>
      <c r="W268" s="42">
        <f t="shared" si="78"/>
        <v>49.316801509098106</v>
      </c>
      <c r="X268" s="42">
        <f t="shared" si="79"/>
        <v>0.18825987366070532</v>
      </c>
    </row>
    <row r="269" spans="1:24" x14ac:dyDescent="0.2">
      <c r="A269" s="49">
        <v>267</v>
      </c>
      <c r="B269" s="49">
        <v>268</v>
      </c>
      <c r="C269" s="49">
        <v>0.18179999999999999</v>
      </c>
      <c r="D269" s="49">
        <v>0.47</v>
      </c>
      <c r="E269" s="49">
        <v>0.32840000000000003</v>
      </c>
      <c r="F269" s="49">
        <v>0</v>
      </c>
      <c r="G269" s="49">
        <v>44</v>
      </c>
      <c r="H269" s="49">
        <v>44</v>
      </c>
      <c r="I269" s="42">
        <f t="shared" si="64"/>
        <v>65.335500000000025</v>
      </c>
      <c r="J269" s="42">
        <f t="shared" si="65"/>
        <v>0.19048250728862981</v>
      </c>
      <c r="K269" s="42">
        <f t="shared" si="66"/>
        <v>343</v>
      </c>
      <c r="L269" s="42">
        <f t="shared" si="67"/>
        <v>192.94000000000023</v>
      </c>
      <c r="M269" s="42">
        <f t="shared" si="68"/>
        <v>0.56250728862973831</v>
      </c>
      <c r="N269" s="42">
        <f t="shared" si="69"/>
        <v>343</v>
      </c>
      <c r="O269" s="42">
        <f t="shared" si="70"/>
        <v>19644</v>
      </c>
      <c r="P269" s="42">
        <f t="shared" si="71"/>
        <v>57.271137026239067</v>
      </c>
      <c r="Q269" s="42">
        <f t="shared" si="72"/>
        <v>343</v>
      </c>
      <c r="R269" s="42" t="str">
        <f t="shared" si="73"/>
        <v>2</v>
      </c>
      <c r="S269" s="42" t="str">
        <f t="shared" si="74"/>
        <v>8</v>
      </c>
      <c r="T269" s="42">
        <f t="shared" si="75"/>
        <v>3</v>
      </c>
      <c r="U269" s="42">
        <f t="shared" si="76"/>
        <v>89</v>
      </c>
      <c r="V269" s="42">
        <f t="shared" si="77"/>
        <v>3183</v>
      </c>
      <c r="W269" s="42">
        <f t="shared" si="78"/>
        <v>49.316801509098106</v>
      </c>
      <c r="X269" s="42">
        <f t="shared" si="79"/>
        <v>0.18825987366070532</v>
      </c>
    </row>
    <row r="270" spans="1:24" x14ac:dyDescent="0.2">
      <c r="A270" s="49">
        <v>268</v>
      </c>
      <c r="B270" s="49">
        <v>269</v>
      </c>
      <c r="C270" s="49">
        <v>0.16669999999999999</v>
      </c>
      <c r="D270" s="49">
        <v>0.47</v>
      </c>
      <c r="E270" s="49">
        <v>0.41789999999999999</v>
      </c>
      <c r="F270" s="49">
        <v>1</v>
      </c>
      <c r="G270" s="49">
        <v>48</v>
      </c>
      <c r="H270" s="49">
        <v>49</v>
      </c>
      <c r="I270" s="42">
        <f t="shared" si="64"/>
        <v>65.153700000000001</v>
      </c>
      <c r="J270" s="42">
        <f t="shared" si="65"/>
        <v>0.1905078947368421</v>
      </c>
      <c r="K270" s="42">
        <f t="shared" si="66"/>
        <v>342</v>
      </c>
      <c r="L270" s="42">
        <f t="shared" si="67"/>
        <v>192.47000000000023</v>
      </c>
      <c r="M270" s="42">
        <f t="shared" si="68"/>
        <v>0.56277777777777849</v>
      </c>
      <c r="N270" s="42">
        <f t="shared" si="69"/>
        <v>342</v>
      </c>
      <c r="O270" s="42">
        <f t="shared" si="70"/>
        <v>19600</v>
      </c>
      <c r="P270" s="42">
        <f t="shared" si="71"/>
        <v>57.309941520467838</v>
      </c>
      <c r="Q270" s="42">
        <f t="shared" si="72"/>
        <v>342</v>
      </c>
      <c r="R270" s="42" t="str">
        <f t="shared" si="73"/>
        <v>2</v>
      </c>
      <c r="S270" s="42" t="str">
        <f t="shared" si="74"/>
        <v>9</v>
      </c>
      <c r="T270" s="42">
        <f t="shared" si="75"/>
        <v>3</v>
      </c>
      <c r="U270" s="42">
        <f t="shared" si="76"/>
        <v>89</v>
      </c>
      <c r="V270" s="42">
        <f t="shared" si="77"/>
        <v>3183</v>
      </c>
      <c r="W270" s="42">
        <f t="shared" si="78"/>
        <v>49.316801509098106</v>
      </c>
      <c r="X270" s="42">
        <f t="shared" si="79"/>
        <v>0.18825987366070532</v>
      </c>
    </row>
    <row r="271" spans="1:24" x14ac:dyDescent="0.2">
      <c r="A271" s="49">
        <v>269</v>
      </c>
      <c r="B271" s="49">
        <v>270</v>
      </c>
      <c r="C271" s="49">
        <v>0.19700000000000001</v>
      </c>
      <c r="D271" s="49">
        <v>0.44</v>
      </c>
      <c r="E271" s="49">
        <v>0.32840000000000003</v>
      </c>
      <c r="F271" s="49">
        <v>5</v>
      </c>
      <c r="G271" s="49">
        <v>63</v>
      </c>
      <c r="H271" s="49">
        <v>68</v>
      </c>
      <c r="I271" s="42">
        <f t="shared" si="64"/>
        <v>64.987000000000009</v>
      </c>
      <c r="J271" s="42">
        <f t="shared" si="65"/>
        <v>0.1905777126099707</v>
      </c>
      <c r="K271" s="42">
        <f t="shared" si="66"/>
        <v>341</v>
      </c>
      <c r="L271" s="42">
        <f t="shared" si="67"/>
        <v>192.00000000000023</v>
      </c>
      <c r="M271" s="42">
        <f t="shared" si="68"/>
        <v>0.56304985337243474</v>
      </c>
      <c r="N271" s="42">
        <f t="shared" si="69"/>
        <v>341</v>
      </c>
      <c r="O271" s="42">
        <f t="shared" si="70"/>
        <v>19551</v>
      </c>
      <c r="P271" s="42">
        <f t="shared" si="71"/>
        <v>57.334310850439884</v>
      </c>
      <c r="Q271" s="42">
        <f t="shared" si="72"/>
        <v>341</v>
      </c>
      <c r="R271" s="42" t="str">
        <f t="shared" si="73"/>
        <v>2</v>
      </c>
      <c r="S271" s="42" t="str">
        <f t="shared" si="74"/>
        <v>0</v>
      </c>
      <c r="T271" s="42">
        <f t="shared" si="75"/>
        <v>3</v>
      </c>
      <c r="U271" s="42">
        <f t="shared" si="76"/>
        <v>89</v>
      </c>
      <c r="V271" s="42">
        <f t="shared" si="77"/>
        <v>3183</v>
      </c>
      <c r="W271" s="42">
        <f t="shared" si="78"/>
        <v>49.316801509098106</v>
      </c>
      <c r="X271" s="42">
        <f t="shared" si="79"/>
        <v>0.18825987366070532</v>
      </c>
    </row>
    <row r="272" spans="1:24" x14ac:dyDescent="0.2">
      <c r="A272" s="49">
        <v>270</v>
      </c>
      <c r="B272" s="49">
        <v>271</v>
      </c>
      <c r="C272" s="49">
        <v>0.18179999999999999</v>
      </c>
      <c r="D272" s="49">
        <v>0.47</v>
      </c>
      <c r="E272" s="49">
        <v>0.35820000000000002</v>
      </c>
      <c r="F272" s="49">
        <v>0</v>
      </c>
      <c r="G272" s="49">
        <v>139</v>
      </c>
      <c r="H272" s="49">
        <v>139</v>
      </c>
      <c r="I272" s="42">
        <f t="shared" si="64"/>
        <v>64.789999999999992</v>
      </c>
      <c r="J272" s="42">
        <f t="shared" si="65"/>
        <v>0.19055882352941175</v>
      </c>
      <c r="K272" s="42">
        <f t="shared" si="66"/>
        <v>340</v>
      </c>
      <c r="L272" s="42">
        <f t="shared" si="67"/>
        <v>191.5600000000002</v>
      </c>
      <c r="M272" s="42">
        <f t="shared" si="68"/>
        <v>0.56341176470588294</v>
      </c>
      <c r="N272" s="42">
        <f t="shared" si="69"/>
        <v>340</v>
      </c>
      <c r="O272" s="42">
        <f t="shared" si="70"/>
        <v>19483</v>
      </c>
      <c r="P272" s="42">
        <f t="shared" si="71"/>
        <v>57.30294117647059</v>
      </c>
      <c r="Q272" s="42">
        <f t="shared" si="72"/>
        <v>340</v>
      </c>
      <c r="R272" s="42" t="str">
        <f t="shared" si="73"/>
        <v>2</v>
      </c>
      <c r="S272" s="42" t="str">
        <f t="shared" si="74"/>
        <v>1</v>
      </c>
      <c r="T272" s="42">
        <f t="shared" si="75"/>
        <v>3</v>
      </c>
      <c r="U272" s="42">
        <f t="shared" si="76"/>
        <v>89</v>
      </c>
      <c r="V272" s="42">
        <f t="shared" si="77"/>
        <v>3183</v>
      </c>
      <c r="W272" s="42">
        <f t="shared" si="78"/>
        <v>49.316801509098106</v>
      </c>
      <c r="X272" s="42">
        <f t="shared" si="79"/>
        <v>0.18825987366070532</v>
      </c>
    </row>
    <row r="273" spans="1:24" x14ac:dyDescent="0.2">
      <c r="A273" s="49">
        <v>271</v>
      </c>
      <c r="B273" s="49">
        <v>272</v>
      </c>
      <c r="C273" s="49">
        <v>0.1515</v>
      </c>
      <c r="D273" s="49">
        <v>0.47</v>
      </c>
      <c r="E273" s="49">
        <v>0.52239999999999998</v>
      </c>
      <c r="F273" s="49">
        <v>2</v>
      </c>
      <c r="G273" s="49">
        <v>135</v>
      </c>
      <c r="H273" s="49">
        <v>137</v>
      </c>
      <c r="I273" s="42">
        <f t="shared" si="64"/>
        <v>64.608199999999997</v>
      </c>
      <c r="J273" s="42">
        <f t="shared" si="65"/>
        <v>0.19058466076696165</v>
      </c>
      <c r="K273" s="42">
        <f t="shared" si="66"/>
        <v>339</v>
      </c>
      <c r="L273" s="42">
        <f t="shared" si="67"/>
        <v>191.09000000000017</v>
      </c>
      <c r="M273" s="42">
        <f t="shared" si="68"/>
        <v>0.56368731563421881</v>
      </c>
      <c r="N273" s="42">
        <f t="shared" si="69"/>
        <v>339</v>
      </c>
      <c r="O273" s="42">
        <f t="shared" si="70"/>
        <v>19344</v>
      </c>
      <c r="P273" s="42">
        <f t="shared" si="71"/>
        <v>57.061946902654867</v>
      </c>
      <c r="Q273" s="42">
        <f t="shared" si="72"/>
        <v>339</v>
      </c>
      <c r="R273" s="42" t="str">
        <f t="shared" si="73"/>
        <v>2</v>
      </c>
      <c r="S273" s="42" t="str">
        <f t="shared" si="74"/>
        <v>2</v>
      </c>
      <c r="T273" s="42">
        <f t="shared" si="75"/>
        <v>3</v>
      </c>
      <c r="U273" s="42">
        <f t="shared" si="76"/>
        <v>89</v>
      </c>
      <c r="V273" s="42">
        <f t="shared" si="77"/>
        <v>3183</v>
      </c>
      <c r="W273" s="42">
        <f t="shared" si="78"/>
        <v>49.316801509098106</v>
      </c>
      <c r="X273" s="42">
        <f t="shared" si="79"/>
        <v>0.18825987366070532</v>
      </c>
    </row>
    <row r="274" spans="1:24" x14ac:dyDescent="0.2">
      <c r="A274" s="49">
        <v>272</v>
      </c>
      <c r="B274" s="49">
        <v>273</v>
      </c>
      <c r="C274" s="49">
        <v>0.1515</v>
      </c>
      <c r="D274" s="49">
        <v>0.47</v>
      </c>
      <c r="E274" s="49">
        <v>0.41789999999999999</v>
      </c>
      <c r="F274" s="49">
        <v>1</v>
      </c>
      <c r="G274" s="49">
        <v>82</v>
      </c>
      <c r="H274" s="49">
        <v>83</v>
      </c>
      <c r="I274" s="42">
        <f t="shared" si="64"/>
        <v>64.456699999999984</v>
      </c>
      <c r="J274" s="42">
        <f t="shared" si="65"/>
        <v>0.19070029585798812</v>
      </c>
      <c r="K274" s="42">
        <f t="shared" si="66"/>
        <v>338</v>
      </c>
      <c r="L274" s="42">
        <f t="shared" si="67"/>
        <v>190.62000000000018</v>
      </c>
      <c r="M274" s="42">
        <f t="shared" si="68"/>
        <v>0.5639644970414206</v>
      </c>
      <c r="N274" s="42">
        <f t="shared" si="69"/>
        <v>338</v>
      </c>
      <c r="O274" s="42">
        <f t="shared" si="70"/>
        <v>19207</v>
      </c>
      <c r="P274" s="42">
        <f t="shared" si="71"/>
        <v>56.825443786982248</v>
      </c>
      <c r="Q274" s="42">
        <f t="shared" si="72"/>
        <v>338</v>
      </c>
      <c r="R274" s="42" t="str">
        <f t="shared" si="73"/>
        <v>2</v>
      </c>
      <c r="S274" s="42" t="str">
        <f t="shared" si="74"/>
        <v>3</v>
      </c>
      <c r="T274" s="42">
        <f t="shared" si="75"/>
        <v>3</v>
      </c>
      <c r="U274" s="42">
        <f t="shared" si="76"/>
        <v>89</v>
      </c>
      <c r="V274" s="42">
        <f t="shared" si="77"/>
        <v>3183</v>
      </c>
      <c r="W274" s="42">
        <f t="shared" si="78"/>
        <v>49.316801509098106</v>
      </c>
      <c r="X274" s="42">
        <f t="shared" si="79"/>
        <v>0.18825987366070532</v>
      </c>
    </row>
    <row r="275" spans="1:24" x14ac:dyDescent="0.2">
      <c r="A275" s="49">
        <v>273</v>
      </c>
      <c r="B275" s="49">
        <v>274</v>
      </c>
      <c r="C275" s="49">
        <v>0.13639999999999999</v>
      </c>
      <c r="D275" s="49">
        <v>0.5</v>
      </c>
      <c r="E275" s="49">
        <v>0.32840000000000003</v>
      </c>
      <c r="F275" s="49">
        <v>2</v>
      </c>
      <c r="G275" s="49">
        <v>54</v>
      </c>
      <c r="H275" s="49">
        <v>56</v>
      </c>
      <c r="I275" s="42">
        <f t="shared" si="64"/>
        <v>64.305199999999985</v>
      </c>
      <c r="J275" s="42">
        <f t="shared" si="65"/>
        <v>0.19081661721068244</v>
      </c>
      <c r="K275" s="42">
        <f t="shared" si="66"/>
        <v>337</v>
      </c>
      <c r="L275" s="42">
        <f t="shared" si="67"/>
        <v>190.1500000000002</v>
      </c>
      <c r="M275" s="42">
        <f t="shared" si="68"/>
        <v>0.56424332344213712</v>
      </c>
      <c r="N275" s="42">
        <f t="shared" si="69"/>
        <v>337</v>
      </c>
      <c r="O275" s="42">
        <f t="shared" si="70"/>
        <v>19124</v>
      </c>
      <c r="P275" s="42">
        <f t="shared" si="71"/>
        <v>56.747774480712167</v>
      </c>
      <c r="Q275" s="42">
        <f t="shared" si="72"/>
        <v>337</v>
      </c>
      <c r="R275" s="42" t="str">
        <f t="shared" si="73"/>
        <v>2</v>
      </c>
      <c r="S275" s="42" t="str">
        <f t="shared" si="74"/>
        <v>4</v>
      </c>
      <c r="T275" s="42">
        <f t="shared" si="75"/>
        <v>3</v>
      </c>
      <c r="U275" s="42">
        <f t="shared" si="76"/>
        <v>89</v>
      </c>
      <c r="V275" s="42">
        <f t="shared" si="77"/>
        <v>3183</v>
      </c>
      <c r="W275" s="42">
        <f t="shared" si="78"/>
        <v>49.316801509098106</v>
      </c>
      <c r="X275" s="42">
        <f t="shared" si="79"/>
        <v>0.18825987366070532</v>
      </c>
    </row>
    <row r="276" spans="1:24" x14ac:dyDescent="0.2">
      <c r="A276" s="49">
        <v>274</v>
      </c>
      <c r="B276" s="49">
        <v>275</v>
      </c>
      <c r="C276" s="49">
        <v>0.13639999999999999</v>
      </c>
      <c r="D276" s="49">
        <v>0.55000000000000004</v>
      </c>
      <c r="E276" s="49">
        <v>0.32840000000000003</v>
      </c>
      <c r="F276" s="49">
        <v>0</v>
      </c>
      <c r="G276" s="49">
        <v>57</v>
      </c>
      <c r="H276" s="49">
        <v>57</v>
      </c>
      <c r="I276" s="42">
        <f t="shared" si="64"/>
        <v>64.16879999999999</v>
      </c>
      <c r="J276" s="42">
        <f t="shared" si="65"/>
        <v>0.19097857142857139</v>
      </c>
      <c r="K276" s="42">
        <f t="shared" si="66"/>
        <v>336</v>
      </c>
      <c r="L276" s="42">
        <f t="shared" si="67"/>
        <v>189.6500000000002</v>
      </c>
      <c r="M276" s="42">
        <f t="shared" si="68"/>
        <v>0.56443452380952441</v>
      </c>
      <c r="N276" s="42">
        <f t="shared" si="69"/>
        <v>336</v>
      </c>
      <c r="O276" s="42">
        <f t="shared" si="70"/>
        <v>19068</v>
      </c>
      <c r="P276" s="42">
        <f t="shared" si="71"/>
        <v>56.75</v>
      </c>
      <c r="Q276" s="42">
        <f t="shared" si="72"/>
        <v>336</v>
      </c>
      <c r="R276" s="42" t="str">
        <f t="shared" si="73"/>
        <v>2</v>
      </c>
      <c r="S276" s="42" t="str">
        <f t="shared" si="74"/>
        <v>5</v>
      </c>
      <c r="T276" s="42">
        <f t="shared" si="75"/>
        <v>3</v>
      </c>
      <c r="U276" s="42">
        <f t="shared" si="76"/>
        <v>89</v>
      </c>
      <c r="V276" s="42">
        <f t="shared" si="77"/>
        <v>3183</v>
      </c>
      <c r="W276" s="42">
        <f t="shared" si="78"/>
        <v>49.316801509098106</v>
      </c>
      <c r="X276" s="42">
        <f t="shared" si="79"/>
        <v>0.18825987366070532</v>
      </c>
    </row>
    <row r="277" spans="1:24" x14ac:dyDescent="0.2">
      <c r="A277" s="49">
        <v>275</v>
      </c>
      <c r="B277" s="49">
        <v>276</v>
      </c>
      <c r="C277" s="49">
        <v>0.1212</v>
      </c>
      <c r="D277" s="49">
        <v>0.55000000000000004</v>
      </c>
      <c r="E277" s="49">
        <v>0.44779999999999998</v>
      </c>
      <c r="F277" s="49">
        <v>1</v>
      </c>
      <c r="G277" s="49">
        <v>32</v>
      </c>
      <c r="H277" s="49">
        <v>33</v>
      </c>
      <c r="I277" s="42">
        <f t="shared" si="64"/>
        <v>64.032399999999996</v>
      </c>
      <c r="J277" s="42">
        <f t="shared" si="65"/>
        <v>0.19114149253731341</v>
      </c>
      <c r="K277" s="42">
        <f t="shared" si="66"/>
        <v>335</v>
      </c>
      <c r="L277" s="42">
        <f t="shared" si="67"/>
        <v>189.10000000000016</v>
      </c>
      <c r="M277" s="42">
        <f t="shared" si="68"/>
        <v>0.564477611940299</v>
      </c>
      <c r="N277" s="42">
        <f t="shared" si="69"/>
        <v>335</v>
      </c>
      <c r="O277" s="42">
        <f t="shared" si="70"/>
        <v>19011</v>
      </c>
      <c r="P277" s="42">
        <f t="shared" si="71"/>
        <v>56.749253731343281</v>
      </c>
      <c r="Q277" s="42">
        <f t="shared" si="72"/>
        <v>335</v>
      </c>
      <c r="R277" s="42" t="str">
        <f t="shared" si="73"/>
        <v>2</v>
      </c>
      <c r="S277" s="42" t="str">
        <f t="shared" si="74"/>
        <v>6</v>
      </c>
      <c r="T277" s="42">
        <f t="shared" si="75"/>
        <v>3</v>
      </c>
      <c r="U277" s="42">
        <f t="shared" si="76"/>
        <v>89</v>
      </c>
      <c r="V277" s="42">
        <f t="shared" si="77"/>
        <v>3183</v>
      </c>
      <c r="W277" s="42">
        <f t="shared" si="78"/>
        <v>49.316801509098106</v>
      </c>
      <c r="X277" s="42">
        <f t="shared" si="79"/>
        <v>0.18825987366070532</v>
      </c>
    </row>
    <row r="278" spans="1:24" x14ac:dyDescent="0.2">
      <c r="A278" s="49">
        <v>276</v>
      </c>
      <c r="B278" s="49">
        <v>277</v>
      </c>
      <c r="C278" s="49">
        <v>0.1061</v>
      </c>
      <c r="D278" s="49">
        <v>0.59</v>
      </c>
      <c r="E278" s="49">
        <v>0.41789999999999999</v>
      </c>
      <c r="F278" s="49">
        <v>1</v>
      </c>
      <c r="G278" s="49">
        <v>19</v>
      </c>
      <c r="H278" s="49">
        <v>20</v>
      </c>
      <c r="I278" s="42">
        <f t="shared" si="64"/>
        <v>63.911199999999987</v>
      </c>
      <c r="J278" s="42">
        <f t="shared" si="65"/>
        <v>0.19135089820359277</v>
      </c>
      <c r="K278" s="42">
        <f t="shared" si="66"/>
        <v>334</v>
      </c>
      <c r="L278" s="42">
        <f t="shared" si="67"/>
        <v>188.55000000000018</v>
      </c>
      <c r="M278" s="42">
        <f t="shared" si="68"/>
        <v>0.56452095808383285</v>
      </c>
      <c r="N278" s="42">
        <f t="shared" si="69"/>
        <v>334</v>
      </c>
      <c r="O278" s="42">
        <f t="shared" si="70"/>
        <v>18978</v>
      </c>
      <c r="P278" s="42">
        <f t="shared" si="71"/>
        <v>56.820359281437128</v>
      </c>
      <c r="Q278" s="42">
        <f t="shared" si="72"/>
        <v>334</v>
      </c>
      <c r="R278" s="42" t="str">
        <f t="shared" si="73"/>
        <v>2</v>
      </c>
      <c r="S278" s="42" t="str">
        <f t="shared" si="74"/>
        <v>7</v>
      </c>
      <c r="T278" s="42">
        <f t="shared" si="75"/>
        <v>3</v>
      </c>
      <c r="U278" s="42">
        <f t="shared" si="76"/>
        <v>89</v>
      </c>
      <c r="V278" s="42">
        <f t="shared" si="77"/>
        <v>3183</v>
      </c>
      <c r="W278" s="42">
        <f t="shared" si="78"/>
        <v>49.316801509098106</v>
      </c>
      <c r="X278" s="42">
        <f t="shared" si="79"/>
        <v>0.18825987366070532</v>
      </c>
    </row>
    <row r="279" spans="1:24" x14ac:dyDescent="0.2">
      <c r="A279" s="49">
        <v>277</v>
      </c>
      <c r="B279" s="49">
        <v>278</v>
      </c>
      <c r="C279" s="49">
        <v>0.1212</v>
      </c>
      <c r="D279" s="49">
        <v>0.59</v>
      </c>
      <c r="E279" s="49">
        <v>0.28360000000000002</v>
      </c>
      <c r="F279" s="49">
        <v>1</v>
      </c>
      <c r="G279" s="49">
        <v>6</v>
      </c>
      <c r="H279" s="49">
        <v>7</v>
      </c>
      <c r="I279" s="42">
        <f t="shared" si="64"/>
        <v>63.805099999999989</v>
      </c>
      <c r="J279" s="42">
        <f t="shared" si="65"/>
        <v>0.19160690690690688</v>
      </c>
      <c r="K279" s="42">
        <f t="shared" si="66"/>
        <v>333</v>
      </c>
      <c r="L279" s="42">
        <f t="shared" si="67"/>
        <v>187.96000000000015</v>
      </c>
      <c r="M279" s="42">
        <f t="shared" si="68"/>
        <v>0.56444444444444486</v>
      </c>
      <c r="N279" s="42">
        <f t="shared" si="69"/>
        <v>333</v>
      </c>
      <c r="O279" s="42">
        <f t="shared" si="70"/>
        <v>18958</v>
      </c>
      <c r="P279" s="42">
        <f t="shared" si="71"/>
        <v>56.930930930930934</v>
      </c>
      <c r="Q279" s="42">
        <f t="shared" si="72"/>
        <v>333</v>
      </c>
      <c r="R279" s="42" t="str">
        <f t="shared" si="73"/>
        <v>2</v>
      </c>
      <c r="S279" s="42" t="str">
        <f t="shared" si="74"/>
        <v>8</v>
      </c>
      <c r="T279" s="42">
        <f t="shared" si="75"/>
        <v>3</v>
      </c>
      <c r="U279" s="42">
        <f t="shared" si="76"/>
        <v>89</v>
      </c>
      <c r="V279" s="42">
        <f t="shared" si="77"/>
        <v>3183</v>
      </c>
      <c r="W279" s="42">
        <f t="shared" si="78"/>
        <v>49.316801509098106</v>
      </c>
      <c r="X279" s="42">
        <f t="shared" si="79"/>
        <v>0.18825987366070532</v>
      </c>
    </row>
    <row r="280" spans="1:24" x14ac:dyDescent="0.2">
      <c r="A280" s="49">
        <v>278</v>
      </c>
      <c r="B280" s="49">
        <v>279</v>
      </c>
      <c r="C280" s="49">
        <v>0.1212</v>
      </c>
      <c r="D280" s="49">
        <v>0.5</v>
      </c>
      <c r="E280" s="49">
        <v>0.28360000000000002</v>
      </c>
      <c r="F280" s="49">
        <v>0</v>
      </c>
      <c r="G280" s="49">
        <v>2</v>
      </c>
      <c r="H280" s="49">
        <v>2</v>
      </c>
      <c r="I280" s="42">
        <f t="shared" si="64"/>
        <v>63.683899999999987</v>
      </c>
      <c r="J280" s="42">
        <f t="shared" si="65"/>
        <v>0.19181897590361441</v>
      </c>
      <c r="K280" s="42">
        <f t="shared" si="66"/>
        <v>332</v>
      </c>
      <c r="L280" s="42">
        <f t="shared" si="67"/>
        <v>187.37000000000018</v>
      </c>
      <c r="M280" s="42">
        <f t="shared" si="68"/>
        <v>0.56436746987951858</v>
      </c>
      <c r="N280" s="42">
        <f t="shared" si="69"/>
        <v>332</v>
      </c>
      <c r="O280" s="42">
        <f t="shared" si="70"/>
        <v>18951</v>
      </c>
      <c r="P280" s="42">
        <f t="shared" si="71"/>
        <v>57.081325301204821</v>
      </c>
      <c r="Q280" s="42">
        <f t="shared" si="72"/>
        <v>332</v>
      </c>
      <c r="R280" s="42" t="str">
        <f t="shared" si="73"/>
        <v>2</v>
      </c>
      <c r="S280" s="42" t="str">
        <f t="shared" si="74"/>
        <v>9</v>
      </c>
      <c r="T280" s="42">
        <f t="shared" si="75"/>
        <v>3</v>
      </c>
      <c r="U280" s="42">
        <f t="shared" si="76"/>
        <v>89</v>
      </c>
      <c r="V280" s="42">
        <f t="shared" si="77"/>
        <v>3183</v>
      </c>
      <c r="W280" s="42">
        <f t="shared" si="78"/>
        <v>49.316801509098106</v>
      </c>
      <c r="X280" s="42">
        <f t="shared" si="79"/>
        <v>0.18825987366070532</v>
      </c>
    </row>
    <row r="281" spans="1:24" x14ac:dyDescent="0.2">
      <c r="A281" s="49">
        <v>279</v>
      </c>
      <c r="B281" s="49">
        <v>280</v>
      </c>
      <c r="C281" s="49">
        <v>0.1212</v>
      </c>
      <c r="D281" s="49">
        <v>0.5</v>
      </c>
      <c r="E281" s="49">
        <v>0.35820000000000002</v>
      </c>
      <c r="F281" s="49">
        <v>0</v>
      </c>
      <c r="G281" s="49">
        <v>2</v>
      </c>
      <c r="H281" s="49">
        <v>2</v>
      </c>
      <c r="I281" s="42">
        <f t="shared" si="64"/>
        <v>63.562699999999985</v>
      </c>
      <c r="J281" s="42">
        <f t="shared" si="65"/>
        <v>0.19203232628398786</v>
      </c>
      <c r="K281" s="42">
        <f t="shared" si="66"/>
        <v>331</v>
      </c>
      <c r="L281" s="42">
        <f t="shared" si="67"/>
        <v>186.87000000000018</v>
      </c>
      <c r="M281" s="42">
        <f t="shared" si="68"/>
        <v>0.56456193353474371</v>
      </c>
      <c r="N281" s="42">
        <f t="shared" si="69"/>
        <v>331</v>
      </c>
      <c r="O281" s="42">
        <f t="shared" si="70"/>
        <v>18949</v>
      </c>
      <c r="P281" s="42">
        <f t="shared" si="71"/>
        <v>57.24773413897281</v>
      </c>
      <c r="Q281" s="42">
        <f t="shared" si="72"/>
        <v>331</v>
      </c>
      <c r="R281" s="42" t="str">
        <f t="shared" si="73"/>
        <v>2</v>
      </c>
      <c r="S281" s="42" t="str">
        <f t="shared" si="74"/>
        <v>0</v>
      </c>
      <c r="T281" s="42">
        <f t="shared" si="75"/>
        <v>3</v>
      </c>
      <c r="U281" s="42">
        <f t="shared" si="76"/>
        <v>89</v>
      </c>
      <c r="V281" s="42">
        <f t="shared" si="77"/>
        <v>3183</v>
      </c>
      <c r="W281" s="42">
        <f t="shared" si="78"/>
        <v>49.316801509098106</v>
      </c>
      <c r="X281" s="42">
        <f t="shared" si="79"/>
        <v>0.18825987366070532</v>
      </c>
    </row>
    <row r="282" spans="1:24" x14ac:dyDescent="0.2">
      <c r="A282" s="49">
        <v>280</v>
      </c>
      <c r="B282" s="49">
        <v>281</v>
      </c>
      <c r="C282" s="49">
        <v>0.1212</v>
      </c>
      <c r="D282" s="49">
        <v>0.5</v>
      </c>
      <c r="E282" s="49">
        <v>0.32840000000000003</v>
      </c>
      <c r="F282" s="49">
        <v>0</v>
      </c>
      <c r="G282" s="49">
        <v>3</v>
      </c>
      <c r="H282" s="49">
        <v>3</v>
      </c>
      <c r="I282" s="42">
        <f t="shared" si="64"/>
        <v>63.441499999999991</v>
      </c>
      <c r="J282" s="42">
        <f t="shared" si="65"/>
        <v>0.19224696969696967</v>
      </c>
      <c r="K282" s="42">
        <f t="shared" si="66"/>
        <v>330</v>
      </c>
      <c r="L282" s="42">
        <f t="shared" si="67"/>
        <v>186.37000000000015</v>
      </c>
      <c r="M282" s="42">
        <f t="shared" si="68"/>
        <v>0.56475757575757624</v>
      </c>
      <c r="N282" s="42">
        <f t="shared" si="69"/>
        <v>330</v>
      </c>
      <c r="O282" s="42">
        <f t="shared" si="70"/>
        <v>18947</v>
      </c>
      <c r="P282" s="42">
        <f t="shared" si="71"/>
        <v>57.415151515151514</v>
      </c>
      <c r="Q282" s="42">
        <f t="shared" si="72"/>
        <v>330</v>
      </c>
      <c r="R282" s="42" t="str">
        <f t="shared" si="73"/>
        <v>2</v>
      </c>
      <c r="S282" s="42" t="str">
        <f t="shared" si="74"/>
        <v>1</v>
      </c>
      <c r="T282" s="42">
        <f t="shared" si="75"/>
        <v>3</v>
      </c>
      <c r="U282" s="42">
        <f t="shared" si="76"/>
        <v>89</v>
      </c>
      <c r="V282" s="42">
        <f t="shared" si="77"/>
        <v>3183</v>
      </c>
      <c r="W282" s="42">
        <f t="shared" si="78"/>
        <v>49.316801509098106</v>
      </c>
      <c r="X282" s="42">
        <f t="shared" si="79"/>
        <v>0.18825987366070532</v>
      </c>
    </row>
    <row r="283" spans="1:24" x14ac:dyDescent="0.2">
      <c r="A283" s="49">
        <v>281</v>
      </c>
      <c r="B283" s="49">
        <v>282</v>
      </c>
      <c r="C283" s="49">
        <v>0.1212</v>
      </c>
      <c r="D283" s="49">
        <v>0.5</v>
      </c>
      <c r="E283" s="49">
        <v>0.25369999999999998</v>
      </c>
      <c r="F283" s="49">
        <v>0</v>
      </c>
      <c r="G283" s="49">
        <v>4</v>
      </c>
      <c r="H283" s="49">
        <v>4</v>
      </c>
      <c r="I283" s="42">
        <f t="shared" si="64"/>
        <v>63.320299999999996</v>
      </c>
      <c r="J283" s="42">
        <f t="shared" si="65"/>
        <v>0.19246291793313069</v>
      </c>
      <c r="K283" s="42">
        <f t="shared" si="66"/>
        <v>329</v>
      </c>
      <c r="L283" s="42">
        <f t="shared" si="67"/>
        <v>185.87000000000012</v>
      </c>
      <c r="M283" s="42">
        <f t="shared" si="68"/>
        <v>0.56495440729483315</v>
      </c>
      <c r="N283" s="42">
        <f t="shared" si="69"/>
        <v>329</v>
      </c>
      <c r="O283" s="42">
        <f t="shared" si="70"/>
        <v>18944</v>
      </c>
      <c r="P283" s="42">
        <f t="shared" si="71"/>
        <v>57.580547112462007</v>
      </c>
      <c r="Q283" s="42">
        <f t="shared" si="72"/>
        <v>329</v>
      </c>
      <c r="R283" s="42" t="str">
        <f t="shared" si="73"/>
        <v>2</v>
      </c>
      <c r="S283" s="42" t="str">
        <f t="shared" si="74"/>
        <v>2</v>
      </c>
      <c r="T283" s="42">
        <f t="shared" si="75"/>
        <v>3</v>
      </c>
      <c r="U283" s="42">
        <f t="shared" si="76"/>
        <v>89</v>
      </c>
      <c r="V283" s="42">
        <f t="shared" si="77"/>
        <v>3183</v>
      </c>
      <c r="W283" s="42">
        <f t="shared" si="78"/>
        <v>49.316801509098106</v>
      </c>
      <c r="X283" s="42">
        <f t="shared" si="79"/>
        <v>0.18825987366070532</v>
      </c>
    </row>
    <row r="284" spans="1:24" x14ac:dyDescent="0.2">
      <c r="A284" s="49">
        <v>282</v>
      </c>
      <c r="B284" s="49">
        <v>283</v>
      </c>
      <c r="C284" s="49">
        <v>0.1212</v>
      </c>
      <c r="D284" s="49">
        <v>0.5</v>
      </c>
      <c r="E284" s="49">
        <v>0.29849999999999999</v>
      </c>
      <c r="F284" s="49">
        <v>0</v>
      </c>
      <c r="G284" s="49">
        <v>3</v>
      </c>
      <c r="H284" s="49">
        <v>3</v>
      </c>
      <c r="I284" s="42">
        <f t="shared" si="64"/>
        <v>63.199099999999994</v>
      </c>
      <c r="J284" s="42">
        <f t="shared" si="65"/>
        <v>0.19268018292682926</v>
      </c>
      <c r="K284" s="42">
        <f t="shared" si="66"/>
        <v>328</v>
      </c>
      <c r="L284" s="42">
        <f t="shared" si="67"/>
        <v>185.37000000000012</v>
      </c>
      <c r="M284" s="42">
        <f t="shared" si="68"/>
        <v>0.56515243902439061</v>
      </c>
      <c r="N284" s="42">
        <f t="shared" si="69"/>
        <v>328</v>
      </c>
      <c r="O284" s="42">
        <f t="shared" si="70"/>
        <v>18940</v>
      </c>
      <c r="P284" s="42">
        <f t="shared" si="71"/>
        <v>57.743902439024389</v>
      </c>
      <c r="Q284" s="42">
        <f t="shared" si="72"/>
        <v>328</v>
      </c>
      <c r="R284" s="42" t="str">
        <f t="shared" si="73"/>
        <v>2</v>
      </c>
      <c r="S284" s="42" t="str">
        <f t="shared" si="74"/>
        <v>3</v>
      </c>
      <c r="T284" s="42">
        <f t="shared" si="75"/>
        <v>3</v>
      </c>
      <c r="U284" s="42">
        <f t="shared" si="76"/>
        <v>89</v>
      </c>
      <c r="V284" s="42">
        <f t="shared" si="77"/>
        <v>3183</v>
      </c>
      <c r="W284" s="42">
        <f t="shared" si="78"/>
        <v>49.316801509098106</v>
      </c>
      <c r="X284" s="42">
        <f t="shared" si="79"/>
        <v>0.18825987366070532</v>
      </c>
    </row>
    <row r="285" spans="1:24" x14ac:dyDescent="0.2">
      <c r="A285" s="49">
        <v>283</v>
      </c>
      <c r="B285" s="49">
        <v>284</v>
      </c>
      <c r="C285" s="49">
        <v>0.1515</v>
      </c>
      <c r="D285" s="49">
        <v>0.54</v>
      </c>
      <c r="E285" s="49">
        <v>0.1343</v>
      </c>
      <c r="F285" s="49">
        <v>0</v>
      </c>
      <c r="G285" s="49">
        <v>28</v>
      </c>
      <c r="H285" s="49">
        <v>28</v>
      </c>
      <c r="I285" s="42">
        <f t="shared" si="64"/>
        <v>63.077899999999993</v>
      </c>
      <c r="J285" s="42">
        <f t="shared" si="65"/>
        <v>0.19289877675840977</v>
      </c>
      <c r="K285" s="42">
        <f t="shared" si="66"/>
        <v>327</v>
      </c>
      <c r="L285" s="42">
        <f t="shared" si="67"/>
        <v>184.87000000000012</v>
      </c>
      <c r="M285" s="42">
        <f t="shared" si="68"/>
        <v>0.56535168195718688</v>
      </c>
      <c r="N285" s="42">
        <f t="shared" si="69"/>
        <v>327</v>
      </c>
      <c r="O285" s="42">
        <f t="shared" si="70"/>
        <v>18937</v>
      </c>
      <c r="P285" s="42">
        <f t="shared" si="71"/>
        <v>57.911314984709477</v>
      </c>
      <c r="Q285" s="42">
        <f t="shared" si="72"/>
        <v>327</v>
      </c>
      <c r="R285" s="42" t="str">
        <f t="shared" si="73"/>
        <v>2</v>
      </c>
      <c r="S285" s="42" t="str">
        <f t="shared" si="74"/>
        <v>4</v>
      </c>
      <c r="T285" s="42">
        <f t="shared" si="75"/>
        <v>3</v>
      </c>
      <c r="U285" s="42">
        <f t="shared" si="76"/>
        <v>89</v>
      </c>
      <c r="V285" s="42">
        <f t="shared" si="77"/>
        <v>3183</v>
      </c>
      <c r="W285" s="42">
        <f t="shared" si="78"/>
        <v>49.316801509098106</v>
      </c>
      <c r="X285" s="42">
        <f t="shared" si="79"/>
        <v>0.18825987366070532</v>
      </c>
    </row>
    <row r="286" spans="1:24" x14ac:dyDescent="0.2">
      <c r="A286" s="49">
        <v>284</v>
      </c>
      <c r="B286" s="49">
        <v>285</v>
      </c>
      <c r="C286" s="49">
        <v>0.1515</v>
      </c>
      <c r="D286" s="49">
        <v>0.54</v>
      </c>
      <c r="E286" s="49">
        <v>0.1343</v>
      </c>
      <c r="F286" s="49">
        <v>0</v>
      </c>
      <c r="G286" s="49">
        <v>72</v>
      </c>
      <c r="H286" s="49">
        <v>72</v>
      </c>
      <c r="I286" s="42">
        <f t="shared" si="64"/>
        <v>62.926399999999994</v>
      </c>
      <c r="J286" s="42">
        <f t="shared" si="65"/>
        <v>0.19302576687116563</v>
      </c>
      <c r="K286" s="42">
        <f t="shared" si="66"/>
        <v>326</v>
      </c>
      <c r="L286" s="42">
        <f t="shared" si="67"/>
        <v>184.33000000000013</v>
      </c>
      <c r="M286" s="42">
        <f t="shared" si="68"/>
        <v>0.56542944785276117</v>
      </c>
      <c r="N286" s="42">
        <f t="shared" si="69"/>
        <v>326</v>
      </c>
      <c r="O286" s="42">
        <f t="shared" si="70"/>
        <v>18909</v>
      </c>
      <c r="P286" s="42">
        <f t="shared" si="71"/>
        <v>58.00306748466258</v>
      </c>
      <c r="Q286" s="42">
        <f t="shared" si="72"/>
        <v>326</v>
      </c>
      <c r="R286" s="42" t="str">
        <f t="shared" si="73"/>
        <v>2</v>
      </c>
      <c r="S286" s="42" t="str">
        <f t="shared" si="74"/>
        <v>5</v>
      </c>
      <c r="T286" s="42">
        <f t="shared" si="75"/>
        <v>3</v>
      </c>
      <c r="U286" s="42">
        <f t="shared" si="76"/>
        <v>89</v>
      </c>
      <c r="V286" s="42">
        <f t="shared" si="77"/>
        <v>3183</v>
      </c>
      <c r="W286" s="42">
        <f t="shared" si="78"/>
        <v>49.316801509098106</v>
      </c>
      <c r="X286" s="42">
        <f t="shared" si="79"/>
        <v>0.18825987366070532</v>
      </c>
    </row>
    <row r="287" spans="1:24" x14ac:dyDescent="0.2">
      <c r="A287" s="49">
        <v>285</v>
      </c>
      <c r="B287" s="49">
        <v>286</v>
      </c>
      <c r="C287" s="49">
        <v>0.13639999999999999</v>
      </c>
      <c r="D287" s="49">
        <v>0.5</v>
      </c>
      <c r="E287" s="49">
        <v>0.19400000000000001</v>
      </c>
      <c r="F287" s="49">
        <v>5</v>
      </c>
      <c r="G287" s="49">
        <v>197</v>
      </c>
      <c r="H287" s="49">
        <v>202</v>
      </c>
      <c r="I287" s="42">
        <f t="shared" si="64"/>
        <v>62.774899999999995</v>
      </c>
      <c r="J287" s="42">
        <f t="shared" si="65"/>
        <v>0.19315353846153846</v>
      </c>
      <c r="K287" s="42">
        <f t="shared" si="66"/>
        <v>325</v>
      </c>
      <c r="L287" s="42">
        <f t="shared" si="67"/>
        <v>183.79000000000013</v>
      </c>
      <c r="M287" s="42">
        <f t="shared" si="68"/>
        <v>0.56550769230769271</v>
      </c>
      <c r="N287" s="42">
        <f t="shared" si="69"/>
        <v>325</v>
      </c>
      <c r="O287" s="42">
        <f t="shared" si="70"/>
        <v>18837</v>
      </c>
      <c r="P287" s="42">
        <f t="shared" si="71"/>
        <v>57.96</v>
      </c>
      <c r="Q287" s="42">
        <f t="shared" si="72"/>
        <v>325</v>
      </c>
      <c r="R287" s="42" t="str">
        <f t="shared" si="73"/>
        <v>2</v>
      </c>
      <c r="S287" s="42" t="str">
        <f t="shared" si="74"/>
        <v>6</v>
      </c>
      <c r="T287" s="42">
        <f t="shared" si="75"/>
        <v>3</v>
      </c>
      <c r="U287" s="42">
        <f t="shared" si="76"/>
        <v>89</v>
      </c>
      <c r="V287" s="42">
        <f t="shared" si="77"/>
        <v>3183</v>
      </c>
      <c r="W287" s="42">
        <f t="shared" si="78"/>
        <v>49.316801509098106</v>
      </c>
      <c r="X287" s="42">
        <f t="shared" si="79"/>
        <v>0.18825987366070532</v>
      </c>
    </row>
    <row r="288" spans="1:24" x14ac:dyDescent="0.2">
      <c r="A288" s="49">
        <v>286</v>
      </c>
      <c r="B288" s="49">
        <v>287</v>
      </c>
      <c r="C288" s="49">
        <v>0.1212</v>
      </c>
      <c r="D288" s="49">
        <v>0.5</v>
      </c>
      <c r="E288" s="49">
        <v>0.32840000000000003</v>
      </c>
      <c r="F288" s="49">
        <v>2</v>
      </c>
      <c r="G288" s="49">
        <v>137</v>
      </c>
      <c r="H288" s="49">
        <v>139</v>
      </c>
      <c r="I288" s="42">
        <f t="shared" si="64"/>
        <v>62.638500000000001</v>
      </c>
      <c r="J288" s="42">
        <f t="shared" si="65"/>
        <v>0.1933287037037037</v>
      </c>
      <c r="K288" s="42">
        <f t="shared" si="66"/>
        <v>324</v>
      </c>
      <c r="L288" s="42">
        <f t="shared" si="67"/>
        <v>183.29000000000013</v>
      </c>
      <c r="M288" s="42">
        <f t="shared" si="68"/>
        <v>0.56570987654321025</v>
      </c>
      <c r="N288" s="42">
        <f t="shared" si="69"/>
        <v>324</v>
      </c>
      <c r="O288" s="42">
        <f t="shared" si="70"/>
        <v>18635</v>
      </c>
      <c r="P288" s="42">
        <f t="shared" si="71"/>
        <v>57.51543209876543</v>
      </c>
      <c r="Q288" s="42">
        <f t="shared" si="72"/>
        <v>324</v>
      </c>
      <c r="R288" s="42" t="str">
        <f t="shared" si="73"/>
        <v>2</v>
      </c>
      <c r="S288" s="42" t="str">
        <f t="shared" si="74"/>
        <v>7</v>
      </c>
      <c r="T288" s="42">
        <f t="shared" si="75"/>
        <v>3</v>
      </c>
      <c r="U288" s="42">
        <f t="shared" si="76"/>
        <v>89</v>
      </c>
      <c r="V288" s="42">
        <f t="shared" si="77"/>
        <v>3183</v>
      </c>
      <c r="W288" s="42">
        <f t="shared" si="78"/>
        <v>49.316801509098106</v>
      </c>
      <c r="X288" s="42">
        <f t="shared" si="79"/>
        <v>0.18825987366070532</v>
      </c>
    </row>
    <row r="289" spans="1:24" x14ac:dyDescent="0.2">
      <c r="A289" s="49">
        <v>287</v>
      </c>
      <c r="B289" s="49">
        <v>288</v>
      </c>
      <c r="C289" s="49">
        <v>0.13639999999999999</v>
      </c>
      <c r="D289" s="49">
        <v>0.5</v>
      </c>
      <c r="E289" s="49">
        <v>0.35820000000000002</v>
      </c>
      <c r="F289" s="49">
        <v>2</v>
      </c>
      <c r="G289" s="49">
        <v>36</v>
      </c>
      <c r="H289" s="49">
        <v>38</v>
      </c>
      <c r="I289" s="42">
        <f t="shared" si="64"/>
        <v>62.517299999999999</v>
      </c>
      <c r="J289" s="42">
        <f t="shared" si="65"/>
        <v>0.19355201238390093</v>
      </c>
      <c r="K289" s="42">
        <f t="shared" si="66"/>
        <v>323</v>
      </c>
      <c r="L289" s="42">
        <f t="shared" si="67"/>
        <v>182.79000000000016</v>
      </c>
      <c r="M289" s="42">
        <f t="shared" si="68"/>
        <v>0.56591331269349898</v>
      </c>
      <c r="N289" s="42">
        <f t="shared" si="69"/>
        <v>323</v>
      </c>
      <c r="O289" s="42">
        <f t="shared" si="70"/>
        <v>18496</v>
      </c>
      <c r="P289" s="42">
        <f t="shared" si="71"/>
        <v>57.263157894736842</v>
      </c>
      <c r="Q289" s="42">
        <f t="shared" si="72"/>
        <v>323</v>
      </c>
      <c r="R289" s="42" t="str">
        <f t="shared" si="73"/>
        <v>2</v>
      </c>
      <c r="S289" s="42" t="str">
        <f t="shared" si="74"/>
        <v>8</v>
      </c>
      <c r="T289" s="42">
        <f t="shared" si="75"/>
        <v>3</v>
      </c>
      <c r="U289" s="42">
        <f t="shared" si="76"/>
        <v>89</v>
      </c>
      <c r="V289" s="42">
        <f t="shared" si="77"/>
        <v>3183</v>
      </c>
      <c r="W289" s="42">
        <f t="shared" si="78"/>
        <v>49.316801509098106</v>
      </c>
      <c r="X289" s="42">
        <f t="shared" si="79"/>
        <v>0.18825987366070532</v>
      </c>
    </row>
    <row r="290" spans="1:24" x14ac:dyDescent="0.2">
      <c r="A290" s="49">
        <v>288</v>
      </c>
      <c r="B290" s="49">
        <v>289</v>
      </c>
      <c r="C290" s="49">
        <v>0.16669999999999999</v>
      </c>
      <c r="D290" s="49">
        <v>0.44</v>
      </c>
      <c r="E290" s="49">
        <v>0.44779999999999998</v>
      </c>
      <c r="F290" s="49">
        <v>4</v>
      </c>
      <c r="G290" s="49">
        <v>33</v>
      </c>
      <c r="H290" s="49">
        <v>37</v>
      </c>
      <c r="I290" s="42">
        <f t="shared" si="64"/>
        <v>62.380899999999997</v>
      </c>
      <c r="J290" s="42">
        <f t="shared" si="65"/>
        <v>0.19372950310559006</v>
      </c>
      <c r="K290" s="42">
        <f t="shared" si="66"/>
        <v>322</v>
      </c>
      <c r="L290" s="42">
        <f t="shared" si="67"/>
        <v>182.29000000000016</v>
      </c>
      <c r="M290" s="42">
        <f t="shared" si="68"/>
        <v>0.56611801242236071</v>
      </c>
      <c r="N290" s="42">
        <f t="shared" si="69"/>
        <v>322</v>
      </c>
      <c r="O290" s="42">
        <f t="shared" si="70"/>
        <v>18458</v>
      </c>
      <c r="P290" s="42">
        <f t="shared" si="71"/>
        <v>57.322981366459629</v>
      </c>
      <c r="Q290" s="42">
        <f t="shared" si="72"/>
        <v>322</v>
      </c>
      <c r="R290" s="42" t="str">
        <f t="shared" si="73"/>
        <v>2</v>
      </c>
      <c r="S290" s="42" t="str">
        <f t="shared" si="74"/>
        <v>9</v>
      </c>
      <c r="T290" s="42">
        <f t="shared" si="75"/>
        <v>3</v>
      </c>
      <c r="U290" s="42">
        <f t="shared" si="76"/>
        <v>89</v>
      </c>
      <c r="V290" s="42">
        <f t="shared" si="77"/>
        <v>3183</v>
      </c>
      <c r="W290" s="42">
        <f t="shared" si="78"/>
        <v>49.316801509098106</v>
      </c>
      <c r="X290" s="42">
        <f t="shared" si="79"/>
        <v>0.18825987366070532</v>
      </c>
    </row>
    <row r="291" spans="1:24" x14ac:dyDescent="0.2">
      <c r="A291" s="49">
        <v>289</v>
      </c>
      <c r="B291" s="49">
        <v>290</v>
      </c>
      <c r="C291" s="49">
        <v>0.16669999999999999</v>
      </c>
      <c r="D291" s="49">
        <v>0.44</v>
      </c>
      <c r="E291" s="49">
        <v>0.41789999999999999</v>
      </c>
      <c r="F291" s="49">
        <v>3</v>
      </c>
      <c r="G291" s="49">
        <v>49</v>
      </c>
      <c r="H291" s="49">
        <v>52</v>
      </c>
      <c r="I291" s="42">
        <f t="shared" si="64"/>
        <v>62.214199999999998</v>
      </c>
      <c r="J291" s="42">
        <f t="shared" si="65"/>
        <v>0.19381370716510904</v>
      </c>
      <c r="K291" s="42">
        <f t="shared" si="66"/>
        <v>321</v>
      </c>
      <c r="L291" s="42">
        <f t="shared" si="67"/>
        <v>181.85000000000016</v>
      </c>
      <c r="M291" s="42">
        <f t="shared" si="68"/>
        <v>0.56651090342679178</v>
      </c>
      <c r="N291" s="42">
        <f t="shared" si="69"/>
        <v>321</v>
      </c>
      <c r="O291" s="42">
        <f t="shared" si="70"/>
        <v>18421</v>
      </c>
      <c r="P291" s="42">
        <f t="shared" si="71"/>
        <v>57.386292834890966</v>
      </c>
      <c r="Q291" s="42">
        <f t="shared" si="72"/>
        <v>321</v>
      </c>
      <c r="R291" s="42" t="str">
        <f t="shared" si="73"/>
        <v>2</v>
      </c>
      <c r="S291" s="42" t="str">
        <f t="shared" si="74"/>
        <v>0</v>
      </c>
      <c r="T291" s="42">
        <f t="shared" si="75"/>
        <v>3</v>
      </c>
      <c r="U291" s="42">
        <f t="shared" si="76"/>
        <v>89</v>
      </c>
      <c r="V291" s="42">
        <f t="shared" si="77"/>
        <v>3183</v>
      </c>
      <c r="W291" s="42">
        <f t="shared" si="78"/>
        <v>49.316801509098106</v>
      </c>
      <c r="X291" s="42">
        <f t="shared" si="79"/>
        <v>0.18825987366070532</v>
      </c>
    </row>
    <row r="292" spans="1:24" x14ac:dyDescent="0.2">
      <c r="A292" s="49">
        <v>290</v>
      </c>
      <c r="B292" s="49">
        <v>291</v>
      </c>
      <c r="C292" s="49">
        <v>0.19700000000000001</v>
      </c>
      <c r="D292" s="49">
        <v>0.41</v>
      </c>
      <c r="E292" s="49">
        <v>0.44779999999999998</v>
      </c>
      <c r="F292" s="49">
        <v>2</v>
      </c>
      <c r="G292" s="49">
        <v>81</v>
      </c>
      <c r="H292" s="49">
        <v>83</v>
      </c>
      <c r="I292" s="42">
        <f t="shared" si="64"/>
        <v>62.047499999999999</v>
      </c>
      <c r="J292" s="42">
        <f t="shared" si="65"/>
        <v>0.19389843749999999</v>
      </c>
      <c r="K292" s="42">
        <f t="shared" si="66"/>
        <v>320</v>
      </c>
      <c r="L292" s="42">
        <f t="shared" si="67"/>
        <v>181.41000000000017</v>
      </c>
      <c r="M292" s="42">
        <f t="shared" si="68"/>
        <v>0.5669062500000005</v>
      </c>
      <c r="N292" s="42">
        <f t="shared" si="69"/>
        <v>320</v>
      </c>
      <c r="O292" s="42">
        <f t="shared" si="70"/>
        <v>18369</v>
      </c>
      <c r="P292" s="42">
        <f t="shared" si="71"/>
        <v>57.403125000000003</v>
      </c>
      <c r="Q292" s="42">
        <f t="shared" si="72"/>
        <v>320</v>
      </c>
      <c r="R292" s="42" t="str">
        <f t="shared" si="73"/>
        <v>2</v>
      </c>
      <c r="S292" s="42" t="str">
        <f t="shared" si="74"/>
        <v>1</v>
      </c>
      <c r="T292" s="42">
        <f t="shared" si="75"/>
        <v>3</v>
      </c>
      <c r="U292" s="42">
        <f t="shared" si="76"/>
        <v>89</v>
      </c>
      <c r="V292" s="42">
        <f t="shared" si="77"/>
        <v>3183</v>
      </c>
      <c r="W292" s="42">
        <f t="shared" si="78"/>
        <v>49.316801509098106</v>
      </c>
      <c r="X292" s="42">
        <f t="shared" si="79"/>
        <v>0.18825987366070532</v>
      </c>
    </row>
    <row r="293" spans="1:24" x14ac:dyDescent="0.2">
      <c r="A293" s="49">
        <v>291</v>
      </c>
      <c r="B293" s="49">
        <v>292</v>
      </c>
      <c r="C293" s="49">
        <v>0.19700000000000001</v>
      </c>
      <c r="D293" s="49">
        <v>0.41</v>
      </c>
      <c r="E293" s="49">
        <v>0.3881</v>
      </c>
      <c r="F293" s="49">
        <v>3</v>
      </c>
      <c r="G293" s="49">
        <v>39</v>
      </c>
      <c r="H293" s="49">
        <v>42</v>
      </c>
      <c r="I293" s="42">
        <f t="shared" si="64"/>
        <v>61.850499999999997</v>
      </c>
      <c r="J293" s="42">
        <f t="shared" si="65"/>
        <v>0.1938887147335423</v>
      </c>
      <c r="K293" s="42">
        <f t="shared" si="66"/>
        <v>319</v>
      </c>
      <c r="L293" s="42">
        <f t="shared" si="67"/>
        <v>181.00000000000014</v>
      </c>
      <c r="M293" s="42">
        <f t="shared" si="68"/>
        <v>0.56739811912225746</v>
      </c>
      <c r="N293" s="42">
        <f t="shared" si="69"/>
        <v>319</v>
      </c>
      <c r="O293" s="42">
        <f t="shared" si="70"/>
        <v>18286</v>
      </c>
      <c r="P293" s="42">
        <f t="shared" si="71"/>
        <v>57.322884012539184</v>
      </c>
      <c r="Q293" s="42">
        <f t="shared" si="72"/>
        <v>319</v>
      </c>
      <c r="R293" s="42" t="str">
        <f t="shared" si="73"/>
        <v>2</v>
      </c>
      <c r="S293" s="42" t="str">
        <f t="shared" si="74"/>
        <v>2</v>
      </c>
      <c r="T293" s="42">
        <f t="shared" si="75"/>
        <v>3</v>
      </c>
      <c r="U293" s="42">
        <f t="shared" si="76"/>
        <v>89</v>
      </c>
      <c r="V293" s="42">
        <f t="shared" si="77"/>
        <v>3183</v>
      </c>
      <c r="W293" s="42">
        <f t="shared" si="78"/>
        <v>49.316801509098106</v>
      </c>
      <c r="X293" s="42">
        <f t="shared" si="79"/>
        <v>0.18825987366070532</v>
      </c>
    </row>
    <row r="294" spans="1:24" x14ac:dyDescent="0.2">
      <c r="A294" s="49">
        <v>292</v>
      </c>
      <c r="B294" s="49">
        <v>293</v>
      </c>
      <c r="C294" s="49">
        <v>0.21210000000000001</v>
      </c>
      <c r="D294" s="49">
        <v>0.38</v>
      </c>
      <c r="E294" s="49">
        <v>0.29849999999999999</v>
      </c>
      <c r="F294" s="49">
        <v>5</v>
      </c>
      <c r="G294" s="49">
        <v>55</v>
      </c>
      <c r="H294" s="49">
        <v>60</v>
      </c>
      <c r="I294" s="42">
        <f t="shared" si="64"/>
        <v>61.653499999999994</v>
      </c>
      <c r="J294" s="42">
        <f t="shared" si="65"/>
        <v>0.19387893081761004</v>
      </c>
      <c r="K294" s="42">
        <f t="shared" si="66"/>
        <v>318</v>
      </c>
      <c r="L294" s="42">
        <f t="shared" si="67"/>
        <v>180.59000000000015</v>
      </c>
      <c r="M294" s="42">
        <f t="shared" si="68"/>
        <v>0.56789308176100672</v>
      </c>
      <c r="N294" s="42">
        <f t="shared" si="69"/>
        <v>318</v>
      </c>
      <c r="O294" s="42">
        <f t="shared" si="70"/>
        <v>18244</v>
      </c>
      <c r="P294" s="42">
        <f t="shared" si="71"/>
        <v>57.371069182389938</v>
      </c>
      <c r="Q294" s="42">
        <f t="shared" si="72"/>
        <v>318</v>
      </c>
      <c r="R294" s="42" t="str">
        <f t="shared" si="73"/>
        <v>2</v>
      </c>
      <c r="S294" s="42" t="str">
        <f t="shared" si="74"/>
        <v>3</v>
      </c>
      <c r="T294" s="42">
        <f t="shared" si="75"/>
        <v>3</v>
      </c>
      <c r="U294" s="42">
        <f t="shared" si="76"/>
        <v>89</v>
      </c>
      <c r="V294" s="42">
        <f t="shared" si="77"/>
        <v>3183</v>
      </c>
      <c r="W294" s="42">
        <f t="shared" si="78"/>
        <v>49.316801509098106</v>
      </c>
      <c r="X294" s="42">
        <f t="shared" si="79"/>
        <v>0.18825987366070532</v>
      </c>
    </row>
    <row r="295" spans="1:24" x14ac:dyDescent="0.2">
      <c r="A295" s="49">
        <v>293</v>
      </c>
      <c r="B295" s="49">
        <v>294</v>
      </c>
      <c r="C295" s="49">
        <v>0.21210000000000001</v>
      </c>
      <c r="D295" s="49">
        <v>0.38</v>
      </c>
      <c r="E295" s="49">
        <v>0.35820000000000002</v>
      </c>
      <c r="F295" s="49">
        <v>2</v>
      </c>
      <c r="G295" s="49">
        <v>76</v>
      </c>
      <c r="H295" s="49">
        <v>78</v>
      </c>
      <c r="I295" s="42">
        <f t="shared" si="64"/>
        <v>61.441400000000002</v>
      </c>
      <c r="J295" s="42">
        <f t="shared" si="65"/>
        <v>0.19382145110410096</v>
      </c>
      <c r="K295" s="42">
        <f t="shared" si="66"/>
        <v>317</v>
      </c>
      <c r="L295" s="42">
        <f t="shared" si="67"/>
        <v>180.21000000000015</v>
      </c>
      <c r="M295" s="42">
        <f t="shared" si="68"/>
        <v>0.56848580441640428</v>
      </c>
      <c r="N295" s="42">
        <f t="shared" si="69"/>
        <v>317</v>
      </c>
      <c r="O295" s="42">
        <f t="shared" si="70"/>
        <v>18184</v>
      </c>
      <c r="P295" s="42">
        <f t="shared" si="71"/>
        <v>57.362776025236592</v>
      </c>
      <c r="Q295" s="42">
        <f t="shared" si="72"/>
        <v>317</v>
      </c>
      <c r="R295" s="42" t="str">
        <f t="shared" si="73"/>
        <v>2</v>
      </c>
      <c r="S295" s="42" t="str">
        <f t="shared" si="74"/>
        <v>4</v>
      </c>
      <c r="T295" s="42">
        <f t="shared" si="75"/>
        <v>3</v>
      </c>
      <c r="U295" s="42">
        <f t="shared" si="76"/>
        <v>89</v>
      </c>
      <c r="V295" s="42">
        <f t="shared" si="77"/>
        <v>3183</v>
      </c>
      <c r="W295" s="42">
        <f t="shared" si="78"/>
        <v>49.316801509098106</v>
      </c>
      <c r="X295" s="42">
        <f t="shared" si="79"/>
        <v>0.18825987366070532</v>
      </c>
    </row>
    <row r="296" spans="1:24" x14ac:dyDescent="0.2">
      <c r="A296" s="49">
        <v>294</v>
      </c>
      <c r="B296" s="49">
        <v>295</v>
      </c>
      <c r="C296" s="49">
        <v>0.18179999999999999</v>
      </c>
      <c r="D296" s="49">
        <v>0.4</v>
      </c>
      <c r="E296" s="49">
        <v>0.28360000000000002</v>
      </c>
      <c r="F296" s="49">
        <v>4</v>
      </c>
      <c r="G296" s="49">
        <v>158</v>
      </c>
      <c r="H296" s="49">
        <v>162</v>
      </c>
      <c r="I296" s="42">
        <f t="shared" si="64"/>
        <v>61.229300000000002</v>
      </c>
      <c r="J296" s="42">
        <f t="shared" si="65"/>
        <v>0.19376360759493672</v>
      </c>
      <c r="K296" s="42">
        <f t="shared" si="66"/>
        <v>316</v>
      </c>
      <c r="L296" s="42">
        <f t="shared" si="67"/>
        <v>179.83000000000013</v>
      </c>
      <c r="M296" s="42">
        <f t="shared" si="68"/>
        <v>0.569082278481013</v>
      </c>
      <c r="N296" s="42">
        <f t="shared" si="69"/>
        <v>316</v>
      </c>
      <c r="O296" s="42">
        <f t="shared" si="70"/>
        <v>18106</v>
      </c>
      <c r="P296" s="42">
        <f t="shared" si="71"/>
        <v>57.297468354430379</v>
      </c>
      <c r="Q296" s="42">
        <f t="shared" si="72"/>
        <v>316</v>
      </c>
      <c r="R296" s="42" t="str">
        <f t="shared" si="73"/>
        <v>2</v>
      </c>
      <c r="S296" s="42" t="str">
        <f t="shared" si="74"/>
        <v>5</v>
      </c>
      <c r="T296" s="42">
        <f t="shared" si="75"/>
        <v>3</v>
      </c>
      <c r="U296" s="42">
        <f t="shared" si="76"/>
        <v>89</v>
      </c>
      <c r="V296" s="42">
        <f t="shared" si="77"/>
        <v>3183</v>
      </c>
      <c r="W296" s="42">
        <f t="shared" si="78"/>
        <v>49.316801509098106</v>
      </c>
      <c r="X296" s="42">
        <f t="shared" si="79"/>
        <v>0.18825987366070532</v>
      </c>
    </row>
    <row r="297" spans="1:24" x14ac:dyDescent="0.2">
      <c r="A297" s="49">
        <v>295</v>
      </c>
      <c r="B297" s="49">
        <v>296</v>
      </c>
      <c r="C297" s="49">
        <v>0.18179999999999999</v>
      </c>
      <c r="D297" s="49">
        <v>0.4</v>
      </c>
      <c r="E297" s="49">
        <v>0.32840000000000003</v>
      </c>
      <c r="F297" s="49">
        <v>3</v>
      </c>
      <c r="G297" s="49">
        <v>141</v>
      </c>
      <c r="H297" s="49">
        <v>144</v>
      </c>
      <c r="I297" s="42">
        <f t="shared" si="64"/>
        <v>61.047500000000007</v>
      </c>
      <c r="J297" s="42">
        <f t="shared" si="65"/>
        <v>0.19380158730158734</v>
      </c>
      <c r="K297" s="42">
        <f t="shared" si="66"/>
        <v>315</v>
      </c>
      <c r="L297" s="42">
        <f t="shared" si="67"/>
        <v>179.43000000000012</v>
      </c>
      <c r="M297" s="42">
        <f t="shared" si="68"/>
        <v>0.56961904761904802</v>
      </c>
      <c r="N297" s="42">
        <f t="shared" si="69"/>
        <v>315</v>
      </c>
      <c r="O297" s="42">
        <f t="shared" si="70"/>
        <v>17944</v>
      </c>
      <c r="P297" s="42">
        <f t="shared" si="71"/>
        <v>56.965079365079362</v>
      </c>
      <c r="Q297" s="42">
        <f t="shared" si="72"/>
        <v>315</v>
      </c>
      <c r="R297" s="42" t="str">
        <f t="shared" si="73"/>
        <v>2</v>
      </c>
      <c r="S297" s="42" t="str">
        <f t="shared" si="74"/>
        <v>6</v>
      </c>
      <c r="T297" s="42">
        <f t="shared" si="75"/>
        <v>3</v>
      </c>
      <c r="U297" s="42">
        <f t="shared" si="76"/>
        <v>89</v>
      </c>
      <c r="V297" s="42">
        <f t="shared" si="77"/>
        <v>3183</v>
      </c>
      <c r="W297" s="42">
        <f t="shared" si="78"/>
        <v>49.316801509098106</v>
      </c>
      <c r="X297" s="42">
        <f t="shared" si="79"/>
        <v>0.18825987366070532</v>
      </c>
    </row>
    <row r="298" spans="1:24" x14ac:dyDescent="0.2">
      <c r="A298" s="49">
        <v>296</v>
      </c>
      <c r="B298" s="49">
        <v>297</v>
      </c>
      <c r="C298" s="49">
        <v>0.1515</v>
      </c>
      <c r="D298" s="49">
        <v>0.47</v>
      </c>
      <c r="E298" s="49">
        <v>0.25369999999999998</v>
      </c>
      <c r="F298" s="49">
        <v>1</v>
      </c>
      <c r="G298" s="49">
        <v>98</v>
      </c>
      <c r="H298" s="49">
        <v>99</v>
      </c>
      <c r="I298" s="42">
        <f t="shared" si="64"/>
        <v>60.865700000000011</v>
      </c>
      <c r="J298" s="42">
        <f t="shared" si="65"/>
        <v>0.19383980891719749</v>
      </c>
      <c r="K298" s="42">
        <f t="shared" si="66"/>
        <v>314</v>
      </c>
      <c r="L298" s="42">
        <f t="shared" si="67"/>
        <v>179.03000000000014</v>
      </c>
      <c r="M298" s="42">
        <f t="shared" si="68"/>
        <v>0.57015923566879023</v>
      </c>
      <c r="N298" s="42">
        <f t="shared" si="69"/>
        <v>314</v>
      </c>
      <c r="O298" s="42">
        <f t="shared" si="70"/>
        <v>17800</v>
      </c>
      <c r="P298" s="42">
        <f t="shared" si="71"/>
        <v>56.687898089171973</v>
      </c>
      <c r="Q298" s="42">
        <f t="shared" si="72"/>
        <v>314</v>
      </c>
      <c r="R298" s="42" t="str">
        <f t="shared" si="73"/>
        <v>2</v>
      </c>
      <c r="S298" s="42" t="str">
        <f t="shared" si="74"/>
        <v>7</v>
      </c>
      <c r="T298" s="42">
        <f t="shared" si="75"/>
        <v>3</v>
      </c>
      <c r="U298" s="42">
        <f t="shared" si="76"/>
        <v>89</v>
      </c>
      <c r="V298" s="42">
        <f t="shared" si="77"/>
        <v>3183</v>
      </c>
      <c r="W298" s="42">
        <f t="shared" si="78"/>
        <v>49.316801509098106</v>
      </c>
      <c r="X298" s="42">
        <f t="shared" si="79"/>
        <v>0.18825987366070532</v>
      </c>
    </row>
    <row r="299" spans="1:24" x14ac:dyDescent="0.2">
      <c r="A299" s="49">
        <v>297</v>
      </c>
      <c r="B299" s="49">
        <v>298</v>
      </c>
      <c r="C299" s="49">
        <v>0.1515</v>
      </c>
      <c r="D299" s="49">
        <v>0.47</v>
      </c>
      <c r="E299" s="49">
        <v>0.22389999999999999</v>
      </c>
      <c r="F299" s="49">
        <v>0</v>
      </c>
      <c r="G299" s="49">
        <v>64</v>
      </c>
      <c r="H299" s="49">
        <v>64</v>
      </c>
      <c r="I299" s="42">
        <f t="shared" si="64"/>
        <v>60.714200000000005</v>
      </c>
      <c r="J299" s="42">
        <f t="shared" si="65"/>
        <v>0.1939750798722045</v>
      </c>
      <c r="K299" s="42">
        <f t="shared" si="66"/>
        <v>313</v>
      </c>
      <c r="L299" s="42">
        <f t="shared" si="67"/>
        <v>178.56000000000014</v>
      </c>
      <c r="M299" s="42">
        <f t="shared" si="68"/>
        <v>0.57047923322683747</v>
      </c>
      <c r="N299" s="42">
        <f t="shared" si="69"/>
        <v>313</v>
      </c>
      <c r="O299" s="42">
        <f t="shared" si="70"/>
        <v>17701</v>
      </c>
      <c r="P299" s="42">
        <f t="shared" si="71"/>
        <v>56.552715654952074</v>
      </c>
      <c r="Q299" s="42">
        <f t="shared" si="72"/>
        <v>313</v>
      </c>
      <c r="R299" s="42" t="str">
        <f t="shared" si="73"/>
        <v>2</v>
      </c>
      <c r="S299" s="42" t="str">
        <f t="shared" si="74"/>
        <v>8</v>
      </c>
      <c r="T299" s="42">
        <f t="shared" si="75"/>
        <v>3</v>
      </c>
      <c r="U299" s="42">
        <f t="shared" si="76"/>
        <v>89</v>
      </c>
      <c r="V299" s="42">
        <f t="shared" si="77"/>
        <v>3183</v>
      </c>
      <c r="W299" s="42">
        <f t="shared" si="78"/>
        <v>49.316801509098106</v>
      </c>
      <c r="X299" s="42">
        <f t="shared" si="79"/>
        <v>0.18825987366070532</v>
      </c>
    </row>
    <row r="300" spans="1:24" x14ac:dyDescent="0.2">
      <c r="A300" s="49">
        <v>298</v>
      </c>
      <c r="B300" s="49">
        <v>299</v>
      </c>
      <c r="C300" s="49">
        <v>0.1212</v>
      </c>
      <c r="D300" s="49">
        <v>0.46</v>
      </c>
      <c r="E300" s="49">
        <v>0.29849999999999999</v>
      </c>
      <c r="F300" s="49">
        <v>0</v>
      </c>
      <c r="G300" s="49">
        <v>40</v>
      </c>
      <c r="H300" s="49">
        <v>40</v>
      </c>
      <c r="I300" s="42">
        <f t="shared" si="64"/>
        <v>60.562700000000007</v>
      </c>
      <c r="J300" s="42">
        <f t="shared" si="65"/>
        <v>0.19411121794871797</v>
      </c>
      <c r="K300" s="42">
        <f t="shared" si="66"/>
        <v>312</v>
      </c>
      <c r="L300" s="42">
        <f t="shared" si="67"/>
        <v>178.09000000000012</v>
      </c>
      <c r="M300" s="42">
        <f t="shared" si="68"/>
        <v>0.57080128205128244</v>
      </c>
      <c r="N300" s="42">
        <f t="shared" si="69"/>
        <v>312</v>
      </c>
      <c r="O300" s="42">
        <f t="shared" si="70"/>
        <v>17637</v>
      </c>
      <c r="P300" s="42">
        <f t="shared" si="71"/>
        <v>56.528846153846153</v>
      </c>
      <c r="Q300" s="42">
        <f t="shared" si="72"/>
        <v>312</v>
      </c>
      <c r="R300" s="42" t="str">
        <f t="shared" si="73"/>
        <v>2</v>
      </c>
      <c r="S300" s="42" t="str">
        <f t="shared" si="74"/>
        <v>9</v>
      </c>
      <c r="T300" s="42">
        <f t="shared" si="75"/>
        <v>3</v>
      </c>
      <c r="U300" s="42">
        <f t="shared" si="76"/>
        <v>89</v>
      </c>
      <c r="V300" s="42">
        <f t="shared" si="77"/>
        <v>3183</v>
      </c>
      <c r="W300" s="42">
        <f t="shared" si="78"/>
        <v>49.316801509098106</v>
      </c>
      <c r="X300" s="42">
        <f t="shared" si="79"/>
        <v>0.18825987366070532</v>
      </c>
    </row>
    <row r="301" spans="1:24" x14ac:dyDescent="0.2">
      <c r="A301" s="49">
        <v>299</v>
      </c>
      <c r="B301" s="49">
        <v>300</v>
      </c>
      <c r="C301" s="49">
        <v>0.1212</v>
      </c>
      <c r="D301" s="49">
        <v>0.46</v>
      </c>
      <c r="E301" s="49">
        <v>0.32840000000000003</v>
      </c>
      <c r="F301" s="49">
        <v>0</v>
      </c>
      <c r="G301" s="49">
        <v>30</v>
      </c>
      <c r="H301" s="49">
        <v>30</v>
      </c>
      <c r="I301" s="42">
        <f t="shared" si="64"/>
        <v>60.441500000000005</v>
      </c>
      <c r="J301" s="42">
        <f t="shared" si="65"/>
        <v>0.19434565916398716</v>
      </c>
      <c r="K301" s="42">
        <f t="shared" si="66"/>
        <v>311</v>
      </c>
      <c r="L301" s="42">
        <f t="shared" si="67"/>
        <v>177.63000000000014</v>
      </c>
      <c r="M301" s="42">
        <f t="shared" si="68"/>
        <v>0.5711575562700969</v>
      </c>
      <c r="N301" s="42">
        <f t="shared" si="69"/>
        <v>311</v>
      </c>
      <c r="O301" s="42">
        <f t="shared" si="70"/>
        <v>17597</v>
      </c>
      <c r="P301" s="42">
        <f t="shared" si="71"/>
        <v>56.581993569131832</v>
      </c>
      <c r="Q301" s="42">
        <f t="shared" si="72"/>
        <v>311</v>
      </c>
      <c r="R301" s="42" t="str">
        <f t="shared" si="73"/>
        <v>3</v>
      </c>
      <c r="S301" s="42" t="str">
        <f t="shared" si="74"/>
        <v>0</v>
      </c>
      <c r="T301" s="42">
        <f t="shared" si="75"/>
        <v>3</v>
      </c>
      <c r="U301" s="42">
        <f t="shared" si="76"/>
        <v>89</v>
      </c>
      <c r="V301" s="42">
        <f t="shared" si="77"/>
        <v>3183</v>
      </c>
      <c r="W301" s="42">
        <f t="shared" si="78"/>
        <v>49.316801509098106</v>
      </c>
      <c r="X301" s="42">
        <f t="shared" si="79"/>
        <v>0.18825987366070532</v>
      </c>
    </row>
    <row r="302" spans="1:24" x14ac:dyDescent="0.2">
      <c r="A302" s="49">
        <v>300</v>
      </c>
      <c r="B302" s="49">
        <v>301</v>
      </c>
      <c r="C302" s="49">
        <v>0.13639999999999999</v>
      </c>
      <c r="D302" s="49">
        <v>0.5</v>
      </c>
      <c r="E302" s="49">
        <v>0.19400000000000001</v>
      </c>
      <c r="F302" s="49">
        <v>1</v>
      </c>
      <c r="G302" s="49">
        <v>14</v>
      </c>
      <c r="H302" s="49">
        <v>15</v>
      </c>
      <c r="I302" s="42">
        <f t="shared" si="64"/>
        <v>60.32030000000001</v>
      </c>
      <c r="J302" s="42">
        <f t="shared" si="65"/>
        <v>0.19458161290322584</v>
      </c>
      <c r="K302" s="42">
        <f t="shared" si="66"/>
        <v>310</v>
      </c>
      <c r="L302" s="42">
        <f t="shared" si="67"/>
        <v>177.17000000000013</v>
      </c>
      <c r="M302" s="42">
        <f t="shared" si="68"/>
        <v>0.57151612903225846</v>
      </c>
      <c r="N302" s="42">
        <f t="shared" si="69"/>
        <v>310</v>
      </c>
      <c r="O302" s="42">
        <f t="shared" si="70"/>
        <v>17567</v>
      </c>
      <c r="P302" s="42">
        <f t="shared" si="71"/>
        <v>56.667741935483868</v>
      </c>
      <c r="Q302" s="42">
        <f t="shared" si="72"/>
        <v>310</v>
      </c>
      <c r="R302" s="42" t="str">
        <f t="shared" si="73"/>
        <v>3</v>
      </c>
      <c r="S302" s="42" t="str">
        <f t="shared" si="74"/>
        <v>1</v>
      </c>
      <c r="T302" s="42">
        <f t="shared" si="75"/>
        <v>3</v>
      </c>
      <c r="U302" s="42">
        <f t="shared" si="76"/>
        <v>89</v>
      </c>
      <c r="V302" s="42">
        <f t="shared" si="77"/>
        <v>3183</v>
      </c>
      <c r="W302" s="42">
        <f t="shared" si="78"/>
        <v>49.316801509098106</v>
      </c>
      <c r="X302" s="42">
        <f t="shared" si="79"/>
        <v>0.18825987366070532</v>
      </c>
    </row>
    <row r="303" spans="1:24" x14ac:dyDescent="0.2">
      <c r="A303" s="49">
        <v>301</v>
      </c>
      <c r="B303" s="49">
        <v>302</v>
      </c>
      <c r="C303" s="49">
        <v>0.13639999999999999</v>
      </c>
      <c r="D303" s="49">
        <v>0.5</v>
      </c>
      <c r="E303" s="49">
        <v>0.19400000000000001</v>
      </c>
      <c r="F303" s="49">
        <v>0</v>
      </c>
      <c r="G303" s="49">
        <v>14</v>
      </c>
      <c r="H303" s="49">
        <v>14</v>
      </c>
      <c r="I303" s="42">
        <f t="shared" si="64"/>
        <v>60.183900000000008</v>
      </c>
      <c r="J303" s="42">
        <f t="shared" si="65"/>
        <v>0.19476990291262139</v>
      </c>
      <c r="K303" s="42">
        <f t="shared" si="66"/>
        <v>309</v>
      </c>
      <c r="L303" s="42">
        <f t="shared" si="67"/>
        <v>176.67000000000013</v>
      </c>
      <c r="M303" s="42">
        <f t="shared" si="68"/>
        <v>0.57174757281553445</v>
      </c>
      <c r="N303" s="42">
        <f t="shared" si="69"/>
        <v>309</v>
      </c>
      <c r="O303" s="42">
        <f t="shared" si="70"/>
        <v>17552</v>
      </c>
      <c r="P303" s="42">
        <f t="shared" si="71"/>
        <v>56.802588996763753</v>
      </c>
      <c r="Q303" s="42">
        <f t="shared" si="72"/>
        <v>309</v>
      </c>
      <c r="R303" s="42" t="str">
        <f t="shared" si="73"/>
        <v>3</v>
      </c>
      <c r="S303" s="42" t="str">
        <f t="shared" si="74"/>
        <v>2</v>
      </c>
      <c r="T303" s="42">
        <f t="shared" si="75"/>
        <v>3</v>
      </c>
      <c r="U303" s="42">
        <f t="shared" si="76"/>
        <v>89</v>
      </c>
      <c r="V303" s="42">
        <f t="shared" si="77"/>
        <v>3183</v>
      </c>
      <c r="W303" s="42">
        <f t="shared" si="78"/>
        <v>49.316801509098106</v>
      </c>
      <c r="X303" s="42">
        <f t="shared" si="79"/>
        <v>0.18825987366070532</v>
      </c>
    </row>
    <row r="304" spans="1:24" x14ac:dyDescent="0.2">
      <c r="A304" s="49">
        <v>302</v>
      </c>
      <c r="B304" s="49">
        <v>303</v>
      </c>
      <c r="C304" s="49">
        <v>0.1212</v>
      </c>
      <c r="D304" s="49">
        <v>0.54</v>
      </c>
      <c r="E304" s="49">
        <v>0.16420000000000001</v>
      </c>
      <c r="F304" s="49">
        <v>0</v>
      </c>
      <c r="G304" s="49">
        <v>5</v>
      </c>
      <c r="H304" s="49">
        <v>5</v>
      </c>
      <c r="I304" s="42">
        <f t="shared" si="64"/>
        <v>60.047500000000014</v>
      </c>
      <c r="J304" s="42">
        <f t="shared" si="65"/>
        <v>0.19495941558441562</v>
      </c>
      <c r="K304" s="42">
        <f t="shared" si="66"/>
        <v>308</v>
      </c>
      <c r="L304" s="42">
        <f t="shared" si="67"/>
        <v>176.17000000000013</v>
      </c>
      <c r="M304" s="42">
        <f t="shared" si="68"/>
        <v>0.57198051948051987</v>
      </c>
      <c r="N304" s="42">
        <f t="shared" si="69"/>
        <v>308</v>
      </c>
      <c r="O304" s="42">
        <f t="shared" si="70"/>
        <v>17538</v>
      </c>
      <c r="P304" s="42">
        <f t="shared" si="71"/>
        <v>56.941558441558442</v>
      </c>
      <c r="Q304" s="42">
        <f t="shared" si="72"/>
        <v>308</v>
      </c>
      <c r="R304" s="42" t="str">
        <f t="shared" si="73"/>
        <v>3</v>
      </c>
      <c r="S304" s="42" t="str">
        <f t="shared" si="74"/>
        <v>3</v>
      </c>
      <c r="T304" s="42">
        <f t="shared" si="75"/>
        <v>3</v>
      </c>
      <c r="U304" s="42">
        <f t="shared" si="76"/>
        <v>89</v>
      </c>
      <c r="V304" s="42">
        <f t="shared" si="77"/>
        <v>3183</v>
      </c>
      <c r="W304" s="42">
        <f t="shared" si="78"/>
        <v>49.316801509098106</v>
      </c>
      <c r="X304" s="42">
        <f t="shared" si="79"/>
        <v>0.18825987366070532</v>
      </c>
    </row>
    <row r="305" spans="1:24" x14ac:dyDescent="0.2">
      <c r="A305" s="49">
        <v>303</v>
      </c>
      <c r="B305" s="49">
        <v>304</v>
      </c>
      <c r="C305" s="49">
        <v>0.1212</v>
      </c>
      <c r="D305" s="49">
        <v>0.54</v>
      </c>
      <c r="E305" s="49">
        <v>0.1343</v>
      </c>
      <c r="F305" s="49">
        <v>0</v>
      </c>
      <c r="G305" s="49">
        <v>1</v>
      </c>
      <c r="H305" s="49">
        <v>1</v>
      </c>
      <c r="I305" s="42">
        <f t="shared" si="64"/>
        <v>59.926300000000012</v>
      </c>
      <c r="J305" s="42">
        <f t="shared" si="65"/>
        <v>0.19519967426710103</v>
      </c>
      <c r="K305" s="42">
        <f t="shared" si="66"/>
        <v>307</v>
      </c>
      <c r="L305" s="42">
        <f t="shared" si="67"/>
        <v>175.63000000000014</v>
      </c>
      <c r="M305" s="42">
        <f t="shared" si="68"/>
        <v>0.57208469055374633</v>
      </c>
      <c r="N305" s="42">
        <f t="shared" si="69"/>
        <v>307</v>
      </c>
      <c r="O305" s="42">
        <f t="shared" si="70"/>
        <v>17533</v>
      </c>
      <c r="P305" s="42">
        <f t="shared" si="71"/>
        <v>57.11074918566775</v>
      </c>
      <c r="Q305" s="42">
        <f t="shared" si="72"/>
        <v>307</v>
      </c>
      <c r="R305" s="42" t="str">
        <f t="shared" si="73"/>
        <v>3</v>
      </c>
      <c r="S305" s="42" t="str">
        <f t="shared" si="74"/>
        <v>4</v>
      </c>
      <c r="T305" s="42">
        <f t="shared" si="75"/>
        <v>3</v>
      </c>
      <c r="U305" s="42">
        <f t="shared" si="76"/>
        <v>89</v>
      </c>
      <c r="V305" s="42">
        <f t="shared" si="77"/>
        <v>3183</v>
      </c>
      <c r="W305" s="42">
        <f t="shared" si="78"/>
        <v>49.316801509098106</v>
      </c>
      <c r="X305" s="42">
        <f t="shared" si="79"/>
        <v>0.18825987366070532</v>
      </c>
    </row>
    <row r="306" spans="1:24" x14ac:dyDescent="0.2">
      <c r="A306" s="49">
        <v>304</v>
      </c>
      <c r="B306" s="49">
        <v>305</v>
      </c>
      <c r="C306" s="49">
        <v>0.13639999999999999</v>
      </c>
      <c r="D306" s="49">
        <v>0.54</v>
      </c>
      <c r="E306" s="49">
        <v>0.1045</v>
      </c>
      <c r="F306" s="49">
        <v>0</v>
      </c>
      <c r="G306" s="49">
        <v>1</v>
      </c>
      <c r="H306" s="49">
        <v>1</v>
      </c>
      <c r="I306" s="42">
        <f t="shared" si="64"/>
        <v>59.80510000000001</v>
      </c>
      <c r="J306" s="42">
        <f t="shared" si="65"/>
        <v>0.19544150326797388</v>
      </c>
      <c r="K306" s="42">
        <f t="shared" si="66"/>
        <v>306</v>
      </c>
      <c r="L306" s="42">
        <f t="shared" si="67"/>
        <v>175.09000000000015</v>
      </c>
      <c r="M306" s="42">
        <f t="shared" si="68"/>
        <v>0.57218954248366061</v>
      </c>
      <c r="N306" s="42">
        <f t="shared" si="69"/>
        <v>306</v>
      </c>
      <c r="O306" s="42">
        <f t="shared" si="70"/>
        <v>17532</v>
      </c>
      <c r="P306" s="42">
        <f t="shared" si="71"/>
        <v>57.294117647058826</v>
      </c>
      <c r="Q306" s="42">
        <f t="shared" si="72"/>
        <v>306</v>
      </c>
      <c r="R306" s="42" t="str">
        <f t="shared" si="73"/>
        <v>3</v>
      </c>
      <c r="S306" s="42" t="str">
        <f t="shared" si="74"/>
        <v>5</v>
      </c>
      <c r="T306" s="42">
        <f t="shared" si="75"/>
        <v>3</v>
      </c>
      <c r="U306" s="42">
        <f t="shared" si="76"/>
        <v>89</v>
      </c>
      <c r="V306" s="42">
        <f t="shared" si="77"/>
        <v>3183</v>
      </c>
      <c r="W306" s="42">
        <f t="shared" si="78"/>
        <v>49.316801509098106</v>
      </c>
      <c r="X306" s="42">
        <f t="shared" si="79"/>
        <v>0.18825987366070532</v>
      </c>
    </row>
    <row r="307" spans="1:24" x14ac:dyDescent="0.2">
      <c r="A307" s="49">
        <v>305</v>
      </c>
      <c r="B307" s="49">
        <v>306</v>
      </c>
      <c r="C307" s="49">
        <v>0.13639999999999999</v>
      </c>
      <c r="D307" s="49">
        <v>0.54</v>
      </c>
      <c r="E307" s="49">
        <v>8.9599999999999999E-2</v>
      </c>
      <c r="F307" s="49">
        <v>0</v>
      </c>
      <c r="G307" s="49">
        <v>8</v>
      </c>
      <c r="H307" s="49">
        <v>8</v>
      </c>
      <c r="I307" s="42">
        <f t="shared" si="64"/>
        <v>59.668700000000008</v>
      </c>
      <c r="J307" s="42">
        <f t="shared" si="65"/>
        <v>0.19563508196721313</v>
      </c>
      <c r="K307" s="42">
        <f t="shared" si="66"/>
        <v>305</v>
      </c>
      <c r="L307" s="42">
        <f t="shared" si="67"/>
        <v>174.55000000000013</v>
      </c>
      <c r="M307" s="42">
        <f t="shared" si="68"/>
        <v>0.57229508196721357</v>
      </c>
      <c r="N307" s="42">
        <f t="shared" si="69"/>
        <v>305</v>
      </c>
      <c r="O307" s="42">
        <f t="shared" si="70"/>
        <v>17531</v>
      </c>
      <c r="P307" s="42">
        <f t="shared" si="71"/>
        <v>57.478688524590162</v>
      </c>
      <c r="Q307" s="42">
        <f t="shared" si="72"/>
        <v>305</v>
      </c>
      <c r="R307" s="42" t="str">
        <f t="shared" si="73"/>
        <v>3</v>
      </c>
      <c r="S307" s="42" t="str">
        <f t="shared" si="74"/>
        <v>6</v>
      </c>
      <c r="T307" s="42">
        <f t="shared" si="75"/>
        <v>3</v>
      </c>
      <c r="U307" s="42">
        <f t="shared" si="76"/>
        <v>89</v>
      </c>
      <c r="V307" s="42">
        <f t="shared" si="77"/>
        <v>3183</v>
      </c>
      <c r="W307" s="42">
        <f t="shared" si="78"/>
        <v>49.316801509098106</v>
      </c>
      <c r="X307" s="42">
        <f t="shared" si="79"/>
        <v>0.18825987366070532</v>
      </c>
    </row>
    <row r="308" spans="1:24" x14ac:dyDescent="0.2">
      <c r="A308" s="49">
        <v>306</v>
      </c>
      <c r="B308" s="49">
        <v>307</v>
      </c>
      <c r="C308" s="49">
        <v>0.18179999999999999</v>
      </c>
      <c r="D308" s="49">
        <v>0.54</v>
      </c>
      <c r="E308" s="49">
        <v>0</v>
      </c>
      <c r="F308" s="49">
        <v>0</v>
      </c>
      <c r="G308" s="49">
        <v>17</v>
      </c>
      <c r="H308" s="49">
        <v>17</v>
      </c>
      <c r="I308" s="42">
        <f t="shared" si="64"/>
        <v>59.532300000000006</v>
      </c>
      <c r="J308" s="42">
        <f t="shared" si="65"/>
        <v>0.19582993421052633</v>
      </c>
      <c r="K308" s="42">
        <f t="shared" si="66"/>
        <v>304</v>
      </c>
      <c r="L308" s="42">
        <f t="shared" si="67"/>
        <v>174.01000000000013</v>
      </c>
      <c r="M308" s="42">
        <f t="shared" si="68"/>
        <v>0.57240131578947417</v>
      </c>
      <c r="N308" s="42">
        <f t="shared" si="69"/>
        <v>304</v>
      </c>
      <c r="O308" s="42">
        <f t="shared" si="70"/>
        <v>17523</v>
      </c>
      <c r="P308" s="42">
        <f t="shared" si="71"/>
        <v>57.641447368421055</v>
      </c>
      <c r="Q308" s="42">
        <f t="shared" si="72"/>
        <v>304</v>
      </c>
      <c r="R308" s="42" t="str">
        <f t="shared" si="73"/>
        <v>3</v>
      </c>
      <c r="S308" s="42" t="str">
        <f t="shared" si="74"/>
        <v>7</v>
      </c>
      <c r="T308" s="42">
        <f t="shared" si="75"/>
        <v>3</v>
      </c>
      <c r="U308" s="42">
        <f t="shared" si="76"/>
        <v>89</v>
      </c>
      <c r="V308" s="42">
        <f t="shared" si="77"/>
        <v>3183</v>
      </c>
      <c r="W308" s="42">
        <f t="shared" si="78"/>
        <v>49.316801509098106</v>
      </c>
      <c r="X308" s="42">
        <f t="shared" si="79"/>
        <v>0.18825987366070532</v>
      </c>
    </row>
    <row r="309" spans="1:24" x14ac:dyDescent="0.2">
      <c r="A309" s="49">
        <v>307</v>
      </c>
      <c r="B309" s="49">
        <v>308</v>
      </c>
      <c r="C309" s="49">
        <v>0.1212</v>
      </c>
      <c r="D309" s="49">
        <v>0.74</v>
      </c>
      <c r="E309" s="49">
        <v>0.16420000000000001</v>
      </c>
      <c r="F309" s="49">
        <v>0</v>
      </c>
      <c r="G309" s="49">
        <v>70</v>
      </c>
      <c r="H309" s="49">
        <v>70</v>
      </c>
      <c r="I309" s="42">
        <f t="shared" si="64"/>
        <v>59.350500000000011</v>
      </c>
      <c r="J309" s="42">
        <f t="shared" si="65"/>
        <v>0.19587623762376241</v>
      </c>
      <c r="K309" s="42">
        <f t="shared" si="66"/>
        <v>303</v>
      </c>
      <c r="L309" s="42">
        <f t="shared" si="67"/>
        <v>173.47000000000014</v>
      </c>
      <c r="M309" s="42">
        <f t="shared" si="68"/>
        <v>0.57250825082508294</v>
      </c>
      <c r="N309" s="42">
        <f t="shared" si="69"/>
        <v>303</v>
      </c>
      <c r="O309" s="42">
        <f t="shared" si="70"/>
        <v>17506</v>
      </c>
      <c r="P309" s="42">
        <f t="shared" si="71"/>
        <v>57.775577557755774</v>
      </c>
      <c r="Q309" s="42">
        <f t="shared" si="72"/>
        <v>303</v>
      </c>
      <c r="R309" s="42" t="str">
        <f t="shared" si="73"/>
        <v>3</v>
      </c>
      <c r="S309" s="42" t="str">
        <f t="shared" si="74"/>
        <v>8</v>
      </c>
      <c r="T309" s="42">
        <f t="shared" si="75"/>
        <v>3</v>
      </c>
      <c r="U309" s="42">
        <f t="shared" si="76"/>
        <v>89</v>
      </c>
      <c r="V309" s="42">
        <f t="shared" si="77"/>
        <v>3183</v>
      </c>
      <c r="W309" s="42">
        <f t="shared" si="78"/>
        <v>49.316801509098106</v>
      </c>
      <c r="X309" s="42">
        <f t="shared" si="79"/>
        <v>0.18825987366070532</v>
      </c>
    </row>
    <row r="310" spans="1:24" x14ac:dyDescent="0.2">
      <c r="A310" s="49">
        <v>308</v>
      </c>
      <c r="B310" s="49">
        <v>309</v>
      </c>
      <c r="C310" s="49">
        <v>0.16669999999999999</v>
      </c>
      <c r="D310" s="49">
        <v>0.68</v>
      </c>
      <c r="E310" s="49">
        <v>0</v>
      </c>
      <c r="F310" s="49">
        <v>2</v>
      </c>
      <c r="G310" s="49">
        <v>156</v>
      </c>
      <c r="H310" s="49">
        <v>158</v>
      </c>
      <c r="I310" s="42">
        <f t="shared" si="64"/>
        <v>59.229300000000009</v>
      </c>
      <c r="J310" s="42">
        <f t="shared" si="65"/>
        <v>0.19612350993377486</v>
      </c>
      <c r="K310" s="42">
        <f t="shared" si="66"/>
        <v>302</v>
      </c>
      <c r="L310" s="42">
        <f t="shared" si="67"/>
        <v>172.73000000000013</v>
      </c>
      <c r="M310" s="42">
        <f t="shared" si="68"/>
        <v>0.5719536423841064</v>
      </c>
      <c r="N310" s="42">
        <f t="shared" si="69"/>
        <v>302</v>
      </c>
      <c r="O310" s="42">
        <f t="shared" si="70"/>
        <v>17436</v>
      </c>
      <c r="P310" s="42">
        <f t="shared" si="71"/>
        <v>57.735099337748345</v>
      </c>
      <c r="Q310" s="42">
        <f t="shared" si="72"/>
        <v>302</v>
      </c>
      <c r="R310" s="42" t="str">
        <f t="shared" si="73"/>
        <v>3</v>
      </c>
      <c r="S310" s="42" t="str">
        <f t="shared" si="74"/>
        <v>9</v>
      </c>
      <c r="T310" s="42">
        <f t="shared" si="75"/>
        <v>3</v>
      </c>
      <c r="U310" s="42">
        <f t="shared" si="76"/>
        <v>89</v>
      </c>
      <c r="V310" s="42">
        <f t="shared" si="77"/>
        <v>3183</v>
      </c>
      <c r="W310" s="42">
        <f t="shared" si="78"/>
        <v>49.316801509098106</v>
      </c>
      <c r="X310" s="42">
        <f t="shared" si="79"/>
        <v>0.18825987366070532</v>
      </c>
    </row>
    <row r="311" spans="1:24" x14ac:dyDescent="0.2">
      <c r="A311" s="49">
        <v>309</v>
      </c>
      <c r="B311" s="49">
        <v>310</v>
      </c>
      <c r="C311" s="49">
        <v>0.1515</v>
      </c>
      <c r="D311" s="49">
        <v>0.69</v>
      </c>
      <c r="E311" s="49">
        <v>0.1343</v>
      </c>
      <c r="F311" s="49">
        <v>0</v>
      </c>
      <c r="G311" s="49">
        <v>117</v>
      </c>
      <c r="H311" s="49">
        <v>117</v>
      </c>
      <c r="I311" s="42">
        <f t="shared" si="64"/>
        <v>59.06260000000001</v>
      </c>
      <c r="J311" s="42">
        <f t="shared" si="65"/>
        <v>0.1962212624584718</v>
      </c>
      <c r="K311" s="42">
        <f t="shared" si="66"/>
        <v>301</v>
      </c>
      <c r="L311" s="42">
        <f t="shared" si="67"/>
        <v>172.05000000000013</v>
      </c>
      <c r="M311" s="42">
        <f t="shared" si="68"/>
        <v>0.57159468438538252</v>
      </c>
      <c r="N311" s="42">
        <f t="shared" si="69"/>
        <v>301</v>
      </c>
      <c r="O311" s="42">
        <f t="shared" si="70"/>
        <v>17278</v>
      </c>
      <c r="P311" s="42">
        <f t="shared" si="71"/>
        <v>57.401993355481729</v>
      </c>
      <c r="Q311" s="42">
        <f t="shared" si="72"/>
        <v>301</v>
      </c>
      <c r="R311" s="42" t="str">
        <f t="shared" si="73"/>
        <v>3</v>
      </c>
      <c r="S311" s="42" t="str">
        <f t="shared" si="74"/>
        <v>0</v>
      </c>
      <c r="T311" s="42">
        <f t="shared" si="75"/>
        <v>3</v>
      </c>
      <c r="U311" s="42">
        <f t="shared" si="76"/>
        <v>89</v>
      </c>
      <c r="V311" s="42">
        <f t="shared" si="77"/>
        <v>3183</v>
      </c>
      <c r="W311" s="42">
        <f t="shared" si="78"/>
        <v>49.316801509098106</v>
      </c>
      <c r="X311" s="42">
        <f t="shared" si="79"/>
        <v>0.18825987366070532</v>
      </c>
    </row>
    <row r="312" spans="1:24" x14ac:dyDescent="0.2">
      <c r="A312" s="49">
        <v>310</v>
      </c>
      <c r="B312" s="49">
        <v>311</v>
      </c>
      <c r="C312" s="49">
        <v>0.18179999999999999</v>
      </c>
      <c r="D312" s="49">
        <v>0.55000000000000004</v>
      </c>
      <c r="E312" s="49">
        <v>0.19400000000000001</v>
      </c>
      <c r="F312" s="49">
        <v>4</v>
      </c>
      <c r="G312" s="49">
        <v>40</v>
      </c>
      <c r="H312" s="49">
        <v>44</v>
      </c>
      <c r="I312" s="42">
        <f t="shared" si="64"/>
        <v>58.911100000000012</v>
      </c>
      <c r="J312" s="42">
        <f t="shared" si="65"/>
        <v>0.19637033333333337</v>
      </c>
      <c r="K312" s="42">
        <f t="shared" si="66"/>
        <v>300</v>
      </c>
      <c r="L312" s="42">
        <f t="shared" si="67"/>
        <v>171.36000000000013</v>
      </c>
      <c r="M312" s="42">
        <f t="shared" si="68"/>
        <v>0.57120000000000037</v>
      </c>
      <c r="N312" s="42">
        <f t="shared" si="69"/>
        <v>300</v>
      </c>
      <c r="O312" s="42">
        <f t="shared" si="70"/>
        <v>17161</v>
      </c>
      <c r="P312" s="42">
        <f t="shared" si="71"/>
        <v>57.203333333333333</v>
      </c>
      <c r="Q312" s="42">
        <f t="shared" si="72"/>
        <v>300</v>
      </c>
      <c r="R312" s="42" t="str">
        <f t="shared" si="73"/>
        <v>3</v>
      </c>
      <c r="S312" s="42" t="str">
        <f t="shared" si="74"/>
        <v>1</v>
      </c>
      <c r="T312" s="42">
        <f t="shared" si="75"/>
        <v>3</v>
      </c>
      <c r="U312" s="42">
        <f t="shared" si="76"/>
        <v>89</v>
      </c>
      <c r="V312" s="42">
        <f t="shared" si="77"/>
        <v>3183</v>
      </c>
      <c r="W312" s="42">
        <f t="shared" si="78"/>
        <v>49.316801509098106</v>
      </c>
      <c r="X312" s="42">
        <f t="shared" si="79"/>
        <v>0.18825987366070532</v>
      </c>
    </row>
    <row r="313" spans="1:24" x14ac:dyDescent="0.2">
      <c r="A313" s="49">
        <v>311</v>
      </c>
      <c r="B313" s="49">
        <v>312</v>
      </c>
      <c r="C313" s="49">
        <v>0.16669999999999999</v>
      </c>
      <c r="D313" s="49">
        <v>0.51</v>
      </c>
      <c r="E313" s="49">
        <v>0.28360000000000002</v>
      </c>
      <c r="F313" s="49">
        <v>6</v>
      </c>
      <c r="G313" s="49">
        <v>47</v>
      </c>
      <c r="H313" s="49">
        <v>53</v>
      </c>
      <c r="I313" s="42">
        <f t="shared" si="64"/>
        <v>58.729300000000016</v>
      </c>
      <c r="J313" s="42">
        <f t="shared" si="65"/>
        <v>0.19641906354515057</v>
      </c>
      <c r="K313" s="42">
        <f t="shared" si="66"/>
        <v>299</v>
      </c>
      <c r="L313" s="42">
        <f t="shared" si="67"/>
        <v>170.81000000000009</v>
      </c>
      <c r="M313" s="42">
        <f t="shared" si="68"/>
        <v>0.57127090301003369</v>
      </c>
      <c r="N313" s="42">
        <f t="shared" si="69"/>
        <v>299</v>
      </c>
      <c r="O313" s="42">
        <f t="shared" si="70"/>
        <v>17117</v>
      </c>
      <c r="P313" s="42">
        <f t="shared" si="71"/>
        <v>57.247491638795985</v>
      </c>
      <c r="Q313" s="42">
        <f t="shared" si="72"/>
        <v>299</v>
      </c>
      <c r="R313" s="42" t="str">
        <f t="shared" si="73"/>
        <v>3</v>
      </c>
      <c r="S313" s="42" t="str">
        <f t="shared" si="74"/>
        <v>2</v>
      </c>
      <c r="T313" s="42">
        <f t="shared" si="75"/>
        <v>3</v>
      </c>
      <c r="U313" s="42">
        <f t="shared" si="76"/>
        <v>89</v>
      </c>
      <c r="V313" s="42">
        <f t="shared" si="77"/>
        <v>3183</v>
      </c>
      <c r="W313" s="42">
        <f t="shared" si="78"/>
        <v>49.316801509098106</v>
      </c>
      <c r="X313" s="42">
        <f t="shared" si="79"/>
        <v>0.18825987366070532</v>
      </c>
    </row>
    <row r="314" spans="1:24" x14ac:dyDescent="0.2">
      <c r="A314" s="49">
        <v>312</v>
      </c>
      <c r="B314" s="49">
        <v>313</v>
      </c>
      <c r="C314" s="49">
        <v>0.19700000000000001</v>
      </c>
      <c r="D314" s="49">
        <v>0.44</v>
      </c>
      <c r="E314" s="49">
        <v>0.25369999999999998</v>
      </c>
      <c r="F314" s="49">
        <v>2</v>
      </c>
      <c r="G314" s="49">
        <v>59</v>
      </c>
      <c r="H314" s="49">
        <v>61</v>
      </c>
      <c r="I314" s="42">
        <f t="shared" si="64"/>
        <v>58.562600000000018</v>
      </c>
      <c r="J314" s="42">
        <f t="shared" si="65"/>
        <v>0.19651879194630878</v>
      </c>
      <c r="K314" s="42">
        <f t="shared" si="66"/>
        <v>298</v>
      </c>
      <c r="L314" s="42">
        <f t="shared" si="67"/>
        <v>170.30000000000007</v>
      </c>
      <c r="M314" s="42">
        <f t="shared" si="68"/>
        <v>0.57147651006711431</v>
      </c>
      <c r="N314" s="42">
        <f t="shared" si="69"/>
        <v>298</v>
      </c>
      <c r="O314" s="42">
        <f t="shared" si="70"/>
        <v>17064</v>
      </c>
      <c r="P314" s="42">
        <f t="shared" si="71"/>
        <v>57.261744966442954</v>
      </c>
      <c r="Q314" s="42">
        <f t="shared" si="72"/>
        <v>298</v>
      </c>
      <c r="R314" s="42" t="str">
        <f t="shared" si="73"/>
        <v>3</v>
      </c>
      <c r="S314" s="42" t="str">
        <f t="shared" si="74"/>
        <v>3</v>
      </c>
      <c r="T314" s="42">
        <f t="shared" si="75"/>
        <v>3</v>
      </c>
      <c r="U314" s="42">
        <f t="shared" si="76"/>
        <v>89</v>
      </c>
      <c r="V314" s="42">
        <f t="shared" si="77"/>
        <v>3183</v>
      </c>
      <c r="W314" s="42">
        <f t="shared" si="78"/>
        <v>49.316801509098106</v>
      </c>
      <c r="X314" s="42">
        <f t="shared" si="79"/>
        <v>0.18825987366070532</v>
      </c>
    </row>
    <row r="315" spans="1:24" x14ac:dyDescent="0.2">
      <c r="A315" s="49">
        <v>313</v>
      </c>
      <c r="B315" s="49">
        <v>314</v>
      </c>
      <c r="C315" s="49">
        <v>0.19700000000000001</v>
      </c>
      <c r="D315" s="49">
        <v>0.37</v>
      </c>
      <c r="E315" s="49">
        <v>0.3881</v>
      </c>
      <c r="F315" s="49">
        <v>4</v>
      </c>
      <c r="G315" s="49">
        <v>73</v>
      </c>
      <c r="H315" s="49">
        <v>77</v>
      </c>
      <c r="I315" s="42">
        <f t="shared" si="64"/>
        <v>58.365600000000022</v>
      </c>
      <c r="J315" s="42">
        <f t="shared" si="65"/>
        <v>0.19651717171717178</v>
      </c>
      <c r="K315" s="42">
        <f t="shared" si="66"/>
        <v>297</v>
      </c>
      <c r="L315" s="42">
        <f t="shared" si="67"/>
        <v>169.86000000000007</v>
      </c>
      <c r="M315" s="42">
        <f t="shared" si="68"/>
        <v>0.57191919191919216</v>
      </c>
      <c r="N315" s="42">
        <f t="shared" si="69"/>
        <v>297</v>
      </c>
      <c r="O315" s="42">
        <f t="shared" si="70"/>
        <v>17003</v>
      </c>
      <c r="P315" s="42">
        <f t="shared" si="71"/>
        <v>57.249158249158249</v>
      </c>
      <c r="Q315" s="42">
        <f t="shared" si="72"/>
        <v>297</v>
      </c>
      <c r="R315" s="42" t="str">
        <f t="shared" si="73"/>
        <v>3</v>
      </c>
      <c r="S315" s="42" t="str">
        <f t="shared" si="74"/>
        <v>4</v>
      </c>
      <c r="T315" s="42">
        <f t="shared" si="75"/>
        <v>3</v>
      </c>
      <c r="U315" s="42">
        <f t="shared" si="76"/>
        <v>89</v>
      </c>
      <c r="V315" s="42">
        <f t="shared" si="77"/>
        <v>3183</v>
      </c>
      <c r="W315" s="42">
        <f t="shared" si="78"/>
        <v>49.316801509098106</v>
      </c>
      <c r="X315" s="42">
        <f t="shared" si="79"/>
        <v>0.18825987366070532</v>
      </c>
    </row>
    <row r="316" spans="1:24" x14ac:dyDescent="0.2">
      <c r="A316" s="49">
        <v>314</v>
      </c>
      <c r="B316" s="49">
        <v>315</v>
      </c>
      <c r="C316" s="49">
        <v>0.21210000000000001</v>
      </c>
      <c r="D316" s="49">
        <v>0.41</v>
      </c>
      <c r="E316" s="49">
        <v>0.28360000000000002</v>
      </c>
      <c r="F316" s="49">
        <v>5</v>
      </c>
      <c r="G316" s="49">
        <v>59</v>
      </c>
      <c r="H316" s="49">
        <v>64</v>
      </c>
      <c r="I316" s="42">
        <f t="shared" si="64"/>
        <v>58.168600000000026</v>
      </c>
      <c r="J316" s="42">
        <f t="shared" si="65"/>
        <v>0.19651554054054063</v>
      </c>
      <c r="K316" s="42">
        <f t="shared" si="66"/>
        <v>296</v>
      </c>
      <c r="L316" s="42">
        <f t="shared" si="67"/>
        <v>169.49000000000007</v>
      </c>
      <c r="M316" s="42">
        <f t="shared" si="68"/>
        <v>0.5726013513513516</v>
      </c>
      <c r="N316" s="42">
        <f t="shared" si="69"/>
        <v>296</v>
      </c>
      <c r="O316" s="42">
        <f t="shared" si="70"/>
        <v>16926</v>
      </c>
      <c r="P316" s="42">
        <f t="shared" si="71"/>
        <v>57.182432432432435</v>
      </c>
      <c r="Q316" s="42">
        <f t="shared" si="72"/>
        <v>296</v>
      </c>
      <c r="R316" s="42" t="str">
        <f t="shared" si="73"/>
        <v>3</v>
      </c>
      <c r="S316" s="42" t="str">
        <f t="shared" si="74"/>
        <v>5</v>
      </c>
      <c r="T316" s="42">
        <f t="shared" si="75"/>
        <v>3</v>
      </c>
      <c r="U316" s="42">
        <f t="shared" si="76"/>
        <v>89</v>
      </c>
      <c r="V316" s="42">
        <f t="shared" si="77"/>
        <v>3183</v>
      </c>
      <c r="W316" s="42">
        <f t="shared" si="78"/>
        <v>49.316801509098106</v>
      </c>
      <c r="X316" s="42">
        <f t="shared" si="79"/>
        <v>0.18825987366070532</v>
      </c>
    </row>
    <row r="317" spans="1:24" x14ac:dyDescent="0.2">
      <c r="A317" s="49">
        <v>315</v>
      </c>
      <c r="B317" s="49">
        <v>316</v>
      </c>
      <c r="C317" s="49">
        <v>0.2424</v>
      </c>
      <c r="D317" s="49">
        <v>0.38</v>
      </c>
      <c r="E317" s="49">
        <v>0.16420000000000001</v>
      </c>
      <c r="F317" s="49">
        <v>9</v>
      </c>
      <c r="G317" s="49">
        <v>59</v>
      </c>
      <c r="H317" s="49">
        <v>68</v>
      </c>
      <c r="I317" s="42">
        <f t="shared" si="64"/>
        <v>57.956500000000027</v>
      </c>
      <c r="J317" s="42">
        <f t="shared" si="65"/>
        <v>0.19646271186440686</v>
      </c>
      <c r="K317" s="42">
        <f t="shared" si="66"/>
        <v>295</v>
      </c>
      <c r="L317" s="42">
        <f t="shared" si="67"/>
        <v>169.08000000000007</v>
      </c>
      <c r="M317" s="42">
        <f t="shared" si="68"/>
        <v>0.5731525423728816</v>
      </c>
      <c r="N317" s="42">
        <f t="shared" si="69"/>
        <v>295</v>
      </c>
      <c r="O317" s="42">
        <f t="shared" si="70"/>
        <v>16862</v>
      </c>
      <c r="P317" s="42">
        <f t="shared" si="71"/>
        <v>57.159322033898306</v>
      </c>
      <c r="Q317" s="42">
        <f t="shared" si="72"/>
        <v>295</v>
      </c>
      <c r="R317" s="42" t="str">
        <f t="shared" si="73"/>
        <v>3</v>
      </c>
      <c r="S317" s="42" t="str">
        <f t="shared" si="74"/>
        <v>6</v>
      </c>
      <c r="T317" s="42">
        <f t="shared" si="75"/>
        <v>3</v>
      </c>
      <c r="U317" s="42">
        <f t="shared" si="76"/>
        <v>89</v>
      </c>
      <c r="V317" s="42">
        <f t="shared" si="77"/>
        <v>3183</v>
      </c>
      <c r="W317" s="42">
        <f t="shared" si="78"/>
        <v>49.316801509098106</v>
      </c>
      <c r="X317" s="42">
        <f t="shared" si="79"/>
        <v>0.18825987366070532</v>
      </c>
    </row>
    <row r="318" spans="1:24" x14ac:dyDescent="0.2">
      <c r="A318" s="49">
        <v>316</v>
      </c>
      <c r="B318" s="49">
        <v>317</v>
      </c>
      <c r="C318" s="49">
        <v>0.2424</v>
      </c>
      <c r="D318" s="49">
        <v>0.41</v>
      </c>
      <c r="E318" s="49">
        <v>0.1045</v>
      </c>
      <c r="F318" s="49">
        <v>3</v>
      </c>
      <c r="G318" s="49">
        <v>87</v>
      </c>
      <c r="H318" s="49">
        <v>90</v>
      </c>
      <c r="I318" s="42">
        <f t="shared" si="64"/>
        <v>57.71410000000003</v>
      </c>
      <c r="J318" s="42">
        <f t="shared" si="65"/>
        <v>0.19630646258503412</v>
      </c>
      <c r="K318" s="42">
        <f t="shared" si="66"/>
        <v>294</v>
      </c>
      <c r="L318" s="42">
        <f t="shared" si="67"/>
        <v>168.70000000000005</v>
      </c>
      <c r="M318" s="42">
        <f t="shared" si="68"/>
        <v>0.57380952380952399</v>
      </c>
      <c r="N318" s="42">
        <f t="shared" si="69"/>
        <v>294</v>
      </c>
      <c r="O318" s="42">
        <f t="shared" si="70"/>
        <v>16794</v>
      </c>
      <c r="P318" s="42">
        <f t="shared" si="71"/>
        <v>57.122448979591837</v>
      </c>
      <c r="Q318" s="42">
        <f t="shared" si="72"/>
        <v>294</v>
      </c>
      <c r="R318" s="42" t="str">
        <f t="shared" si="73"/>
        <v>3</v>
      </c>
      <c r="S318" s="42" t="str">
        <f t="shared" si="74"/>
        <v>7</v>
      </c>
      <c r="T318" s="42">
        <f t="shared" si="75"/>
        <v>3</v>
      </c>
      <c r="U318" s="42">
        <f t="shared" si="76"/>
        <v>89</v>
      </c>
      <c r="V318" s="42">
        <f t="shared" si="77"/>
        <v>3183</v>
      </c>
      <c r="W318" s="42">
        <f t="shared" si="78"/>
        <v>49.316801509098106</v>
      </c>
      <c r="X318" s="42">
        <f t="shared" si="79"/>
        <v>0.18825987366070532</v>
      </c>
    </row>
    <row r="319" spans="1:24" x14ac:dyDescent="0.2">
      <c r="A319" s="49">
        <v>317</v>
      </c>
      <c r="B319" s="49">
        <v>318</v>
      </c>
      <c r="C319" s="49">
        <v>0.2273</v>
      </c>
      <c r="D319" s="49">
        <v>0.41</v>
      </c>
      <c r="E319" s="49">
        <v>0.16420000000000001</v>
      </c>
      <c r="F319" s="49">
        <v>4</v>
      </c>
      <c r="G319" s="49">
        <v>155</v>
      </c>
      <c r="H319" s="49">
        <v>159</v>
      </c>
      <c r="I319" s="42">
        <f t="shared" si="64"/>
        <v>57.471700000000034</v>
      </c>
      <c r="J319" s="42">
        <f t="shared" si="65"/>
        <v>0.1961491467576793</v>
      </c>
      <c r="K319" s="42">
        <f t="shared" si="66"/>
        <v>293</v>
      </c>
      <c r="L319" s="42">
        <f t="shared" si="67"/>
        <v>168.29000000000005</v>
      </c>
      <c r="M319" s="42">
        <f t="shared" si="68"/>
        <v>0.57436860068259399</v>
      </c>
      <c r="N319" s="42">
        <f t="shared" si="69"/>
        <v>293</v>
      </c>
      <c r="O319" s="42">
        <f t="shared" si="70"/>
        <v>16704</v>
      </c>
      <c r="P319" s="42">
        <f t="shared" si="71"/>
        <v>57.010238907849832</v>
      </c>
      <c r="Q319" s="42">
        <f t="shared" si="72"/>
        <v>293</v>
      </c>
      <c r="R319" s="42" t="str">
        <f t="shared" si="73"/>
        <v>3</v>
      </c>
      <c r="S319" s="42" t="str">
        <f t="shared" si="74"/>
        <v>8</v>
      </c>
      <c r="T319" s="42">
        <f t="shared" si="75"/>
        <v>3</v>
      </c>
      <c r="U319" s="42">
        <f t="shared" si="76"/>
        <v>89</v>
      </c>
      <c r="V319" s="42">
        <f t="shared" si="77"/>
        <v>3183</v>
      </c>
      <c r="W319" s="42">
        <f t="shared" si="78"/>
        <v>49.316801509098106</v>
      </c>
      <c r="X319" s="42">
        <f t="shared" si="79"/>
        <v>0.18825987366070532</v>
      </c>
    </row>
    <row r="320" spans="1:24" x14ac:dyDescent="0.2">
      <c r="A320" s="49">
        <v>318</v>
      </c>
      <c r="B320" s="49">
        <v>319</v>
      </c>
      <c r="C320" s="49">
        <v>0.2576</v>
      </c>
      <c r="D320" s="49">
        <v>0.47</v>
      </c>
      <c r="E320" s="49">
        <v>0</v>
      </c>
      <c r="F320" s="49">
        <v>5</v>
      </c>
      <c r="G320" s="49">
        <v>134</v>
      </c>
      <c r="H320" s="49">
        <v>139</v>
      </c>
      <c r="I320" s="42">
        <f t="shared" si="64"/>
        <v>57.244400000000034</v>
      </c>
      <c r="J320" s="42">
        <f t="shared" si="65"/>
        <v>0.19604246575342477</v>
      </c>
      <c r="K320" s="42">
        <f t="shared" si="66"/>
        <v>292</v>
      </c>
      <c r="L320" s="42">
        <f t="shared" si="67"/>
        <v>167.88000000000005</v>
      </c>
      <c r="M320" s="42">
        <f t="shared" si="68"/>
        <v>0.57493150684931527</v>
      </c>
      <c r="N320" s="42">
        <f t="shared" si="69"/>
        <v>292</v>
      </c>
      <c r="O320" s="42">
        <f t="shared" si="70"/>
        <v>16545</v>
      </c>
      <c r="P320" s="42">
        <f t="shared" si="71"/>
        <v>56.660958904109592</v>
      </c>
      <c r="Q320" s="42">
        <f t="shared" si="72"/>
        <v>292</v>
      </c>
      <c r="R320" s="42" t="str">
        <f t="shared" si="73"/>
        <v>3</v>
      </c>
      <c r="S320" s="42" t="str">
        <f t="shared" si="74"/>
        <v>9</v>
      </c>
      <c r="T320" s="42">
        <f t="shared" si="75"/>
        <v>3</v>
      </c>
      <c r="U320" s="42">
        <f t="shared" si="76"/>
        <v>89</v>
      </c>
      <c r="V320" s="42">
        <f t="shared" si="77"/>
        <v>3183</v>
      </c>
      <c r="W320" s="42">
        <f t="shared" si="78"/>
        <v>49.316801509098106</v>
      </c>
      <c r="X320" s="42">
        <f t="shared" si="79"/>
        <v>0.18825987366070532</v>
      </c>
    </row>
    <row r="321" spans="1:24" x14ac:dyDescent="0.2">
      <c r="A321" s="49">
        <v>319</v>
      </c>
      <c r="B321" s="49">
        <v>320</v>
      </c>
      <c r="C321" s="49">
        <v>0.19700000000000001</v>
      </c>
      <c r="D321" s="49">
        <v>0.59</v>
      </c>
      <c r="E321" s="49">
        <v>8.9599999999999999E-2</v>
      </c>
      <c r="F321" s="49">
        <v>3</v>
      </c>
      <c r="G321" s="49">
        <v>89</v>
      </c>
      <c r="H321" s="49">
        <v>92</v>
      </c>
      <c r="I321" s="42">
        <f t="shared" si="64"/>
        <v>56.986800000000031</v>
      </c>
      <c r="J321" s="42">
        <f t="shared" si="65"/>
        <v>0.19583092783505165</v>
      </c>
      <c r="K321" s="42">
        <f t="shared" si="66"/>
        <v>291</v>
      </c>
      <c r="L321" s="42">
        <f t="shared" si="67"/>
        <v>167.41000000000005</v>
      </c>
      <c r="M321" s="42">
        <f t="shared" si="68"/>
        <v>0.57529209621993149</v>
      </c>
      <c r="N321" s="42">
        <f t="shared" si="69"/>
        <v>291</v>
      </c>
      <c r="O321" s="42">
        <f t="shared" si="70"/>
        <v>16406</v>
      </c>
      <c r="P321" s="42">
        <f t="shared" si="71"/>
        <v>56.378006872852232</v>
      </c>
      <c r="Q321" s="42">
        <f t="shared" si="72"/>
        <v>291</v>
      </c>
      <c r="R321" s="42" t="str">
        <f t="shared" si="73"/>
        <v>3</v>
      </c>
      <c r="S321" s="42" t="str">
        <f t="shared" si="74"/>
        <v>0</v>
      </c>
      <c r="T321" s="42">
        <f t="shared" si="75"/>
        <v>3</v>
      </c>
      <c r="U321" s="42">
        <f t="shared" si="76"/>
        <v>89</v>
      </c>
      <c r="V321" s="42">
        <f t="shared" si="77"/>
        <v>3183</v>
      </c>
      <c r="W321" s="42">
        <f t="shared" si="78"/>
        <v>49.316801509098106</v>
      </c>
      <c r="X321" s="42">
        <f t="shared" si="79"/>
        <v>0.18825987366070532</v>
      </c>
    </row>
    <row r="322" spans="1:24" x14ac:dyDescent="0.2">
      <c r="A322" s="49">
        <v>320</v>
      </c>
      <c r="B322" s="49">
        <v>321</v>
      </c>
      <c r="C322" s="49">
        <v>0.2424</v>
      </c>
      <c r="D322" s="49">
        <v>0.59</v>
      </c>
      <c r="E322" s="49">
        <v>0</v>
      </c>
      <c r="F322" s="49">
        <v>0</v>
      </c>
      <c r="G322" s="49">
        <v>68</v>
      </c>
      <c r="H322" s="49">
        <v>68</v>
      </c>
      <c r="I322" s="42">
        <f t="shared" si="64"/>
        <v>56.789800000000035</v>
      </c>
      <c r="J322" s="42">
        <f t="shared" si="65"/>
        <v>0.19582689655172425</v>
      </c>
      <c r="K322" s="42">
        <f t="shared" si="66"/>
        <v>290</v>
      </c>
      <c r="L322" s="42">
        <f t="shared" si="67"/>
        <v>166.82000000000008</v>
      </c>
      <c r="M322" s="42">
        <f t="shared" si="68"/>
        <v>0.57524137931034514</v>
      </c>
      <c r="N322" s="42">
        <f t="shared" si="69"/>
        <v>290</v>
      </c>
      <c r="O322" s="42">
        <f t="shared" si="70"/>
        <v>16314</v>
      </c>
      <c r="P322" s="42">
        <f t="shared" si="71"/>
        <v>56.255172413793105</v>
      </c>
      <c r="Q322" s="42">
        <f t="shared" si="72"/>
        <v>290</v>
      </c>
      <c r="R322" s="42" t="str">
        <f t="shared" si="73"/>
        <v>3</v>
      </c>
      <c r="S322" s="42" t="str">
        <f t="shared" si="74"/>
        <v>1</v>
      </c>
      <c r="T322" s="42">
        <f t="shared" si="75"/>
        <v>3</v>
      </c>
      <c r="U322" s="42">
        <f t="shared" si="76"/>
        <v>89</v>
      </c>
      <c r="V322" s="42">
        <f t="shared" si="77"/>
        <v>3183</v>
      </c>
      <c r="W322" s="42">
        <f t="shared" si="78"/>
        <v>49.316801509098106</v>
      </c>
      <c r="X322" s="42">
        <f t="shared" si="79"/>
        <v>0.18825987366070532</v>
      </c>
    </row>
    <row r="323" spans="1:24" x14ac:dyDescent="0.2">
      <c r="A323" s="49">
        <v>321</v>
      </c>
      <c r="B323" s="49">
        <v>322</v>
      </c>
      <c r="C323" s="49">
        <v>0.2273</v>
      </c>
      <c r="D323" s="49">
        <v>0.69</v>
      </c>
      <c r="E323" s="49">
        <v>0</v>
      </c>
      <c r="F323" s="49">
        <v>4</v>
      </c>
      <c r="G323" s="49">
        <v>48</v>
      </c>
      <c r="H323" s="49">
        <v>52</v>
      </c>
      <c r="I323" s="42">
        <f t="shared" ref="I323:I386" si="80">SUM(C323:C932)</f>
        <v>56.547400000000039</v>
      </c>
      <c r="J323" s="42">
        <f t="shared" ref="J323:J386" si="81">AVERAGE(C323:C932)</f>
        <v>0.19566574394463682</v>
      </c>
      <c r="K323" s="42">
        <f t="shared" ref="K323:K386" si="82">COUNT(C323:C932)</f>
        <v>289</v>
      </c>
      <c r="L323" s="42">
        <f t="shared" ref="L323:L386" si="83">SUM(D323:D932)</f>
        <v>166.23000000000008</v>
      </c>
      <c r="M323" s="42">
        <f t="shared" ref="M323:M386" si="84">AVERAGE(D323:D932)</f>
        <v>0.57519031141868537</v>
      </c>
      <c r="N323" s="42">
        <f t="shared" ref="N323:N386" si="85">COUNT(D323:D932)</f>
        <v>289</v>
      </c>
      <c r="O323" s="42">
        <f t="shared" ref="O323:O386" si="86">SUM(H323:H932)</f>
        <v>16246</v>
      </c>
      <c r="P323" s="42">
        <f t="shared" ref="P323:P386" si="87">AVERAGE(H323:H932)</f>
        <v>56.214532871972317</v>
      </c>
      <c r="Q323" s="42">
        <f t="shared" ref="Q323:Q386" si="88">COUNT(H323:H932)</f>
        <v>289</v>
      </c>
      <c r="R323" s="42" t="str">
        <f t="shared" ref="R323:R386" si="89">LEFT(B323,1)</f>
        <v>3</v>
      </c>
      <c r="S323" s="42" t="str">
        <f t="shared" ref="S323:S386" si="90">RIGHT(B323,1)</f>
        <v>2</v>
      </c>
      <c r="T323" s="42">
        <f t="shared" ref="T323:T386" si="91">LEN(B323)</f>
        <v>3</v>
      </c>
      <c r="U323" s="42">
        <f t="shared" ref="U323:U386" si="92">COUNTIF(H:H,"&gt;100")</f>
        <v>89</v>
      </c>
      <c r="V323" s="42">
        <f t="shared" ref="V323:V386" si="93">SUMIF(D:D,"&gt;0.8",H:H)</f>
        <v>3183</v>
      </c>
      <c r="W323" s="42">
        <f t="shared" ref="W323:W386" si="94">STDEV(H:H)</f>
        <v>49.316801509098106</v>
      </c>
      <c r="X323" s="42">
        <f t="shared" ref="X323:X386" si="95">CORREL(C:C,H:H)</f>
        <v>0.18825987366070532</v>
      </c>
    </row>
    <row r="324" spans="1:24" x14ac:dyDescent="0.2">
      <c r="A324" s="49">
        <v>322</v>
      </c>
      <c r="B324" s="49">
        <v>323</v>
      </c>
      <c r="C324" s="49">
        <v>0.2273</v>
      </c>
      <c r="D324" s="49">
        <v>0.69</v>
      </c>
      <c r="E324" s="49">
        <v>0</v>
      </c>
      <c r="F324" s="49">
        <v>2</v>
      </c>
      <c r="G324" s="49">
        <v>34</v>
      </c>
      <c r="H324" s="49">
        <v>36</v>
      </c>
      <c r="I324" s="42">
        <f t="shared" si="80"/>
        <v>56.320100000000039</v>
      </c>
      <c r="J324" s="42">
        <f t="shared" si="81"/>
        <v>0.1955559027777779</v>
      </c>
      <c r="K324" s="42">
        <f t="shared" si="82"/>
        <v>288</v>
      </c>
      <c r="L324" s="42">
        <f t="shared" si="83"/>
        <v>165.54000000000008</v>
      </c>
      <c r="M324" s="42">
        <f t="shared" si="84"/>
        <v>0.57479166666666692</v>
      </c>
      <c r="N324" s="42">
        <f t="shared" si="85"/>
        <v>288</v>
      </c>
      <c r="O324" s="42">
        <f t="shared" si="86"/>
        <v>16194</v>
      </c>
      <c r="P324" s="42">
        <f t="shared" si="87"/>
        <v>56.229166666666664</v>
      </c>
      <c r="Q324" s="42">
        <f t="shared" si="88"/>
        <v>288</v>
      </c>
      <c r="R324" s="42" t="str">
        <f t="shared" si="89"/>
        <v>3</v>
      </c>
      <c r="S324" s="42" t="str">
        <f t="shared" si="90"/>
        <v>3</v>
      </c>
      <c r="T324" s="42">
        <f t="shared" si="91"/>
        <v>3</v>
      </c>
      <c r="U324" s="42">
        <f t="shared" si="92"/>
        <v>89</v>
      </c>
      <c r="V324" s="42">
        <f t="shared" si="93"/>
        <v>3183</v>
      </c>
      <c r="W324" s="42">
        <f t="shared" si="94"/>
        <v>49.316801509098106</v>
      </c>
      <c r="X324" s="42">
        <f t="shared" si="95"/>
        <v>0.18825987366070532</v>
      </c>
    </row>
    <row r="325" spans="1:24" x14ac:dyDescent="0.2">
      <c r="A325" s="49">
        <v>323</v>
      </c>
      <c r="B325" s="49">
        <v>324</v>
      </c>
      <c r="C325" s="49">
        <v>0.2424</v>
      </c>
      <c r="D325" s="49">
        <v>0.55000000000000004</v>
      </c>
      <c r="E325" s="49">
        <v>0</v>
      </c>
      <c r="F325" s="49">
        <v>1</v>
      </c>
      <c r="G325" s="49">
        <v>26</v>
      </c>
      <c r="H325" s="49">
        <v>27</v>
      </c>
      <c r="I325" s="42">
        <f t="shared" si="80"/>
        <v>56.09280000000004</v>
      </c>
      <c r="J325" s="42">
        <f t="shared" si="81"/>
        <v>0.19544529616724751</v>
      </c>
      <c r="K325" s="42">
        <f t="shared" si="82"/>
        <v>287</v>
      </c>
      <c r="L325" s="42">
        <f t="shared" si="83"/>
        <v>164.85000000000011</v>
      </c>
      <c r="M325" s="42">
        <f t="shared" si="84"/>
        <v>0.57439024390243942</v>
      </c>
      <c r="N325" s="42">
        <f t="shared" si="85"/>
        <v>287</v>
      </c>
      <c r="O325" s="42">
        <f t="shared" si="86"/>
        <v>16158</v>
      </c>
      <c r="P325" s="42">
        <f t="shared" si="87"/>
        <v>56.299651567944252</v>
      </c>
      <c r="Q325" s="42">
        <f t="shared" si="88"/>
        <v>287</v>
      </c>
      <c r="R325" s="42" t="str">
        <f t="shared" si="89"/>
        <v>3</v>
      </c>
      <c r="S325" s="42" t="str">
        <f t="shared" si="90"/>
        <v>4</v>
      </c>
      <c r="T325" s="42">
        <f t="shared" si="91"/>
        <v>3</v>
      </c>
      <c r="U325" s="42">
        <f t="shared" si="92"/>
        <v>89</v>
      </c>
      <c r="V325" s="42">
        <f t="shared" si="93"/>
        <v>3183</v>
      </c>
      <c r="W325" s="42">
        <f t="shared" si="94"/>
        <v>49.316801509098106</v>
      </c>
      <c r="X325" s="42">
        <f t="shared" si="95"/>
        <v>0.18825987366070532</v>
      </c>
    </row>
    <row r="326" spans="1:24" x14ac:dyDescent="0.2">
      <c r="A326" s="49">
        <v>324</v>
      </c>
      <c r="B326" s="49">
        <v>325</v>
      </c>
      <c r="C326" s="49">
        <v>0.2424</v>
      </c>
      <c r="D326" s="49">
        <v>0.55000000000000004</v>
      </c>
      <c r="E326" s="49">
        <v>0</v>
      </c>
      <c r="F326" s="49">
        <v>3</v>
      </c>
      <c r="G326" s="49">
        <v>25</v>
      </c>
      <c r="H326" s="49">
        <v>28</v>
      </c>
      <c r="I326" s="42">
        <f t="shared" si="80"/>
        <v>55.850400000000043</v>
      </c>
      <c r="J326" s="42">
        <f t="shared" si="81"/>
        <v>0.19528111888111904</v>
      </c>
      <c r="K326" s="42">
        <f t="shared" si="82"/>
        <v>286</v>
      </c>
      <c r="L326" s="42">
        <f t="shared" si="83"/>
        <v>164.30000000000013</v>
      </c>
      <c r="M326" s="42">
        <f t="shared" si="84"/>
        <v>0.57447552447552497</v>
      </c>
      <c r="N326" s="42">
        <f t="shared" si="85"/>
        <v>286</v>
      </c>
      <c r="O326" s="42">
        <f t="shared" si="86"/>
        <v>16131</v>
      </c>
      <c r="P326" s="42">
        <f t="shared" si="87"/>
        <v>56.4020979020979</v>
      </c>
      <c r="Q326" s="42">
        <f t="shared" si="88"/>
        <v>286</v>
      </c>
      <c r="R326" s="42" t="str">
        <f t="shared" si="89"/>
        <v>3</v>
      </c>
      <c r="S326" s="42" t="str">
        <f t="shared" si="90"/>
        <v>5</v>
      </c>
      <c r="T326" s="42">
        <f t="shared" si="91"/>
        <v>3</v>
      </c>
      <c r="U326" s="42">
        <f t="shared" si="92"/>
        <v>89</v>
      </c>
      <c r="V326" s="42">
        <f t="shared" si="93"/>
        <v>3183</v>
      </c>
      <c r="W326" s="42">
        <f t="shared" si="94"/>
        <v>49.316801509098106</v>
      </c>
      <c r="X326" s="42">
        <f t="shared" si="95"/>
        <v>0.18825987366070532</v>
      </c>
    </row>
    <row r="327" spans="1:24" x14ac:dyDescent="0.2">
      <c r="A327" s="49">
        <v>325</v>
      </c>
      <c r="B327" s="49">
        <v>326</v>
      </c>
      <c r="C327" s="49">
        <v>0.19700000000000001</v>
      </c>
      <c r="D327" s="49">
        <v>0.59</v>
      </c>
      <c r="E327" s="49">
        <v>8.9599999999999999E-2</v>
      </c>
      <c r="F327" s="49">
        <v>2</v>
      </c>
      <c r="G327" s="49">
        <v>18</v>
      </c>
      <c r="H327" s="49">
        <v>20</v>
      </c>
      <c r="I327" s="42">
        <f t="shared" si="80"/>
        <v>55.60800000000004</v>
      </c>
      <c r="J327" s="42">
        <f t="shared" si="81"/>
        <v>0.19511578947368435</v>
      </c>
      <c r="K327" s="42">
        <f t="shared" si="82"/>
        <v>285</v>
      </c>
      <c r="L327" s="42">
        <f t="shared" si="83"/>
        <v>163.75000000000014</v>
      </c>
      <c r="M327" s="42">
        <f t="shared" si="84"/>
        <v>0.57456140350877238</v>
      </c>
      <c r="N327" s="42">
        <f t="shared" si="85"/>
        <v>285</v>
      </c>
      <c r="O327" s="42">
        <f t="shared" si="86"/>
        <v>16103</v>
      </c>
      <c r="P327" s="42">
        <f t="shared" si="87"/>
        <v>56.501754385964915</v>
      </c>
      <c r="Q327" s="42">
        <f t="shared" si="88"/>
        <v>285</v>
      </c>
      <c r="R327" s="42" t="str">
        <f t="shared" si="89"/>
        <v>3</v>
      </c>
      <c r="S327" s="42" t="str">
        <f t="shared" si="90"/>
        <v>6</v>
      </c>
      <c r="T327" s="42">
        <f t="shared" si="91"/>
        <v>3</v>
      </c>
      <c r="U327" s="42">
        <f t="shared" si="92"/>
        <v>89</v>
      </c>
      <c r="V327" s="42">
        <f t="shared" si="93"/>
        <v>3183</v>
      </c>
      <c r="W327" s="42">
        <f t="shared" si="94"/>
        <v>49.316801509098106</v>
      </c>
      <c r="X327" s="42">
        <f t="shared" si="95"/>
        <v>0.18825987366070532</v>
      </c>
    </row>
    <row r="328" spans="1:24" x14ac:dyDescent="0.2">
      <c r="A328" s="49">
        <v>326</v>
      </c>
      <c r="B328" s="49">
        <v>327</v>
      </c>
      <c r="C328" s="49">
        <v>0.19700000000000001</v>
      </c>
      <c r="D328" s="49">
        <v>0.59</v>
      </c>
      <c r="E328" s="49">
        <v>8.9599999999999999E-2</v>
      </c>
      <c r="F328" s="49">
        <v>0</v>
      </c>
      <c r="G328" s="49">
        <v>12</v>
      </c>
      <c r="H328" s="49">
        <v>12</v>
      </c>
      <c r="I328" s="42">
        <f t="shared" si="80"/>
        <v>55.411000000000044</v>
      </c>
      <c r="J328" s="42">
        <f t="shared" si="81"/>
        <v>0.19510915492957762</v>
      </c>
      <c r="K328" s="42">
        <f t="shared" si="82"/>
        <v>284</v>
      </c>
      <c r="L328" s="42">
        <f t="shared" si="83"/>
        <v>163.16000000000014</v>
      </c>
      <c r="M328" s="42">
        <f t="shared" si="84"/>
        <v>0.57450704225352156</v>
      </c>
      <c r="N328" s="42">
        <f t="shared" si="85"/>
        <v>284</v>
      </c>
      <c r="O328" s="42">
        <f t="shared" si="86"/>
        <v>16083</v>
      </c>
      <c r="P328" s="42">
        <f t="shared" si="87"/>
        <v>56.630281690140848</v>
      </c>
      <c r="Q328" s="42">
        <f t="shared" si="88"/>
        <v>284</v>
      </c>
      <c r="R328" s="42" t="str">
        <f t="shared" si="89"/>
        <v>3</v>
      </c>
      <c r="S328" s="42" t="str">
        <f t="shared" si="90"/>
        <v>7</v>
      </c>
      <c r="T328" s="42">
        <f t="shared" si="91"/>
        <v>3</v>
      </c>
      <c r="U328" s="42">
        <f t="shared" si="92"/>
        <v>89</v>
      </c>
      <c r="V328" s="42">
        <f t="shared" si="93"/>
        <v>3183</v>
      </c>
      <c r="W328" s="42">
        <f t="shared" si="94"/>
        <v>49.316801509098106</v>
      </c>
      <c r="X328" s="42">
        <f t="shared" si="95"/>
        <v>0.18825987366070532</v>
      </c>
    </row>
    <row r="329" spans="1:24" x14ac:dyDescent="0.2">
      <c r="A329" s="49">
        <v>327</v>
      </c>
      <c r="B329" s="49">
        <v>328</v>
      </c>
      <c r="C329" s="49">
        <v>0.2273</v>
      </c>
      <c r="D329" s="49">
        <v>0.59</v>
      </c>
      <c r="E329" s="49">
        <v>0</v>
      </c>
      <c r="F329" s="49">
        <v>1</v>
      </c>
      <c r="G329" s="49">
        <v>7</v>
      </c>
      <c r="H329" s="49">
        <v>8</v>
      </c>
      <c r="I329" s="42">
        <f t="shared" si="80"/>
        <v>55.214000000000041</v>
      </c>
      <c r="J329" s="42">
        <f t="shared" si="81"/>
        <v>0.19510247349823337</v>
      </c>
      <c r="K329" s="42">
        <f t="shared" si="82"/>
        <v>283</v>
      </c>
      <c r="L329" s="42">
        <f t="shared" si="83"/>
        <v>162.57000000000014</v>
      </c>
      <c r="M329" s="42">
        <f t="shared" si="84"/>
        <v>0.57445229681978849</v>
      </c>
      <c r="N329" s="42">
        <f t="shared" si="85"/>
        <v>283</v>
      </c>
      <c r="O329" s="42">
        <f t="shared" si="86"/>
        <v>16071</v>
      </c>
      <c r="P329" s="42">
        <f t="shared" si="87"/>
        <v>56.78798586572438</v>
      </c>
      <c r="Q329" s="42">
        <f t="shared" si="88"/>
        <v>283</v>
      </c>
      <c r="R329" s="42" t="str">
        <f t="shared" si="89"/>
        <v>3</v>
      </c>
      <c r="S329" s="42" t="str">
        <f t="shared" si="90"/>
        <v>8</v>
      </c>
      <c r="T329" s="42">
        <f t="shared" si="91"/>
        <v>3</v>
      </c>
      <c r="U329" s="42">
        <f t="shared" si="92"/>
        <v>89</v>
      </c>
      <c r="V329" s="42">
        <f t="shared" si="93"/>
        <v>3183</v>
      </c>
      <c r="W329" s="42">
        <f t="shared" si="94"/>
        <v>49.316801509098106</v>
      </c>
      <c r="X329" s="42">
        <f t="shared" si="95"/>
        <v>0.18825987366070532</v>
      </c>
    </row>
    <row r="330" spans="1:24" x14ac:dyDescent="0.2">
      <c r="A330" s="49">
        <v>328</v>
      </c>
      <c r="B330" s="49">
        <v>329</v>
      </c>
      <c r="C330" s="49">
        <v>0.2273</v>
      </c>
      <c r="D330" s="49">
        <v>0.59</v>
      </c>
      <c r="E330" s="49">
        <v>0</v>
      </c>
      <c r="F330" s="49">
        <v>0</v>
      </c>
      <c r="G330" s="49">
        <v>5</v>
      </c>
      <c r="H330" s="49">
        <v>5</v>
      </c>
      <c r="I330" s="42">
        <f t="shared" si="80"/>
        <v>54.986700000000042</v>
      </c>
      <c r="J330" s="42">
        <f t="shared" si="81"/>
        <v>0.19498829787234057</v>
      </c>
      <c r="K330" s="42">
        <f t="shared" si="82"/>
        <v>282</v>
      </c>
      <c r="L330" s="42">
        <f t="shared" si="83"/>
        <v>161.98000000000013</v>
      </c>
      <c r="M330" s="42">
        <f t="shared" si="84"/>
        <v>0.57439716312056788</v>
      </c>
      <c r="N330" s="42">
        <f t="shared" si="85"/>
        <v>282</v>
      </c>
      <c r="O330" s="42">
        <f t="shared" si="86"/>
        <v>16063</v>
      </c>
      <c r="P330" s="42">
        <f t="shared" si="87"/>
        <v>56.960992907801419</v>
      </c>
      <c r="Q330" s="42">
        <f t="shared" si="88"/>
        <v>282</v>
      </c>
      <c r="R330" s="42" t="str">
        <f t="shared" si="89"/>
        <v>3</v>
      </c>
      <c r="S330" s="42" t="str">
        <f t="shared" si="90"/>
        <v>9</v>
      </c>
      <c r="T330" s="42">
        <f t="shared" si="91"/>
        <v>3</v>
      </c>
      <c r="U330" s="42">
        <f t="shared" si="92"/>
        <v>89</v>
      </c>
      <c r="V330" s="42">
        <f t="shared" si="93"/>
        <v>3183</v>
      </c>
      <c r="W330" s="42">
        <f t="shared" si="94"/>
        <v>49.316801509098106</v>
      </c>
      <c r="X330" s="42">
        <f t="shared" si="95"/>
        <v>0.18825987366070532</v>
      </c>
    </row>
    <row r="331" spans="1:24" x14ac:dyDescent="0.2">
      <c r="A331" s="49">
        <v>329</v>
      </c>
      <c r="B331" s="49">
        <v>330</v>
      </c>
      <c r="C331" s="49">
        <v>0.2273</v>
      </c>
      <c r="D331" s="49">
        <v>0.59</v>
      </c>
      <c r="E331" s="49">
        <v>0</v>
      </c>
      <c r="F331" s="49">
        <v>0</v>
      </c>
      <c r="G331" s="49">
        <v>1</v>
      </c>
      <c r="H331" s="49">
        <v>1</v>
      </c>
      <c r="I331" s="42">
        <f t="shared" si="80"/>
        <v>54.759400000000042</v>
      </c>
      <c r="J331" s="42">
        <f t="shared" si="81"/>
        <v>0.19487330960854107</v>
      </c>
      <c r="K331" s="42">
        <f t="shared" si="82"/>
        <v>281</v>
      </c>
      <c r="L331" s="42">
        <f t="shared" si="83"/>
        <v>161.39000000000016</v>
      </c>
      <c r="M331" s="42">
        <f t="shared" si="84"/>
        <v>0.57434163701067675</v>
      </c>
      <c r="N331" s="42">
        <f t="shared" si="85"/>
        <v>281</v>
      </c>
      <c r="O331" s="42">
        <f t="shared" si="86"/>
        <v>16058</v>
      </c>
      <c r="P331" s="42">
        <f t="shared" si="87"/>
        <v>57.145907473309606</v>
      </c>
      <c r="Q331" s="42">
        <f t="shared" si="88"/>
        <v>281</v>
      </c>
      <c r="R331" s="42" t="str">
        <f t="shared" si="89"/>
        <v>3</v>
      </c>
      <c r="S331" s="42" t="str">
        <f t="shared" si="90"/>
        <v>0</v>
      </c>
      <c r="T331" s="42">
        <f t="shared" si="91"/>
        <v>3</v>
      </c>
      <c r="U331" s="42">
        <f t="shared" si="92"/>
        <v>89</v>
      </c>
      <c r="V331" s="42">
        <f t="shared" si="93"/>
        <v>3183</v>
      </c>
      <c r="W331" s="42">
        <f t="shared" si="94"/>
        <v>49.316801509098106</v>
      </c>
      <c r="X331" s="42">
        <f t="shared" si="95"/>
        <v>0.18825987366070532</v>
      </c>
    </row>
    <row r="332" spans="1:24" x14ac:dyDescent="0.2">
      <c r="A332" s="49">
        <v>330</v>
      </c>
      <c r="B332" s="49">
        <v>331</v>
      </c>
      <c r="C332" s="49">
        <v>0.16669999999999999</v>
      </c>
      <c r="D332" s="49">
        <v>0.63</v>
      </c>
      <c r="E332" s="49">
        <v>0.1045</v>
      </c>
      <c r="F332" s="49">
        <v>1</v>
      </c>
      <c r="G332" s="49">
        <v>2</v>
      </c>
      <c r="H332" s="49">
        <v>3</v>
      </c>
      <c r="I332" s="42">
        <f t="shared" si="80"/>
        <v>54.532100000000042</v>
      </c>
      <c r="J332" s="42">
        <f t="shared" si="81"/>
        <v>0.19475750000000014</v>
      </c>
      <c r="K332" s="42">
        <f t="shared" si="82"/>
        <v>280</v>
      </c>
      <c r="L332" s="42">
        <f t="shared" si="83"/>
        <v>160.80000000000015</v>
      </c>
      <c r="M332" s="42">
        <f t="shared" si="84"/>
        <v>0.57428571428571484</v>
      </c>
      <c r="N332" s="42">
        <f t="shared" si="85"/>
        <v>280</v>
      </c>
      <c r="O332" s="42">
        <f t="shared" si="86"/>
        <v>16057</v>
      </c>
      <c r="P332" s="42">
        <f t="shared" si="87"/>
        <v>57.346428571428568</v>
      </c>
      <c r="Q332" s="42">
        <f t="shared" si="88"/>
        <v>280</v>
      </c>
      <c r="R332" s="42" t="str">
        <f t="shared" si="89"/>
        <v>3</v>
      </c>
      <c r="S332" s="42" t="str">
        <f t="shared" si="90"/>
        <v>1</v>
      </c>
      <c r="T332" s="42">
        <f t="shared" si="91"/>
        <v>3</v>
      </c>
      <c r="U332" s="42">
        <f t="shared" si="92"/>
        <v>89</v>
      </c>
      <c r="V332" s="42">
        <f t="shared" si="93"/>
        <v>3183</v>
      </c>
      <c r="W332" s="42">
        <f t="shared" si="94"/>
        <v>49.316801509098106</v>
      </c>
      <c r="X332" s="42">
        <f t="shared" si="95"/>
        <v>0.18825987366070532</v>
      </c>
    </row>
    <row r="333" spans="1:24" x14ac:dyDescent="0.2">
      <c r="A333" s="49">
        <v>331</v>
      </c>
      <c r="B333" s="49">
        <v>332</v>
      </c>
      <c r="C333" s="49">
        <v>0.21210000000000001</v>
      </c>
      <c r="D333" s="49">
        <v>0.63</v>
      </c>
      <c r="E333" s="49">
        <v>0</v>
      </c>
      <c r="F333" s="49">
        <v>1</v>
      </c>
      <c r="G333" s="49">
        <v>9</v>
      </c>
      <c r="H333" s="49">
        <v>10</v>
      </c>
      <c r="I333" s="42">
        <f t="shared" si="80"/>
        <v>54.365400000000037</v>
      </c>
      <c r="J333" s="42">
        <f t="shared" si="81"/>
        <v>0.19485806451612916</v>
      </c>
      <c r="K333" s="42">
        <f t="shared" si="82"/>
        <v>279</v>
      </c>
      <c r="L333" s="42">
        <f t="shared" si="83"/>
        <v>160.17000000000019</v>
      </c>
      <c r="M333" s="42">
        <f t="shared" si="84"/>
        <v>0.57408602150537702</v>
      </c>
      <c r="N333" s="42">
        <f t="shared" si="85"/>
        <v>279</v>
      </c>
      <c r="O333" s="42">
        <f t="shared" si="86"/>
        <v>16054</v>
      </c>
      <c r="P333" s="42">
        <f t="shared" si="87"/>
        <v>57.541218637992834</v>
      </c>
      <c r="Q333" s="42">
        <f t="shared" si="88"/>
        <v>279</v>
      </c>
      <c r="R333" s="42" t="str">
        <f t="shared" si="89"/>
        <v>3</v>
      </c>
      <c r="S333" s="42" t="str">
        <f t="shared" si="90"/>
        <v>2</v>
      </c>
      <c r="T333" s="42">
        <f t="shared" si="91"/>
        <v>3</v>
      </c>
      <c r="U333" s="42">
        <f t="shared" si="92"/>
        <v>89</v>
      </c>
      <c r="V333" s="42">
        <f t="shared" si="93"/>
        <v>3183</v>
      </c>
      <c r="W333" s="42">
        <f t="shared" si="94"/>
        <v>49.316801509098106</v>
      </c>
      <c r="X333" s="42">
        <f t="shared" si="95"/>
        <v>0.18825987366070532</v>
      </c>
    </row>
    <row r="334" spans="1:24" x14ac:dyDescent="0.2">
      <c r="A334" s="49">
        <v>332</v>
      </c>
      <c r="B334" s="49">
        <v>333</v>
      </c>
      <c r="C334" s="49">
        <v>0.1515</v>
      </c>
      <c r="D334" s="49">
        <v>0.63</v>
      </c>
      <c r="E334" s="49">
        <v>0.1343</v>
      </c>
      <c r="F334" s="49">
        <v>1</v>
      </c>
      <c r="G334" s="49">
        <v>22</v>
      </c>
      <c r="H334" s="49">
        <v>23</v>
      </c>
      <c r="I334" s="42">
        <f t="shared" si="80"/>
        <v>54.15330000000003</v>
      </c>
      <c r="J334" s="42">
        <f t="shared" si="81"/>
        <v>0.19479604316546772</v>
      </c>
      <c r="K334" s="42">
        <f t="shared" si="82"/>
        <v>278</v>
      </c>
      <c r="L334" s="42">
        <f t="shared" si="83"/>
        <v>159.54000000000019</v>
      </c>
      <c r="M334" s="42">
        <f t="shared" si="84"/>
        <v>0.57388489208633164</v>
      </c>
      <c r="N334" s="42">
        <f t="shared" si="85"/>
        <v>278</v>
      </c>
      <c r="O334" s="42">
        <f t="shared" si="86"/>
        <v>16044</v>
      </c>
      <c r="P334" s="42">
        <f t="shared" si="87"/>
        <v>57.71223021582734</v>
      </c>
      <c r="Q334" s="42">
        <f t="shared" si="88"/>
        <v>278</v>
      </c>
      <c r="R334" s="42" t="str">
        <f t="shared" si="89"/>
        <v>3</v>
      </c>
      <c r="S334" s="42" t="str">
        <f t="shared" si="90"/>
        <v>3</v>
      </c>
      <c r="T334" s="42">
        <f t="shared" si="91"/>
        <v>3</v>
      </c>
      <c r="U334" s="42">
        <f t="shared" si="92"/>
        <v>89</v>
      </c>
      <c r="V334" s="42">
        <f t="shared" si="93"/>
        <v>3183</v>
      </c>
      <c r="W334" s="42">
        <f t="shared" si="94"/>
        <v>49.316801509098106</v>
      </c>
      <c r="X334" s="42">
        <f t="shared" si="95"/>
        <v>0.18825987366070532</v>
      </c>
    </row>
    <row r="335" spans="1:24" x14ac:dyDescent="0.2">
      <c r="A335" s="49">
        <v>333</v>
      </c>
      <c r="B335" s="49">
        <v>334</v>
      </c>
      <c r="C335" s="49">
        <v>0.18179999999999999</v>
      </c>
      <c r="D335" s="49">
        <v>0.64</v>
      </c>
      <c r="E335" s="49">
        <v>0.1343</v>
      </c>
      <c r="F335" s="49">
        <v>2</v>
      </c>
      <c r="G335" s="49">
        <v>31</v>
      </c>
      <c r="H335" s="49">
        <v>33</v>
      </c>
      <c r="I335" s="42">
        <f t="shared" si="80"/>
        <v>54.001800000000031</v>
      </c>
      <c r="J335" s="42">
        <f t="shared" si="81"/>
        <v>0.19495234657039723</v>
      </c>
      <c r="K335" s="42">
        <f t="shared" si="82"/>
        <v>277</v>
      </c>
      <c r="L335" s="42">
        <f t="shared" si="83"/>
        <v>158.9100000000002</v>
      </c>
      <c r="M335" s="42">
        <f t="shared" si="84"/>
        <v>0.57368231046931484</v>
      </c>
      <c r="N335" s="42">
        <f t="shared" si="85"/>
        <v>277</v>
      </c>
      <c r="O335" s="42">
        <f t="shared" si="86"/>
        <v>16021</v>
      </c>
      <c r="P335" s="42">
        <f t="shared" si="87"/>
        <v>57.837545126353788</v>
      </c>
      <c r="Q335" s="42">
        <f t="shared" si="88"/>
        <v>277</v>
      </c>
      <c r="R335" s="42" t="str">
        <f t="shared" si="89"/>
        <v>3</v>
      </c>
      <c r="S335" s="42" t="str">
        <f t="shared" si="90"/>
        <v>4</v>
      </c>
      <c r="T335" s="42">
        <f t="shared" si="91"/>
        <v>3</v>
      </c>
      <c r="U335" s="42">
        <f t="shared" si="92"/>
        <v>89</v>
      </c>
      <c r="V335" s="42">
        <f t="shared" si="93"/>
        <v>3183</v>
      </c>
      <c r="W335" s="42">
        <f t="shared" si="94"/>
        <v>49.316801509098106</v>
      </c>
      <c r="X335" s="42">
        <f t="shared" si="95"/>
        <v>0.18825987366070532</v>
      </c>
    </row>
    <row r="336" spans="1:24" x14ac:dyDescent="0.2">
      <c r="A336" s="49">
        <v>334</v>
      </c>
      <c r="B336" s="49">
        <v>335</v>
      </c>
      <c r="C336" s="49">
        <v>0.19700000000000001</v>
      </c>
      <c r="D336" s="49">
        <v>0.59</v>
      </c>
      <c r="E336" s="49">
        <v>0.16420000000000001</v>
      </c>
      <c r="F336" s="49">
        <v>2</v>
      </c>
      <c r="G336" s="49">
        <v>57</v>
      </c>
      <c r="H336" s="49">
        <v>59</v>
      </c>
      <c r="I336" s="42">
        <f t="shared" si="80"/>
        <v>53.820000000000029</v>
      </c>
      <c r="J336" s="42">
        <f t="shared" si="81"/>
        <v>0.19500000000000012</v>
      </c>
      <c r="K336" s="42">
        <f t="shared" si="82"/>
        <v>276</v>
      </c>
      <c r="L336" s="42">
        <f t="shared" si="83"/>
        <v>158.27000000000021</v>
      </c>
      <c r="M336" s="42">
        <f t="shared" si="84"/>
        <v>0.573442028985508</v>
      </c>
      <c r="N336" s="42">
        <f t="shared" si="85"/>
        <v>276</v>
      </c>
      <c r="O336" s="42">
        <f t="shared" si="86"/>
        <v>15988</v>
      </c>
      <c r="P336" s="42">
        <f t="shared" si="87"/>
        <v>57.927536231884055</v>
      </c>
      <c r="Q336" s="42">
        <f t="shared" si="88"/>
        <v>276</v>
      </c>
      <c r="R336" s="42" t="str">
        <f t="shared" si="89"/>
        <v>3</v>
      </c>
      <c r="S336" s="42" t="str">
        <f t="shared" si="90"/>
        <v>5</v>
      </c>
      <c r="T336" s="42">
        <f t="shared" si="91"/>
        <v>3</v>
      </c>
      <c r="U336" s="42">
        <f t="shared" si="92"/>
        <v>89</v>
      </c>
      <c r="V336" s="42">
        <f t="shared" si="93"/>
        <v>3183</v>
      </c>
      <c r="W336" s="42">
        <f t="shared" si="94"/>
        <v>49.316801509098106</v>
      </c>
      <c r="X336" s="42">
        <f t="shared" si="95"/>
        <v>0.18825987366070532</v>
      </c>
    </row>
    <row r="337" spans="1:24" x14ac:dyDescent="0.2">
      <c r="A337" s="49">
        <v>335</v>
      </c>
      <c r="B337" s="49">
        <v>336</v>
      </c>
      <c r="C337" s="49">
        <v>0.19700000000000001</v>
      </c>
      <c r="D337" s="49">
        <v>0.55000000000000004</v>
      </c>
      <c r="E337" s="49">
        <v>0.22389999999999999</v>
      </c>
      <c r="F337" s="49">
        <v>18</v>
      </c>
      <c r="G337" s="49">
        <v>54</v>
      </c>
      <c r="H337" s="49">
        <v>72</v>
      </c>
      <c r="I337" s="42">
        <f t="shared" si="80"/>
        <v>53.623000000000026</v>
      </c>
      <c r="J337" s="42">
        <f t="shared" si="81"/>
        <v>0.19499272727272737</v>
      </c>
      <c r="K337" s="42">
        <f t="shared" si="82"/>
        <v>275</v>
      </c>
      <c r="L337" s="42">
        <f t="shared" si="83"/>
        <v>157.68000000000018</v>
      </c>
      <c r="M337" s="42">
        <f t="shared" si="84"/>
        <v>0.57338181818181888</v>
      </c>
      <c r="N337" s="42">
        <f t="shared" si="85"/>
        <v>275</v>
      </c>
      <c r="O337" s="42">
        <f t="shared" si="86"/>
        <v>15929</v>
      </c>
      <c r="P337" s="42">
        <f t="shared" si="87"/>
        <v>57.923636363636362</v>
      </c>
      <c r="Q337" s="42">
        <f t="shared" si="88"/>
        <v>275</v>
      </c>
      <c r="R337" s="42" t="str">
        <f t="shared" si="89"/>
        <v>3</v>
      </c>
      <c r="S337" s="42" t="str">
        <f t="shared" si="90"/>
        <v>6</v>
      </c>
      <c r="T337" s="42">
        <f t="shared" si="91"/>
        <v>3</v>
      </c>
      <c r="U337" s="42">
        <f t="shared" si="92"/>
        <v>89</v>
      </c>
      <c r="V337" s="42">
        <f t="shared" si="93"/>
        <v>3183</v>
      </c>
      <c r="W337" s="42">
        <f t="shared" si="94"/>
        <v>49.316801509098106</v>
      </c>
      <c r="X337" s="42">
        <f t="shared" si="95"/>
        <v>0.18825987366070532</v>
      </c>
    </row>
    <row r="338" spans="1:24" x14ac:dyDescent="0.2">
      <c r="A338" s="49">
        <v>336</v>
      </c>
      <c r="B338" s="49">
        <v>337</v>
      </c>
      <c r="C338" s="49">
        <v>0.2273</v>
      </c>
      <c r="D338" s="49">
        <v>0.48</v>
      </c>
      <c r="E338" s="49">
        <v>0.22389999999999999</v>
      </c>
      <c r="F338" s="49">
        <v>15</v>
      </c>
      <c r="G338" s="49">
        <v>74</v>
      </c>
      <c r="H338" s="49">
        <v>89</v>
      </c>
      <c r="I338" s="42">
        <f t="shared" si="80"/>
        <v>53.426000000000023</v>
      </c>
      <c r="J338" s="42">
        <f t="shared" si="81"/>
        <v>0.1949854014598541</v>
      </c>
      <c r="K338" s="42">
        <f t="shared" si="82"/>
        <v>274</v>
      </c>
      <c r="L338" s="42">
        <f t="shared" si="83"/>
        <v>157.13000000000019</v>
      </c>
      <c r="M338" s="42">
        <f t="shared" si="84"/>
        <v>0.57346715328467224</v>
      </c>
      <c r="N338" s="42">
        <f t="shared" si="85"/>
        <v>274</v>
      </c>
      <c r="O338" s="42">
        <f t="shared" si="86"/>
        <v>15857</v>
      </c>
      <c r="P338" s="42">
        <f t="shared" si="87"/>
        <v>57.872262773722625</v>
      </c>
      <c r="Q338" s="42">
        <f t="shared" si="88"/>
        <v>274</v>
      </c>
      <c r="R338" s="42" t="str">
        <f t="shared" si="89"/>
        <v>3</v>
      </c>
      <c r="S338" s="42" t="str">
        <f t="shared" si="90"/>
        <v>7</v>
      </c>
      <c r="T338" s="42">
        <f t="shared" si="91"/>
        <v>3</v>
      </c>
      <c r="U338" s="42">
        <f t="shared" si="92"/>
        <v>89</v>
      </c>
      <c r="V338" s="42">
        <f t="shared" si="93"/>
        <v>3183</v>
      </c>
      <c r="W338" s="42">
        <f t="shared" si="94"/>
        <v>49.316801509098106</v>
      </c>
      <c r="X338" s="42">
        <f t="shared" si="95"/>
        <v>0.18825987366070532</v>
      </c>
    </row>
    <row r="339" spans="1:24" x14ac:dyDescent="0.2">
      <c r="A339" s="49">
        <v>337</v>
      </c>
      <c r="B339" s="49">
        <v>338</v>
      </c>
      <c r="C339" s="49">
        <v>0.2576</v>
      </c>
      <c r="D339" s="49">
        <v>0.38</v>
      </c>
      <c r="E339" s="49">
        <v>0.29849999999999999</v>
      </c>
      <c r="F339" s="49">
        <v>21</v>
      </c>
      <c r="G339" s="49">
        <v>80</v>
      </c>
      <c r="H339" s="49">
        <v>101</v>
      </c>
      <c r="I339" s="42">
        <f t="shared" si="80"/>
        <v>53.198700000000024</v>
      </c>
      <c r="J339" s="42">
        <f t="shared" si="81"/>
        <v>0.19486703296703306</v>
      </c>
      <c r="K339" s="42">
        <f t="shared" si="82"/>
        <v>273</v>
      </c>
      <c r="L339" s="42">
        <f t="shared" si="83"/>
        <v>156.65000000000018</v>
      </c>
      <c r="M339" s="42">
        <f t="shared" si="84"/>
        <v>0.57380952380952444</v>
      </c>
      <c r="N339" s="42">
        <f t="shared" si="85"/>
        <v>273</v>
      </c>
      <c r="O339" s="42">
        <f t="shared" si="86"/>
        <v>15768</v>
      </c>
      <c r="P339" s="42">
        <f t="shared" si="87"/>
        <v>57.758241758241759</v>
      </c>
      <c r="Q339" s="42">
        <f t="shared" si="88"/>
        <v>273</v>
      </c>
      <c r="R339" s="42" t="str">
        <f t="shared" si="89"/>
        <v>3</v>
      </c>
      <c r="S339" s="42" t="str">
        <f t="shared" si="90"/>
        <v>8</v>
      </c>
      <c r="T339" s="42">
        <f t="shared" si="91"/>
        <v>3</v>
      </c>
      <c r="U339" s="42">
        <f t="shared" si="92"/>
        <v>89</v>
      </c>
      <c r="V339" s="42">
        <f t="shared" si="93"/>
        <v>3183</v>
      </c>
      <c r="W339" s="42">
        <f t="shared" si="94"/>
        <v>49.316801509098106</v>
      </c>
      <c r="X339" s="42">
        <f t="shared" si="95"/>
        <v>0.18825987366070532</v>
      </c>
    </row>
    <row r="340" spans="1:24" x14ac:dyDescent="0.2">
      <c r="A340" s="49">
        <v>338</v>
      </c>
      <c r="B340" s="49">
        <v>339</v>
      </c>
      <c r="C340" s="49">
        <v>0.28789999999999999</v>
      </c>
      <c r="D340" s="49">
        <v>0.39</v>
      </c>
      <c r="E340" s="49">
        <v>0.28360000000000002</v>
      </c>
      <c r="F340" s="49">
        <v>26</v>
      </c>
      <c r="G340" s="49">
        <v>92</v>
      </c>
      <c r="H340" s="49">
        <v>118</v>
      </c>
      <c r="I340" s="42">
        <f t="shared" si="80"/>
        <v>52.94110000000002</v>
      </c>
      <c r="J340" s="42">
        <f t="shared" si="81"/>
        <v>0.1946363970588236</v>
      </c>
      <c r="K340" s="42">
        <f t="shared" si="82"/>
        <v>272</v>
      </c>
      <c r="L340" s="42">
        <f t="shared" si="83"/>
        <v>156.27000000000018</v>
      </c>
      <c r="M340" s="42">
        <f t="shared" si="84"/>
        <v>0.57452205882353002</v>
      </c>
      <c r="N340" s="42">
        <f t="shared" si="85"/>
        <v>272</v>
      </c>
      <c r="O340" s="42">
        <f t="shared" si="86"/>
        <v>15667</v>
      </c>
      <c r="P340" s="42">
        <f t="shared" si="87"/>
        <v>57.599264705882355</v>
      </c>
      <c r="Q340" s="42">
        <f t="shared" si="88"/>
        <v>272</v>
      </c>
      <c r="R340" s="42" t="str">
        <f t="shared" si="89"/>
        <v>3</v>
      </c>
      <c r="S340" s="42" t="str">
        <f t="shared" si="90"/>
        <v>9</v>
      </c>
      <c r="T340" s="42">
        <f t="shared" si="91"/>
        <v>3</v>
      </c>
      <c r="U340" s="42">
        <f t="shared" si="92"/>
        <v>89</v>
      </c>
      <c r="V340" s="42">
        <f t="shared" si="93"/>
        <v>3183</v>
      </c>
      <c r="W340" s="42">
        <f t="shared" si="94"/>
        <v>49.316801509098106</v>
      </c>
      <c r="X340" s="42">
        <f t="shared" si="95"/>
        <v>0.18825987366070532</v>
      </c>
    </row>
    <row r="341" spans="1:24" x14ac:dyDescent="0.2">
      <c r="A341" s="49">
        <v>339</v>
      </c>
      <c r="B341" s="49">
        <v>340</v>
      </c>
      <c r="C341" s="49">
        <v>0.31819999999999998</v>
      </c>
      <c r="D341" s="49">
        <v>0.36</v>
      </c>
      <c r="E341" s="49">
        <v>0.19400000000000001</v>
      </c>
      <c r="F341" s="49">
        <v>21</v>
      </c>
      <c r="G341" s="49">
        <v>108</v>
      </c>
      <c r="H341" s="49">
        <v>129</v>
      </c>
      <c r="I341" s="42">
        <f t="shared" si="80"/>
        <v>52.653200000000027</v>
      </c>
      <c r="J341" s="42">
        <f t="shared" si="81"/>
        <v>0.19429225092250932</v>
      </c>
      <c r="K341" s="42">
        <f t="shared" si="82"/>
        <v>271</v>
      </c>
      <c r="L341" s="42">
        <f t="shared" si="83"/>
        <v>155.88000000000017</v>
      </c>
      <c r="M341" s="42">
        <f t="shared" si="84"/>
        <v>0.57520295202952088</v>
      </c>
      <c r="N341" s="42">
        <f t="shared" si="85"/>
        <v>271</v>
      </c>
      <c r="O341" s="42">
        <f t="shared" si="86"/>
        <v>15549</v>
      </c>
      <c r="P341" s="42">
        <f t="shared" si="87"/>
        <v>57.376383763837637</v>
      </c>
      <c r="Q341" s="42">
        <f t="shared" si="88"/>
        <v>271</v>
      </c>
      <c r="R341" s="42" t="str">
        <f t="shared" si="89"/>
        <v>3</v>
      </c>
      <c r="S341" s="42" t="str">
        <f t="shared" si="90"/>
        <v>0</v>
      </c>
      <c r="T341" s="42">
        <f t="shared" si="91"/>
        <v>3</v>
      </c>
      <c r="U341" s="42">
        <f t="shared" si="92"/>
        <v>89</v>
      </c>
      <c r="V341" s="42">
        <f t="shared" si="93"/>
        <v>3183</v>
      </c>
      <c r="W341" s="42">
        <f t="shared" si="94"/>
        <v>49.316801509098106</v>
      </c>
      <c r="X341" s="42">
        <f t="shared" si="95"/>
        <v>0.18825987366070532</v>
      </c>
    </row>
    <row r="342" spans="1:24" x14ac:dyDescent="0.2">
      <c r="A342" s="49">
        <v>340</v>
      </c>
      <c r="B342" s="49">
        <v>341</v>
      </c>
      <c r="C342" s="49">
        <v>0.33329999999999999</v>
      </c>
      <c r="D342" s="49">
        <v>0.34</v>
      </c>
      <c r="E342" s="49">
        <v>0.19400000000000001</v>
      </c>
      <c r="F342" s="49">
        <v>33</v>
      </c>
      <c r="G342" s="49">
        <v>95</v>
      </c>
      <c r="H342" s="49">
        <v>128</v>
      </c>
      <c r="I342" s="42">
        <f t="shared" si="80"/>
        <v>52.335000000000051</v>
      </c>
      <c r="J342" s="42">
        <f t="shared" si="81"/>
        <v>0.19383333333333352</v>
      </c>
      <c r="K342" s="42">
        <f t="shared" si="82"/>
        <v>270</v>
      </c>
      <c r="L342" s="42">
        <f t="shared" si="83"/>
        <v>155.52000000000018</v>
      </c>
      <c r="M342" s="42">
        <f t="shared" si="84"/>
        <v>0.57600000000000062</v>
      </c>
      <c r="N342" s="42">
        <f t="shared" si="85"/>
        <v>270</v>
      </c>
      <c r="O342" s="42">
        <f t="shared" si="86"/>
        <v>15420</v>
      </c>
      <c r="P342" s="42">
        <f t="shared" si="87"/>
        <v>57.111111111111114</v>
      </c>
      <c r="Q342" s="42">
        <f t="shared" si="88"/>
        <v>270</v>
      </c>
      <c r="R342" s="42" t="str">
        <f t="shared" si="89"/>
        <v>3</v>
      </c>
      <c r="S342" s="42" t="str">
        <f t="shared" si="90"/>
        <v>1</v>
      </c>
      <c r="T342" s="42">
        <f t="shared" si="91"/>
        <v>3</v>
      </c>
      <c r="U342" s="42">
        <f t="shared" si="92"/>
        <v>89</v>
      </c>
      <c r="V342" s="42">
        <f t="shared" si="93"/>
        <v>3183</v>
      </c>
      <c r="W342" s="42">
        <f t="shared" si="94"/>
        <v>49.316801509098106</v>
      </c>
      <c r="X342" s="42">
        <f t="shared" si="95"/>
        <v>0.18825987366070532</v>
      </c>
    </row>
    <row r="343" spans="1:24" x14ac:dyDescent="0.2">
      <c r="A343" s="49">
        <v>341</v>
      </c>
      <c r="B343" s="49">
        <v>342</v>
      </c>
      <c r="C343" s="49">
        <v>0.30299999999999999</v>
      </c>
      <c r="D343" s="49">
        <v>0.36</v>
      </c>
      <c r="E343" s="49">
        <v>0.28360000000000002</v>
      </c>
      <c r="F343" s="49">
        <v>29</v>
      </c>
      <c r="G343" s="49">
        <v>54</v>
      </c>
      <c r="H343" s="49">
        <v>83</v>
      </c>
      <c r="I343" s="42">
        <f t="shared" si="80"/>
        <v>52.001700000000056</v>
      </c>
      <c r="J343" s="42">
        <f t="shared" si="81"/>
        <v>0.19331486988847604</v>
      </c>
      <c r="K343" s="42">
        <f t="shared" si="82"/>
        <v>269</v>
      </c>
      <c r="L343" s="42">
        <f t="shared" si="83"/>
        <v>155.18000000000018</v>
      </c>
      <c r="M343" s="42">
        <f t="shared" si="84"/>
        <v>0.57687732342007503</v>
      </c>
      <c r="N343" s="42">
        <f t="shared" si="85"/>
        <v>269</v>
      </c>
      <c r="O343" s="42">
        <f t="shared" si="86"/>
        <v>15292</v>
      </c>
      <c r="P343" s="42">
        <f t="shared" si="87"/>
        <v>56.847583643122675</v>
      </c>
      <c r="Q343" s="42">
        <f t="shared" si="88"/>
        <v>269</v>
      </c>
      <c r="R343" s="42" t="str">
        <f t="shared" si="89"/>
        <v>3</v>
      </c>
      <c r="S343" s="42" t="str">
        <f t="shared" si="90"/>
        <v>2</v>
      </c>
      <c r="T343" s="42">
        <f t="shared" si="91"/>
        <v>3</v>
      </c>
      <c r="U343" s="42">
        <f t="shared" si="92"/>
        <v>89</v>
      </c>
      <c r="V343" s="42">
        <f t="shared" si="93"/>
        <v>3183</v>
      </c>
      <c r="W343" s="42">
        <f t="shared" si="94"/>
        <v>49.316801509098106</v>
      </c>
      <c r="X343" s="42">
        <f t="shared" si="95"/>
        <v>0.18825987366070532</v>
      </c>
    </row>
    <row r="344" spans="1:24" x14ac:dyDescent="0.2">
      <c r="A344" s="49">
        <v>342</v>
      </c>
      <c r="B344" s="49">
        <v>343</v>
      </c>
      <c r="C344" s="49">
        <v>0.28789999999999999</v>
      </c>
      <c r="D344" s="49">
        <v>0.45</v>
      </c>
      <c r="E344" s="49">
        <v>0.25369999999999998</v>
      </c>
      <c r="F344" s="49">
        <v>15</v>
      </c>
      <c r="G344" s="49">
        <v>69</v>
      </c>
      <c r="H344" s="49">
        <v>84</v>
      </c>
      <c r="I344" s="42">
        <f t="shared" si="80"/>
        <v>51.698700000000052</v>
      </c>
      <c r="J344" s="42">
        <f t="shared" si="81"/>
        <v>0.19290559701492557</v>
      </c>
      <c r="K344" s="42">
        <f t="shared" si="82"/>
        <v>268</v>
      </c>
      <c r="L344" s="42">
        <f t="shared" si="83"/>
        <v>154.82000000000019</v>
      </c>
      <c r="M344" s="42">
        <f t="shared" si="84"/>
        <v>0.57768656716417988</v>
      </c>
      <c r="N344" s="42">
        <f t="shared" si="85"/>
        <v>268</v>
      </c>
      <c r="O344" s="42">
        <f t="shared" si="86"/>
        <v>15209</v>
      </c>
      <c r="P344" s="42">
        <f t="shared" si="87"/>
        <v>56.75</v>
      </c>
      <c r="Q344" s="42">
        <f t="shared" si="88"/>
        <v>268</v>
      </c>
      <c r="R344" s="42" t="str">
        <f t="shared" si="89"/>
        <v>3</v>
      </c>
      <c r="S344" s="42" t="str">
        <f t="shared" si="90"/>
        <v>3</v>
      </c>
      <c r="T344" s="42">
        <f t="shared" si="91"/>
        <v>3</v>
      </c>
      <c r="U344" s="42">
        <f t="shared" si="92"/>
        <v>89</v>
      </c>
      <c r="V344" s="42">
        <f t="shared" si="93"/>
        <v>3183</v>
      </c>
      <c r="W344" s="42">
        <f t="shared" si="94"/>
        <v>49.316801509098106</v>
      </c>
      <c r="X344" s="42">
        <f t="shared" si="95"/>
        <v>0.18825987366070532</v>
      </c>
    </row>
    <row r="345" spans="1:24" x14ac:dyDescent="0.2">
      <c r="A345" s="49">
        <v>343</v>
      </c>
      <c r="B345" s="49">
        <v>344</v>
      </c>
      <c r="C345" s="49">
        <v>0.30299999999999999</v>
      </c>
      <c r="D345" s="49">
        <v>0.39</v>
      </c>
      <c r="E345" s="49">
        <v>0.25369999999999998</v>
      </c>
      <c r="F345" s="49">
        <v>14</v>
      </c>
      <c r="G345" s="49">
        <v>60</v>
      </c>
      <c r="H345" s="49">
        <v>74</v>
      </c>
      <c r="I345" s="42">
        <f t="shared" si="80"/>
        <v>51.410800000000044</v>
      </c>
      <c r="J345" s="42">
        <f t="shared" si="81"/>
        <v>0.19254981273408256</v>
      </c>
      <c r="K345" s="42">
        <f t="shared" si="82"/>
        <v>267</v>
      </c>
      <c r="L345" s="42">
        <f t="shared" si="83"/>
        <v>154.37000000000018</v>
      </c>
      <c r="M345" s="42">
        <f t="shared" si="84"/>
        <v>0.57816479400749132</v>
      </c>
      <c r="N345" s="42">
        <f t="shared" si="85"/>
        <v>267</v>
      </c>
      <c r="O345" s="42">
        <f t="shared" si="86"/>
        <v>15125</v>
      </c>
      <c r="P345" s="42">
        <f t="shared" si="87"/>
        <v>56.647940074906366</v>
      </c>
      <c r="Q345" s="42">
        <f t="shared" si="88"/>
        <v>267</v>
      </c>
      <c r="R345" s="42" t="str">
        <f t="shared" si="89"/>
        <v>3</v>
      </c>
      <c r="S345" s="42" t="str">
        <f t="shared" si="90"/>
        <v>4</v>
      </c>
      <c r="T345" s="42">
        <f t="shared" si="91"/>
        <v>3</v>
      </c>
      <c r="U345" s="42">
        <f t="shared" si="92"/>
        <v>89</v>
      </c>
      <c r="V345" s="42">
        <f t="shared" si="93"/>
        <v>3183</v>
      </c>
      <c r="W345" s="42">
        <f t="shared" si="94"/>
        <v>49.316801509098106</v>
      </c>
      <c r="X345" s="42">
        <f t="shared" si="95"/>
        <v>0.18825987366070532</v>
      </c>
    </row>
    <row r="346" spans="1:24" x14ac:dyDescent="0.2">
      <c r="A346" s="49">
        <v>344</v>
      </c>
      <c r="B346" s="49">
        <v>345</v>
      </c>
      <c r="C346" s="49">
        <v>0.30299999999999999</v>
      </c>
      <c r="D346" s="49">
        <v>0.39</v>
      </c>
      <c r="E346" s="49">
        <v>0.25369999999999998</v>
      </c>
      <c r="F346" s="49">
        <v>6</v>
      </c>
      <c r="G346" s="49">
        <v>35</v>
      </c>
      <c r="H346" s="49">
        <v>41</v>
      </c>
      <c r="I346" s="42">
        <f t="shared" si="80"/>
        <v>51.107800000000047</v>
      </c>
      <c r="J346" s="42">
        <f t="shared" si="81"/>
        <v>0.1921345864661656</v>
      </c>
      <c r="K346" s="42">
        <f t="shared" si="82"/>
        <v>266</v>
      </c>
      <c r="L346" s="42">
        <f t="shared" si="83"/>
        <v>153.98000000000019</v>
      </c>
      <c r="M346" s="42">
        <f t="shared" si="84"/>
        <v>0.57887218045112854</v>
      </c>
      <c r="N346" s="42">
        <f t="shared" si="85"/>
        <v>266</v>
      </c>
      <c r="O346" s="42">
        <f t="shared" si="86"/>
        <v>15051</v>
      </c>
      <c r="P346" s="42">
        <f t="shared" si="87"/>
        <v>56.582706766917291</v>
      </c>
      <c r="Q346" s="42">
        <f t="shared" si="88"/>
        <v>266</v>
      </c>
      <c r="R346" s="42" t="str">
        <f t="shared" si="89"/>
        <v>3</v>
      </c>
      <c r="S346" s="42" t="str">
        <f t="shared" si="90"/>
        <v>5</v>
      </c>
      <c r="T346" s="42">
        <f t="shared" si="91"/>
        <v>3</v>
      </c>
      <c r="U346" s="42">
        <f t="shared" si="92"/>
        <v>89</v>
      </c>
      <c r="V346" s="42">
        <f t="shared" si="93"/>
        <v>3183</v>
      </c>
      <c r="W346" s="42">
        <f t="shared" si="94"/>
        <v>49.316801509098106</v>
      </c>
      <c r="X346" s="42">
        <f t="shared" si="95"/>
        <v>0.18825987366070532</v>
      </c>
    </row>
    <row r="347" spans="1:24" x14ac:dyDescent="0.2">
      <c r="A347" s="49">
        <v>345</v>
      </c>
      <c r="B347" s="49">
        <v>346</v>
      </c>
      <c r="C347" s="49">
        <v>0.30299999999999999</v>
      </c>
      <c r="D347" s="49">
        <v>0.39</v>
      </c>
      <c r="E347" s="49">
        <v>0.22389999999999999</v>
      </c>
      <c r="F347" s="49">
        <v>6</v>
      </c>
      <c r="G347" s="49">
        <v>51</v>
      </c>
      <c r="H347" s="49">
        <v>57</v>
      </c>
      <c r="I347" s="42">
        <f t="shared" si="80"/>
        <v>50.804800000000057</v>
      </c>
      <c r="J347" s="42">
        <f t="shared" si="81"/>
        <v>0.19171622641509456</v>
      </c>
      <c r="K347" s="42">
        <f t="shared" si="82"/>
        <v>265</v>
      </c>
      <c r="L347" s="42">
        <f t="shared" si="83"/>
        <v>153.5900000000002</v>
      </c>
      <c r="M347" s="42">
        <f t="shared" si="84"/>
        <v>0.57958490566037812</v>
      </c>
      <c r="N347" s="42">
        <f t="shared" si="85"/>
        <v>265</v>
      </c>
      <c r="O347" s="42">
        <f t="shared" si="86"/>
        <v>15010</v>
      </c>
      <c r="P347" s="42">
        <f t="shared" si="87"/>
        <v>56.641509433962263</v>
      </c>
      <c r="Q347" s="42">
        <f t="shared" si="88"/>
        <v>265</v>
      </c>
      <c r="R347" s="42" t="str">
        <f t="shared" si="89"/>
        <v>3</v>
      </c>
      <c r="S347" s="42" t="str">
        <f t="shared" si="90"/>
        <v>6</v>
      </c>
      <c r="T347" s="42">
        <f t="shared" si="91"/>
        <v>3</v>
      </c>
      <c r="U347" s="42">
        <f t="shared" si="92"/>
        <v>89</v>
      </c>
      <c r="V347" s="42">
        <f t="shared" si="93"/>
        <v>3183</v>
      </c>
      <c r="W347" s="42">
        <f t="shared" si="94"/>
        <v>49.316801509098106</v>
      </c>
      <c r="X347" s="42">
        <f t="shared" si="95"/>
        <v>0.18825987366070532</v>
      </c>
    </row>
    <row r="348" spans="1:24" x14ac:dyDescent="0.2">
      <c r="A348" s="49">
        <v>346</v>
      </c>
      <c r="B348" s="49">
        <v>347</v>
      </c>
      <c r="C348" s="49">
        <v>0.31819999999999998</v>
      </c>
      <c r="D348" s="49">
        <v>0.42</v>
      </c>
      <c r="E348" s="49">
        <v>0.1045</v>
      </c>
      <c r="F348" s="49">
        <v>0</v>
      </c>
      <c r="G348" s="49">
        <v>26</v>
      </c>
      <c r="H348" s="49">
        <v>26</v>
      </c>
      <c r="I348" s="42">
        <f t="shared" si="80"/>
        <v>50.501800000000053</v>
      </c>
      <c r="J348" s="42">
        <f t="shared" si="81"/>
        <v>0.19129469696969717</v>
      </c>
      <c r="K348" s="42">
        <f t="shared" si="82"/>
        <v>264</v>
      </c>
      <c r="L348" s="42">
        <f t="shared" si="83"/>
        <v>153.20000000000019</v>
      </c>
      <c r="M348" s="42">
        <f t="shared" si="84"/>
        <v>0.58030303030303099</v>
      </c>
      <c r="N348" s="42">
        <f t="shared" si="85"/>
        <v>264</v>
      </c>
      <c r="O348" s="42">
        <f t="shared" si="86"/>
        <v>14953</v>
      </c>
      <c r="P348" s="42">
        <f t="shared" si="87"/>
        <v>56.640151515151516</v>
      </c>
      <c r="Q348" s="42">
        <f t="shared" si="88"/>
        <v>264</v>
      </c>
      <c r="R348" s="42" t="str">
        <f t="shared" si="89"/>
        <v>3</v>
      </c>
      <c r="S348" s="42" t="str">
        <f t="shared" si="90"/>
        <v>7</v>
      </c>
      <c r="T348" s="42">
        <f t="shared" si="91"/>
        <v>3</v>
      </c>
      <c r="U348" s="42">
        <f t="shared" si="92"/>
        <v>89</v>
      </c>
      <c r="V348" s="42">
        <f t="shared" si="93"/>
        <v>3183</v>
      </c>
      <c r="W348" s="42">
        <f t="shared" si="94"/>
        <v>49.316801509098106</v>
      </c>
      <c r="X348" s="42">
        <f t="shared" si="95"/>
        <v>0.18825987366070532</v>
      </c>
    </row>
    <row r="349" spans="1:24" x14ac:dyDescent="0.2">
      <c r="A349" s="49">
        <v>347</v>
      </c>
      <c r="B349" s="49">
        <v>348</v>
      </c>
      <c r="C349" s="49">
        <v>0.28789999999999999</v>
      </c>
      <c r="D349" s="49">
        <v>0.45</v>
      </c>
      <c r="E349" s="49">
        <v>0.28360000000000002</v>
      </c>
      <c r="F349" s="49">
        <v>5</v>
      </c>
      <c r="G349" s="49">
        <v>39</v>
      </c>
      <c r="H349" s="49">
        <v>44</v>
      </c>
      <c r="I349" s="42">
        <f t="shared" si="80"/>
        <v>50.183600000000055</v>
      </c>
      <c r="J349" s="42">
        <f t="shared" si="81"/>
        <v>0.19081216730038045</v>
      </c>
      <c r="K349" s="42">
        <f t="shared" si="82"/>
        <v>263</v>
      </c>
      <c r="L349" s="42">
        <f t="shared" si="83"/>
        <v>152.7800000000002</v>
      </c>
      <c r="M349" s="42">
        <f t="shared" si="84"/>
        <v>0.58091254752851784</v>
      </c>
      <c r="N349" s="42">
        <f t="shared" si="85"/>
        <v>263</v>
      </c>
      <c r="O349" s="42">
        <f t="shared" si="86"/>
        <v>14927</v>
      </c>
      <c r="P349" s="42">
        <f t="shared" si="87"/>
        <v>56.756653992395435</v>
      </c>
      <c r="Q349" s="42">
        <f t="shared" si="88"/>
        <v>263</v>
      </c>
      <c r="R349" s="42" t="str">
        <f t="shared" si="89"/>
        <v>3</v>
      </c>
      <c r="S349" s="42" t="str">
        <f t="shared" si="90"/>
        <v>8</v>
      </c>
      <c r="T349" s="42">
        <f t="shared" si="91"/>
        <v>3</v>
      </c>
      <c r="U349" s="42">
        <f t="shared" si="92"/>
        <v>89</v>
      </c>
      <c r="V349" s="42">
        <f t="shared" si="93"/>
        <v>3183</v>
      </c>
      <c r="W349" s="42">
        <f t="shared" si="94"/>
        <v>49.316801509098106</v>
      </c>
      <c r="X349" s="42">
        <f t="shared" si="95"/>
        <v>0.18825987366070532</v>
      </c>
    </row>
    <row r="350" spans="1:24" x14ac:dyDescent="0.2">
      <c r="A350" s="49">
        <v>348</v>
      </c>
      <c r="B350" s="49">
        <v>349</v>
      </c>
      <c r="C350" s="49">
        <v>0.30299999999999999</v>
      </c>
      <c r="D350" s="49">
        <v>0.56000000000000005</v>
      </c>
      <c r="E350" s="49">
        <v>0</v>
      </c>
      <c r="F350" s="49">
        <v>6</v>
      </c>
      <c r="G350" s="49">
        <v>33</v>
      </c>
      <c r="H350" s="49">
        <v>39</v>
      </c>
      <c r="I350" s="42">
        <f t="shared" si="80"/>
        <v>49.895700000000062</v>
      </c>
      <c r="J350" s="42">
        <f t="shared" si="81"/>
        <v>0.19044160305343535</v>
      </c>
      <c r="K350" s="42">
        <f t="shared" si="82"/>
        <v>262</v>
      </c>
      <c r="L350" s="42">
        <f t="shared" si="83"/>
        <v>152.33000000000021</v>
      </c>
      <c r="M350" s="42">
        <f t="shared" si="84"/>
        <v>0.58141221374045882</v>
      </c>
      <c r="N350" s="42">
        <f t="shared" si="85"/>
        <v>262</v>
      </c>
      <c r="O350" s="42">
        <f t="shared" si="86"/>
        <v>14883</v>
      </c>
      <c r="P350" s="42">
        <f t="shared" si="87"/>
        <v>56.805343511450381</v>
      </c>
      <c r="Q350" s="42">
        <f t="shared" si="88"/>
        <v>262</v>
      </c>
      <c r="R350" s="42" t="str">
        <f t="shared" si="89"/>
        <v>3</v>
      </c>
      <c r="S350" s="42" t="str">
        <f t="shared" si="90"/>
        <v>9</v>
      </c>
      <c r="T350" s="42">
        <f t="shared" si="91"/>
        <v>3</v>
      </c>
      <c r="U350" s="42">
        <f t="shared" si="92"/>
        <v>89</v>
      </c>
      <c r="V350" s="42">
        <f t="shared" si="93"/>
        <v>3183</v>
      </c>
      <c r="W350" s="42">
        <f t="shared" si="94"/>
        <v>49.316801509098106</v>
      </c>
      <c r="X350" s="42">
        <f t="shared" si="95"/>
        <v>0.18825987366070532</v>
      </c>
    </row>
    <row r="351" spans="1:24" x14ac:dyDescent="0.2">
      <c r="A351" s="49">
        <v>349</v>
      </c>
      <c r="B351" s="49">
        <v>350</v>
      </c>
      <c r="C351" s="49">
        <v>0.2727</v>
      </c>
      <c r="D351" s="49">
        <v>0.56000000000000005</v>
      </c>
      <c r="E351" s="49">
        <v>0.1343</v>
      </c>
      <c r="F351" s="49">
        <v>4</v>
      </c>
      <c r="G351" s="49">
        <v>19</v>
      </c>
      <c r="H351" s="49">
        <v>23</v>
      </c>
      <c r="I351" s="42">
        <f t="shared" si="80"/>
        <v>49.592700000000065</v>
      </c>
      <c r="J351" s="42">
        <f t="shared" si="81"/>
        <v>0.19001034482758644</v>
      </c>
      <c r="K351" s="42">
        <f t="shared" si="82"/>
        <v>261</v>
      </c>
      <c r="L351" s="42">
        <f t="shared" si="83"/>
        <v>151.77000000000021</v>
      </c>
      <c r="M351" s="42">
        <f t="shared" si="84"/>
        <v>0.58149425287356404</v>
      </c>
      <c r="N351" s="42">
        <f t="shared" si="85"/>
        <v>261</v>
      </c>
      <c r="O351" s="42">
        <f t="shared" si="86"/>
        <v>14844</v>
      </c>
      <c r="P351" s="42">
        <f t="shared" si="87"/>
        <v>56.873563218390807</v>
      </c>
      <c r="Q351" s="42">
        <f t="shared" si="88"/>
        <v>261</v>
      </c>
      <c r="R351" s="42" t="str">
        <f t="shared" si="89"/>
        <v>3</v>
      </c>
      <c r="S351" s="42" t="str">
        <f t="shared" si="90"/>
        <v>0</v>
      </c>
      <c r="T351" s="42">
        <f t="shared" si="91"/>
        <v>3</v>
      </c>
      <c r="U351" s="42">
        <f t="shared" si="92"/>
        <v>89</v>
      </c>
      <c r="V351" s="42">
        <f t="shared" si="93"/>
        <v>3183</v>
      </c>
      <c r="W351" s="42">
        <f t="shared" si="94"/>
        <v>49.316801509098106</v>
      </c>
      <c r="X351" s="42">
        <f t="shared" si="95"/>
        <v>0.18825987366070532</v>
      </c>
    </row>
    <row r="352" spans="1:24" x14ac:dyDescent="0.2">
      <c r="A352" s="49">
        <v>350</v>
      </c>
      <c r="B352" s="49">
        <v>351</v>
      </c>
      <c r="C352" s="49">
        <v>0.28789999999999999</v>
      </c>
      <c r="D352" s="49">
        <v>0.56000000000000005</v>
      </c>
      <c r="E352" s="49">
        <v>8.9599999999999999E-2</v>
      </c>
      <c r="F352" s="49">
        <v>3</v>
      </c>
      <c r="G352" s="49">
        <v>13</v>
      </c>
      <c r="H352" s="49">
        <v>16</v>
      </c>
      <c r="I352" s="42">
        <f t="shared" si="80"/>
        <v>49.320000000000064</v>
      </c>
      <c r="J352" s="42">
        <f t="shared" si="81"/>
        <v>0.18969230769230794</v>
      </c>
      <c r="K352" s="42">
        <f t="shared" si="82"/>
        <v>260</v>
      </c>
      <c r="L352" s="42">
        <f t="shared" si="83"/>
        <v>151.21000000000021</v>
      </c>
      <c r="M352" s="42">
        <f t="shared" si="84"/>
        <v>0.58157692307692388</v>
      </c>
      <c r="N352" s="42">
        <f t="shared" si="85"/>
        <v>260</v>
      </c>
      <c r="O352" s="42">
        <f t="shared" si="86"/>
        <v>14821</v>
      </c>
      <c r="P352" s="42">
        <f t="shared" si="87"/>
        <v>57.003846153846155</v>
      </c>
      <c r="Q352" s="42">
        <f t="shared" si="88"/>
        <v>260</v>
      </c>
      <c r="R352" s="42" t="str">
        <f t="shared" si="89"/>
        <v>3</v>
      </c>
      <c r="S352" s="42" t="str">
        <f t="shared" si="90"/>
        <v>1</v>
      </c>
      <c r="T352" s="42">
        <f t="shared" si="91"/>
        <v>3</v>
      </c>
      <c r="U352" s="42">
        <f t="shared" si="92"/>
        <v>89</v>
      </c>
      <c r="V352" s="42">
        <f t="shared" si="93"/>
        <v>3183</v>
      </c>
      <c r="W352" s="42">
        <f t="shared" si="94"/>
        <v>49.316801509098106</v>
      </c>
      <c r="X352" s="42">
        <f t="shared" si="95"/>
        <v>0.18825987366070532</v>
      </c>
    </row>
    <row r="353" spans="1:24" x14ac:dyDescent="0.2">
      <c r="A353" s="49">
        <v>351</v>
      </c>
      <c r="B353" s="49">
        <v>352</v>
      </c>
      <c r="C353" s="49">
        <v>0.2727</v>
      </c>
      <c r="D353" s="49">
        <v>0.69</v>
      </c>
      <c r="E353" s="49">
        <v>0</v>
      </c>
      <c r="F353" s="49">
        <v>9</v>
      </c>
      <c r="G353" s="49">
        <v>6</v>
      </c>
      <c r="H353" s="49">
        <v>15</v>
      </c>
      <c r="I353" s="42">
        <f t="shared" si="80"/>
        <v>49.032100000000064</v>
      </c>
      <c r="J353" s="42">
        <f t="shared" si="81"/>
        <v>0.18931312741312767</v>
      </c>
      <c r="K353" s="42">
        <f t="shared" si="82"/>
        <v>259</v>
      </c>
      <c r="L353" s="42">
        <f t="shared" si="83"/>
        <v>150.6500000000002</v>
      </c>
      <c r="M353" s="42">
        <f t="shared" si="84"/>
        <v>0.5816602316602324</v>
      </c>
      <c r="N353" s="42">
        <f t="shared" si="85"/>
        <v>259</v>
      </c>
      <c r="O353" s="42">
        <f t="shared" si="86"/>
        <v>14805</v>
      </c>
      <c r="P353" s="42">
        <f t="shared" si="87"/>
        <v>57.162162162162161</v>
      </c>
      <c r="Q353" s="42">
        <f t="shared" si="88"/>
        <v>259</v>
      </c>
      <c r="R353" s="42" t="str">
        <f t="shared" si="89"/>
        <v>3</v>
      </c>
      <c r="S353" s="42" t="str">
        <f t="shared" si="90"/>
        <v>2</v>
      </c>
      <c r="T353" s="42">
        <f t="shared" si="91"/>
        <v>3</v>
      </c>
      <c r="U353" s="42">
        <f t="shared" si="92"/>
        <v>89</v>
      </c>
      <c r="V353" s="42">
        <f t="shared" si="93"/>
        <v>3183</v>
      </c>
      <c r="W353" s="42">
        <f t="shared" si="94"/>
        <v>49.316801509098106</v>
      </c>
      <c r="X353" s="42">
        <f t="shared" si="95"/>
        <v>0.18825987366070532</v>
      </c>
    </row>
    <row r="354" spans="1:24" x14ac:dyDescent="0.2">
      <c r="A354" s="49">
        <v>352</v>
      </c>
      <c r="B354" s="49">
        <v>353</v>
      </c>
      <c r="C354" s="49">
        <v>0.2576</v>
      </c>
      <c r="D354" s="49">
        <v>0.56000000000000005</v>
      </c>
      <c r="E354" s="49">
        <v>0.16420000000000001</v>
      </c>
      <c r="F354" s="49">
        <v>0</v>
      </c>
      <c r="G354" s="49">
        <v>1</v>
      </c>
      <c r="H354" s="49">
        <v>1</v>
      </c>
      <c r="I354" s="42">
        <f t="shared" si="80"/>
        <v>48.759400000000063</v>
      </c>
      <c r="J354" s="42">
        <f t="shared" si="81"/>
        <v>0.18898992248062041</v>
      </c>
      <c r="K354" s="42">
        <f t="shared" si="82"/>
        <v>258</v>
      </c>
      <c r="L354" s="42">
        <f t="shared" si="83"/>
        <v>149.96000000000021</v>
      </c>
      <c r="M354" s="42">
        <f t="shared" si="84"/>
        <v>0.58124031007752019</v>
      </c>
      <c r="N354" s="42">
        <f t="shared" si="85"/>
        <v>258</v>
      </c>
      <c r="O354" s="42">
        <f t="shared" si="86"/>
        <v>14790</v>
      </c>
      <c r="P354" s="42">
        <f t="shared" si="87"/>
        <v>57.325581395348834</v>
      </c>
      <c r="Q354" s="42">
        <f t="shared" si="88"/>
        <v>258</v>
      </c>
      <c r="R354" s="42" t="str">
        <f t="shared" si="89"/>
        <v>3</v>
      </c>
      <c r="S354" s="42" t="str">
        <f t="shared" si="90"/>
        <v>3</v>
      </c>
      <c r="T354" s="42">
        <f t="shared" si="91"/>
        <v>3</v>
      </c>
      <c r="U354" s="42">
        <f t="shared" si="92"/>
        <v>89</v>
      </c>
      <c r="V354" s="42">
        <f t="shared" si="93"/>
        <v>3183</v>
      </c>
      <c r="W354" s="42">
        <f t="shared" si="94"/>
        <v>49.316801509098106</v>
      </c>
      <c r="X354" s="42">
        <f t="shared" si="95"/>
        <v>0.18825987366070532</v>
      </c>
    </row>
    <row r="355" spans="1:24" x14ac:dyDescent="0.2">
      <c r="A355" s="49">
        <v>353</v>
      </c>
      <c r="B355" s="49">
        <v>354</v>
      </c>
      <c r="C355" s="49">
        <v>0.2576</v>
      </c>
      <c r="D355" s="49">
        <v>0.56000000000000005</v>
      </c>
      <c r="E355" s="49">
        <v>0.16420000000000001</v>
      </c>
      <c r="F355" s="49">
        <v>1</v>
      </c>
      <c r="G355" s="49">
        <v>1</v>
      </c>
      <c r="H355" s="49">
        <v>2</v>
      </c>
      <c r="I355" s="42">
        <f t="shared" si="80"/>
        <v>48.501800000000074</v>
      </c>
      <c r="J355" s="42">
        <f t="shared" si="81"/>
        <v>0.18872295719844387</v>
      </c>
      <c r="K355" s="42">
        <f t="shared" si="82"/>
        <v>257</v>
      </c>
      <c r="L355" s="42">
        <f t="shared" si="83"/>
        <v>149.4000000000002</v>
      </c>
      <c r="M355" s="42">
        <f t="shared" si="84"/>
        <v>0.5813229571984444</v>
      </c>
      <c r="N355" s="42">
        <f t="shared" si="85"/>
        <v>257</v>
      </c>
      <c r="O355" s="42">
        <f t="shared" si="86"/>
        <v>14789</v>
      </c>
      <c r="P355" s="42">
        <f t="shared" si="87"/>
        <v>57.54474708171206</v>
      </c>
      <c r="Q355" s="42">
        <f t="shared" si="88"/>
        <v>257</v>
      </c>
      <c r="R355" s="42" t="str">
        <f t="shared" si="89"/>
        <v>3</v>
      </c>
      <c r="S355" s="42" t="str">
        <f t="shared" si="90"/>
        <v>4</v>
      </c>
      <c r="T355" s="42">
        <f t="shared" si="91"/>
        <v>3</v>
      </c>
      <c r="U355" s="42">
        <f t="shared" si="92"/>
        <v>89</v>
      </c>
      <c r="V355" s="42">
        <f t="shared" si="93"/>
        <v>3183</v>
      </c>
      <c r="W355" s="42">
        <f t="shared" si="94"/>
        <v>49.316801509098106</v>
      </c>
      <c r="X355" s="42">
        <f t="shared" si="95"/>
        <v>0.18825987366070532</v>
      </c>
    </row>
    <row r="356" spans="1:24" x14ac:dyDescent="0.2">
      <c r="A356" s="49">
        <v>354</v>
      </c>
      <c r="B356" s="49">
        <v>355</v>
      </c>
      <c r="C356" s="49">
        <v>0.2576</v>
      </c>
      <c r="D356" s="49">
        <v>0.56000000000000005</v>
      </c>
      <c r="E356" s="49">
        <v>0.16420000000000001</v>
      </c>
      <c r="F356" s="49">
        <v>0</v>
      </c>
      <c r="G356" s="49">
        <v>1</v>
      </c>
      <c r="H356" s="49">
        <v>1</v>
      </c>
      <c r="I356" s="42">
        <f t="shared" si="80"/>
        <v>48.244200000000077</v>
      </c>
      <c r="J356" s="42">
        <f t="shared" si="81"/>
        <v>0.1884539062500003</v>
      </c>
      <c r="K356" s="42">
        <f t="shared" si="82"/>
        <v>256</v>
      </c>
      <c r="L356" s="42">
        <f t="shared" si="83"/>
        <v>148.8400000000002</v>
      </c>
      <c r="M356" s="42">
        <f t="shared" si="84"/>
        <v>0.58140625000000079</v>
      </c>
      <c r="N356" s="42">
        <f t="shared" si="85"/>
        <v>256</v>
      </c>
      <c r="O356" s="42">
        <f t="shared" si="86"/>
        <v>14787</v>
      </c>
      <c r="P356" s="42">
        <f t="shared" si="87"/>
        <v>57.76171875</v>
      </c>
      <c r="Q356" s="42">
        <f t="shared" si="88"/>
        <v>256</v>
      </c>
      <c r="R356" s="42" t="str">
        <f t="shared" si="89"/>
        <v>3</v>
      </c>
      <c r="S356" s="42" t="str">
        <f t="shared" si="90"/>
        <v>5</v>
      </c>
      <c r="T356" s="42">
        <f t="shared" si="91"/>
        <v>3</v>
      </c>
      <c r="U356" s="42">
        <f t="shared" si="92"/>
        <v>89</v>
      </c>
      <c r="V356" s="42">
        <f t="shared" si="93"/>
        <v>3183</v>
      </c>
      <c r="W356" s="42">
        <f t="shared" si="94"/>
        <v>49.316801509098106</v>
      </c>
      <c r="X356" s="42">
        <f t="shared" si="95"/>
        <v>0.18825987366070532</v>
      </c>
    </row>
    <row r="357" spans="1:24" x14ac:dyDescent="0.2">
      <c r="A357" s="49">
        <v>355</v>
      </c>
      <c r="B357" s="49">
        <v>356</v>
      </c>
      <c r="C357" s="49">
        <v>0.21210000000000001</v>
      </c>
      <c r="D357" s="49">
        <v>0.56000000000000005</v>
      </c>
      <c r="E357" s="49">
        <v>0.29849999999999999</v>
      </c>
      <c r="F357" s="49">
        <v>0</v>
      </c>
      <c r="G357" s="49">
        <v>3</v>
      </c>
      <c r="H357" s="49">
        <v>3</v>
      </c>
      <c r="I357" s="42">
        <f t="shared" si="80"/>
        <v>47.986600000000074</v>
      </c>
      <c r="J357" s="42">
        <f t="shared" si="81"/>
        <v>0.18818274509803951</v>
      </c>
      <c r="K357" s="42">
        <f t="shared" si="82"/>
        <v>255</v>
      </c>
      <c r="L357" s="42">
        <f t="shared" si="83"/>
        <v>148.2800000000002</v>
      </c>
      <c r="M357" s="42">
        <f t="shared" si="84"/>
        <v>0.58149019607843211</v>
      </c>
      <c r="N357" s="42">
        <f t="shared" si="85"/>
        <v>255</v>
      </c>
      <c r="O357" s="42">
        <f t="shared" si="86"/>
        <v>14786</v>
      </c>
      <c r="P357" s="42">
        <f t="shared" si="87"/>
        <v>57.984313725490196</v>
      </c>
      <c r="Q357" s="42">
        <f t="shared" si="88"/>
        <v>255</v>
      </c>
      <c r="R357" s="42" t="str">
        <f t="shared" si="89"/>
        <v>3</v>
      </c>
      <c r="S357" s="42" t="str">
        <f t="shared" si="90"/>
        <v>6</v>
      </c>
      <c r="T357" s="42">
        <f t="shared" si="91"/>
        <v>3</v>
      </c>
      <c r="U357" s="42">
        <f t="shared" si="92"/>
        <v>89</v>
      </c>
      <c r="V357" s="42">
        <f t="shared" si="93"/>
        <v>3183</v>
      </c>
      <c r="W357" s="42">
        <f t="shared" si="94"/>
        <v>49.316801509098106</v>
      </c>
      <c r="X357" s="42">
        <f t="shared" si="95"/>
        <v>0.18825987366070532</v>
      </c>
    </row>
    <row r="358" spans="1:24" x14ac:dyDescent="0.2">
      <c r="A358" s="49">
        <v>356</v>
      </c>
      <c r="B358" s="49">
        <v>357</v>
      </c>
      <c r="C358" s="49">
        <v>0.21210000000000001</v>
      </c>
      <c r="D358" s="49">
        <v>0.55000000000000004</v>
      </c>
      <c r="E358" s="49">
        <v>0.28360000000000002</v>
      </c>
      <c r="F358" s="49">
        <v>0</v>
      </c>
      <c r="G358" s="49">
        <v>18</v>
      </c>
      <c r="H358" s="49">
        <v>18</v>
      </c>
      <c r="I358" s="42">
        <f t="shared" si="80"/>
        <v>47.774500000000074</v>
      </c>
      <c r="J358" s="42">
        <f t="shared" si="81"/>
        <v>0.18808858267716563</v>
      </c>
      <c r="K358" s="42">
        <f t="shared" si="82"/>
        <v>254</v>
      </c>
      <c r="L358" s="42">
        <f t="shared" si="83"/>
        <v>147.7200000000002</v>
      </c>
      <c r="M358" s="42">
        <f t="shared" si="84"/>
        <v>0.58157480314960708</v>
      </c>
      <c r="N358" s="42">
        <f t="shared" si="85"/>
        <v>254</v>
      </c>
      <c r="O358" s="42">
        <f t="shared" si="86"/>
        <v>14783</v>
      </c>
      <c r="P358" s="42">
        <f t="shared" si="87"/>
        <v>58.2007874015748</v>
      </c>
      <c r="Q358" s="42">
        <f t="shared" si="88"/>
        <v>254</v>
      </c>
      <c r="R358" s="42" t="str">
        <f t="shared" si="89"/>
        <v>3</v>
      </c>
      <c r="S358" s="42" t="str">
        <f t="shared" si="90"/>
        <v>7</v>
      </c>
      <c r="T358" s="42">
        <f t="shared" si="91"/>
        <v>3</v>
      </c>
      <c r="U358" s="42">
        <f t="shared" si="92"/>
        <v>89</v>
      </c>
      <c r="V358" s="42">
        <f t="shared" si="93"/>
        <v>3183</v>
      </c>
      <c r="W358" s="42">
        <f t="shared" si="94"/>
        <v>49.316801509098106</v>
      </c>
      <c r="X358" s="42">
        <f t="shared" si="95"/>
        <v>0.18825987366070532</v>
      </c>
    </row>
    <row r="359" spans="1:24" x14ac:dyDescent="0.2">
      <c r="A359" s="49">
        <v>357</v>
      </c>
      <c r="B359" s="49">
        <v>358</v>
      </c>
      <c r="C359" s="49">
        <v>0.21210000000000001</v>
      </c>
      <c r="D359" s="49">
        <v>0.51</v>
      </c>
      <c r="E359" s="49">
        <v>0.25369999999999998</v>
      </c>
      <c r="F359" s="49">
        <v>3</v>
      </c>
      <c r="G359" s="49">
        <v>29</v>
      </c>
      <c r="H359" s="49">
        <v>32</v>
      </c>
      <c r="I359" s="42">
        <f t="shared" si="80"/>
        <v>47.562400000000075</v>
      </c>
      <c r="J359" s="42">
        <f t="shared" si="81"/>
        <v>0.18799367588932836</v>
      </c>
      <c r="K359" s="42">
        <f t="shared" si="82"/>
        <v>253</v>
      </c>
      <c r="L359" s="42">
        <f t="shared" si="83"/>
        <v>147.17000000000019</v>
      </c>
      <c r="M359" s="42">
        <f t="shared" si="84"/>
        <v>0.58169960474308369</v>
      </c>
      <c r="N359" s="42">
        <f t="shared" si="85"/>
        <v>253</v>
      </c>
      <c r="O359" s="42">
        <f t="shared" si="86"/>
        <v>14765</v>
      </c>
      <c r="P359" s="42">
        <f t="shared" si="87"/>
        <v>58.359683794466406</v>
      </c>
      <c r="Q359" s="42">
        <f t="shared" si="88"/>
        <v>253</v>
      </c>
      <c r="R359" s="42" t="str">
        <f t="shared" si="89"/>
        <v>3</v>
      </c>
      <c r="S359" s="42" t="str">
        <f t="shared" si="90"/>
        <v>8</v>
      </c>
      <c r="T359" s="42">
        <f t="shared" si="91"/>
        <v>3</v>
      </c>
      <c r="U359" s="42">
        <f t="shared" si="92"/>
        <v>89</v>
      </c>
      <c r="V359" s="42">
        <f t="shared" si="93"/>
        <v>3183</v>
      </c>
      <c r="W359" s="42">
        <f t="shared" si="94"/>
        <v>49.316801509098106</v>
      </c>
      <c r="X359" s="42">
        <f t="shared" si="95"/>
        <v>0.18825987366070532</v>
      </c>
    </row>
    <row r="360" spans="1:24" x14ac:dyDescent="0.2">
      <c r="A360" s="49">
        <v>358</v>
      </c>
      <c r="B360" s="49">
        <v>359</v>
      </c>
      <c r="C360" s="49">
        <v>0.21210000000000001</v>
      </c>
      <c r="D360" s="49">
        <v>0.51</v>
      </c>
      <c r="E360" s="49">
        <v>0.28360000000000002</v>
      </c>
      <c r="F360" s="49">
        <v>8</v>
      </c>
      <c r="G360" s="49">
        <v>71</v>
      </c>
      <c r="H360" s="49">
        <v>79</v>
      </c>
      <c r="I360" s="42">
        <f t="shared" si="80"/>
        <v>47.350300000000068</v>
      </c>
      <c r="J360" s="42">
        <f t="shared" si="81"/>
        <v>0.18789801587301613</v>
      </c>
      <c r="K360" s="42">
        <f t="shared" si="82"/>
        <v>252</v>
      </c>
      <c r="L360" s="42">
        <f t="shared" si="83"/>
        <v>146.6600000000002</v>
      </c>
      <c r="M360" s="42">
        <f t="shared" si="84"/>
        <v>0.58198412698412771</v>
      </c>
      <c r="N360" s="42">
        <f t="shared" si="85"/>
        <v>252</v>
      </c>
      <c r="O360" s="42">
        <f t="shared" si="86"/>
        <v>14733</v>
      </c>
      <c r="P360" s="42">
        <f t="shared" si="87"/>
        <v>58.464285714285715</v>
      </c>
      <c r="Q360" s="42">
        <f t="shared" si="88"/>
        <v>252</v>
      </c>
      <c r="R360" s="42" t="str">
        <f t="shared" si="89"/>
        <v>3</v>
      </c>
      <c r="S360" s="42" t="str">
        <f t="shared" si="90"/>
        <v>9</v>
      </c>
      <c r="T360" s="42">
        <f t="shared" si="91"/>
        <v>3</v>
      </c>
      <c r="U360" s="42">
        <f t="shared" si="92"/>
        <v>89</v>
      </c>
      <c r="V360" s="42">
        <f t="shared" si="93"/>
        <v>3183</v>
      </c>
      <c r="W360" s="42">
        <f t="shared" si="94"/>
        <v>49.316801509098106</v>
      </c>
      <c r="X360" s="42">
        <f t="shared" si="95"/>
        <v>0.18825987366070532</v>
      </c>
    </row>
    <row r="361" spans="1:24" x14ac:dyDescent="0.2">
      <c r="A361" s="49">
        <v>359</v>
      </c>
      <c r="B361" s="49">
        <v>360</v>
      </c>
      <c r="C361" s="49">
        <v>0.2273</v>
      </c>
      <c r="D361" s="49">
        <v>0.44</v>
      </c>
      <c r="E361" s="49">
        <v>0.25369999999999998</v>
      </c>
      <c r="F361" s="49">
        <v>23</v>
      </c>
      <c r="G361" s="49">
        <v>70</v>
      </c>
      <c r="H361" s="49">
        <v>93</v>
      </c>
      <c r="I361" s="42">
        <f t="shared" si="80"/>
        <v>47.138200000000069</v>
      </c>
      <c r="J361" s="42">
        <f t="shared" si="81"/>
        <v>0.18780159362549828</v>
      </c>
      <c r="K361" s="42">
        <f t="shared" si="82"/>
        <v>251</v>
      </c>
      <c r="L361" s="42">
        <f t="shared" si="83"/>
        <v>146.1500000000002</v>
      </c>
      <c r="M361" s="42">
        <f t="shared" si="84"/>
        <v>0.58227091633466221</v>
      </c>
      <c r="N361" s="42">
        <f t="shared" si="85"/>
        <v>251</v>
      </c>
      <c r="O361" s="42">
        <f t="shared" si="86"/>
        <v>14654</v>
      </c>
      <c r="P361" s="42">
        <f t="shared" si="87"/>
        <v>58.382470119521912</v>
      </c>
      <c r="Q361" s="42">
        <f t="shared" si="88"/>
        <v>251</v>
      </c>
      <c r="R361" s="42" t="str">
        <f t="shared" si="89"/>
        <v>3</v>
      </c>
      <c r="S361" s="42" t="str">
        <f t="shared" si="90"/>
        <v>0</v>
      </c>
      <c r="T361" s="42">
        <f t="shared" si="91"/>
        <v>3</v>
      </c>
      <c r="U361" s="42">
        <f t="shared" si="92"/>
        <v>89</v>
      </c>
      <c r="V361" s="42">
        <f t="shared" si="93"/>
        <v>3183</v>
      </c>
      <c r="W361" s="42">
        <f t="shared" si="94"/>
        <v>49.316801509098106</v>
      </c>
      <c r="X361" s="42">
        <f t="shared" si="95"/>
        <v>0.18825987366070532</v>
      </c>
    </row>
    <row r="362" spans="1:24" x14ac:dyDescent="0.2">
      <c r="A362" s="49">
        <v>360</v>
      </c>
      <c r="B362" s="49">
        <v>361</v>
      </c>
      <c r="C362" s="49">
        <v>0.21210000000000001</v>
      </c>
      <c r="D362" s="49">
        <v>0.41</v>
      </c>
      <c r="E362" s="49">
        <v>0.28360000000000002</v>
      </c>
      <c r="F362" s="49">
        <v>29</v>
      </c>
      <c r="G362" s="49">
        <v>75</v>
      </c>
      <c r="H362" s="49">
        <v>104</v>
      </c>
      <c r="I362" s="42">
        <f t="shared" si="80"/>
        <v>46.910900000000062</v>
      </c>
      <c r="J362" s="42">
        <f t="shared" si="81"/>
        <v>0.18764360000000024</v>
      </c>
      <c r="K362" s="42">
        <f t="shared" si="82"/>
        <v>250</v>
      </c>
      <c r="L362" s="42">
        <f t="shared" si="83"/>
        <v>145.71000000000021</v>
      </c>
      <c r="M362" s="42">
        <f t="shared" si="84"/>
        <v>0.5828400000000008</v>
      </c>
      <c r="N362" s="42">
        <f t="shared" si="85"/>
        <v>250</v>
      </c>
      <c r="O362" s="42">
        <f t="shared" si="86"/>
        <v>14561</v>
      </c>
      <c r="P362" s="42">
        <f t="shared" si="87"/>
        <v>58.244</v>
      </c>
      <c r="Q362" s="42">
        <f t="shared" si="88"/>
        <v>250</v>
      </c>
      <c r="R362" s="42" t="str">
        <f t="shared" si="89"/>
        <v>3</v>
      </c>
      <c r="S362" s="42" t="str">
        <f t="shared" si="90"/>
        <v>1</v>
      </c>
      <c r="T362" s="42">
        <f t="shared" si="91"/>
        <v>3</v>
      </c>
      <c r="U362" s="42">
        <f t="shared" si="92"/>
        <v>89</v>
      </c>
      <c r="V362" s="42">
        <f t="shared" si="93"/>
        <v>3183</v>
      </c>
      <c r="W362" s="42">
        <f t="shared" si="94"/>
        <v>49.316801509098106</v>
      </c>
      <c r="X362" s="42">
        <f t="shared" si="95"/>
        <v>0.18825987366070532</v>
      </c>
    </row>
    <row r="363" spans="1:24" x14ac:dyDescent="0.2">
      <c r="A363" s="49">
        <v>361</v>
      </c>
      <c r="B363" s="49">
        <v>362</v>
      </c>
      <c r="C363" s="49">
        <v>0.2273</v>
      </c>
      <c r="D363" s="49">
        <v>0.35</v>
      </c>
      <c r="E363" s="49">
        <v>0.29849999999999999</v>
      </c>
      <c r="F363" s="49">
        <v>23</v>
      </c>
      <c r="G363" s="49">
        <v>95</v>
      </c>
      <c r="H363" s="49">
        <v>118</v>
      </c>
      <c r="I363" s="42">
        <f t="shared" si="80"/>
        <v>46.698800000000062</v>
      </c>
      <c r="J363" s="42">
        <f t="shared" si="81"/>
        <v>0.18754538152610467</v>
      </c>
      <c r="K363" s="42">
        <f t="shared" si="82"/>
        <v>249</v>
      </c>
      <c r="L363" s="42">
        <f t="shared" si="83"/>
        <v>145.30000000000018</v>
      </c>
      <c r="M363" s="42">
        <f t="shared" si="84"/>
        <v>0.58353413654618547</v>
      </c>
      <c r="N363" s="42">
        <f t="shared" si="85"/>
        <v>249</v>
      </c>
      <c r="O363" s="42">
        <f t="shared" si="86"/>
        <v>14457</v>
      </c>
      <c r="P363" s="42">
        <f t="shared" si="87"/>
        <v>58.060240963855421</v>
      </c>
      <c r="Q363" s="42">
        <f t="shared" si="88"/>
        <v>249</v>
      </c>
      <c r="R363" s="42" t="str">
        <f t="shared" si="89"/>
        <v>3</v>
      </c>
      <c r="S363" s="42" t="str">
        <f t="shared" si="90"/>
        <v>2</v>
      </c>
      <c r="T363" s="42">
        <f t="shared" si="91"/>
        <v>3</v>
      </c>
      <c r="U363" s="42">
        <f t="shared" si="92"/>
        <v>89</v>
      </c>
      <c r="V363" s="42">
        <f t="shared" si="93"/>
        <v>3183</v>
      </c>
      <c r="W363" s="42">
        <f t="shared" si="94"/>
        <v>49.316801509098106</v>
      </c>
      <c r="X363" s="42">
        <f t="shared" si="95"/>
        <v>0.18825987366070532</v>
      </c>
    </row>
    <row r="364" spans="1:24" x14ac:dyDescent="0.2">
      <c r="A364" s="49">
        <v>362</v>
      </c>
      <c r="B364" s="49">
        <v>363</v>
      </c>
      <c r="C364" s="49">
        <v>0.2727</v>
      </c>
      <c r="D364" s="49">
        <v>0.36</v>
      </c>
      <c r="E364" s="49">
        <v>0.25369999999999998</v>
      </c>
      <c r="F364" s="49">
        <v>22</v>
      </c>
      <c r="G364" s="49">
        <v>69</v>
      </c>
      <c r="H364" s="49">
        <v>91</v>
      </c>
      <c r="I364" s="42">
        <f t="shared" si="80"/>
        <v>46.471500000000056</v>
      </c>
      <c r="J364" s="42">
        <f t="shared" si="81"/>
        <v>0.18738508064516152</v>
      </c>
      <c r="K364" s="42">
        <f t="shared" si="82"/>
        <v>248</v>
      </c>
      <c r="L364" s="42">
        <f t="shared" si="83"/>
        <v>144.95000000000019</v>
      </c>
      <c r="M364" s="42">
        <f t="shared" si="84"/>
        <v>0.58447580645161368</v>
      </c>
      <c r="N364" s="42">
        <f t="shared" si="85"/>
        <v>248</v>
      </c>
      <c r="O364" s="42">
        <f t="shared" si="86"/>
        <v>14339</v>
      </c>
      <c r="P364" s="42">
        <f t="shared" si="87"/>
        <v>57.818548387096776</v>
      </c>
      <c r="Q364" s="42">
        <f t="shared" si="88"/>
        <v>248</v>
      </c>
      <c r="R364" s="42" t="str">
        <f t="shared" si="89"/>
        <v>3</v>
      </c>
      <c r="S364" s="42" t="str">
        <f t="shared" si="90"/>
        <v>3</v>
      </c>
      <c r="T364" s="42">
        <f t="shared" si="91"/>
        <v>3</v>
      </c>
      <c r="U364" s="42">
        <f t="shared" si="92"/>
        <v>89</v>
      </c>
      <c r="V364" s="42">
        <f t="shared" si="93"/>
        <v>3183</v>
      </c>
      <c r="W364" s="42">
        <f t="shared" si="94"/>
        <v>49.316801509098106</v>
      </c>
      <c r="X364" s="42">
        <f t="shared" si="95"/>
        <v>0.18825987366070532</v>
      </c>
    </row>
    <row r="365" spans="1:24" x14ac:dyDescent="0.2">
      <c r="A365" s="49">
        <v>363</v>
      </c>
      <c r="B365" s="49">
        <v>364</v>
      </c>
      <c r="C365" s="49">
        <v>0.2424</v>
      </c>
      <c r="D365" s="49">
        <v>0.38</v>
      </c>
      <c r="E365" s="49">
        <v>0.25369999999999998</v>
      </c>
      <c r="F365" s="49">
        <v>35</v>
      </c>
      <c r="G365" s="49">
        <v>78</v>
      </c>
      <c r="H365" s="49">
        <v>113</v>
      </c>
      <c r="I365" s="42">
        <f t="shared" si="80"/>
        <v>46.198800000000055</v>
      </c>
      <c r="J365" s="42">
        <f t="shared" si="81"/>
        <v>0.18703967611336056</v>
      </c>
      <c r="K365" s="42">
        <f t="shared" si="82"/>
        <v>247</v>
      </c>
      <c r="L365" s="42">
        <f t="shared" si="83"/>
        <v>144.59000000000017</v>
      </c>
      <c r="M365" s="42">
        <f t="shared" si="84"/>
        <v>0.58538461538461606</v>
      </c>
      <c r="N365" s="42">
        <f t="shared" si="85"/>
        <v>247</v>
      </c>
      <c r="O365" s="42">
        <f t="shared" si="86"/>
        <v>14248</v>
      </c>
      <c r="P365" s="42">
        <f t="shared" si="87"/>
        <v>57.684210526315788</v>
      </c>
      <c r="Q365" s="42">
        <f t="shared" si="88"/>
        <v>247</v>
      </c>
      <c r="R365" s="42" t="str">
        <f t="shared" si="89"/>
        <v>3</v>
      </c>
      <c r="S365" s="42" t="str">
        <f t="shared" si="90"/>
        <v>4</v>
      </c>
      <c r="T365" s="42">
        <f t="shared" si="91"/>
        <v>3</v>
      </c>
      <c r="U365" s="42">
        <f t="shared" si="92"/>
        <v>89</v>
      </c>
      <c r="V365" s="42">
        <f t="shared" si="93"/>
        <v>3183</v>
      </c>
      <c r="W365" s="42">
        <f t="shared" si="94"/>
        <v>49.316801509098106</v>
      </c>
      <c r="X365" s="42">
        <f t="shared" si="95"/>
        <v>0.18825987366070532</v>
      </c>
    </row>
    <row r="366" spans="1:24" x14ac:dyDescent="0.2">
      <c r="A366" s="49">
        <v>364</v>
      </c>
      <c r="B366" s="49">
        <v>365</v>
      </c>
      <c r="C366" s="49">
        <v>0.2273</v>
      </c>
      <c r="D366" s="49">
        <v>0.38</v>
      </c>
      <c r="E366" s="49">
        <v>0.22389999999999999</v>
      </c>
      <c r="F366" s="49">
        <v>22</v>
      </c>
      <c r="G366" s="49">
        <v>77</v>
      </c>
      <c r="H366" s="49">
        <v>99</v>
      </c>
      <c r="I366" s="42">
        <f t="shared" si="80"/>
        <v>45.956400000000052</v>
      </c>
      <c r="J366" s="42">
        <f t="shared" si="81"/>
        <v>0.18681463414634167</v>
      </c>
      <c r="K366" s="42">
        <f t="shared" si="82"/>
        <v>246</v>
      </c>
      <c r="L366" s="42">
        <f t="shared" si="83"/>
        <v>144.21000000000018</v>
      </c>
      <c r="M366" s="42">
        <f t="shared" si="84"/>
        <v>0.58621951219512269</v>
      </c>
      <c r="N366" s="42">
        <f t="shared" si="85"/>
        <v>246</v>
      </c>
      <c r="O366" s="42">
        <f t="shared" si="86"/>
        <v>14135</v>
      </c>
      <c r="P366" s="42">
        <f t="shared" si="87"/>
        <v>57.459349593495936</v>
      </c>
      <c r="Q366" s="42">
        <f t="shared" si="88"/>
        <v>246</v>
      </c>
      <c r="R366" s="42" t="str">
        <f t="shared" si="89"/>
        <v>3</v>
      </c>
      <c r="S366" s="42" t="str">
        <f t="shared" si="90"/>
        <v>5</v>
      </c>
      <c r="T366" s="42">
        <f t="shared" si="91"/>
        <v>3</v>
      </c>
      <c r="U366" s="42">
        <f t="shared" si="92"/>
        <v>89</v>
      </c>
      <c r="V366" s="42">
        <f t="shared" si="93"/>
        <v>3183</v>
      </c>
      <c r="W366" s="42">
        <f t="shared" si="94"/>
        <v>49.316801509098106</v>
      </c>
      <c r="X366" s="42">
        <f t="shared" si="95"/>
        <v>0.18825987366070532</v>
      </c>
    </row>
    <row r="367" spans="1:24" x14ac:dyDescent="0.2">
      <c r="A367" s="49">
        <v>365</v>
      </c>
      <c r="B367" s="49">
        <v>366</v>
      </c>
      <c r="C367" s="49">
        <v>0.21210000000000001</v>
      </c>
      <c r="D367" s="49">
        <v>0.37</v>
      </c>
      <c r="E367" s="49">
        <v>0.25369999999999998</v>
      </c>
      <c r="F367" s="49">
        <v>23</v>
      </c>
      <c r="G367" s="49">
        <v>82</v>
      </c>
      <c r="H367" s="49">
        <v>105</v>
      </c>
      <c r="I367" s="42">
        <f t="shared" si="80"/>
        <v>45.729100000000045</v>
      </c>
      <c r="J367" s="42">
        <f t="shared" si="81"/>
        <v>0.18664938775510223</v>
      </c>
      <c r="K367" s="42">
        <f t="shared" si="82"/>
        <v>245</v>
      </c>
      <c r="L367" s="42">
        <f t="shared" si="83"/>
        <v>143.83000000000018</v>
      </c>
      <c r="M367" s="42">
        <f t="shared" si="84"/>
        <v>0.5870612244897967</v>
      </c>
      <c r="N367" s="42">
        <f t="shared" si="85"/>
        <v>245</v>
      </c>
      <c r="O367" s="42">
        <f t="shared" si="86"/>
        <v>14036</v>
      </c>
      <c r="P367" s="42">
        <f t="shared" si="87"/>
        <v>57.289795918367346</v>
      </c>
      <c r="Q367" s="42">
        <f t="shared" si="88"/>
        <v>245</v>
      </c>
      <c r="R367" s="42" t="str">
        <f t="shared" si="89"/>
        <v>3</v>
      </c>
      <c r="S367" s="42" t="str">
        <f t="shared" si="90"/>
        <v>6</v>
      </c>
      <c r="T367" s="42">
        <f t="shared" si="91"/>
        <v>3</v>
      </c>
      <c r="U367" s="42">
        <f t="shared" si="92"/>
        <v>89</v>
      </c>
      <c r="V367" s="42">
        <f t="shared" si="93"/>
        <v>3183</v>
      </c>
      <c r="W367" s="42">
        <f t="shared" si="94"/>
        <v>49.316801509098106</v>
      </c>
      <c r="X367" s="42">
        <f t="shared" si="95"/>
        <v>0.18825987366070532</v>
      </c>
    </row>
    <row r="368" spans="1:24" x14ac:dyDescent="0.2">
      <c r="A368" s="49">
        <v>366</v>
      </c>
      <c r="B368" s="49">
        <v>367</v>
      </c>
      <c r="C368" s="49">
        <v>0.21210000000000001</v>
      </c>
      <c r="D368" s="49">
        <v>0.4</v>
      </c>
      <c r="E368" s="49">
        <v>0.16420000000000001</v>
      </c>
      <c r="F368" s="49">
        <v>11</v>
      </c>
      <c r="G368" s="49">
        <v>56</v>
      </c>
      <c r="H368" s="49">
        <v>67</v>
      </c>
      <c r="I368" s="42">
        <f t="shared" si="80"/>
        <v>45.517000000000046</v>
      </c>
      <c r="J368" s="42">
        <f t="shared" si="81"/>
        <v>0.18654508196721331</v>
      </c>
      <c r="K368" s="42">
        <f t="shared" si="82"/>
        <v>244</v>
      </c>
      <c r="L368" s="42">
        <f t="shared" si="83"/>
        <v>143.46000000000018</v>
      </c>
      <c r="M368" s="42">
        <f t="shared" si="84"/>
        <v>0.58795081967213192</v>
      </c>
      <c r="N368" s="42">
        <f t="shared" si="85"/>
        <v>244</v>
      </c>
      <c r="O368" s="42">
        <f t="shared" si="86"/>
        <v>13931</v>
      </c>
      <c r="P368" s="42">
        <f t="shared" si="87"/>
        <v>57.094262295081968</v>
      </c>
      <c r="Q368" s="42">
        <f t="shared" si="88"/>
        <v>244</v>
      </c>
      <c r="R368" s="42" t="str">
        <f t="shared" si="89"/>
        <v>3</v>
      </c>
      <c r="S368" s="42" t="str">
        <f t="shared" si="90"/>
        <v>7</v>
      </c>
      <c r="T368" s="42">
        <f t="shared" si="91"/>
        <v>3</v>
      </c>
      <c r="U368" s="42">
        <f t="shared" si="92"/>
        <v>89</v>
      </c>
      <c r="V368" s="42">
        <f t="shared" si="93"/>
        <v>3183</v>
      </c>
      <c r="W368" s="42">
        <f t="shared" si="94"/>
        <v>49.316801509098106</v>
      </c>
      <c r="X368" s="42">
        <f t="shared" si="95"/>
        <v>0.18825987366070532</v>
      </c>
    </row>
    <row r="369" spans="1:24" x14ac:dyDescent="0.2">
      <c r="A369" s="49">
        <v>367</v>
      </c>
      <c r="B369" s="49">
        <v>368</v>
      </c>
      <c r="C369" s="49">
        <v>0.19700000000000001</v>
      </c>
      <c r="D369" s="49">
        <v>0.47</v>
      </c>
      <c r="E369" s="49">
        <v>0.1343</v>
      </c>
      <c r="F369" s="49">
        <v>14</v>
      </c>
      <c r="G369" s="49">
        <v>47</v>
      </c>
      <c r="H369" s="49">
        <v>61</v>
      </c>
      <c r="I369" s="42">
        <f t="shared" si="80"/>
        <v>45.304900000000046</v>
      </c>
      <c r="J369" s="42">
        <f t="shared" si="81"/>
        <v>0.18643991769547344</v>
      </c>
      <c r="K369" s="42">
        <f t="shared" si="82"/>
        <v>243</v>
      </c>
      <c r="L369" s="42">
        <f t="shared" si="83"/>
        <v>143.06000000000017</v>
      </c>
      <c r="M369" s="42">
        <f t="shared" si="84"/>
        <v>0.58872427983539166</v>
      </c>
      <c r="N369" s="42">
        <f t="shared" si="85"/>
        <v>243</v>
      </c>
      <c r="O369" s="42">
        <f t="shared" si="86"/>
        <v>13864</v>
      </c>
      <c r="P369" s="42">
        <f t="shared" si="87"/>
        <v>57.053497942386834</v>
      </c>
      <c r="Q369" s="42">
        <f t="shared" si="88"/>
        <v>243</v>
      </c>
      <c r="R369" s="42" t="str">
        <f t="shared" si="89"/>
        <v>3</v>
      </c>
      <c r="S369" s="42" t="str">
        <f t="shared" si="90"/>
        <v>8</v>
      </c>
      <c r="T369" s="42">
        <f t="shared" si="91"/>
        <v>3</v>
      </c>
      <c r="U369" s="42">
        <f t="shared" si="92"/>
        <v>89</v>
      </c>
      <c r="V369" s="42">
        <f t="shared" si="93"/>
        <v>3183</v>
      </c>
      <c r="W369" s="42">
        <f t="shared" si="94"/>
        <v>49.316801509098106</v>
      </c>
      <c r="X369" s="42">
        <f t="shared" si="95"/>
        <v>0.18825987366070532</v>
      </c>
    </row>
    <row r="370" spans="1:24" x14ac:dyDescent="0.2">
      <c r="A370" s="49">
        <v>368</v>
      </c>
      <c r="B370" s="49">
        <v>369</v>
      </c>
      <c r="C370" s="49">
        <v>0.19700000000000001</v>
      </c>
      <c r="D370" s="49">
        <v>0.47</v>
      </c>
      <c r="E370" s="49">
        <v>0.16420000000000001</v>
      </c>
      <c r="F370" s="49">
        <v>7</v>
      </c>
      <c r="G370" s="49">
        <v>50</v>
      </c>
      <c r="H370" s="49">
        <v>57</v>
      </c>
      <c r="I370" s="42">
        <f t="shared" si="80"/>
        <v>45.107900000000043</v>
      </c>
      <c r="J370" s="42">
        <f t="shared" si="81"/>
        <v>0.18639628099173572</v>
      </c>
      <c r="K370" s="42">
        <f t="shared" si="82"/>
        <v>242</v>
      </c>
      <c r="L370" s="42">
        <f t="shared" si="83"/>
        <v>142.59000000000015</v>
      </c>
      <c r="M370" s="42">
        <f t="shared" si="84"/>
        <v>0.58921487603305844</v>
      </c>
      <c r="N370" s="42">
        <f t="shared" si="85"/>
        <v>242</v>
      </c>
      <c r="O370" s="42">
        <f t="shared" si="86"/>
        <v>13803</v>
      </c>
      <c r="P370" s="42">
        <f t="shared" si="87"/>
        <v>57.037190082644628</v>
      </c>
      <c r="Q370" s="42">
        <f t="shared" si="88"/>
        <v>242</v>
      </c>
      <c r="R370" s="42" t="str">
        <f t="shared" si="89"/>
        <v>3</v>
      </c>
      <c r="S370" s="42" t="str">
        <f t="shared" si="90"/>
        <v>9</v>
      </c>
      <c r="T370" s="42">
        <f t="shared" si="91"/>
        <v>3</v>
      </c>
      <c r="U370" s="42">
        <f t="shared" si="92"/>
        <v>89</v>
      </c>
      <c r="V370" s="42">
        <f t="shared" si="93"/>
        <v>3183</v>
      </c>
      <c r="W370" s="42">
        <f t="shared" si="94"/>
        <v>49.316801509098106</v>
      </c>
      <c r="X370" s="42">
        <f t="shared" si="95"/>
        <v>0.18825987366070532</v>
      </c>
    </row>
    <row r="371" spans="1:24" x14ac:dyDescent="0.2">
      <c r="A371" s="49">
        <v>369</v>
      </c>
      <c r="B371" s="49">
        <v>370</v>
      </c>
      <c r="C371" s="49">
        <v>0.19700000000000001</v>
      </c>
      <c r="D371" s="49">
        <v>0.51</v>
      </c>
      <c r="E371" s="49">
        <v>0.16420000000000001</v>
      </c>
      <c r="F371" s="49">
        <v>6</v>
      </c>
      <c r="G371" s="49">
        <v>22</v>
      </c>
      <c r="H371" s="49">
        <v>28</v>
      </c>
      <c r="I371" s="42">
        <f t="shared" si="80"/>
        <v>44.910900000000041</v>
      </c>
      <c r="J371" s="42">
        <f t="shared" si="81"/>
        <v>0.18635228215767652</v>
      </c>
      <c r="K371" s="42">
        <f t="shared" si="82"/>
        <v>241</v>
      </c>
      <c r="L371" s="42">
        <f t="shared" si="83"/>
        <v>142.12000000000015</v>
      </c>
      <c r="M371" s="42">
        <f t="shared" si="84"/>
        <v>0.58970954356846539</v>
      </c>
      <c r="N371" s="42">
        <f t="shared" si="85"/>
        <v>241</v>
      </c>
      <c r="O371" s="42">
        <f t="shared" si="86"/>
        <v>13746</v>
      </c>
      <c r="P371" s="42">
        <f t="shared" si="87"/>
        <v>57.037344398340252</v>
      </c>
      <c r="Q371" s="42">
        <f t="shared" si="88"/>
        <v>241</v>
      </c>
      <c r="R371" s="42" t="str">
        <f t="shared" si="89"/>
        <v>3</v>
      </c>
      <c r="S371" s="42" t="str">
        <f t="shared" si="90"/>
        <v>0</v>
      </c>
      <c r="T371" s="42">
        <f t="shared" si="91"/>
        <v>3</v>
      </c>
      <c r="U371" s="42">
        <f t="shared" si="92"/>
        <v>89</v>
      </c>
      <c r="V371" s="42">
        <f t="shared" si="93"/>
        <v>3183</v>
      </c>
      <c r="W371" s="42">
        <f t="shared" si="94"/>
        <v>49.316801509098106</v>
      </c>
      <c r="X371" s="42">
        <f t="shared" si="95"/>
        <v>0.18825987366070532</v>
      </c>
    </row>
    <row r="372" spans="1:24" x14ac:dyDescent="0.2">
      <c r="A372" s="49">
        <v>370</v>
      </c>
      <c r="B372" s="49">
        <v>371</v>
      </c>
      <c r="C372" s="49">
        <v>0.21210000000000001</v>
      </c>
      <c r="D372" s="49">
        <v>0.49</v>
      </c>
      <c r="E372" s="49">
        <v>0.1343</v>
      </c>
      <c r="F372" s="49">
        <v>2</v>
      </c>
      <c r="G372" s="49">
        <v>19</v>
      </c>
      <c r="H372" s="49">
        <v>21</v>
      </c>
      <c r="I372" s="42">
        <f t="shared" si="80"/>
        <v>44.713900000000038</v>
      </c>
      <c r="J372" s="42">
        <f t="shared" si="81"/>
        <v>0.18630791666666682</v>
      </c>
      <c r="K372" s="42">
        <f t="shared" si="82"/>
        <v>240</v>
      </c>
      <c r="L372" s="42">
        <f t="shared" si="83"/>
        <v>141.61000000000013</v>
      </c>
      <c r="M372" s="42">
        <f t="shared" si="84"/>
        <v>0.59004166666666724</v>
      </c>
      <c r="N372" s="42">
        <f t="shared" si="85"/>
        <v>240</v>
      </c>
      <c r="O372" s="42">
        <f t="shared" si="86"/>
        <v>13718</v>
      </c>
      <c r="P372" s="42">
        <f t="shared" si="87"/>
        <v>57.158333333333331</v>
      </c>
      <c r="Q372" s="42">
        <f t="shared" si="88"/>
        <v>240</v>
      </c>
      <c r="R372" s="42" t="str">
        <f t="shared" si="89"/>
        <v>3</v>
      </c>
      <c r="S372" s="42" t="str">
        <f t="shared" si="90"/>
        <v>1</v>
      </c>
      <c r="T372" s="42">
        <f t="shared" si="91"/>
        <v>3</v>
      </c>
      <c r="U372" s="42">
        <f t="shared" si="92"/>
        <v>89</v>
      </c>
      <c r="V372" s="42">
        <f t="shared" si="93"/>
        <v>3183</v>
      </c>
      <c r="W372" s="42">
        <f t="shared" si="94"/>
        <v>49.316801509098106</v>
      </c>
      <c r="X372" s="42">
        <f t="shared" si="95"/>
        <v>0.18825987366070532</v>
      </c>
    </row>
    <row r="373" spans="1:24" x14ac:dyDescent="0.2">
      <c r="A373" s="49">
        <v>371</v>
      </c>
      <c r="B373" s="49">
        <v>372</v>
      </c>
      <c r="C373" s="49">
        <v>0.2273</v>
      </c>
      <c r="D373" s="49">
        <v>0.4</v>
      </c>
      <c r="E373" s="49">
        <v>0.1045</v>
      </c>
      <c r="F373" s="49">
        <v>0</v>
      </c>
      <c r="G373" s="49">
        <v>18</v>
      </c>
      <c r="H373" s="49">
        <v>18</v>
      </c>
      <c r="I373" s="42">
        <f t="shared" si="80"/>
        <v>44.501800000000038</v>
      </c>
      <c r="J373" s="42">
        <f t="shared" si="81"/>
        <v>0.18620000000000017</v>
      </c>
      <c r="K373" s="42">
        <f t="shared" si="82"/>
        <v>239</v>
      </c>
      <c r="L373" s="42">
        <f t="shared" si="83"/>
        <v>141.12000000000012</v>
      </c>
      <c r="M373" s="42">
        <f t="shared" si="84"/>
        <v>0.59046025104602562</v>
      </c>
      <c r="N373" s="42">
        <f t="shared" si="85"/>
        <v>239</v>
      </c>
      <c r="O373" s="42">
        <f t="shared" si="86"/>
        <v>13697</v>
      </c>
      <c r="P373" s="42">
        <f t="shared" si="87"/>
        <v>57.30962343096234</v>
      </c>
      <c r="Q373" s="42">
        <f t="shared" si="88"/>
        <v>239</v>
      </c>
      <c r="R373" s="42" t="str">
        <f t="shared" si="89"/>
        <v>3</v>
      </c>
      <c r="S373" s="42" t="str">
        <f t="shared" si="90"/>
        <v>2</v>
      </c>
      <c r="T373" s="42">
        <f t="shared" si="91"/>
        <v>3</v>
      </c>
      <c r="U373" s="42">
        <f t="shared" si="92"/>
        <v>89</v>
      </c>
      <c r="V373" s="42">
        <f t="shared" si="93"/>
        <v>3183</v>
      </c>
      <c r="W373" s="42">
        <f t="shared" si="94"/>
        <v>49.316801509098106</v>
      </c>
      <c r="X373" s="42">
        <f t="shared" si="95"/>
        <v>0.18825987366070532</v>
      </c>
    </row>
    <row r="374" spans="1:24" x14ac:dyDescent="0.2">
      <c r="A374" s="49">
        <v>372</v>
      </c>
      <c r="B374" s="49">
        <v>373</v>
      </c>
      <c r="C374" s="49">
        <v>0.19700000000000001</v>
      </c>
      <c r="D374" s="49">
        <v>0.47</v>
      </c>
      <c r="E374" s="49">
        <v>0.22389999999999999</v>
      </c>
      <c r="F374" s="49">
        <v>1</v>
      </c>
      <c r="G374" s="49">
        <v>16</v>
      </c>
      <c r="H374" s="49">
        <v>17</v>
      </c>
      <c r="I374" s="42">
        <f t="shared" si="80"/>
        <v>44.274500000000032</v>
      </c>
      <c r="J374" s="42">
        <f t="shared" si="81"/>
        <v>0.18602731092436989</v>
      </c>
      <c r="K374" s="42">
        <f t="shared" si="82"/>
        <v>238</v>
      </c>
      <c r="L374" s="42">
        <f t="shared" si="83"/>
        <v>140.72000000000011</v>
      </c>
      <c r="M374" s="42">
        <f t="shared" si="84"/>
        <v>0.59126050420168119</v>
      </c>
      <c r="N374" s="42">
        <f t="shared" si="85"/>
        <v>238</v>
      </c>
      <c r="O374" s="42">
        <f t="shared" si="86"/>
        <v>13679</v>
      </c>
      <c r="P374" s="42">
        <f t="shared" si="87"/>
        <v>57.474789915966383</v>
      </c>
      <c r="Q374" s="42">
        <f t="shared" si="88"/>
        <v>238</v>
      </c>
      <c r="R374" s="42" t="str">
        <f t="shared" si="89"/>
        <v>3</v>
      </c>
      <c r="S374" s="42" t="str">
        <f t="shared" si="90"/>
        <v>3</v>
      </c>
      <c r="T374" s="42">
        <f t="shared" si="91"/>
        <v>3</v>
      </c>
      <c r="U374" s="42">
        <f t="shared" si="92"/>
        <v>89</v>
      </c>
      <c r="V374" s="42">
        <f t="shared" si="93"/>
        <v>3183</v>
      </c>
      <c r="W374" s="42">
        <f t="shared" si="94"/>
        <v>49.316801509098106</v>
      </c>
      <c r="X374" s="42">
        <f t="shared" si="95"/>
        <v>0.18825987366070532</v>
      </c>
    </row>
    <row r="375" spans="1:24" x14ac:dyDescent="0.2">
      <c r="A375" s="49">
        <v>373</v>
      </c>
      <c r="B375" s="49">
        <v>374</v>
      </c>
      <c r="C375" s="49">
        <v>0.19700000000000001</v>
      </c>
      <c r="D375" s="49">
        <v>0.44</v>
      </c>
      <c r="E375" s="49">
        <v>0.19400000000000001</v>
      </c>
      <c r="F375" s="49">
        <v>1</v>
      </c>
      <c r="G375" s="49">
        <v>15</v>
      </c>
      <c r="H375" s="49">
        <v>16</v>
      </c>
      <c r="I375" s="42">
        <f t="shared" si="80"/>
        <v>44.077500000000029</v>
      </c>
      <c r="J375" s="42">
        <f t="shared" si="81"/>
        <v>0.18598101265822797</v>
      </c>
      <c r="K375" s="42">
        <f t="shared" si="82"/>
        <v>237</v>
      </c>
      <c r="L375" s="42">
        <f t="shared" si="83"/>
        <v>140.25000000000011</v>
      </c>
      <c r="M375" s="42">
        <f t="shared" si="84"/>
        <v>0.59177215189873467</v>
      </c>
      <c r="N375" s="42">
        <f t="shared" si="85"/>
        <v>237</v>
      </c>
      <c r="O375" s="42">
        <f t="shared" si="86"/>
        <v>13662</v>
      </c>
      <c r="P375" s="42">
        <f t="shared" si="87"/>
        <v>57.645569620253163</v>
      </c>
      <c r="Q375" s="42">
        <f t="shared" si="88"/>
        <v>237</v>
      </c>
      <c r="R375" s="42" t="str">
        <f t="shared" si="89"/>
        <v>3</v>
      </c>
      <c r="S375" s="42" t="str">
        <f t="shared" si="90"/>
        <v>4</v>
      </c>
      <c r="T375" s="42">
        <f t="shared" si="91"/>
        <v>3</v>
      </c>
      <c r="U375" s="42">
        <f t="shared" si="92"/>
        <v>89</v>
      </c>
      <c r="V375" s="42">
        <f t="shared" si="93"/>
        <v>3183</v>
      </c>
      <c r="W375" s="42">
        <f t="shared" si="94"/>
        <v>49.316801509098106</v>
      </c>
      <c r="X375" s="42">
        <f t="shared" si="95"/>
        <v>0.18825987366070532</v>
      </c>
    </row>
    <row r="376" spans="1:24" x14ac:dyDescent="0.2">
      <c r="A376" s="49">
        <v>374</v>
      </c>
      <c r="B376" s="49">
        <v>375</v>
      </c>
      <c r="C376" s="49">
        <v>0.16669999999999999</v>
      </c>
      <c r="D376" s="49">
        <v>0.43</v>
      </c>
      <c r="E376" s="49">
        <v>0.25369999999999998</v>
      </c>
      <c r="F376" s="49">
        <v>0</v>
      </c>
      <c r="G376" s="49">
        <v>8</v>
      </c>
      <c r="H376" s="49">
        <v>8</v>
      </c>
      <c r="I376" s="42">
        <f t="shared" si="80"/>
        <v>43.880500000000026</v>
      </c>
      <c r="J376" s="42">
        <f t="shared" si="81"/>
        <v>0.18593432203389842</v>
      </c>
      <c r="K376" s="42">
        <f t="shared" si="82"/>
        <v>236</v>
      </c>
      <c r="L376" s="42">
        <f t="shared" si="83"/>
        <v>139.81000000000012</v>
      </c>
      <c r="M376" s="42">
        <f t="shared" si="84"/>
        <v>0.59241525423728858</v>
      </c>
      <c r="N376" s="42">
        <f t="shared" si="85"/>
        <v>236</v>
      </c>
      <c r="O376" s="42">
        <f t="shared" si="86"/>
        <v>13646</v>
      </c>
      <c r="P376" s="42">
        <f t="shared" si="87"/>
        <v>57.822033898305087</v>
      </c>
      <c r="Q376" s="42">
        <f t="shared" si="88"/>
        <v>236</v>
      </c>
      <c r="R376" s="42" t="str">
        <f t="shared" si="89"/>
        <v>3</v>
      </c>
      <c r="S376" s="42" t="str">
        <f t="shared" si="90"/>
        <v>5</v>
      </c>
      <c r="T376" s="42">
        <f t="shared" si="91"/>
        <v>3</v>
      </c>
      <c r="U376" s="42">
        <f t="shared" si="92"/>
        <v>89</v>
      </c>
      <c r="V376" s="42">
        <f t="shared" si="93"/>
        <v>3183</v>
      </c>
      <c r="W376" s="42">
        <f t="shared" si="94"/>
        <v>49.316801509098106</v>
      </c>
      <c r="X376" s="42">
        <f t="shared" si="95"/>
        <v>0.18825987366070532</v>
      </c>
    </row>
    <row r="377" spans="1:24" x14ac:dyDescent="0.2">
      <c r="A377" s="49">
        <v>375</v>
      </c>
      <c r="B377" s="49">
        <v>376</v>
      </c>
      <c r="C377" s="49">
        <v>0.18179999999999999</v>
      </c>
      <c r="D377" s="49">
        <v>0.43</v>
      </c>
      <c r="E377" s="49">
        <v>0.19400000000000001</v>
      </c>
      <c r="F377" s="49">
        <v>0</v>
      </c>
      <c r="G377" s="49">
        <v>2</v>
      </c>
      <c r="H377" s="49">
        <v>2</v>
      </c>
      <c r="I377" s="42">
        <f t="shared" si="80"/>
        <v>43.713800000000028</v>
      </c>
      <c r="J377" s="42">
        <f t="shared" si="81"/>
        <v>0.18601617021276606</v>
      </c>
      <c r="K377" s="42">
        <f t="shared" si="82"/>
        <v>235</v>
      </c>
      <c r="L377" s="42">
        <f t="shared" si="83"/>
        <v>139.38000000000011</v>
      </c>
      <c r="M377" s="42">
        <f t="shared" si="84"/>
        <v>0.59310638297872387</v>
      </c>
      <c r="N377" s="42">
        <f t="shared" si="85"/>
        <v>235</v>
      </c>
      <c r="O377" s="42">
        <f t="shared" si="86"/>
        <v>13638</v>
      </c>
      <c r="P377" s="42">
        <f t="shared" si="87"/>
        <v>58.03404255319149</v>
      </c>
      <c r="Q377" s="42">
        <f t="shared" si="88"/>
        <v>235</v>
      </c>
      <c r="R377" s="42" t="str">
        <f t="shared" si="89"/>
        <v>3</v>
      </c>
      <c r="S377" s="42" t="str">
        <f t="shared" si="90"/>
        <v>6</v>
      </c>
      <c r="T377" s="42">
        <f t="shared" si="91"/>
        <v>3</v>
      </c>
      <c r="U377" s="42">
        <f t="shared" si="92"/>
        <v>89</v>
      </c>
      <c r="V377" s="42">
        <f t="shared" si="93"/>
        <v>3183</v>
      </c>
      <c r="W377" s="42">
        <f t="shared" si="94"/>
        <v>49.316801509098106</v>
      </c>
      <c r="X377" s="42">
        <f t="shared" si="95"/>
        <v>0.18825987366070532</v>
      </c>
    </row>
    <row r="378" spans="1:24" x14ac:dyDescent="0.2">
      <c r="A378" s="49">
        <v>376</v>
      </c>
      <c r="B378" s="49">
        <v>377</v>
      </c>
      <c r="C378" s="49">
        <v>0.19700000000000001</v>
      </c>
      <c r="D378" s="49">
        <v>0.43</v>
      </c>
      <c r="E378" s="49">
        <v>0.1343</v>
      </c>
      <c r="F378" s="49">
        <v>1</v>
      </c>
      <c r="G378" s="49">
        <v>2</v>
      </c>
      <c r="H378" s="49">
        <v>3</v>
      </c>
      <c r="I378" s="42">
        <f t="shared" si="80"/>
        <v>43.532000000000025</v>
      </c>
      <c r="J378" s="42">
        <f t="shared" si="81"/>
        <v>0.18603418803418814</v>
      </c>
      <c r="K378" s="42">
        <f t="shared" si="82"/>
        <v>234</v>
      </c>
      <c r="L378" s="42">
        <f t="shared" si="83"/>
        <v>138.9500000000001</v>
      </c>
      <c r="M378" s="42">
        <f t="shared" si="84"/>
        <v>0.59380341880341925</v>
      </c>
      <c r="N378" s="42">
        <f t="shared" si="85"/>
        <v>234</v>
      </c>
      <c r="O378" s="42">
        <f t="shared" si="86"/>
        <v>13636</v>
      </c>
      <c r="P378" s="42">
        <f t="shared" si="87"/>
        <v>58.273504273504273</v>
      </c>
      <c r="Q378" s="42">
        <f t="shared" si="88"/>
        <v>234</v>
      </c>
      <c r="R378" s="42" t="str">
        <f t="shared" si="89"/>
        <v>3</v>
      </c>
      <c r="S378" s="42" t="str">
        <f t="shared" si="90"/>
        <v>7</v>
      </c>
      <c r="T378" s="42">
        <f t="shared" si="91"/>
        <v>3</v>
      </c>
      <c r="U378" s="42">
        <f t="shared" si="92"/>
        <v>89</v>
      </c>
      <c r="V378" s="42">
        <f t="shared" si="93"/>
        <v>3183</v>
      </c>
      <c r="W378" s="42">
        <f t="shared" si="94"/>
        <v>49.316801509098106</v>
      </c>
      <c r="X378" s="42">
        <f t="shared" si="95"/>
        <v>0.18825987366070532</v>
      </c>
    </row>
    <row r="379" spans="1:24" x14ac:dyDescent="0.2">
      <c r="A379" s="49">
        <v>377</v>
      </c>
      <c r="B379" s="49">
        <v>378</v>
      </c>
      <c r="C379" s="49">
        <v>0.19700000000000001</v>
      </c>
      <c r="D379" s="49">
        <v>0.43</v>
      </c>
      <c r="E379" s="49">
        <v>0.16420000000000001</v>
      </c>
      <c r="F379" s="49">
        <v>0</v>
      </c>
      <c r="G379" s="49">
        <v>1</v>
      </c>
      <c r="H379" s="49">
        <v>1</v>
      </c>
      <c r="I379" s="42">
        <f t="shared" si="80"/>
        <v>43.335000000000022</v>
      </c>
      <c r="J379" s="42">
        <f t="shared" si="81"/>
        <v>0.18598712446351942</v>
      </c>
      <c r="K379" s="42">
        <f t="shared" si="82"/>
        <v>233</v>
      </c>
      <c r="L379" s="42">
        <f t="shared" si="83"/>
        <v>138.5200000000001</v>
      </c>
      <c r="M379" s="42">
        <f t="shared" si="84"/>
        <v>0.59450643776824075</v>
      </c>
      <c r="N379" s="42">
        <f t="shared" si="85"/>
        <v>233</v>
      </c>
      <c r="O379" s="42">
        <f t="shared" si="86"/>
        <v>13633</v>
      </c>
      <c r="P379" s="42">
        <f t="shared" si="87"/>
        <v>58.510729613733908</v>
      </c>
      <c r="Q379" s="42">
        <f t="shared" si="88"/>
        <v>233</v>
      </c>
      <c r="R379" s="42" t="str">
        <f t="shared" si="89"/>
        <v>3</v>
      </c>
      <c r="S379" s="42" t="str">
        <f t="shared" si="90"/>
        <v>8</v>
      </c>
      <c r="T379" s="42">
        <f t="shared" si="91"/>
        <v>3</v>
      </c>
      <c r="U379" s="42">
        <f t="shared" si="92"/>
        <v>89</v>
      </c>
      <c r="V379" s="42">
        <f t="shared" si="93"/>
        <v>3183</v>
      </c>
      <c r="W379" s="42">
        <f t="shared" si="94"/>
        <v>49.316801509098106</v>
      </c>
      <c r="X379" s="42">
        <f t="shared" si="95"/>
        <v>0.18825987366070532</v>
      </c>
    </row>
    <row r="380" spans="1:24" x14ac:dyDescent="0.2">
      <c r="A380" s="49">
        <v>378</v>
      </c>
      <c r="B380" s="49">
        <v>379</v>
      </c>
      <c r="C380" s="49">
        <v>0.18179999999999999</v>
      </c>
      <c r="D380" s="49">
        <v>0.43</v>
      </c>
      <c r="E380" s="49">
        <v>0.19400000000000001</v>
      </c>
      <c r="F380" s="49">
        <v>0</v>
      </c>
      <c r="G380" s="49">
        <v>5</v>
      </c>
      <c r="H380" s="49">
        <v>5</v>
      </c>
      <c r="I380" s="42">
        <f t="shared" si="80"/>
        <v>43.138000000000019</v>
      </c>
      <c r="J380" s="42">
        <f t="shared" si="81"/>
        <v>0.18593965517241387</v>
      </c>
      <c r="K380" s="42">
        <f t="shared" si="82"/>
        <v>232</v>
      </c>
      <c r="L380" s="42">
        <f t="shared" si="83"/>
        <v>138.09000000000012</v>
      </c>
      <c r="M380" s="42">
        <f t="shared" si="84"/>
        <v>0.59521551724137978</v>
      </c>
      <c r="N380" s="42">
        <f t="shared" si="85"/>
        <v>232</v>
      </c>
      <c r="O380" s="42">
        <f t="shared" si="86"/>
        <v>13632</v>
      </c>
      <c r="P380" s="42">
        <f t="shared" si="87"/>
        <v>58.758620689655174</v>
      </c>
      <c r="Q380" s="42">
        <f t="shared" si="88"/>
        <v>232</v>
      </c>
      <c r="R380" s="42" t="str">
        <f t="shared" si="89"/>
        <v>3</v>
      </c>
      <c r="S380" s="42" t="str">
        <f t="shared" si="90"/>
        <v>9</v>
      </c>
      <c r="T380" s="42">
        <f t="shared" si="91"/>
        <v>3</v>
      </c>
      <c r="U380" s="42">
        <f t="shared" si="92"/>
        <v>89</v>
      </c>
      <c r="V380" s="42">
        <f t="shared" si="93"/>
        <v>3183</v>
      </c>
      <c r="W380" s="42">
        <f t="shared" si="94"/>
        <v>49.316801509098106</v>
      </c>
      <c r="X380" s="42">
        <f t="shared" si="95"/>
        <v>0.18825987366070532</v>
      </c>
    </row>
    <row r="381" spans="1:24" x14ac:dyDescent="0.2">
      <c r="A381" s="49">
        <v>379</v>
      </c>
      <c r="B381" s="49">
        <v>380</v>
      </c>
      <c r="C381" s="49">
        <v>0.18179999999999999</v>
      </c>
      <c r="D381" s="49">
        <v>0.5</v>
      </c>
      <c r="E381" s="49">
        <v>0.1343</v>
      </c>
      <c r="F381" s="49">
        <v>4</v>
      </c>
      <c r="G381" s="49">
        <v>9</v>
      </c>
      <c r="H381" s="49">
        <v>13</v>
      </c>
      <c r="I381" s="42">
        <f t="shared" si="80"/>
        <v>42.956200000000024</v>
      </c>
      <c r="J381" s="42">
        <f t="shared" si="81"/>
        <v>0.18595757575757585</v>
      </c>
      <c r="K381" s="42">
        <f t="shared" si="82"/>
        <v>231</v>
      </c>
      <c r="L381" s="42">
        <f t="shared" si="83"/>
        <v>137.66000000000011</v>
      </c>
      <c r="M381" s="42">
        <f t="shared" si="84"/>
        <v>0.59593073593073642</v>
      </c>
      <c r="N381" s="42">
        <f t="shared" si="85"/>
        <v>231</v>
      </c>
      <c r="O381" s="42">
        <f t="shared" si="86"/>
        <v>13627</v>
      </c>
      <c r="P381" s="42">
        <f t="shared" si="87"/>
        <v>58.99134199134199</v>
      </c>
      <c r="Q381" s="42">
        <f t="shared" si="88"/>
        <v>231</v>
      </c>
      <c r="R381" s="42" t="str">
        <f t="shared" si="89"/>
        <v>3</v>
      </c>
      <c r="S381" s="42" t="str">
        <f t="shared" si="90"/>
        <v>0</v>
      </c>
      <c r="T381" s="42">
        <f t="shared" si="91"/>
        <v>3</v>
      </c>
      <c r="U381" s="42">
        <f t="shared" si="92"/>
        <v>89</v>
      </c>
      <c r="V381" s="42">
        <f t="shared" si="93"/>
        <v>3183</v>
      </c>
      <c r="W381" s="42">
        <f t="shared" si="94"/>
        <v>49.316801509098106</v>
      </c>
      <c r="X381" s="42">
        <f t="shared" si="95"/>
        <v>0.18825987366070532</v>
      </c>
    </row>
    <row r="382" spans="1:24" x14ac:dyDescent="0.2">
      <c r="A382" s="49">
        <v>380</v>
      </c>
      <c r="B382" s="49">
        <v>381</v>
      </c>
      <c r="C382" s="49">
        <v>0.1515</v>
      </c>
      <c r="D382" s="49">
        <v>0.47</v>
      </c>
      <c r="E382" s="49">
        <v>0.22389999999999999</v>
      </c>
      <c r="F382" s="49">
        <v>3</v>
      </c>
      <c r="G382" s="49">
        <v>30</v>
      </c>
      <c r="H382" s="49">
        <v>33</v>
      </c>
      <c r="I382" s="42">
        <f t="shared" si="80"/>
        <v>42.774400000000021</v>
      </c>
      <c r="J382" s="42">
        <f t="shared" si="81"/>
        <v>0.18597565217391313</v>
      </c>
      <c r="K382" s="42">
        <f t="shared" si="82"/>
        <v>230</v>
      </c>
      <c r="L382" s="42">
        <f t="shared" si="83"/>
        <v>137.16000000000011</v>
      </c>
      <c r="M382" s="42">
        <f t="shared" si="84"/>
        <v>0.59634782608695702</v>
      </c>
      <c r="N382" s="42">
        <f t="shared" si="85"/>
        <v>230</v>
      </c>
      <c r="O382" s="42">
        <f t="shared" si="86"/>
        <v>13614</v>
      </c>
      <c r="P382" s="42">
        <f t="shared" si="87"/>
        <v>59.19130434782609</v>
      </c>
      <c r="Q382" s="42">
        <f t="shared" si="88"/>
        <v>230</v>
      </c>
      <c r="R382" s="42" t="str">
        <f t="shared" si="89"/>
        <v>3</v>
      </c>
      <c r="S382" s="42" t="str">
        <f t="shared" si="90"/>
        <v>1</v>
      </c>
      <c r="T382" s="42">
        <f t="shared" si="91"/>
        <v>3</v>
      </c>
      <c r="U382" s="42">
        <f t="shared" si="92"/>
        <v>89</v>
      </c>
      <c r="V382" s="42">
        <f t="shared" si="93"/>
        <v>3183</v>
      </c>
      <c r="W382" s="42">
        <f t="shared" si="94"/>
        <v>49.316801509098106</v>
      </c>
      <c r="X382" s="42">
        <f t="shared" si="95"/>
        <v>0.18825987366070532</v>
      </c>
    </row>
    <row r="383" spans="1:24" x14ac:dyDescent="0.2">
      <c r="A383" s="49">
        <v>381</v>
      </c>
      <c r="B383" s="49">
        <v>382</v>
      </c>
      <c r="C383" s="49">
        <v>0.1515</v>
      </c>
      <c r="D383" s="49">
        <v>0.47</v>
      </c>
      <c r="E383" s="49">
        <v>0.22389999999999999</v>
      </c>
      <c r="F383" s="49">
        <v>8</v>
      </c>
      <c r="G383" s="49">
        <v>39</v>
      </c>
      <c r="H383" s="49">
        <v>47</v>
      </c>
      <c r="I383" s="42">
        <f t="shared" si="80"/>
        <v>42.622900000000023</v>
      </c>
      <c r="J383" s="42">
        <f t="shared" si="81"/>
        <v>0.18612620087336254</v>
      </c>
      <c r="K383" s="42">
        <f t="shared" si="82"/>
        <v>229</v>
      </c>
      <c r="L383" s="42">
        <f t="shared" si="83"/>
        <v>136.69000000000008</v>
      </c>
      <c r="M383" s="42">
        <f t="shared" si="84"/>
        <v>0.59689956331877769</v>
      </c>
      <c r="N383" s="42">
        <f t="shared" si="85"/>
        <v>229</v>
      </c>
      <c r="O383" s="42">
        <f t="shared" si="86"/>
        <v>13581</v>
      </c>
      <c r="P383" s="42">
        <f t="shared" si="87"/>
        <v>59.305676855895193</v>
      </c>
      <c r="Q383" s="42">
        <f t="shared" si="88"/>
        <v>229</v>
      </c>
      <c r="R383" s="42" t="str">
        <f t="shared" si="89"/>
        <v>3</v>
      </c>
      <c r="S383" s="42" t="str">
        <f t="shared" si="90"/>
        <v>2</v>
      </c>
      <c r="T383" s="42">
        <f t="shared" si="91"/>
        <v>3</v>
      </c>
      <c r="U383" s="42">
        <f t="shared" si="92"/>
        <v>89</v>
      </c>
      <c r="V383" s="42">
        <f t="shared" si="93"/>
        <v>3183</v>
      </c>
      <c r="W383" s="42">
        <f t="shared" si="94"/>
        <v>49.316801509098106</v>
      </c>
      <c r="X383" s="42">
        <f t="shared" si="95"/>
        <v>0.18825987366070532</v>
      </c>
    </row>
    <row r="384" spans="1:24" x14ac:dyDescent="0.2">
      <c r="A384" s="49">
        <v>382</v>
      </c>
      <c r="B384" s="49">
        <v>383</v>
      </c>
      <c r="C384" s="49">
        <v>0.1515</v>
      </c>
      <c r="D384" s="49">
        <v>0.5</v>
      </c>
      <c r="E384" s="49">
        <v>0.25369999999999998</v>
      </c>
      <c r="F384" s="49">
        <v>7</v>
      </c>
      <c r="G384" s="49">
        <v>50</v>
      </c>
      <c r="H384" s="49">
        <v>57</v>
      </c>
      <c r="I384" s="42">
        <f t="shared" si="80"/>
        <v>42.471400000000024</v>
      </c>
      <c r="J384" s="42">
        <f t="shared" si="81"/>
        <v>0.18627807017543871</v>
      </c>
      <c r="K384" s="42">
        <f t="shared" si="82"/>
        <v>228</v>
      </c>
      <c r="L384" s="42">
        <f t="shared" si="83"/>
        <v>136.22000000000008</v>
      </c>
      <c r="M384" s="42">
        <f t="shared" si="84"/>
        <v>0.59745614035087757</v>
      </c>
      <c r="N384" s="42">
        <f t="shared" si="85"/>
        <v>228</v>
      </c>
      <c r="O384" s="42">
        <f t="shared" si="86"/>
        <v>13534</v>
      </c>
      <c r="P384" s="42">
        <f t="shared" si="87"/>
        <v>59.359649122807021</v>
      </c>
      <c r="Q384" s="42">
        <f t="shared" si="88"/>
        <v>228</v>
      </c>
      <c r="R384" s="42" t="str">
        <f t="shared" si="89"/>
        <v>3</v>
      </c>
      <c r="S384" s="42" t="str">
        <f t="shared" si="90"/>
        <v>3</v>
      </c>
      <c r="T384" s="42">
        <f t="shared" si="91"/>
        <v>3</v>
      </c>
      <c r="U384" s="42">
        <f t="shared" si="92"/>
        <v>89</v>
      </c>
      <c r="V384" s="42">
        <f t="shared" si="93"/>
        <v>3183</v>
      </c>
      <c r="W384" s="42">
        <f t="shared" si="94"/>
        <v>49.316801509098106</v>
      </c>
      <c r="X384" s="42">
        <f t="shared" si="95"/>
        <v>0.18825987366070532</v>
      </c>
    </row>
    <row r="385" spans="1:24" x14ac:dyDescent="0.2">
      <c r="A385" s="49">
        <v>383</v>
      </c>
      <c r="B385" s="49">
        <v>384</v>
      </c>
      <c r="C385" s="49">
        <v>0.1515</v>
      </c>
      <c r="D385" s="49">
        <v>0.55000000000000004</v>
      </c>
      <c r="E385" s="49">
        <v>0.19400000000000001</v>
      </c>
      <c r="F385" s="49">
        <v>9</v>
      </c>
      <c r="G385" s="49">
        <v>55</v>
      </c>
      <c r="H385" s="49">
        <v>64</v>
      </c>
      <c r="I385" s="42">
        <f t="shared" si="80"/>
        <v>42.319900000000025</v>
      </c>
      <c r="J385" s="42">
        <f t="shared" si="81"/>
        <v>0.18643127753303976</v>
      </c>
      <c r="K385" s="42">
        <f t="shared" si="82"/>
        <v>227</v>
      </c>
      <c r="L385" s="42">
        <f t="shared" si="83"/>
        <v>135.72000000000008</v>
      </c>
      <c r="M385" s="42">
        <f t="shared" si="84"/>
        <v>0.59788546255506647</v>
      </c>
      <c r="N385" s="42">
        <f t="shared" si="85"/>
        <v>227</v>
      </c>
      <c r="O385" s="42">
        <f t="shared" si="86"/>
        <v>13477</v>
      </c>
      <c r="P385" s="42">
        <f t="shared" si="87"/>
        <v>59.370044052863435</v>
      </c>
      <c r="Q385" s="42">
        <f t="shared" si="88"/>
        <v>227</v>
      </c>
      <c r="R385" s="42" t="str">
        <f t="shared" si="89"/>
        <v>3</v>
      </c>
      <c r="S385" s="42" t="str">
        <f t="shared" si="90"/>
        <v>4</v>
      </c>
      <c r="T385" s="42">
        <f t="shared" si="91"/>
        <v>3</v>
      </c>
      <c r="U385" s="42">
        <f t="shared" si="92"/>
        <v>89</v>
      </c>
      <c r="V385" s="42">
        <f t="shared" si="93"/>
        <v>3183</v>
      </c>
      <c r="W385" s="42">
        <f t="shared" si="94"/>
        <v>49.316801509098106</v>
      </c>
      <c r="X385" s="42">
        <f t="shared" si="95"/>
        <v>0.18825987366070532</v>
      </c>
    </row>
    <row r="386" spans="1:24" x14ac:dyDescent="0.2">
      <c r="A386" s="49">
        <v>384</v>
      </c>
      <c r="B386" s="49">
        <v>385</v>
      </c>
      <c r="C386" s="49">
        <v>0.19700000000000001</v>
      </c>
      <c r="D386" s="49">
        <v>0.47</v>
      </c>
      <c r="E386" s="49">
        <v>0.1343</v>
      </c>
      <c r="F386" s="49">
        <v>10</v>
      </c>
      <c r="G386" s="49">
        <v>70</v>
      </c>
      <c r="H386" s="49">
        <v>80</v>
      </c>
      <c r="I386" s="42">
        <f t="shared" si="80"/>
        <v>42.16840000000002</v>
      </c>
      <c r="J386" s="42">
        <f t="shared" si="81"/>
        <v>0.18658584070796469</v>
      </c>
      <c r="K386" s="42">
        <f t="shared" si="82"/>
        <v>226</v>
      </c>
      <c r="L386" s="42">
        <f t="shared" si="83"/>
        <v>135.1700000000001</v>
      </c>
      <c r="M386" s="42">
        <f t="shared" si="84"/>
        <v>0.59809734513274382</v>
      </c>
      <c r="N386" s="42">
        <f t="shared" si="85"/>
        <v>226</v>
      </c>
      <c r="O386" s="42">
        <f t="shared" si="86"/>
        <v>13413</v>
      </c>
      <c r="P386" s="42">
        <f t="shared" si="87"/>
        <v>59.349557522123895</v>
      </c>
      <c r="Q386" s="42">
        <f t="shared" si="88"/>
        <v>226</v>
      </c>
      <c r="R386" s="42" t="str">
        <f t="shared" si="89"/>
        <v>3</v>
      </c>
      <c r="S386" s="42" t="str">
        <f t="shared" si="90"/>
        <v>5</v>
      </c>
      <c r="T386" s="42">
        <f t="shared" si="91"/>
        <v>3</v>
      </c>
      <c r="U386" s="42">
        <f t="shared" si="92"/>
        <v>89</v>
      </c>
      <c r="V386" s="42">
        <f t="shared" si="93"/>
        <v>3183</v>
      </c>
      <c r="W386" s="42">
        <f t="shared" si="94"/>
        <v>49.316801509098106</v>
      </c>
      <c r="X386" s="42">
        <f t="shared" si="95"/>
        <v>0.18825987366070532</v>
      </c>
    </row>
    <row r="387" spans="1:24" x14ac:dyDescent="0.2">
      <c r="A387" s="49">
        <v>385</v>
      </c>
      <c r="B387" s="49">
        <v>386</v>
      </c>
      <c r="C387" s="49">
        <v>0.19700000000000001</v>
      </c>
      <c r="D387" s="49">
        <v>0.47</v>
      </c>
      <c r="E387" s="49">
        <v>0.1343</v>
      </c>
      <c r="F387" s="49">
        <v>13</v>
      </c>
      <c r="G387" s="49">
        <v>80</v>
      </c>
      <c r="H387" s="49">
        <v>93</v>
      </c>
      <c r="I387" s="42">
        <f t="shared" ref="I387:I450" si="96">SUM(C387:C996)</f>
        <v>41.971400000000024</v>
      </c>
      <c r="J387" s="42">
        <f t="shared" ref="J387:J450" si="97">AVERAGE(C387:C996)</f>
        <v>0.18653955555555565</v>
      </c>
      <c r="K387" s="42">
        <f t="shared" ref="K387:K450" si="98">COUNT(C387:C996)</f>
        <v>225</v>
      </c>
      <c r="L387" s="42">
        <f t="shared" ref="L387:L450" si="99">SUM(D387:D996)</f>
        <v>134.70000000000007</v>
      </c>
      <c r="M387" s="42">
        <f t="shared" ref="M387:M450" si="100">AVERAGE(D387:D996)</f>
        <v>0.59866666666666701</v>
      </c>
      <c r="N387" s="42">
        <f t="shared" ref="N387:N450" si="101">COUNT(D387:D996)</f>
        <v>225</v>
      </c>
      <c r="O387" s="42">
        <f t="shared" ref="O387:O450" si="102">SUM(H387:H996)</f>
        <v>13333</v>
      </c>
      <c r="P387" s="42">
        <f t="shared" ref="P387:P450" si="103">AVERAGE(H387:H996)</f>
        <v>59.257777777777775</v>
      </c>
      <c r="Q387" s="42">
        <f t="shared" ref="Q387:Q450" si="104">COUNT(H387:H996)</f>
        <v>225</v>
      </c>
      <c r="R387" s="42" t="str">
        <f t="shared" ref="R387:R450" si="105">LEFT(B387,1)</f>
        <v>3</v>
      </c>
      <c r="S387" s="42" t="str">
        <f t="shared" ref="S387:S450" si="106">RIGHT(B387,1)</f>
        <v>6</v>
      </c>
      <c r="T387" s="42">
        <f t="shared" ref="T387:T450" si="107">LEN(B387)</f>
        <v>3</v>
      </c>
      <c r="U387" s="42">
        <f t="shared" ref="U387:U450" si="108">COUNTIF(H:H,"&gt;100")</f>
        <v>89</v>
      </c>
      <c r="V387" s="42">
        <f t="shared" ref="V387:V450" si="109">SUMIF(D:D,"&gt;0.8",H:H)</f>
        <v>3183</v>
      </c>
      <c r="W387" s="42">
        <f t="shared" ref="W387:W450" si="110">STDEV(H:H)</f>
        <v>49.316801509098106</v>
      </c>
      <c r="X387" s="42">
        <f t="shared" ref="X387:X450" si="111">CORREL(C:C,H:H)</f>
        <v>0.18825987366070532</v>
      </c>
    </row>
    <row r="388" spans="1:24" x14ac:dyDescent="0.2">
      <c r="A388" s="49">
        <v>386</v>
      </c>
      <c r="B388" s="49">
        <v>387</v>
      </c>
      <c r="C388" s="49">
        <v>0.21210000000000001</v>
      </c>
      <c r="D388" s="49">
        <v>0.43</v>
      </c>
      <c r="E388" s="49">
        <v>0.1045</v>
      </c>
      <c r="F388" s="49">
        <v>12</v>
      </c>
      <c r="G388" s="49">
        <v>74</v>
      </c>
      <c r="H388" s="49">
        <v>86</v>
      </c>
      <c r="I388" s="42">
        <f t="shared" si="96"/>
        <v>41.774400000000021</v>
      </c>
      <c r="J388" s="42">
        <f t="shared" si="97"/>
        <v>0.18649285714285724</v>
      </c>
      <c r="K388" s="42">
        <f t="shared" si="98"/>
        <v>224</v>
      </c>
      <c r="L388" s="42">
        <f t="shared" si="99"/>
        <v>134.23000000000008</v>
      </c>
      <c r="M388" s="42">
        <f t="shared" si="100"/>
        <v>0.59924107142857175</v>
      </c>
      <c r="N388" s="42">
        <f t="shared" si="101"/>
        <v>224</v>
      </c>
      <c r="O388" s="42">
        <f t="shared" si="102"/>
        <v>13240</v>
      </c>
      <c r="P388" s="42">
        <f t="shared" si="103"/>
        <v>59.107142857142854</v>
      </c>
      <c r="Q388" s="42">
        <f t="shared" si="104"/>
        <v>224</v>
      </c>
      <c r="R388" s="42" t="str">
        <f t="shared" si="105"/>
        <v>3</v>
      </c>
      <c r="S388" s="42" t="str">
        <f t="shared" si="106"/>
        <v>7</v>
      </c>
      <c r="T388" s="42">
        <f t="shared" si="107"/>
        <v>3</v>
      </c>
      <c r="U388" s="42">
        <f t="shared" si="108"/>
        <v>89</v>
      </c>
      <c r="V388" s="42">
        <f t="shared" si="109"/>
        <v>3183</v>
      </c>
      <c r="W388" s="42">
        <f t="shared" si="110"/>
        <v>49.316801509098106</v>
      </c>
      <c r="X388" s="42">
        <f t="shared" si="111"/>
        <v>0.18825987366070532</v>
      </c>
    </row>
    <row r="389" spans="1:24" x14ac:dyDescent="0.2">
      <c r="A389" s="49">
        <v>387</v>
      </c>
      <c r="B389" s="49">
        <v>388</v>
      </c>
      <c r="C389" s="49">
        <v>0.21210000000000001</v>
      </c>
      <c r="D389" s="49">
        <v>0.47</v>
      </c>
      <c r="E389" s="49">
        <v>0.16420000000000001</v>
      </c>
      <c r="F389" s="49">
        <v>21</v>
      </c>
      <c r="G389" s="49">
        <v>72</v>
      </c>
      <c r="H389" s="49">
        <v>93</v>
      </c>
      <c r="I389" s="42">
        <f t="shared" si="96"/>
        <v>41.562300000000022</v>
      </c>
      <c r="J389" s="42">
        <f t="shared" si="97"/>
        <v>0.18637802690582969</v>
      </c>
      <c r="K389" s="42">
        <f t="shared" si="98"/>
        <v>223</v>
      </c>
      <c r="L389" s="42">
        <f t="shared" si="99"/>
        <v>133.80000000000007</v>
      </c>
      <c r="M389" s="42">
        <f t="shared" si="100"/>
        <v>0.60000000000000031</v>
      </c>
      <c r="N389" s="42">
        <f t="shared" si="101"/>
        <v>223</v>
      </c>
      <c r="O389" s="42">
        <f t="shared" si="102"/>
        <v>13154</v>
      </c>
      <c r="P389" s="42">
        <f t="shared" si="103"/>
        <v>58.986547085201792</v>
      </c>
      <c r="Q389" s="42">
        <f t="shared" si="104"/>
        <v>223</v>
      </c>
      <c r="R389" s="42" t="str">
        <f t="shared" si="105"/>
        <v>3</v>
      </c>
      <c r="S389" s="42" t="str">
        <f t="shared" si="106"/>
        <v>8</v>
      </c>
      <c r="T389" s="42">
        <f t="shared" si="107"/>
        <v>3</v>
      </c>
      <c r="U389" s="42">
        <f t="shared" si="108"/>
        <v>89</v>
      </c>
      <c r="V389" s="42">
        <f t="shared" si="109"/>
        <v>3183</v>
      </c>
      <c r="W389" s="42">
        <f t="shared" si="110"/>
        <v>49.316801509098106</v>
      </c>
      <c r="X389" s="42">
        <f t="shared" si="111"/>
        <v>0.18825987366070532</v>
      </c>
    </row>
    <row r="390" spans="1:24" x14ac:dyDescent="0.2">
      <c r="A390" s="49">
        <v>388</v>
      </c>
      <c r="B390" s="49">
        <v>389</v>
      </c>
      <c r="C390" s="49">
        <v>0.21210000000000001</v>
      </c>
      <c r="D390" s="49">
        <v>0.47</v>
      </c>
      <c r="E390" s="49">
        <v>0.16420000000000001</v>
      </c>
      <c r="F390" s="49">
        <v>6</v>
      </c>
      <c r="G390" s="49">
        <v>76</v>
      </c>
      <c r="H390" s="49">
        <v>82</v>
      </c>
      <c r="I390" s="42">
        <f t="shared" si="96"/>
        <v>41.350200000000029</v>
      </c>
      <c r="J390" s="42">
        <f t="shared" si="97"/>
        <v>0.18626216216216229</v>
      </c>
      <c r="K390" s="42">
        <f t="shared" si="98"/>
        <v>222</v>
      </c>
      <c r="L390" s="42">
        <f t="shared" si="99"/>
        <v>133.33000000000007</v>
      </c>
      <c r="M390" s="42">
        <f t="shared" si="100"/>
        <v>0.60058558558558595</v>
      </c>
      <c r="N390" s="42">
        <f t="shared" si="101"/>
        <v>222</v>
      </c>
      <c r="O390" s="42">
        <f t="shared" si="102"/>
        <v>13061</v>
      </c>
      <c r="P390" s="42">
        <f t="shared" si="103"/>
        <v>58.833333333333336</v>
      </c>
      <c r="Q390" s="42">
        <f t="shared" si="104"/>
        <v>222</v>
      </c>
      <c r="R390" s="42" t="str">
        <f t="shared" si="105"/>
        <v>3</v>
      </c>
      <c r="S390" s="42" t="str">
        <f t="shared" si="106"/>
        <v>9</v>
      </c>
      <c r="T390" s="42">
        <f t="shared" si="107"/>
        <v>3</v>
      </c>
      <c r="U390" s="42">
        <f t="shared" si="108"/>
        <v>89</v>
      </c>
      <c r="V390" s="42">
        <f t="shared" si="109"/>
        <v>3183</v>
      </c>
      <c r="W390" s="42">
        <f t="shared" si="110"/>
        <v>49.316801509098106</v>
      </c>
      <c r="X390" s="42">
        <f t="shared" si="111"/>
        <v>0.18825987366070532</v>
      </c>
    </row>
    <row r="391" spans="1:24" x14ac:dyDescent="0.2">
      <c r="A391" s="49">
        <v>389</v>
      </c>
      <c r="B391" s="49">
        <v>390</v>
      </c>
      <c r="C391" s="49">
        <v>0.19700000000000001</v>
      </c>
      <c r="D391" s="49">
        <v>0.51</v>
      </c>
      <c r="E391" s="49">
        <v>0.19400000000000001</v>
      </c>
      <c r="F391" s="49">
        <v>4</v>
      </c>
      <c r="G391" s="49">
        <v>67</v>
      </c>
      <c r="H391" s="49">
        <v>71</v>
      </c>
      <c r="I391" s="42">
        <f t="shared" si="96"/>
        <v>41.13810000000003</v>
      </c>
      <c r="J391" s="42">
        <f t="shared" si="97"/>
        <v>0.18614524886877842</v>
      </c>
      <c r="K391" s="42">
        <f t="shared" si="98"/>
        <v>221</v>
      </c>
      <c r="L391" s="42">
        <f t="shared" si="99"/>
        <v>132.86000000000004</v>
      </c>
      <c r="M391" s="42">
        <f t="shared" si="100"/>
        <v>0.60117647058823553</v>
      </c>
      <c r="N391" s="42">
        <f t="shared" si="101"/>
        <v>221</v>
      </c>
      <c r="O391" s="42">
        <f t="shared" si="102"/>
        <v>12979</v>
      </c>
      <c r="P391" s="42">
        <f t="shared" si="103"/>
        <v>58.728506787330318</v>
      </c>
      <c r="Q391" s="42">
        <f t="shared" si="104"/>
        <v>221</v>
      </c>
      <c r="R391" s="42" t="str">
        <f t="shared" si="105"/>
        <v>3</v>
      </c>
      <c r="S391" s="42" t="str">
        <f t="shared" si="106"/>
        <v>0</v>
      </c>
      <c r="T391" s="42">
        <f t="shared" si="107"/>
        <v>3</v>
      </c>
      <c r="U391" s="42">
        <f t="shared" si="108"/>
        <v>89</v>
      </c>
      <c r="V391" s="42">
        <f t="shared" si="109"/>
        <v>3183</v>
      </c>
      <c r="W391" s="42">
        <f t="shared" si="110"/>
        <v>49.316801509098106</v>
      </c>
      <c r="X391" s="42">
        <f t="shared" si="111"/>
        <v>0.18825987366070532</v>
      </c>
    </row>
    <row r="392" spans="1:24" x14ac:dyDescent="0.2">
      <c r="A392" s="49">
        <v>390</v>
      </c>
      <c r="B392" s="49">
        <v>391</v>
      </c>
      <c r="C392" s="49">
        <v>0.16669999999999999</v>
      </c>
      <c r="D392" s="49">
        <v>0.55000000000000004</v>
      </c>
      <c r="E392" s="49">
        <v>0.25369999999999998</v>
      </c>
      <c r="F392" s="49">
        <v>7</v>
      </c>
      <c r="G392" s="49">
        <v>85</v>
      </c>
      <c r="H392" s="49">
        <v>92</v>
      </c>
      <c r="I392" s="42">
        <f t="shared" si="96"/>
        <v>40.941100000000027</v>
      </c>
      <c r="J392" s="42">
        <f t="shared" si="97"/>
        <v>0.1860959090909092</v>
      </c>
      <c r="K392" s="42">
        <f t="shared" si="98"/>
        <v>220</v>
      </c>
      <c r="L392" s="42">
        <f t="shared" si="99"/>
        <v>132.35000000000005</v>
      </c>
      <c r="M392" s="42">
        <f t="shared" si="100"/>
        <v>0.60159090909090929</v>
      </c>
      <c r="N392" s="42">
        <f t="shared" si="101"/>
        <v>220</v>
      </c>
      <c r="O392" s="42">
        <f t="shared" si="102"/>
        <v>12908</v>
      </c>
      <c r="P392" s="42">
        <f t="shared" si="103"/>
        <v>58.672727272727272</v>
      </c>
      <c r="Q392" s="42">
        <f t="shared" si="104"/>
        <v>220</v>
      </c>
      <c r="R392" s="42" t="str">
        <f t="shared" si="105"/>
        <v>3</v>
      </c>
      <c r="S392" s="42" t="str">
        <f t="shared" si="106"/>
        <v>1</v>
      </c>
      <c r="T392" s="42">
        <f t="shared" si="107"/>
        <v>3</v>
      </c>
      <c r="U392" s="42">
        <f t="shared" si="108"/>
        <v>89</v>
      </c>
      <c r="V392" s="42">
        <f t="shared" si="109"/>
        <v>3183</v>
      </c>
      <c r="W392" s="42">
        <f t="shared" si="110"/>
        <v>49.316801509098106</v>
      </c>
      <c r="X392" s="42">
        <f t="shared" si="111"/>
        <v>0.18825987366070532</v>
      </c>
    </row>
    <row r="393" spans="1:24" x14ac:dyDescent="0.2">
      <c r="A393" s="49">
        <v>391</v>
      </c>
      <c r="B393" s="49">
        <v>392</v>
      </c>
      <c r="C393" s="49">
        <v>0.18179999999999999</v>
      </c>
      <c r="D393" s="49">
        <v>0.59</v>
      </c>
      <c r="E393" s="49">
        <v>0.19400000000000001</v>
      </c>
      <c r="F393" s="49">
        <v>2</v>
      </c>
      <c r="G393" s="49">
        <v>58</v>
      </c>
      <c r="H393" s="49">
        <v>60</v>
      </c>
      <c r="I393" s="42">
        <f t="shared" si="96"/>
        <v>40.774400000000028</v>
      </c>
      <c r="J393" s="42">
        <f t="shared" si="97"/>
        <v>0.18618447488584489</v>
      </c>
      <c r="K393" s="42">
        <f t="shared" si="98"/>
        <v>219</v>
      </c>
      <c r="L393" s="42">
        <f t="shared" si="99"/>
        <v>131.80000000000004</v>
      </c>
      <c r="M393" s="42">
        <f t="shared" si="100"/>
        <v>0.601826484018265</v>
      </c>
      <c r="N393" s="42">
        <f t="shared" si="101"/>
        <v>219</v>
      </c>
      <c r="O393" s="42">
        <f t="shared" si="102"/>
        <v>12816</v>
      </c>
      <c r="P393" s="42">
        <f t="shared" si="103"/>
        <v>58.520547945205479</v>
      </c>
      <c r="Q393" s="42">
        <f t="shared" si="104"/>
        <v>219</v>
      </c>
      <c r="R393" s="42" t="str">
        <f t="shared" si="105"/>
        <v>3</v>
      </c>
      <c r="S393" s="42" t="str">
        <f t="shared" si="106"/>
        <v>2</v>
      </c>
      <c r="T393" s="42">
        <f t="shared" si="107"/>
        <v>3</v>
      </c>
      <c r="U393" s="42">
        <f t="shared" si="108"/>
        <v>89</v>
      </c>
      <c r="V393" s="42">
        <f t="shared" si="109"/>
        <v>3183</v>
      </c>
      <c r="W393" s="42">
        <f t="shared" si="110"/>
        <v>49.316801509098106</v>
      </c>
      <c r="X393" s="42">
        <f t="shared" si="111"/>
        <v>0.18825987366070532</v>
      </c>
    </row>
    <row r="394" spans="1:24" x14ac:dyDescent="0.2">
      <c r="A394" s="49">
        <v>392</v>
      </c>
      <c r="B394" s="49">
        <v>393</v>
      </c>
      <c r="C394" s="49">
        <v>0.1515</v>
      </c>
      <c r="D394" s="49">
        <v>0.8</v>
      </c>
      <c r="E394" s="49">
        <v>0.19400000000000001</v>
      </c>
      <c r="F394" s="49">
        <v>4</v>
      </c>
      <c r="G394" s="49">
        <v>29</v>
      </c>
      <c r="H394" s="49">
        <v>33</v>
      </c>
      <c r="I394" s="42">
        <f t="shared" si="96"/>
        <v>40.592600000000033</v>
      </c>
      <c r="J394" s="42">
        <f t="shared" si="97"/>
        <v>0.18620458715596344</v>
      </c>
      <c r="K394" s="42">
        <f t="shared" si="98"/>
        <v>218</v>
      </c>
      <c r="L394" s="42">
        <f t="shared" si="99"/>
        <v>131.21000000000006</v>
      </c>
      <c r="M394" s="42">
        <f t="shared" si="100"/>
        <v>0.60188073394495445</v>
      </c>
      <c r="N394" s="42">
        <f t="shared" si="101"/>
        <v>218</v>
      </c>
      <c r="O394" s="42">
        <f t="shared" si="102"/>
        <v>12756</v>
      </c>
      <c r="P394" s="42">
        <f t="shared" si="103"/>
        <v>58.513761467889907</v>
      </c>
      <c r="Q394" s="42">
        <f t="shared" si="104"/>
        <v>218</v>
      </c>
      <c r="R394" s="42" t="str">
        <f t="shared" si="105"/>
        <v>3</v>
      </c>
      <c r="S394" s="42" t="str">
        <f t="shared" si="106"/>
        <v>3</v>
      </c>
      <c r="T394" s="42">
        <f t="shared" si="107"/>
        <v>3</v>
      </c>
      <c r="U394" s="42">
        <f t="shared" si="108"/>
        <v>89</v>
      </c>
      <c r="V394" s="42">
        <f t="shared" si="109"/>
        <v>3183</v>
      </c>
      <c r="W394" s="42">
        <f t="shared" si="110"/>
        <v>49.316801509098106</v>
      </c>
      <c r="X394" s="42">
        <f t="shared" si="111"/>
        <v>0.18825987366070532</v>
      </c>
    </row>
    <row r="395" spans="1:24" x14ac:dyDescent="0.2">
      <c r="A395" s="49">
        <v>393</v>
      </c>
      <c r="B395" s="49">
        <v>394</v>
      </c>
      <c r="C395" s="49">
        <v>0.1515</v>
      </c>
      <c r="D395" s="49">
        <v>0.8</v>
      </c>
      <c r="E395" s="49">
        <v>0.19400000000000001</v>
      </c>
      <c r="F395" s="49">
        <v>3</v>
      </c>
      <c r="G395" s="49">
        <v>24</v>
      </c>
      <c r="H395" s="49">
        <v>27</v>
      </c>
      <c r="I395" s="42">
        <f t="shared" si="96"/>
        <v>40.441100000000034</v>
      </c>
      <c r="J395" s="42">
        <f t="shared" si="97"/>
        <v>0.1863645161290324</v>
      </c>
      <c r="K395" s="42">
        <f t="shared" si="98"/>
        <v>217</v>
      </c>
      <c r="L395" s="42">
        <f t="shared" si="99"/>
        <v>130.41000000000005</v>
      </c>
      <c r="M395" s="42">
        <f t="shared" si="100"/>
        <v>0.60096774193548408</v>
      </c>
      <c r="N395" s="42">
        <f t="shared" si="101"/>
        <v>217</v>
      </c>
      <c r="O395" s="42">
        <f t="shared" si="102"/>
        <v>12723</v>
      </c>
      <c r="P395" s="42">
        <f t="shared" si="103"/>
        <v>58.631336405529957</v>
      </c>
      <c r="Q395" s="42">
        <f t="shared" si="104"/>
        <v>217</v>
      </c>
      <c r="R395" s="42" t="str">
        <f t="shared" si="105"/>
        <v>3</v>
      </c>
      <c r="S395" s="42" t="str">
        <f t="shared" si="106"/>
        <v>4</v>
      </c>
      <c r="T395" s="42">
        <f t="shared" si="107"/>
        <v>3</v>
      </c>
      <c r="U395" s="42">
        <f t="shared" si="108"/>
        <v>89</v>
      </c>
      <c r="V395" s="42">
        <f t="shared" si="109"/>
        <v>3183</v>
      </c>
      <c r="W395" s="42">
        <f t="shared" si="110"/>
        <v>49.316801509098106</v>
      </c>
      <c r="X395" s="42">
        <f t="shared" si="111"/>
        <v>0.18825987366070532</v>
      </c>
    </row>
    <row r="396" spans="1:24" x14ac:dyDescent="0.2">
      <c r="A396" s="49">
        <v>394</v>
      </c>
      <c r="B396" s="49">
        <v>395</v>
      </c>
      <c r="C396" s="49">
        <v>0.1212</v>
      </c>
      <c r="D396" s="49">
        <v>0.93</v>
      </c>
      <c r="E396" s="49">
        <v>0.25369999999999998</v>
      </c>
      <c r="F396" s="49">
        <v>0</v>
      </c>
      <c r="G396" s="49">
        <v>13</v>
      </c>
      <c r="H396" s="49">
        <v>13</v>
      </c>
      <c r="I396" s="42">
        <f t="shared" si="96"/>
        <v>40.289600000000029</v>
      </c>
      <c r="J396" s="42">
        <f t="shared" si="97"/>
        <v>0.18652592592592607</v>
      </c>
      <c r="K396" s="42">
        <f t="shared" si="98"/>
        <v>216</v>
      </c>
      <c r="L396" s="42">
        <f t="shared" si="99"/>
        <v>129.61000000000004</v>
      </c>
      <c r="M396" s="42">
        <f t="shared" si="100"/>
        <v>0.60004629629629647</v>
      </c>
      <c r="N396" s="42">
        <f t="shared" si="101"/>
        <v>216</v>
      </c>
      <c r="O396" s="42">
        <f t="shared" si="102"/>
        <v>12696</v>
      </c>
      <c r="P396" s="42">
        <f t="shared" si="103"/>
        <v>58.777777777777779</v>
      </c>
      <c r="Q396" s="42">
        <f t="shared" si="104"/>
        <v>216</v>
      </c>
      <c r="R396" s="42" t="str">
        <f t="shared" si="105"/>
        <v>3</v>
      </c>
      <c r="S396" s="42" t="str">
        <f t="shared" si="106"/>
        <v>5</v>
      </c>
      <c r="T396" s="42">
        <f t="shared" si="107"/>
        <v>3</v>
      </c>
      <c r="U396" s="42">
        <f t="shared" si="108"/>
        <v>89</v>
      </c>
      <c r="V396" s="42">
        <f t="shared" si="109"/>
        <v>3183</v>
      </c>
      <c r="W396" s="42">
        <f t="shared" si="110"/>
        <v>49.316801509098106</v>
      </c>
      <c r="X396" s="42">
        <f t="shared" si="111"/>
        <v>0.18825987366070532</v>
      </c>
    </row>
    <row r="397" spans="1:24" x14ac:dyDescent="0.2">
      <c r="A397" s="49">
        <v>395</v>
      </c>
      <c r="B397" s="49">
        <v>396</v>
      </c>
      <c r="C397" s="49">
        <v>0.13639999999999999</v>
      </c>
      <c r="D397" s="49">
        <v>0.86</v>
      </c>
      <c r="E397" s="49">
        <v>0.28360000000000002</v>
      </c>
      <c r="F397" s="49">
        <v>1</v>
      </c>
      <c r="G397" s="49">
        <v>3</v>
      </c>
      <c r="H397" s="49">
        <v>4</v>
      </c>
      <c r="I397" s="42">
        <f t="shared" si="96"/>
        <v>40.168400000000034</v>
      </c>
      <c r="J397" s="42">
        <f t="shared" si="97"/>
        <v>0.18682976744186061</v>
      </c>
      <c r="K397" s="42">
        <f t="shared" si="98"/>
        <v>215</v>
      </c>
      <c r="L397" s="42">
        <f t="shared" si="99"/>
        <v>128.68000000000004</v>
      </c>
      <c r="M397" s="42">
        <f t="shared" si="100"/>
        <v>0.59851162790697687</v>
      </c>
      <c r="N397" s="42">
        <f t="shared" si="101"/>
        <v>215</v>
      </c>
      <c r="O397" s="42">
        <f t="shared" si="102"/>
        <v>12683</v>
      </c>
      <c r="P397" s="42">
        <f t="shared" si="103"/>
        <v>58.990697674418605</v>
      </c>
      <c r="Q397" s="42">
        <f t="shared" si="104"/>
        <v>215</v>
      </c>
      <c r="R397" s="42" t="str">
        <f t="shared" si="105"/>
        <v>3</v>
      </c>
      <c r="S397" s="42" t="str">
        <f t="shared" si="106"/>
        <v>6</v>
      </c>
      <c r="T397" s="42">
        <f t="shared" si="107"/>
        <v>3</v>
      </c>
      <c r="U397" s="42">
        <f t="shared" si="108"/>
        <v>89</v>
      </c>
      <c r="V397" s="42">
        <f t="shared" si="109"/>
        <v>3183</v>
      </c>
      <c r="W397" s="42">
        <f t="shared" si="110"/>
        <v>49.316801509098106</v>
      </c>
      <c r="X397" s="42">
        <f t="shared" si="111"/>
        <v>0.18825987366070532</v>
      </c>
    </row>
    <row r="398" spans="1:24" x14ac:dyDescent="0.2">
      <c r="A398" s="49">
        <v>396</v>
      </c>
      <c r="B398" s="49">
        <v>397</v>
      </c>
      <c r="C398" s="49">
        <v>0.18179999999999999</v>
      </c>
      <c r="D398" s="49">
        <v>0.86</v>
      </c>
      <c r="E398" s="49">
        <v>0.32840000000000003</v>
      </c>
      <c r="F398" s="49">
        <v>0</v>
      </c>
      <c r="G398" s="49">
        <v>3</v>
      </c>
      <c r="H398" s="49">
        <v>3</v>
      </c>
      <c r="I398" s="42">
        <f t="shared" si="96"/>
        <v>40.032000000000032</v>
      </c>
      <c r="J398" s="42">
        <f t="shared" si="97"/>
        <v>0.18706542056074782</v>
      </c>
      <c r="K398" s="42">
        <f t="shared" si="98"/>
        <v>214</v>
      </c>
      <c r="L398" s="42">
        <f t="shared" si="99"/>
        <v>127.82000000000004</v>
      </c>
      <c r="M398" s="42">
        <f t="shared" si="100"/>
        <v>0.59728971962616839</v>
      </c>
      <c r="N398" s="42">
        <f t="shared" si="101"/>
        <v>214</v>
      </c>
      <c r="O398" s="42">
        <f t="shared" si="102"/>
        <v>12679</v>
      </c>
      <c r="P398" s="42">
        <f t="shared" si="103"/>
        <v>59.247663551401871</v>
      </c>
      <c r="Q398" s="42">
        <f t="shared" si="104"/>
        <v>214</v>
      </c>
      <c r="R398" s="42" t="str">
        <f t="shared" si="105"/>
        <v>3</v>
      </c>
      <c r="S398" s="42" t="str">
        <f t="shared" si="106"/>
        <v>7</v>
      </c>
      <c r="T398" s="42">
        <f t="shared" si="107"/>
        <v>3</v>
      </c>
      <c r="U398" s="42">
        <f t="shared" si="108"/>
        <v>89</v>
      </c>
      <c r="V398" s="42">
        <f t="shared" si="109"/>
        <v>3183</v>
      </c>
      <c r="W398" s="42">
        <f t="shared" si="110"/>
        <v>49.316801509098106</v>
      </c>
      <c r="X398" s="42">
        <f t="shared" si="111"/>
        <v>0.18825987366070532</v>
      </c>
    </row>
    <row r="399" spans="1:24" x14ac:dyDescent="0.2">
      <c r="A399" s="49">
        <v>397</v>
      </c>
      <c r="B399" s="49">
        <v>398</v>
      </c>
      <c r="C399" s="49">
        <v>0.19700000000000001</v>
      </c>
      <c r="D399" s="49">
        <v>0.86</v>
      </c>
      <c r="E399" s="49">
        <v>0.22389999999999999</v>
      </c>
      <c r="F399" s="49">
        <v>0</v>
      </c>
      <c r="G399" s="49">
        <v>22</v>
      </c>
      <c r="H399" s="49">
        <v>22</v>
      </c>
      <c r="I399" s="42">
        <f t="shared" si="96"/>
        <v>39.850200000000029</v>
      </c>
      <c r="J399" s="42">
        <f t="shared" si="97"/>
        <v>0.18709014084507056</v>
      </c>
      <c r="K399" s="42">
        <f t="shared" si="98"/>
        <v>213</v>
      </c>
      <c r="L399" s="42">
        <f t="shared" si="99"/>
        <v>126.96000000000004</v>
      </c>
      <c r="M399" s="42">
        <f t="shared" si="100"/>
        <v>0.59605633802816915</v>
      </c>
      <c r="N399" s="42">
        <f t="shared" si="101"/>
        <v>213</v>
      </c>
      <c r="O399" s="42">
        <f t="shared" si="102"/>
        <v>12676</v>
      </c>
      <c r="P399" s="42">
        <f t="shared" si="103"/>
        <v>59.51173708920188</v>
      </c>
      <c r="Q399" s="42">
        <f t="shared" si="104"/>
        <v>213</v>
      </c>
      <c r="R399" s="42" t="str">
        <f t="shared" si="105"/>
        <v>3</v>
      </c>
      <c r="S399" s="42" t="str">
        <f t="shared" si="106"/>
        <v>8</v>
      </c>
      <c r="T399" s="42">
        <f t="shared" si="107"/>
        <v>3</v>
      </c>
      <c r="U399" s="42">
        <f t="shared" si="108"/>
        <v>89</v>
      </c>
      <c r="V399" s="42">
        <f t="shared" si="109"/>
        <v>3183</v>
      </c>
      <c r="W399" s="42">
        <f t="shared" si="110"/>
        <v>49.316801509098106</v>
      </c>
      <c r="X399" s="42">
        <f t="shared" si="111"/>
        <v>0.18825987366070532</v>
      </c>
    </row>
    <row r="400" spans="1:24" x14ac:dyDescent="0.2">
      <c r="A400" s="49">
        <v>398</v>
      </c>
      <c r="B400" s="49">
        <v>399</v>
      </c>
      <c r="C400" s="49">
        <v>0.2273</v>
      </c>
      <c r="D400" s="49">
        <v>0.8</v>
      </c>
      <c r="E400" s="49">
        <v>0.16420000000000001</v>
      </c>
      <c r="F400" s="49">
        <v>2</v>
      </c>
      <c r="G400" s="49">
        <v>26</v>
      </c>
      <c r="H400" s="49">
        <v>28</v>
      </c>
      <c r="I400" s="42">
        <f t="shared" si="96"/>
        <v>39.653200000000027</v>
      </c>
      <c r="J400" s="42">
        <f t="shared" si="97"/>
        <v>0.18704339622641522</v>
      </c>
      <c r="K400" s="42">
        <f t="shared" si="98"/>
        <v>212</v>
      </c>
      <c r="L400" s="42">
        <f t="shared" si="99"/>
        <v>126.10000000000002</v>
      </c>
      <c r="M400" s="42">
        <f t="shared" si="100"/>
        <v>0.5948113207547171</v>
      </c>
      <c r="N400" s="42">
        <f t="shared" si="101"/>
        <v>212</v>
      </c>
      <c r="O400" s="42">
        <f t="shared" si="102"/>
        <v>12654</v>
      </c>
      <c r="P400" s="42">
        <f t="shared" si="103"/>
        <v>59.688679245283019</v>
      </c>
      <c r="Q400" s="42">
        <f t="shared" si="104"/>
        <v>212</v>
      </c>
      <c r="R400" s="42" t="str">
        <f t="shared" si="105"/>
        <v>3</v>
      </c>
      <c r="S400" s="42" t="str">
        <f t="shared" si="106"/>
        <v>9</v>
      </c>
      <c r="T400" s="42">
        <f t="shared" si="107"/>
        <v>3</v>
      </c>
      <c r="U400" s="42">
        <f t="shared" si="108"/>
        <v>89</v>
      </c>
      <c r="V400" s="42">
        <f t="shared" si="109"/>
        <v>3183</v>
      </c>
      <c r="W400" s="42">
        <f t="shared" si="110"/>
        <v>49.316801509098106</v>
      </c>
      <c r="X400" s="42">
        <f t="shared" si="111"/>
        <v>0.18825987366070532</v>
      </c>
    </row>
    <row r="401" spans="1:24" x14ac:dyDescent="0.2">
      <c r="A401" s="49">
        <v>399</v>
      </c>
      <c r="B401" s="49">
        <v>400</v>
      </c>
      <c r="C401" s="49">
        <v>0.2273</v>
      </c>
      <c r="D401" s="49">
        <v>0.87</v>
      </c>
      <c r="E401" s="49">
        <v>0.16420000000000001</v>
      </c>
      <c r="F401" s="49">
        <v>3</v>
      </c>
      <c r="G401" s="49">
        <v>32</v>
      </c>
      <c r="H401" s="49">
        <v>35</v>
      </c>
      <c r="I401" s="42">
        <f t="shared" si="96"/>
        <v>39.425900000000027</v>
      </c>
      <c r="J401" s="42">
        <f t="shared" si="97"/>
        <v>0.18685260663507122</v>
      </c>
      <c r="K401" s="42">
        <f t="shared" si="98"/>
        <v>211</v>
      </c>
      <c r="L401" s="42">
        <f t="shared" si="99"/>
        <v>125.30000000000003</v>
      </c>
      <c r="M401" s="42">
        <f t="shared" si="100"/>
        <v>0.59383886255924179</v>
      </c>
      <c r="N401" s="42">
        <f t="shared" si="101"/>
        <v>211</v>
      </c>
      <c r="O401" s="42">
        <f t="shared" si="102"/>
        <v>12626</v>
      </c>
      <c r="P401" s="42">
        <f t="shared" si="103"/>
        <v>59.838862559241704</v>
      </c>
      <c r="Q401" s="42">
        <f t="shared" si="104"/>
        <v>211</v>
      </c>
      <c r="R401" s="42" t="str">
        <f t="shared" si="105"/>
        <v>4</v>
      </c>
      <c r="S401" s="42" t="str">
        <f t="shared" si="106"/>
        <v>0</v>
      </c>
      <c r="T401" s="42">
        <f t="shared" si="107"/>
        <v>3</v>
      </c>
      <c r="U401" s="42">
        <f t="shared" si="108"/>
        <v>89</v>
      </c>
      <c r="V401" s="42">
        <f t="shared" si="109"/>
        <v>3183</v>
      </c>
      <c r="W401" s="42">
        <f t="shared" si="110"/>
        <v>49.316801509098106</v>
      </c>
      <c r="X401" s="42">
        <f t="shared" si="111"/>
        <v>0.18825987366070532</v>
      </c>
    </row>
    <row r="402" spans="1:24" x14ac:dyDescent="0.2">
      <c r="A402" s="49">
        <v>400</v>
      </c>
      <c r="B402" s="49">
        <v>401</v>
      </c>
      <c r="C402" s="49">
        <v>0.2273</v>
      </c>
      <c r="D402" s="49">
        <v>0.87</v>
      </c>
      <c r="E402" s="49">
        <v>0.19400000000000001</v>
      </c>
      <c r="F402" s="49">
        <v>0</v>
      </c>
      <c r="G402" s="49">
        <v>61</v>
      </c>
      <c r="H402" s="49">
        <v>61</v>
      </c>
      <c r="I402" s="42">
        <f t="shared" si="96"/>
        <v>39.19860000000002</v>
      </c>
      <c r="J402" s="42">
        <f t="shared" si="97"/>
        <v>0.1866600000000001</v>
      </c>
      <c r="K402" s="42">
        <f t="shared" si="98"/>
        <v>210</v>
      </c>
      <c r="L402" s="42">
        <f t="shared" si="99"/>
        <v>124.43</v>
      </c>
      <c r="M402" s="42">
        <f t="shared" si="100"/>
        <v>0.59252380952380956</v>
      </c>
      <c r="N402" s="42">
        <f t="shared" si="101"/>
        <v>210</v>
      </c>
      <c r="O402" s="42">
        <f t="shared" si="102"/>
        <v>12591</v>
      </c>
      <c r="P402" s="42">
        <f t="shared" si="103"/>
        <v>59.957142857142856</v>
      </c>
      <c r="Q402" s="42">
        <f t="shared" si="104"/>
        <v>210</v>
      </c>
      <c r="R402" s="42" t="str">
        <f t="shared" si="105"/>
        <v>4</v>
      </c>
      <c r="S402" s="42" t="str">
        <f t="shared" si="106"/>
        <v>1</v>
      </c>
      <c r="T402" s="42">
        <f t="shared" si="107"/>
        <v>3</v>
      </c>
      <c r="U402" s="42">
        <f t="shared" si="108"/>
        <v>89</v>
      </c>
      <c r="V402" s="42">
        <f t="shared" si="109"/>
        <v>3183</v>
      </c>
      <c r="W402" s="42">
        <f t="shared" si="110"/>
        <v>49.316801509098106</v>
      </c>
      <c r="X402" s="42">
        <f t="shared" si="111"/>
        <v>0.18825987366070532</v>
      </c>
    </row>
    <row r="403" spans="1:24" x14ac:dyDescent="0.2">
      <c r="A403" s="49">
        <v>401</v>
      </c>
      <c r="B403" s="49">
        <v>402</v>
      </c>
      <c r="C403" s="49">
        <v>0.2273</v>
      </c>
      <c r="D403" s="49">
        <v>0.82</v>
      </c>
      <c r="E403" s="49">
        <v>0.19400000000000001</v>
      </c>
      <c r="F403" s="49">
        <v>1</v>
      </c>
      <c r="G403" s="49">
        <v>124</v>
      </c>
      <c r="H403" s="49">
        <v>125</v>
      </c>
      <c r="I403" s="42">
        <f t="shared" si="96"/>
        <v>38.971300000000021</v>
      </c>
      <c r="J403" s="42">
        <f t="shared" si="97"/>
        <v>0.18646555023923456</v>
      </c>
      <c r="K403" s="42">
        <f t="shared" si="98"/>
        <v>209</v>
      </c>
      <c r="L403" s="42">
        <f t="shared" si="99"/>
        <v>123.55999999999999</v>
      </c>
      <c r="M403" s="42">
        <f t="shared" si="100"/>
        <v>0.59119617224880372</v>
      </c>
      <c r="N403" s="42">
        <f t="shared" si="101"/>
        <v>209</v>
      </c>
      <c r="O403" s="42">
        <f t="shared" si="102"/>
        <v>12530</v>
      </c>
      <c r="P403" s="42">
        <f t="shared" si="103"/>
        <v>59.952153110047846</v>
      </c>
      <c r="Q403" s="42">
        <f t="shared" si="104"/>
        <v>209</v>
      </c>
      <c r="R403" s="42" t="str">
        <f t="shared" si="105"/>
        <v>4</v>
      </c>
      <c r="S403" s="42" t="str">
        <f t="shared" si="106"/>
        <v>2</v>
      </c>
      <c r="T403" s="42">
        <f t="shared" si="107"/>
        <v>3</v>
      </c>
      <c r="U403" s="42">
        <f t="shared" si="108"/>
        <v>89</v>
      </c>
      <c r="V403" s="42">
        <f t="shared" si="109"/>
        <v>3183</v>
      </c>
      <c r="W403" s="42">
        <f t="shared" si="110"/>
        <v>49.316801509098106</v>
      </c>
      <c r="X403" s="42">
        <f t="shared" si="111"/>
        <v>0.18825987366070532</v>
      </c>
    </row>
    <row r="404" spans="1:24" x14ac:dyDescent="0.2">
      <c r="A404" s="49">
        <v>402</v>
      </c>
      <c r="B404" s="49">
        <v>403</v>
      </c>
      <c r="C404" s="49">
        <v>0.2273</v>
      </c>
      <c r="D404" s="49">
        <v>0.8</v>
      </c>
      <c r="E404" s="49">
        <v>0.16420000000000001</v>
      </c>
      <c r="F404" s="49">
        <v>1</v>
      </c>
      <c r="G404" s="49">
        <v>132</v>
      </c>
      <c r="H404" s="49">
        <v>133</v>
      </c>
      <c r="I404" s="42">
        <f t="shared" si="96"/>
        <v>38.744000000000021</v>
      </c>
      <c r="J404" s="42">
        <f t="shared" si="97"/>
        <v>0.18626923076923088</v>
      </c>
      <c r="K404" s="42">
        <f t="shared" si="98"/>
        <v>208</v>
      </c>
      <c r="L404" s="42">
        <f t="shared" si="99"/>
        <v>122.73999999999998</v>
      </c>
      <c r="M404" s="42">
        <f t="shared" si="100"/>
        <v>0.59009615384615377</v>
      </c>
      <c r="N404" s="42">
        <f t="shared" si="101"/>
        <v>208</v>
      </c>
      <c r="O404" s="42">
        <f t="shared" si="102"/>
        <v>12405</v>
      </c>
      <c r="P404" s="42">
        <f t="shared" si="103"/>
        <v>59.63942307692308</v>
      </c>
      <c r="Q404" s="42">
        <f t="shared" si="104"/>
        <v>208</v>
      </c>
      <c r="R404" s="42" t="str">
        <f t="shared" si="105"/>
        <v>4</v>
      </c>
      <c r="S404" s="42" t="str">
        <f t="shared" si="106"/>
        <v>3</v>
      </c>
      <c r="T404" s="42">
        <f t="shared" si="107"/>
        <v>3</v>
      </c>
      <c r="U404" s="42">
        <f t="shared" si="108"/>
        <v>89</v>
      </c>
      <c r="V404" s="42">
        <f t="shared" si="109"/>
        <v>3183</v>
      </c>
      <c r="W404" s="42">
        <f t="shared" si="110"/>
        <v>49.316801509098106</v>
      </c>
      <c r="X404" s="42">
        <f t="shared" si="111"/>
        <v>0.18825987366070532</v>
      </c>
    </row>
    <row r="405" spans="1:24" x14ac:dyDescent="0.2">
      <c r="A405" s="49">
        <v>403</v>
      </c>
      <c r="B405" s="49">
        <v>404</v>
      </c>
      <c r="C405" s="49">
        <v>0.2273</v>
      </c>
      <c r="D405" s="49">
        <v>0.8</v>
      </c>
      <c r="E405" s="49">
        <v>0.1343</v>
      </c>
      <c r="F405" s="49">
        <v>1</v>
      </c>
      <c r="G405" s="49">
        <v>98</v>
      </c>
      <c r="H405" s="49">
        <v>99</v>
      </c>
      <c r="I405" s="42">
        <f t="shared" si="96"/>
        <v>38.516700000000021</v>
      </c>
      <c r="J405" s="42">
        <f t="shared" si="97"/>
        <v>0.18607101449275373</v>
      </c>
      <c r="K405" s="42">
        <f t="shared" si="98"/>
        <v>207</v>
      </c>
      <c r="L405" s="42">
        <f t="shared" si="99"/>
        <v>121.93999999999997</v>
      </c>
      <c r="M405" s="42">
        <f t="shared" si="100"/>
        <v>0.58908212560386464</v>
      </c>
      <c r="N405" s="42">
        <f t="shared" si="101"/>
        <v>207</v>
      </c>
      <c r="O405" s="42">
        <f t="shared" si="102"/>
        <v>12272</v>
      </c>
      <c r="P405" s="42">
        <f t="shared" si="103"/>
        <v>59.285024154589372</v>
      </c>
      <c r="Q405" s="42">
        <f t="shared" si="104"/>
        <v>207</v>
      </c>
      <c r="R405" s="42" t="str">
        <f t="shared" si="105"/>
        <v>4</v>
      </c>
      <c r="S405" s="42" t="str">
        <f t="shared" si="106"/>
        <v>4</v>
      </c>
      <c r="T405" s="42">
        <f t="shared" si="107"/>
        <v>3</v>
      </c>
      <c r="U405" s="42">
        <f t="shared" si="108"/>
        <v>89</v>
      </c>
      <c r="V405" s="42">
        <f t="shared" si="109"/>
        <v>3183</v>
      </c>
      <c r="W405" s="42">
        <f t="shared" si="110"/>
        <v>49.316801509098106</v>
      </c>
      <c r="X405" s="42">
        <f t="shared" si="111"/>
        <v>0.18825987366070532</v>
      </c>
    </row>
    <row r="406" spans="1:24" x14ac:dyDescent="0.2">
      <c r="A406" s="49">
        <v>404</v>
      </c>
      <c r="B406" s="49">
        <v>405</v>
      </c>
      <c r="C406" s="49">
        <v>0.2727</v>
      </c>
      <c r="D406" s="49">
        <v>0.87</v>
      </c>
      <c r="E406" s="49">
        <v>0</v>
      </c>
      <c r="F406" s="49">
        <v>0</v>
      </c>
      <c r="G406" s="49">
        <v>83</v>
      </c>
      <c r="H406" s="49">
        <v>83</v>
      </c>
      <c r="I406" s="42">
        <f t="shared" si="96"/>
        <v>38.289400000000015</v>
      </c>
      <c r="J406" s="42">
        <f t="shared" si="97"/>
        <v>0.18587087378640785</v>
      </c>
      <c r="K406" s="42">
        <f t="shared" si="98"/>
        <v>206</v>
      </c>
      <c r="L406" s="42">
        <f t="shared" si="99"/>
        <v>121.13999999999999</v>
      </c>
      <c r="M406" s="42">
        <f t="shared" si="100"/>
        <v>0.58805825242718435</v>
      </c>
      <c r="N406" s="42">
        <f t="shared" si="101"/>
        <v>206</v>
      </c>
      <c r="O406" s="42">
        <f t="shared" si="102"/>
        <v>12173</v>
      </c>
      <c r="P406" s="42">
        <f t="shared" si="103"/>
        <v>59.092233009708735</v>
      </c>
      <c r="Q406" s="42">
        <f t="shared" si="104"/>
        <v>206</v>
      </c>
      <c r="R406" s="42" t="str">
        <f t="shared" si="105"/>
        <v>4</v>
      </c>
      <c r="S406" s="42" t="str">
        <f t="shared" si="106"/>
        <v>5</v>
      </c>
      <c r="T406" s="42">
        <f t="shared" si="107"/>
        <v>3</v>
      </c>
      <c r="U406" s="42">
        <f t="shared" si="108"/>
        <v>89</v>
      </c>
      <c r="V406" s="42">
        <f t="shared" si="109"/>
        <v>3183</v>
      </c>
      <c r="W406" s="42">
        <f t="shared" si="110"/>
        <v>49.316801509098106</v>
      </c>
      <c r="X406" s="42">
        <f t="shared" si="111"/>
        <v>0.18825987366070532</v>
      </c>
    </row>
    <row r="407" spans="1:24" x14ac:dyDescent="0.2">
      <c r="A407" s="49">
        <v>405</v>
      </c>
      <c r="B407" s="49">
        <v>406</v>
      </c>
      <c r="C407" s="49">
        <v>0.2424</v>
      </c>
      <c r="D407" s="49">
        <v>0.93</v>
      </c>
      <c r="E407" s="49">
        <v>0.1045</v>
      </c>
      <c r="F407" s="49">
        <v>0</v>
      </c>
      <c r="G407" s="49">
        <v>41</v>
      </c>
      <c r="H407" s="49">
        <v>41</v>
      </c>
      <c r="I407" s="42">
        <f t="shared" si="96"/>
        <v>38.016700000000014</v>
      </c>
      <c r="J407" s="42">
        <f t="shared" si="97"/>
        <v>0.1854473170731708</v>
      </c>
      <c r="K407" s="42">
        <f t="shared" si="98"/>
        <v>205</v>
      </c>
      <c r="L407" s="42">
        <f t="shared" si="99"/>
        <v>120.26999999999998</v>
      </c>
      <c r="M407" s="42">
        <f t="shared" si="100"/>
        <v>0.58668292682926826</v>
      </c>
      <c r="N407" s="42">
        <f t="shared" si="101"/>
        <v>205</v>
      </c>
      <c r="O407" s="42">
        <f t="shared" si="102"/>
        <v>12090</v>
      </c>
      <c r="P407" s="42">
        <f t="shared" si="103"/>
        <v>58.975609756097562</v>
      </c>
      <c r="Q407" s="42">
        <f t="shared" si="104"/>
        <v>205</v>
      </c>
      <c r="R407" s="42" t="str">
        <f t="shared" si="105"/>
        <v>4</v>
      </c>
      <c r="S407" s="42" t="str">
        <f t="shared" si="106"/>
        <v>6</v>
      </c>
      <c r="T407" s="42">
        <f t="shared" si="107"/>
        <v>3</v>
      </c>
      <c r="U407" s="42">
        <f t="shared" si="108"/>
        <v>89</v>
      </c>
      <c r="V407" s="42">
        <f t="shared" si="109"/>
        <v>3183</v>
      </c>
      <c r="W407" s="42">
        <f t="shared" si="110"/>
        <v>49.316801509098106</v>
      </c>
      <c r="X407" s="42">
        <f t="shared" si="111"/>
        <v>0.18825987366070532</v>
      </c>
    </row>
    <row r="408" spans="1:24" x14ac:dyDescent="0.2">
      <c r="A408" s="49">
        <v>406</v>
      </c>
      <c r="B408" s="49">
        <v>407</v>
      </c>
      <c r="C408" s="49">
        <v>0.2576</v>
      </c>
      <c r="D408" s="49">
        <v>0.93</v>
      </c>
      <c r="E408" s="49">
        <v>8.9599999999999999E-2</v>
      </c>
      <c r="F408" s="49">
        <v>0</v>
      </c>
      <c r="G408" s="49">
        <v>33</v>
      </c>
      <c r="H408" s="49">
        <v>33</v>
      </c>
      <c r="I408" s="42">
        <f t="shared" si="96"/>
        <v>37.774300000000018</v>
      </c>
      <c r="J408" s="42">
        <f t="shared" si="97"/>
        <v>0.18516813725490205</v>
      </c>
      <c r="K408" s="42">
        <f t="shared" si="98"/>
        <v>204</v>
      </c>
      <c r="L408" s="42">
        <f t="shared" si="99"/>
        <v>119.33999999999997</v>
      </c>
      <c r="M408" s="42">
        <f t="shared" si="100"/>
        <v>0.58499999999999985</v>
      </c>
      <c r="N408" s="42">
        <f t="shared" si="101"/>
        <v>204</v>
      </c>
      <c r="O408" s="42">
        <f t="shared" si="102"/>
        <v>12049</v>
      </c>
      <c r="P408" s="42">
        <f t="shared" si="103"/>
        <v>59.063725490196077</v>
      </c>
      <c r="Q408" s="42">
        <f t="shared" si="104"/>
        <v>204</v>
      </c>
      <c r="R408" s="42" t="str">
        <f t="shared" si="105"/>
        <v>4</v>
      </c>
      <c r="S408" s="42" t="str">
        <f t="shared" si="106"/>
        <v>7</v>
      </c>
      <c r="T408" s="42">
        <f t="shared" si="107"/>
        <v>3</v>
      </c>
      <c r="U408" s="42">
        <f t="shared" si="108"/>
        <v>89</v>
      </c>
      <c r="V408" s="42">
        <f t="shared" si="109"/>
        <v>3183</v>
      </c>
      <c r="W408" s="42">
        <f t="shared" si="110"/>
        <v>49.316801509098106</v>
      </c>
      <c r="X408" s="42">
        <f t="shared" si="111"/>
        <v>0.18825987366070532</v>
      </c>
    </row>
    <row r="409" spans="1:24" x14ac:dyDescent="0.2">
      <c r="A409" s="49">
        <v>407</v>
      </c>
      <c r="B409" s="49">
        <v>408</v>
      </c>
      <c r="C409" s="49">
        <v>0.2727</v>
      </c>
      <c r="D409" s="49">
        <v>0.93</v>
      </c>
      <c r="E409" s="49">
        <v>0</v>
      </c>
      <c r="F409" s="49">
        <v>1</v>
      </c>
      <c r="G409" s="49">
        <v>19</v>
      </c>
      <c r="H409" s="49">
        <v>20</v>
      </c>
      <c r="I409" s="42">
        <f t="shared" si="96"/>
        <v>37.516700000000007</v>
      </c>
      <c r="J409" s="42">
        <f t="shared" si="97"/>
        <v>0.18481133004926112</v>
      </c>
      <c r="K409" s="42">
        <f t="shared" si="98"/>
        <v>203</v>
      </c>
      <c r="L409" s="42">
        <f t="shared" si="99"/>
        <v>118.40999999999995</v>
      </c>
      <c r="M409" s="42">
        <f t="shared" si="100"/>
        <v>0.58330049261083716</v>
      </c>
      <c r="N409" s="42">
        <f t="shared" si="101"/>
        <v>203</v>
      </c>
      <c r="O409" s="42">
        <f t="shared" si="102"/>
        <v>12016</v>
      </c>
      <c r="P409" s="42">
        <f t="shared" si="103"/>
        <v>59.192118226600982</v>
      </c>
      <c r="Q409" s="42">
        <f t="shared" si="104"/>
        <v>203</v>
      </c>
      <c r="R409" s="42" t="str">
        <f t="shared" si="105"/>
        <v>4</v>
      </c>
      <c r="S409" s="42" t="str">
        <f t="shared" si="106"/>
        <v>8</v>
      </c>
      <c r="T409" s="42">
        <f t="shared" si="107"/>
        <v>3</v>
      </c>
      <c r="U409" s="42">
        <f t="shared" si="108"/>
        <v>89</v>
      </c>
      <c r="V409" s="42">
        <f t="shared" si="109"/>
        <v>3183</v>
      </c>
      <c r="W409" s="42">
        <f t="shared" si="110"/>
        <v>49.316801509098106</v>
      </c>
      <c r="X409" s="42">
        <f t="shared" si="111"/>
        <v>0.18825987366070532</v>
      </c>
    </row>
    <row r="410" spans="1:24" x14ac:dyDescent="0.2">
      <c r="A410" s="49">
        <v>408</v>
      </c>
      <c r="B410" s="49">
        <v>409</v>
      </c>
      <c r="C410" s="49">
        <v>0.2727</v>
      </c>
      <c r="D410" s="49">
        <v>0.93</v>
      </c>
      <c r="E410" s="49">
        <v>0</v>
      </c>
      <c r="F410" s="49">
        <v>0</v>
      </c>
      <c r="G410" s="49">
        <v>3</v>
      </c>
      <c r="H410" s="49">
        <v>3</v>
      </c>
      <c r="I410" s="42">
        <f t="shared" si="96"/>
        <v>37.244000000000007</v>
      </c>
      <c r="J410" s="42">
        <f t="shared" si="97"/>
        <v>0.1843762376237624</v>
      </c>
      <c r="K410" s="42">
        <f t="shared" si="98"/>
        <v>202</v>
      </c>
      <c r="L410" s="42">
        <f t="shared" si="99"/>
        <v>117.47999999999996</v>
      </c>
      <c r="M410" s="42">
        <f t="shared" si="100"/>
        <v>0.58158415841584143</v>
      </c>
      <c r="N410" s="42">
        <f t="shared" si="101"/>
        <v>202</v>
      </c>
      <c r="O410" s="42">
        <f t="shared" si="102"/>
        <v>11996</v>
      </c>
      <c r="P410" s="42">
        <f t="shared" si="103"/>
        <v>59.386138613861384</v>
      </c>
      <c r="Q410" s="42">
        <f t="shared" si="104"/>
        <v>202</v>
      </c>
      <c r="R410" s="42" t="str">
        <f t="shared" si="105"/>
        <v>4</v>
      </c>
      <c r="S410" s="42" t="str">
        <f t="shared" si="106"/>
        <v>9</v>
      </c>
      <c r="T410" s="42">
        <f t="shared" si="107"/>
        <v>3</v>
      </c>
      <c r="U410" s="42">
        <f t="shared" si="108"/>
        <v>89</v>
      </c>
      <c r="V410" s="42">
        <f t="shared" si="109"/>
        <v>3183</v>
      </c>
      <c r="W410" s="42">
        <f t="shared" si="110"/>
        <v>49.316801509098106</v>
      </c>
      <c r="X410" s="42">
        <f t="shared" si="111"/>
        <v>0.18825987366070532</v>
      </c>
    </row>
    <row r="411" spans="1:24" x14ac:dyDescent="0.2">
      <c r="A411" s="49">
        <v>409</v>
      </c>
      <c r="B411" s="49">
        <v>410</v>
      </c>
      <c r="C411" s="49">
        <v>0.2273</v>
      </c>
      <c r="D411" s="49">
        <v>0.93</v>
      </c>
      <c r="E411" s="49">
        <v>0.1343</v>
      </c>
      <c r="F411" s="49">
        <v>1</v>
      </c>
      <c r="G411" s="49">
        <v>6</v>
      </c>
      <c r="H411" s="49">
        <v>7</v>
      </c>
      <c r="I411" s="42">
        <f t="shared" si="96"/>
        <v>36.971300000000006</v>
      </c>
      <c r="J411" s="42">
        <f t="shared" si="97"/>
        <v>0.18393681592039804</v>
      </c>
      <c r="K411" s="42">
        <f t="shared" si="98"/>
        <v>201</v>
      </c>
      <c r="L411" s="42">
        <f t="shared" si="99"/>
        <v>116.54999999999997</v>
      </c>
      <c r="M411" s="42">
        <f t="shared" si="100"/>
        <v>0.57985074626865651</v>
      </c>
      <c r="N411" s="42">
        <f t="shared" si="101"/>
        <v>201</v>
      </c>
      <c r="O411" s="42">
        <f t="shared" si="102"/>
        <v>11993</v>
      </c>
      <c r="P411" s="42">
        <f t="shared" si="103"/>
        <v>59.666666666666664</v>
      </c>
      <c r="Q411" s="42">
        <f t="shared" si="104"/>
        <v>201</v>
      </c>
      <c r="R411" s="42" t="str">
        <f t="shared" si="105"/>
        <v>4</v>
      </c>
      <c r="S411" s="42" t="str">
        <f t="shared" si="106"/>
        <v>0</v>
      </c>
      <c r="T411" s="42">
        <f t="shared" si="107"/>
        <v>3</v>
      </c>
      <c r="U411" s="42">
        <f t="shared" si="108"/>
        <v>89</v>
      </c>
      <c r="V411" s="42">
        <f t="shared" si="109"/>
        <v>3183</v>
      </c>
      <c r="W411" s="42">
        <f t="shared" si="110"/>
        <v>49.316801509098106</v>
      </c>
      <c r="X411" s="42">
        <f t="shared" si="111"/>
        <v>0.18825987366070532</v>
      </c>
    </row>
    <row r="412" spans="1:24" x14ac:dyDescent="0.2">
      <c r="A412" s="49">
        <v>410</v>
      </c>
      <c r="B412" s="49">
        <v>411</v>
      </c>
      <c r="C412" s="49">
        <v>0.2273</v>
      </c>
      <c r="D412" s="49">
        <v>0.93</v>
      </c>
      <c r="E412" s="49">
        <v>0.1343</v>
      </c>
      <c r="F412" s="49">
        <v>0</v>
      </c>
      <c r="G412" s="49">
        <v>3</v>
      </c>
      <c r="H412" s="49">
        <v>3</v>
      </c>
      <c r="I412" s="42">
        <f t="shared" si="96"/>
        <v>36.744</v>
      </c>
      <c r="J412" s="42">
        <f t="shared" si="97"/>
        <v>0.18371999999999999</v>
      </c>
      <c r="K412" s="42">
        <f t="shared" si="98"/>
        <v>200</v>
      </c>
      <c r="L412" s="42">
        <f t="shared" si="99"/>
        <v>115.61999999999998</v>
      </c>
      <c r="M412" s="42">
        <f t="shared" si="100"/>
        <v>0.57809999999999984</v>
      </c>
      <c r="N412" s="42">
        <f t="shared" si="101"/>
        <v>200</v>
      </c>
      <c r="O412" s="42">
        <f t="shared" si="102"/>
        <v>11986</v>
      </c>
      <c r="P412" s="42">
        <f t="shared" si="103"/>
        <v>59.93</v>
      </c>
      <c r="Q412" s="42">
        <f t="shared" si="104"/>
        <v>200</v>
      </c>
      <c r="R412" s="42" t="str">
        <f t="shared" si="105"/>
        <v>4</v>
      </c>
      <c r="S412" s="42" t="str">
        <f t="shared" si="106"/>
        <v>1</v>
      </c>
      <c r="T412" s="42">
        <f t="shared" si="107"/>
        <v>3</v>
      </c>
      <c r="U412" s="42">
        <f t="shared" si="108"/>
        <v>89</v>
      </c>
      <c r="V412" s="42">
        <f t="shared" si="109"/>
        <v>3183</v>
      </c>
      <c r="W412" s="42">
        <f t="shared" si="110"/>
        <v>49.316801509098106</v>
      </c>
      <c r="X412" s="42">
        <f t="shared" si="111"/>
        <v>0.18825987366070532</v>
      </c>
    </row>
    <row r="413" spans="1:24" x14ac:dyDescent="0.2">
      <c r="A413" s="49">
        <v>411</v>
      </c>
      <c r="B413" s="49">
        <v>412</v>
      </c>
      <c r="C413" s="49">
        <v>0.2273</v>
      </c>
      <c r="D413" s="49">
        <v>0.93</v>
      </c>
      <c r="E413" s="49">
        <v>0.1343</v>
      </c>
      <c r="F413" s="49">
        <v>1</v>
      </c>
      <c r="G413" s="49">
        <v>1</v>
      </c>
      <c r="H413" s="49">
        <v>2</v>
      </c>
      <c r="I413" s="42">
        <f t="shared" si="96"/>
        <v>36.516699999999993</v>
      </c>
      <c r="J413" s="42">
        <f t="shared" si="97"/>
        <v>0.18350100502512559</v>
      </c>
      <c r="K413" s="42">
        <f t="shared" si="98"/>
        <v>199</v>
      </c>
      <c r="L413" s="42">
        <f t="shared" si="99"/>
        <v>114.68999999999998</v>
      </c>
      <c r="M413" s="42">
        <f t="shared" si="100"/>
        <v>0.57633165829145716</v>
      </c>
      <c r="N413" s="42">
        <f t="shared" si="101"/>
        <v>199</v>
      </c>
      <c r="O413" s="42">
        <f t="shared" si="102"/>
        <v>11983</v>
      </c>
      <c r="P413" s="42">
        <f t="shared" si="103"/>
        <v>60.21608040201005</v>
      </c>
      <c r="Q413" s="42">
        <f t="shared" si="104"/>
        <v>199</v>
      </c>
      <c r="R413" s="42" t="str">
        <f t="shared" si="105"/>
        <v>4</v>
      </c>
      <c r="S413" s="42" t="str">
        <f t="shared" si="106"/>
        <v>2</v>
      </c>
      <c r="T413" s="42">
        <f t="shared" si="107"/>
        <v>3</v>
      </c>
      <c r="U413" s="42">
        <f t="shared" si="108"/>
        <v>89</v>
      </c>
      <c r="V413" s="42">
        <f t="shared" si="109"/>
        <v>3183</v>
      </c>
      <c r="W413" s="42">
        <f t="shared" si="110"/>
        <v>49.316801509098106</v>
      </c>
      <c r="X413" s="42">
        <f t="shared" si="111"/>
        <v>0.18825987366070532</v>
      </c>
    </row>
    <row r="414" spans="1:24" x14ac:dyDescent="0.2">
      <c r="A414" s="49">
        <v>412</v>
      </c>
      <c r="B414" s="49">
        <v>413</v>
      </c>
      <c r="C414" s="49">
        <v>0.2576</v>
      </c>
      <c r="D414" s="49">
        <v>0.93</v>
      </c>
      <c r="E414" s="49">
        <v>8.9599999999999999E-2</v>
      </c>
      <c r="F414" s="49">
        <v>0</v>
      </c>
      <c r="G414" s="49">
        <v>7</v>
      </c>
      <c r="H414" s="49">
        <v>7</v>
      </c>
      <c r="I414" s="42">
        <f t="shared" si="96"/>
        <v>36.289399999999993</v>
      </c>
      <c r="J414" s="42">
        <f t="shared" si="97"/>
        <v>0.18327979797979796</v>
      </c>
      <c r="K414" s="42">
        <f t="shared" si="98"/>
        <v>198</v>
      </c>
      <c r="L414" s="42">
        <f t="shared" si="99"/>
        <v>113.75999999999998</v>
      </c>
      <c r="M414" s="42">
        <f t="shared" si="100"/>
        <v>0.57454545454545447</v>
      </c>
      <c r="N414" s="42">
        <f t="shared" si="101"/>
        <v>198</v>
      </c>
      <c r="O414" s="42">
        <f t="shared" si="102"/>
        <v>11981</v>
      </c>
      <c r="P414" s="42">
        <f t="shared" si="103"/>
        <v>60.51010101010101</v>
      </c>
      <c r="Q414" s="42">
        <f t="shared" si="104"/>
        <v>198</v>
      </c>
      <c r="R414" s="42" t="str">
        <f t="shared" si="105"/>
        <v>4</v>
      </c>
      <c r="S414" s="42" t="str">
        <f t="shared" si="106"/>
        <v>3</v>
      </c>
      <c r="T414" s="42">
        <f t="shared" si="107"/>
        <v>3</v>
      </c>
      <c r="U414" s="42">
        <f t="shared" si="108"/>
        <v>89</v>
      </c>
      <c r="V414" s="42">
        <f t="shared" si="109"/>
        <v>3183</v>
      </c>
      <c r="W414" s="42">
        <f t="shared" si="110"/>
        <v>49.316801509098106</v>
      </c>
      <c r="X414" s="42">
        <f t="shared" si="111"/>
        <v>0.18825987366070532</v>
      </c>
    </row>
    <row r="415" spans="1:24" x14ac:dyDescent="0.2">
      <c r="A415" s="49">
        <v>413</v>
      </c>
      <c r="B415" s="49">
        <v>414</v>
      </c>
      <c r="C415" s="49">
        <v>0.2576</v>
      </c>
      <c r="D415" s="49">
        <v>0.93</v>
      </c>
      <c r="E415" s="49">
        <v>8.9599999999999999E-2</v>
      </c>
      <c r="F415" s="49">
        <v>0</v>
      </c>
      <c r="G415" s="49">
        <v>32</v>
      </c>
      <c r="H415" s="49">
        <v>32</v>
      </c>
      <c r="I415" s="42">
        <f t="shared" si="96"/>
        <v>36.03179999999999</v>
      </c>
      <c r="J415" s="42">
        <f t="shared" si="97"/>
        <v>0.18290253807106593</v>
      </c>
      <c r="K415" s="42">
        <f t="shared" si="98"/>
        <v>197</v>
      </c>
      <c r="L415" s="42">
        <f t="shared" si="99"/>
        <v>112.82999999999998</v>
      </c>
      <c r="M415" s="42">
        <f t="shared" si="100"/>
        <v>0.57274111675126893</v>
      </c>
      <c r="N415" s="42">
        <f t="shared" si="101"/>
        <v>197</v>
      </c>
      <c r="O415" s="42">
        <f t="shared" si="102"/>
        <v>11974</v>
      </c>
      <c r="P415" s="42">
        <f t="shared" si="103"/>
        <v>60.781725888324871</v>
      </c>
      <c r="Q415" s="42">
        <f t="shared" si="104"/>
        <v>197</v>
      </c>
      <c r="R415" s="42" t="str">
        <f t="shared" si="105"/>
        <v>4</v>
      </c>
      <c r="S415" s="42" t="str">
        <f t="shared" si="106"/>
        <v>4</v>
      </c>
      <c r="T415" s="42">
        <f t="shared" si="107"/>
        <v>3</v>
      </c>
      <c r="U415" s="42">
        <f t="shared" si="108"/>
        <v>89</v>
      </c>
      <c r="V415" s="42">
        <f t="shared" si="109"/>
        <v>3183</v>
      </c>
      <c r="W415" s="42">
        <f t="shared" si="110"/>
        <v>49.316801509098106</v>
      </c>
      <c r="X415" s="42">
        <f t="shared" si="111"/>
        <v>0.18825987366070532</v>
      </c>
    </row>
    <row r="416" spans="1:24" x14ac:dyDescent="0.2">
      <c r="A416" s="49">
        <v>414</v>
      </c>
      <c r="B416" s="49">
        <v>415</v>
      </c>
      <c r="C416" s="49">
        <v>0.2576</v>
      </c>
      <c r="D416" s="49">
        <v>0.92</v>
      </c>
      <c r="E416" s="49">
        <v>0.1045</v>
      </c>
      <c r="F416" s="49">
        <v>1</v>
      </c>
      <c r="G416" s="49">
        <v>89</v>
      </c>
      <c r="H416" s="49">
        <v>90</v>
      </c>
      <c r="I416" s="42">
        <f t="shared" si="96"/>
        <v>35.774199999999993</v>
      </c>
      <c r="J416" s="42">
        <f t="shared" si="97"/>
        <v>0.18252142857142853</v>
      </c>
      <c r="K416" s="42">
        <f t="shared" si="98"/>
        <v>196</v>
      </c>
      <c r="L416" s="42">
        <f t="shared" si="99"/>
        <v>111.89999999999998</v>
      </c>
      <c r="M416" s="42">
        <f t="shared" si="100"/>
        <v>0.57091836734693868</v>
      </c>
      <c r="N416" s="42">
        <f t="shared" si="101"/>
        <v>196</v>
      </c>
      <c r="O416" s="42">
        <f t="shared" si="102"/>
        <v>11942</v>
      </c>
      <c r="P416" s="42">
        <f t="shared" si="103"/>
        <v>60.928571428571431</v>
      </c>
      <c r="Q416" s="42">
        <f t="shared" si="104"/>
        <v>196</v>
      </c>
      <c r="R416" s="42" t="str">
        <f t="shared" si="105"/>
        <v>4</v>
      </c>
      <c r="S416" s="42" t="str">
        <f t="shared" si="106"/>
        <v>5</v>
      </c>
      <c r="T416" s="42">
        <f t="shared" si="107"/>
        <v>3</v>
      </c>
      <c r="U416" s="42">
        <f t="shared" si="108"/>
        <v>89</v>
      </c>
      <c r="V416" s="42">
        <f t="shared" si="109"/>
        <v>3183</v>
      </c>
      <c r="W416" s="42">
        <f t="shared" si="110"/>
        <v>49.316801509098106</v>
      </c>
      <c r="X416" s="42">
        <f t="shared" si="111"/>
        <v>0.18825987366070532</v>
      </c>
    </row>
    <row r="417" spans="1:24" x14ac:dyDescent="0.2">
      <c r="A417" s="49">
        <v>415</v>
      </c>
      <c r="B417" s="49">
        <v>416</v>
      </c>
      <c r="C417" s="49">
        <v>0.2576</v>
      </c>
      <c r="D417" s="49">
        <v>0.93</v>
      </c>
      <c r="E417" s="49">
        <v>0.1045</v>
      </c>
      <c r="F417" s="49">
        <v>1</v>
      </c>
      <c r="G417" s="49">
        <v>196</v>
      </c>
      <c r="H417" s="49">
        <v>197</v>
      </c>
      <c r="I417" s="42">
        <f t="shared" si="96"/>
        <v>35.516599999999997</v>
      </c>
      <c r="J417" s="42">
        <f t="shared" si="97"/>
        <v>0.18213641025641025</v>
      </c>
      <c r="K417" s="42">
        <f t="shared" si="98"/>
        <v>195</v>
      </c>
      <c r="L417" s="42">
        <f t="shared" si="99"/>
        <v>110.97999999999999</v>
      </c>
      <c r="M417" s="42">
        <f t="shared" si="100"/>
        <v>0.56912820512820506</v>
      </c>
      <c r="N417" s="42">
        <f t="shared" si="101"/>
        <v>195</v>
      </c>
      <c r="O417" s="42">
        <f t="shared" si="102"/>
        <v>11852</v>
      </c>
      <c r="P417" s="42">
        <f t="shared" si="103"/>
        <v>60.779487179487177</v>
      </c>
      <c r="Q417" s="42">
        <f t="shared" si="104"/>
        <v>195</v>
      </c>
      <c r="R417" s="42" t="str">
        <f t="shared" si="105"/>
        <v>4</v>
      </c>
      <c r="S417" s="42" t="str">
        <f t="shared" si="106"/>
        <v>6</v>
      </c>
      <c r="T417" s="42">
        <f t="shared" si="107"/>
        <v>3</v>
      </c>
      <c r="U417" s="42">
        <f t="shared" si="108"/>
        <v>89</v>
      </c>
      <c r="V417" s="42">
        <f t="shared" si="109"/>
        <v>3183</v>
      </c>
      <c r="W417" s="42">
        <f t="shared" si="110"/>
        <v>49.316801509098106</v>
      </c>
      <c r="X417" s="42">
        <f t="shared" si="111"/>
        <v>0.18825987366070532</v>
      </c>
    </row>
    <row r="418" spans="1:24" x14ac:dyDescent="0.2">
      <c r="A418" s="49">
        <v>416</v>
      </c>
      <c r="B418" s="49">
        <v>417</v>
      </c>
      <c r="C418" s="49">
        <v>0.2576</v>
      </c>
      <c r="D418" s="49">
        <v>0.93</v>
      </c>
      <c r="E418" s="49">
        <v>0.1045</v>
      </c>
      <c r="F418" s="49">
        <v>2</v>
      </c>
      <c r="G418" s="49">
        <v>107</v>
      </c>
      <c r="H418" s="49">
        <v>109</v>
      </c>
      <c r="I418" s="42">
        <f t="shared" si="96"/>
        <v>35.259</v>
      </c>
      <c r="J418" s="42">
        <f t="shared" si="97"/>
        <v>0.18174742268041238</v>
      </c>
      <c r="K418" s="42">
        <f t="shared" si="98"/>
        <v>194</v>
      </c>
      <c r="L418" s="42">
        <f t="shared" si="99"/>
        <v>110.05</v>
      </c>
      <c r="M418" s="42">
        <f t="shared" si="100"/>
        <v>0.56726804123711339</v>
      </c>
      <c r="N418" s="42">
        <f t="shared" si="101"/>
        <v>194</v>
      </c>
      <c r="O418" s="42">
        <f t="shared" si="102"/>
        <v>11655</v>
      </c>
      <c r="P418" s="42">
        <f t="shared" si="103"/>
        <v>60.077319587628864</v>
      </c>
      <c r="Q418" s="42">
        <f t="shared" si="104"/>
        <v>194</v>
      </c>
      <c r="R418" s="42" t="str">
        <f t="shared" si="105"/>
        <v>4</v>
      </c>
      <c r="S418" s="42" t="str">
        <f t="shared" si="106"/>
        <v>7</v>
      </c>
      <c r="T418" s="42">
        <f t="shared" si="107"/>
        <v>3</v>
      </c>
      <c r="U418" s="42">
        <f t="shared" si="108"/>
        <v>89</v>
      </c>
      <c r="V418" s="42">
        <f t="shared" si="109"/>
        <v>3183</v>
      </c>
      <c r="W418" s="42">
        <f t="shared" si="110"/>
        <v>49.316801509098106</v>
      </c>
      <c r="X418" s="42">
        <f t="shared" si="111"/>
        <v>0.18825987366070532</v>
      </c>
    </row>
    <row r="419" spans="1:24" x14ac:dyDescent="0.2">
      <c r="A419" s="49">
        <v>417</v>
      </c>
      <c r="B419" s="49">
        <v>418</v>
      </c>
      <c r="C419" s="49">
        <v>0.2727</v>
      </c>
      <c r="D419" s="49">
        <v>0.93</v>
      </c>
      <c r="E419" s="49">
        <v>0.1343</v>
      </c>
      <c r="F419" s="49">
        <v>1</v>
      </c>
      <c r="G419" s="49">
        <v>46</v>
      </c>
      <c r="H419" s="49">
        <v>47</v>
      </c>
      <c r="I419" s="42">
        <f t="shared" si="96"/>
        <v>35.00139999999999</v>
      </c>
      <c r="J419" s="42">
        <f t="shared" si="97"/>
        <v>0.18135440414507767</v>
      </c>
      <c r="K419" s="42">
        <f t="shared" si="98"/>
        <v>193</v>
      </c>
      <c r="L419" s="42">
        <f t="shared" si="99"/>
        <v>109.12</v>
      </c>
      <c r="M419" s="42">
        <f t="shared" si="100"/>
        <v>0.56538860103626942</v>
      </c>
      <c r="N419" s="42">
        <f t="shared" si="101"/>
        <v>193</v>
      </c>
      <c r="O419" s="42">
        <f t="shared" si="102"/>
        <v>11546</v>
      </c>
      <c r="P419" s="42">
        <f t="shared" si="103"/>
        <v>59.823834196891191</v>
      </c>
      <c r="Q419" s="42">
        <f t="shared" si="104"/>
        <v>193</v>
      </c>
      <c r="R419" s="42" t="str">
        <f t="shared" si="105"/>
        <v>4</v>
      </c>
      <c r="S419" s="42" t="str">
        <f t="shared" si="106"/>
        <v>8</v>
      </c>
      <c r="T419" s="42">
        <f t="shared" si="107"/>
        <v>3</v>
      </c>
      <c r="U419" s="42">
        <f t="shared" si="108"/>
        <v>89</v>
      </c>
      <c r="V419" s="42">
        <f t="shared" si="109"/>
        <v>3183</v>
      </c>
      <c r="W419" s="42">
        <f t="shared" si="110"/>
        <v>49.316801509098106</v>
      </c>
      <c r="X419" s="42">
        <f t="shared" si="111"/>
        <v>0.18825987366070532</v>
      </c>
    </row>
    <row r="420" spans="1:24" x14ac:dyDescent="0.2">
      <c r="A420" s="49">
        <v>418</v>
      </c>
      <c r="B420" s="49">
        <v>419</v>
      </c>
      <c r="C420" s="49">
        <v>0.30299999999999999</v>
      </c>
      <c r="D420" s="49">
        <v>0.87</v>
      </c>
      <c r="E420" s="49">
        <v>8.9599999999999999E-2</v>
      </c>
      <c r="F420" s="49">
        <v>5</v>
      </c>
      <c r="G420" s="49">
        <v>47</v>
      </c>
      <c r="H420" s="49">
        <v>52</v>
      </c>
      <c r="I420" s="42">
        <f t="shared" si="96"/>
        <v>34.728699999999989</v>
      </c>
      <c r="J420" s="42">
        <f t="shared" si="97"/>
        <v>0.18087864583333327</v>
      </c>
      <c r="K420" s="42">
        <f t="shared" si="98"/>
        <v>192</v>
      </c>
      <c r="L420" s="42">
        <f t="shared" si="99"/>
        <v>108.19000000000001</v>
      </c>
      <c r="M420" s="42">
        <f t="shared" si="100"/>
        <v>0.56348958333333343</v>
      </c>
      <c r="N420" s="42">
        <f t="shared" si="101"/>
        <v>192</v>
      </c>
      <c r="O420" s="42">
        <f t="shared" si="102"/>
        <v>11499</v>
      </c>
      <c r="P420" s="42">
        <f t="shared" si="103"/>
        <v>59.890625</v>
      </c>
      <c r="Q420" s="42">
        <f t="shared" si="104"/>
        <v>192</v>
      </c>
      <c r="R420" s="42" t="str">
        <f t="shared" si="105"/>
        <v>4</v>
      </c>
      <c r="S420" s="42" t="str">
        <f t="shared" si="106"/>
        <v>9</v>
      </c>
      <c r="T420" s="42">
        <f t="shared" si="107"/>
        <v>3</v>
      </c>
      <c r="U420" s="42">
        <f t="shared" si="108"/>
        <v>89</v>
      </c>
      <c r="V420" s="42">
        <f t="shared" si="109"/>
        <v>3183</v>
      </c>
      <c r="W420" s="42">
        <f t="shared" si="110"/>
        <v>49.316801509098106</v>
      </c>
      <c r="X420" s="42">
        <f t="shared" si="111"/>
        <v>0.18825987366070532</v>
      </c>
    </row>
    <row r="421" spans="1:24" x14ac:dyDescent="0.2">
      <c r="A421" s="49">
        <v>419</v>
      </c>
      <c r="B421" s="49">
        <v>420</v>
      </c>
      <c r="C421" s="49">
        <v>0.31819999999999998</v>
      </c>
      <c r="D421" s="49">
        <v>0.81</v>
      </c>
      <c r="E421" s="49">
        <v>8.9599999999999999E-2</v>
      </c>
      <c r="F421" s="49">
        <v>5</v>
      </c>
      <c r="G421" s="49">
        <v>65</v>
      </c>
      <c r="H421" s="49">
        <v>70</v>
      </c>
      <c r="I421" s="42">
        <f t="shared" si="96"/>
        <v>34.425699999999985</v>
      </c>
      <c r="J421" s="42">
        <f t="shared" si="97"/>
        <v>0.18023926701570672</v>
      </c>
      <c r="K421" s="42">
        <f t="shared" si="98"/>
        <v>191</v>
      </c>
      <c r="L421" s="42">
        <f t="shared" si="99"/>
        <v>107.32000000000001</v>
      </c>
      <c r="M421" s="42">
        <f t="shared" si="100"/>
        <v>0.56188481675392676</v>
      </c>
      <c r="N421" s="42">
        <f t="shared" si="101"/>
        <v>191</v>
      </c>
      <c r="O421" s="42">
        <f t="shared" si="102"/>
        <v>11447</v>
      </c>
      <c r="P421" s="42">
        <f t="shared" si="103"/>
        <v>59.931937172774866</v>
      </c>
      <c r="Q421" s="42">
        <f t="shared" si="104"/>
        <v>191</v>
      </c>
      <c r="R421" s="42" t="str">
        <f t="shared" si="105"/>
        <v>4</v>
      </c>
      <c r="S421" s="42" t="str">
        <f t="shared" si="106"/>
        <v>0</v>
      </c>
      <c r="T421" s="42">
        <f t="shared" si="107"/>
        <v>3</v>
      </c>
      <c r="U421" s="42">
        <f t="shared" si="108"/>
        <v>89</v>
      </c>
      <c r="V421" s="42">
        <f t="shared" si="109"/>
        <v>3183</v>
      </c>
      <c r="W421" s="42">
        <f t="shared" si="110"/>
        <v>49.316801509098106</v>
      </c>
      <c r="X421" s="42">
        <f t="shared" si="111"/>
        <v>0.18825987366070532</v>
      </c>
    </row>
    <row r="422" spans="1:24" x14ac:dyDescent="0.2">
      <c r="A422" s="49">
        <v>420</v>
      </c>
      <c r="B422" s="49">
        <v>421</v>
      </c>
      <c r="C422" s="49">
        <v>0.40910000000000002</v>
      </c>
      <c r="D422" s="49">
        <v>0.62</v>
      </c>
      <c r="E422" s="49">
        <v>0.28360000000000002</v>
      </c>
      <c r="F422" s="49">
        <v>11</v>
      </c>
      <c r="G422" s="49">
        <v>67</v>
      </c>
      <c r="H422" s="49">
        <v>78</v>
      </c>
      <c r="I422" s="42">
        <f t="shared" si="96"/>
        <v>34.107499999999973</v>
      </c>
      <c r="J422" s="42">
        <f t="shared" si="97"/>
        <v>0.17951315789473671</v>
      </c>
      <c r="K422" s="42">
        <f t="shared" si="98"/>
        <v>190</v>
      </c>
      <c r="L422" s="42">
        <f t="shared" si="99"/>
        <v>106.51000000000003</v>
      </c>
      <c r="M422" s="42">
        <f t="shared" si="100"/>
        <v>0.56057894736842118</v>
      </c>
      <c r="N422" s="42">
        <f t="shared" si="101"/>
        <v>190</v>
      </c>
      <c r="O422" s="42">
        <f t="shared" si="102"/>
        <v>11377</v>
      </c>
      <c r="P422" s="42">
        <f t="shared" si="103"/>
        <v>59.878947368421052</v>
      </c>
      <c r="Q422" s="42">
        <f t="shared" si="104"/>
        <v>190</v>
      </c>
      <c r="R422" s="42" t="str">
        <f t="shared" si="105"/>
        <v>4</v>
      </c>
      <c r="S422" s="42" t="str">
        <f t="shared" si="106"/>
        <v>1</v>
      </c>
      <c r="T422" s="42">
        <f t="shared" si="107"/>
        <v>3</v>
      </c>
      <c r="U422" s="42">
        <f t="shared" si="108"/>
        <v>89</v>
      </c>
      <c r="V422" s="42">
        <f t="shared" si="109"/>
        <v>3183</v>
      </c>
      <c r="W422" s="42">
        <f t="shared" si="110"/>
        <v>49.316801509098106</v>
      </c>
      <c r="X422" s="42">
        <f t="shared" si="111"/>
        <v>0.18825987366070532</v>
      </c>
    </row>
    <row r="423" spans="1:24" x14ac:dyDescent="0.2">
      <c r="A423" s="49">
        <v>421</v>
      </c>
      <c r="B423" s="49">
        <v>422</v>
      </c>
      <c r="C423" s="49">
        <v>0.40910000000000002</v>
      </c>
      <c r="D423" s="49">
        <v>0.57999999999999996</v>
      </c>
      <c r="E423" s="49">
        <v>0.25369999999999998</v>
      </c>
      <c r="F423" s="49">
        <v>7</v>
      </c>
      <c r="G423" s="49">
        <v>68</v>
      </c>
      <c r="H423" s="49">
        <v>75</v>
      </c>
      <c r="I423" s="42">
        <f t="shared" si="96"/>
        <v>33.698399999999964</v>
      </c>
      <c r="J423" s="42">
        <f t="shared" si="97"/>
        <v>0.17829841269841251</v>
      </c>
      <c r="K423" s="42">
        <f t="shared" si="98"/>
        <v>189</v>
      </c>
      <c r="L423" s="42">
        <f t="shared" si="99"/>
        <v>105.89000000000004</v>
      </c>
      <c r="M423" s="42">
        <f t="shared" si="100"/>
        <v>0.56026455026455046</v>
      </c>
      <c r="N423" s="42">
        <f t="shared" si="101"/>
        <v>189</v>
      </c>
      <c r="O423" s="42">
        <f t="shared" si="102"/>
        <v>11299</v>
      </c>
      <c r="P423" s="42">
        <f t="shared" si="103"/>
        <v>59.783068783068785</v>
      </c>
      <c r="Q423" s="42">
        <f t="shared" si="104"/>
        <v>189</v>
      </c>
      <c r="R423" s="42" t="str">
        <f t="shared" si="105"/>
        <v>4</v>
      </c>
      <c r="S423" s="42" t="str">
        <f t="shared" si="106"/>
        <v>2</v>
      </c>
      <c r="T423" s="42">
        <f t="shared" si="107"/>
        <v>3</v>
      </c>
      <c r="U423" s="42">
        <f t="shared" si="108"/>
        <v>89</v>
      </c>
      <c r="V423" s="42">
        <f t="shared" si="109"/>
        <v>3183</v>
      </c>
      <c r="W423" s="42">
        <f t="shared" si="110"/>
        <v>49.316801509098106</v>
      </c>
      <c r="X423" s="42">
        <f t="shared" si="111"/>
        <v>0.18825987366070532</v>
      </c>
    </row>
    <row r="424" spans="1:24" x14ac:dyDescent="0.2">
      <c r="A424" s="49">
        <v>422</v>
      </c>
      <c r="B424" s="49">
        <v>423</v>
      </c>
      <c r="C424" s="49">
        <v>0.40910000000000002</v>
      </c>
      <c r="D424" s="49">
        <v>0.54</v>
      </c>
      <c r="E424" s="49">
        <v>0.28360000000000002</v>
      </c>
      <c r="F424" s="49">
        <v>4</v>
      </c>
      <c r="G424" s="49">
        <v>78</v>
      </c>
      <c r="H424" s="49">
        <v>82</v>
      </c>
      <c r="I424" s="42">
        <f t="shared" si="96"/>
        <v>33.289299999999962</v>
      </c>
      <c r="J424" s="42">
        <f t="shared" si="97"/>
        <v>0.17707074468085085</v>
      </c>
      <c r="K424" s="42">
        <f t="shared" si="98"/>
        <v>188</v>
      </c>
      <c r="L424" s="42">
        <f t="shared" si="99"/>
        <v>105.31000000000004</v>
      </c>
      <c r="M424" s="42">
        <f t="shared" si="100"/>
        <v>0.5601595744680854</v>
      </c>
      <c r="N424" s="42">
        <f t="shared" si="101"/>
        <v>188</v>
      </c>
      <c r="O424" s="42">
        <f t="shared" si="102"/>
        <v>11224</v>
      </c>
      <c r="P424" s="42">
        <f t="shared" si="103"/>
        <v>59.702127659574465</v>
      </c>
      <c r="Q424" s="42">
        <f t="shared" si="104"/>
        <v>188</v>
      </c>
      <c r="R424" s="42" t="str">
        <f t="shared" si="105"/>
        <v>4</v>
      </c>
      <c r="S424" s="42" t="str">
        <f t="shared" si="106"/>
        <v>3</v>
      </c>
      <c r="T424" s="42">
        <f t="shared" si="107"/>
        <v>3</v>
      </c>
      <c r="U424" s="42">
        <f t="shared" si="108"/>
        <v>89</v>
      </c>
      <c r="V424" s="42">
        <f t="shared" si="109"/>
        <v>3183</v>
      </c>
      <c r="W424" s="42">
        <f t="shared" si="110"/>
        <v>49.316801509098106</v>
      </c>
      <c r="X424" s="42">
        <f t="shared" si="111"/>
        <v>0.18825987366070532</v>
      </c>
    </row>
    <row r="425" spans="1:24" x14ac:dyDescent="0.2">
      <c r="A425" s="49">
        <v>423</v>
      </c>
      <c r="B425" s="49">
        <v>424</v>
      </c>
      <c r="C425" s="49">
        <v>0.39389999999999997</v>
      </c>
      <c r="D425" s="49">
        <v>0.57999999999999996</v>
      </c>
      <c r="E425" s="49">
        <v>0.3881</v>
      </c>
      <c r="F425" s="49">
        <v>10</v>
      </c>
      <c r="G425" s="49">
        <v>94</v>
      </c>
      <c r="H425" s="49">
        <v>104</v>
      </c>
      <c r="I425" s="42">
        <f t="shared" si="96"/>
        <v>32.880199999999967</v>
      </c>
      <c r="J425" s="42">
        <f t="shared" si="97"/>
        <v>0.175829946524064</v>
      </c>
      <c r="K425" s="42">
        <f t="shared" si="98"/>
        <v>187</v>
      </c>
      <c r="L425" s="42">
        <f t="shared" si="99"/>
        <v>104.77000000000007</v>
      </c>
      <c r="M425" s="42">
        <f t="shared" si="100"/>
        <v>0.56026737967914475</v>
      </c>
      <c r="N425" s="42">
        <f t="shared" si="101"/>
        <v>187</v>
      </c>
      <c r="O425" s="42">
        <f t="shared" si="102"/>
        <v>11142</v>
      </c>
      <c r="P425" s="42">
        <f t="shared" si="103"/>
        <v>59.582887700534762</v>
      </c>
      <c r="Q425" s="42">
        <f t="shared" si="104"/>
        <v>187</v>
      </c>
      <c r="R425" s="42" t="str">
        <f t="shared" si="105"/>
        <v>4</v>
      </c>
      <c r="S425" s="42" t="str">
        <f t="shared" si="106"/>
        <v>4</v>
      </c>
      <c r="T425" s="42">
        <f t="shared" si="107"/>
        <v>3</v>
      </c>
      <c r="U425" s="42">
        <f t="shared" si="108"/>
        <v>89</v>
      </c>
      <c r="V425" s="42">
        <f t="shared" si="109"/>
        <v>3183</v>
      </c>
      <c r="W425" s="42">
        <f t="shared" si="110"/>
        <v>49.316801509098106</v>
      </c>
      <c r="X425" s="42">
        <f t="shared" si="111"/>
        <v>0.18825987366070532</v>
      </c>
    </row>
    <row r="426" spans="1:24" x14ac:dyDescent="0.2">
      <c r="A426" s="49">
        <v>424</v>
      </c>
      <c r="B426" s="49">
        <v>425</v>
      </c>
      <c r="C426" s="49">
        <v>0.33329999999999999</v>
      </c>
      <c r="D426" s="49">
        <v>0.56999999999999995</v>
      </c>
      <c r="E426" s="49">
        <v>0.32840000000000003</v>
      </c>
      <c r="F426" s="49">
        <v>7</v>
      </c>
      <c r="G426" s="49">
        <v>190</v>
      </c>
      <c r="H426" s="49">
        <v>197</v>
      </c>
      <c r="I426" s="42">
        <f t="shared" si="96"/>
        <v>32.48629999999995</v>
      </c>
      <c r="J426" s="42">
        <f t="shared" si="97"/>
        <v>0.17465752688172015</v>
      </c>
      <c r="K426" s="42">
        <f t="shared" si="98"/>
        <v>186</v>
      </c>
      <c r="L426" s="42">
        <f t="shared" si="99"/>
        <v>104.19000000000007</v>
      </c>
      <c r="M426" s="42">
        <f t="shared" si="100"/>
        <v>0.560161290322581</v>
      </c>
      <c r="N426" s="42">
        <f t="shared" si="101"/>
        <v>186</v>
      </c>
      <c r="O426" s="42">
        <f t="shared" si="102"/>
        <v>11038</v>
      </c>
      <c r="P426" s="42">
        <f t="shared" si="103"/>
        <v>59.344086021505376</v>
      </c>
      <c r="Q426" s="42">
        <f t="shared" si="104"/>
        <v>186</v>
      </c>
      <c r="R426" s="42" t="str">
        <f t="shared" si="105"/>
        <v>4</v>
      </c>
      <c r="S426" s="42" t="str">
        <f t="shared" si="106"/>
        <v>5</v>
      </c>
      <c r="T426" s="42">
        <f t="shared" si="107"/>
        <v>3</v>
      </c>
      <c r="U426" s="42">
        <f t="shared" si="108"/>
        <v>89</v>
      </c>
      <c r="V426" s="42">
        <f t="shared" si="109"/>
        <v>3183</v>
      </c>
      <c r="W426" s="42">
        <f t="shared" si="110"/>
        <v>49.316801509098106</v>
      </c>
      <c r="X426" s="42">
        <f t="shared" si="111"/>
        <v>0.18825987366070532</v>
      </c>
    </row>
    <row r="427" spans="1:24" x14ac:dyDescent="0.2">
      <c r="A427" s="49">
        <v>425</v>
      </c>
      <c r="B427" s="49">
        <v>426</v>
      </c>
      <c r="C427" s="49">
        <v>0.31819999999999998</v>
      </c>
      <c r="D427" s="49">
        <v>0.61</v>
      </c>
      <c r="E427" s="49">
        <v>0.28360000000000002</v>
      </c>
      <c r="F427" s="49">
        <v>5</v>
      </c>
      <c r="G427" s="49">
        <v>156</v>
      </c>
      <c r="H427" s="49">
        <v>161</v>
      </c>
      <c r="I427" s="42">
        <f t="shared" si="96"/>
        <v>32.152999999999956</v>
      </c>
      <c r="J427" s="42">
        <f t="shared" si="97"/>
        <v>0.17379999999999976</v>
      </c>
      <c r="K427" s="42">
        <f t="shared" si="98"/>
        <v>185</v>
      </c>
      <c r="L427" s="42">
        <f t="shared" si="99"/>
        <v>103.62000000000006</v>
      </c>
      <c r="M427" s="42">
        <f t="shared" si="100"/>
        <v>0.5601081081081084</v>
      </c>
      <c r="N427" s="42">
        <f t="shared" si="101"/>
        <v>185</v>
      </c>
      <c r="O427" s="42">
        <f t="shared" si="102"/>
        <v>10841</v>
      </c>
      <c r="P427" s="42">
        <f t="shared" si="103"/>
        <v>58.6</v>
      </c>
      <c r="Q427" s="42">
        <f t="shared" si="104"/>
        <v>185</v>
      </c>
      <c r="R427" s="42" t="str">
        <f t="shared" si="105"/>
        <v>4</v>
      </c>
      <c r="S427" s="42" t="str">
        <f t="shared" si="106"/>
        <v>6</v>
      </c>
      <c r="T427" s="42">
        <f t="shared" si="107"/>
        <v>3</v>
      </c>
      <c r="U427" s="42">
        <f t="shared" si="108"/>
        <v>89</v>
      </c>
      <c r="V427" s="42">
        <f t="shared" si="109"/>
        <v>3183</v>
      </c>
      <c r="W427" s="42">
        <f t="shared" si="110"/>
        <v>49.316801509098106</v>
      </c>
      <c r="X427" s="42">
        <f t="shared" si="111"/>
        <v>0.18825987366070532</v>
      </c>
    </row>
    <row r="428" spans="1:24" x14ac:dyDescent="0.2">
      <c r="A428" s="49">
        <v>426</v>
      </c>
      <c r="B428" s="49">
        <v>427</v>
      </c>
      <c r="C428" s="49">
        <v>0.28789999999999999</v>
      </c>
      <c r="D428" s="49">
        <v>0.56999999999999995</v>
      </c>
      <c r="E428" s="49">
        <v>0.41789999999999999</v>
      </c>
      <c r="F428" s="49">
        <v>4</v>
      </c>
      <c r="G428" s="49">
        <v>108</v>
      </c>
      <c r="H428" s="49">
        <v>112</v>
      </c>
      <c r="I428" s="42">
        <f t="shared" si="96"/>
        <v>31.834799999999959</v>
      </c>
      <c r="J428" s="42">
        <f t="shared" si="97"/>
        <v>0.17301521739130413</v>
      </c>
      <c r="K428" s="42">
        <f t="shared" si="98"/>
        <v>184</v>
      </c>
      <c r="L428" s="42">
        <f t="shared" si="99"/>
        <v>103.01000000000006</v>
      </c>
      <c r="M428" s="42">
        <f t="shared" si="100"/>
        <v>0.55983695652173948</v>
      </c>
      <c r="N428" s="42">
        <f t="shared" si="101"/>
        <v>184</v>
      </c>
      <c r="O428" s="42">
        <f t="shared" si="102"/>
        <v>10680</v>
      </c>
      <c r="P428" s="42">
        <f t="shared" si="103"/>
        <v>58.043478260869563</v>
      </c>
      <c r="Q428" s="42">
        <f t="shared" si="104"/>
        <v>184</v>
      </c>
      <c r="R428" s="42" t="str">
        <f t="shared" si="105"/>
        <v>4</v>
      </c>
      <c r="S428" s="42" t="str">
        <f t="shared" si="106"/>
        <v>7</v>
      </c>
      <c r="T428" s="42">
        <f t="shared" si="107"/>
        <v>3</v>
      </c>
      <c r="U428" s="42">
        <f t="shared" si="108"/>
        <v>89</v>
      </c>
      <c r="V428" s="42">
        <f t="shared" si="109"/>
        <v>3183</v>
      </c>
      <c r="W428" s="42">
        <f t="shared" si="110"/>
        <v>49.316801509098106</v>
      </c>
      <c r="X428" s="42">
        <f t="shared" si="111"/>
        <v>0.18825987366070532</v>
      </c>
    </row>
    <row r="429" spans="1:24" x14ac:dyDescent="0.2">
      <c r="A429" s="49">
        <v>427</v>
      </c>
      <c r="B429" s="49">
        <v>428</v>
      </c>
      <c r="C429" s="49">
        <v>0.30299999999999999</v>
      </c>
      <c r="D429" s="49">
        <v>0.49</v>
      </c>
      <c r="E429" s="49">
        <v>0.29849999999999999</v>
      </c>
      <c r="F429" s="49">
        <v>2</v>
      </c>
      <c r="G429" s="49">
        <v>74</v>
      </c>
      <c r="H429" s="49">
        <v>76</v>
      </c>
      <c r="I429" s="42">
        <f t="shared" si="96"/>
        <v>31.546899999999962</v>
      </c>
      <c r="J429" s="42">
        <f t="shared" si="97"/>
        <v>0.17238743169398887</v>
      </c>
      <c r="K429" s="42">
        <f t="shared" si="98"/>
        <v>183</v>
      </c>
      <c r="L429" s="42">
        <f t="shared" si="99"/>
        <v>102.44000000000007</v>
      </c>
      <c r="M429" s="42">
        <f t="shared" si="100"/>
        <v>0.55978142076502768</v>
      </c>
      <c r="N429" s="42">
        <f t="shared" si="101"/>
        <v>183</v>
      </c>
      <c r="O429" s="42">
        <f t="shared" si="102"/>
        <v>10568</v>
      </c>
      <c r="P429" s="42">
        <f t="shared" si="103"/>
        <v>57.748633879781423</v>
      </c>
      <c r="Q429" s="42">
        <f t="shared" si="104"/>
        <v>183</v>
      </c>
      <c r="R429" s="42" t="str">
        <f t="shared" si="105"/>
        <v>4</v>
      </c>
      <c r="S429" s="42" t="str">
        <f t="shared" si="106"/>
        <v>8</v>
      </c>
      <c r="T429" s="42">
        <f t="shared" si="107"/>
        <v>3</v>
      </c>
      <c r="U429" s="42">
        <f t="shared" si="108"/>
        <v>89</v>
      </c>
      <c r="V429" s="42">
        <f t="shared" si="109"/>
        <v>3183</v>
      </c>
      <c r="W429" s="42">
        <f t="shared" si="110"/>
        <v>49.316801509098106</v>
      </c>
      <c r="X429" s="42">
        <f t="shared" si="111"/>
        <v>0.18825987366070532</v>
      </c>
    </row>
    <row r="430" spans="1:24" x14ac:dyDescent="0.2">
      <c r="A430" s="49">
        <v>428</v>
      </c>
      <c r="B430" s="49">
        <v>429</v>
      </c>
      <c r="C430" s="49">
        <v>0.28789999999999999</v>
      </c>
      <c r="D430" s="49">
        <v>0.49</v>
      </c>
      <c r="E430" s="49">
        <v>0.41789999999999999</v>
      </c>
      <c r="F430" s="49">
        <v>4</v>
      </c>
      <c r="G430" s="49">
        <v>55</v>
      </c>
      <c r="H430" s="49">
        <v>59</v>
      </c>
      <c r="I430" s="42">
        <f t="shared" si="96"/>
        <v>31.243899999999961</v>
      </c>
      <c r="J430" s="42">
        <f t="shared" si="97"/>
        <v>0.17166978021977999</v>
      </c>
      <c r="K430" s="42">
        <f t="shared" si="98"/>
        <v>182</v>
      </c>
      <c r="L430" s="42">
        <f t="shared" si="99"/>
        <v>101.95000000000007</v>
      </c>
      <c r="M430" s="42">
        <f t="shared" si="100"/>
        <v>0.56016483516483562</v>
      </c>
      <c r="N430" s="42">
        <f t="shared" si="101"/>
        <v>182</v>
      </c>
      <c r="O430" s="42">
        <f t="shared" si="102"/>
        <v>10492</v>
      </c>
      <c r="P430" s="42">
        <f t="shared" si="103"/>
        <v>57.64835164835165</v>
      </c>
      <c r="Q430" s="42">
        <f t="shared" si="104"/>
        <v>182</v>
      </c>
      <c r="R430" s="42" t="str">
        <f t="shared" si="105"/>
        <v>4</v>
      </c>
      <c r="S430" s="42" t="str">
        <f t="shared" si="106"/>
        <v>9</v>
      </c>
      <c r="T430" s="42">
        <f t="shared" si="107"/>
        <v>3</v>
      </c>
      <c r="U430" s="42">
        <f t="shared" si="108"/>
        <v>89</v>
      </c>
      <c r="V430" s="42">
        <f t="shared" si="109"/>
        <v>3183</v>
      </c>
      <c r="W430" s="42">
        <f t="shared" si="110"/>
        <v>49.316801509098106</v>
      </c>
      <c r="X430" s="42">
        <f t="shared" si="111"/>
        <v>0.18825987366070532</v>
      </c>
    </row>
    <row r="431" spans="1:24" x14ac:dyDescent="0.2">
      <c r="A431" s="49">
        <v>429</v>
      </c>
      <c r="B431" s="49">
        <v>430</v>
      </c>
      <c r="C431" s="49">
        <v>0.30299999999999999</v>
      </c>
      <c r="D431" s="49">
        <v>0.52</v>
      </c>
      <c r="E431" s="49">
        <v>0.16420000000000001</v>
      </c>
      <c r="F431" s="49">
        <v>6</v>
      </c>
      <c r="G431" s="49">
        <v>53</v>
      </c>
      <c r="H431" s="49">
        <v>59</v>
      </c>
      <c r="I431" s="42">
        <f t="shared" si="96"/>
        <v>30.955999999999968</v>
      </c>
      <c r="J431" s="42">
        <f t="shared" si="97"/>
        <v>0.17102762430939208</v>
      </c>
      <c r="K431" s="42">
        <f t="shared" si="98"/>
        <v>181</v>
      </c>
      <c r="L431" s="42">
        <f t="shared" si="99"/>
        <v>101.46000000000008</v>
      </c>
      <c r="M431" s="42">
        <f t="shared" si="100"/>
        <v>0.5605524861878457</v>
      </c>
      <c r="N431" s="42">
        <f t="shared" si="101"/>
        <v>181</v>
      </c>
      <c r="O431" s="42">
        <f t="shared" si="102"/>
        <v>10433</v>
      </c>
      <c r="P431" s="42">
        <f t="shared" si="103"/>
        <v>57.64088397790055</v>
      </c>
      <c r="Q431" s="42">
        <f t="shared" si="104"/>
        <v>181</v>
      </c>
      <c r="R431" s="42" t="str">
        <f t="shared" si="105"/>
        <v>4</v>
      </c>
      <c r="S431" s="42" t="str">
        <f t="shared" si="106"/>
        <v>0</v>
      </c>
      <c r="T431" s="42">
        <f t="shared" si="107"/>
        <v>3</v>
      </c>
      <c r="U431" s="42">
        <f t="shared" si="108"/>
        <v>89</v>
      </c>
      <c r="V431" s="42">
        <f t="shared" si="109"/>
        <v>3183</v>
      </c>
      <c r="W431" s="42">
        <f t="shared" si="110"/>
        <v>49.316801509098106</v>
      </c>
      <c r="X431" s="42">
        <f t="shared" si="111"/>
        <v>0.18825987366070532</v>
      </c>
    </row>
    <row r="432" spans="1:24" x14ac:dyDescent="0.2">
      <c r="A432" s="49">
        <v>430</v>
      </c>
      <c r="B432" s="49">
        <v>431</v>
      </c>
      <c r="C432" s="49">
        <v>0.2727</v>
      </c>
      <c r="D432" s="49">
        <v>0.52</v>
      </c>
      <c r="E432" s="49">
        <v>0.4627</v>
      </c>
      <c r="F432" s="49">
        <v>1</v>
      </c>
      <c r="G432" s="49">
        <v>27</v>
      </c>
      <c r="H432" s="49">
        <v>28</v>
      </c>
      <c r="I432" s="42">
        <f t="shared" si="96"/>
        <v>30.65299999999997</v>
      </c>
      <c r="J432" s="42">
        <f t="shared" si="97"/>
        <v>0.17029444444444428</v>
      </c>
      <c r="K432" s="42">
        <f t="shared" si="98"/>
        <v>180</v>
      </c>
      <c r="L432" s="42">
        <f t="shared" si="99"/>
        <v>100.94000000000007</v>
      </c>
      <c r="M432" s="42">
        <f t="shared" si="100"/>
        <v>0.56077777777777815</v>
      </c>
      <c r="N432" s="42">
        <f t="shared" si="101"/>
        <v>180</v>
      </c>
      <c r="O432" s="42">
        <f t="shared" si="102"/>
        <v>10374</v>
      </c>
      <c r="P432" s="42">
        <f t="shared" si="103"/>
        <v>57.633333333333333</v>
      </c>
      <c r="Q432" s="42">
        <f t="shared" si="104"/>
        <v>180</v>
      </c>
      <c r="R432" s="42" t="str">
        <f t="shared" si="105"/>
        <v>4</v>
      </c>
      <c r="S432" s="42" t="str">
        <f t="shared" si="106"/>
        <v>1</v>
      </c>
      <c r="T432" s="42">
        <f t="shared" si="107"/>
        <v>3</v>
      </c>
      <c r="U432" s="42">
        <f t="shared" si="108"/>
        <v>89</v>
      </c>
      <c r="V432" s="42">
        <f t="shared" si="109"/>
        <v>3183</v>
      </c>
      <c r="W432" s="42">
        <f t="shared" si="110"/>
        <v>49.316801509098106</v>
      </c>
      <c r="X432" s="42">
        <f t="shared" si="111"/>
        <v>0.18825987366070532</v>
      </c>
    </row>
    <row r="433" spans="1:24" x14ac:dyDescent="0.2">
      <c r="A433" s="49">
        <v>431</v>
      </c>
      <c r="B433" s="49">
        <v>432</v>
      </c>
      <c r="C433" s="49">
        <v>0.2273</v>
      </c>
      <c r="D433" s="49">
        <v>0.56000000000000005</v>
      </c>
      <c r="E433" s="49">
        <v>0.3881</v>
      </c>
      <c r="F433" s="49">
        <v>5</v>
      </c>
      <c r="G433" s="49">
        <v>8</v>
      </c>
      <c r="H433" s="49">
        <v>13</v>
      </c>
      <c r="I433" s="42">
        <f t="shared" si="96"/>
        <v>30.38029999999997</v>
      </c>
      <c r="J433" s="42">
        <f t="shared" si="97"/>
        <v>0.16972234636871492</v>
      </c>
      <c r="K433" s="42">
        <f t="shared" si="98"/>
        <v>179</v>
      </c>
      <c r="L433" s="42">
        <f t="shared" si="99"/>
        <v>100.42000000000007</v>
      </c>
      <c r="M433" s="42">
        <f t="shared" si="100"/>
        <v>0.56100558659217914</v>
      </c>
      <c r="N433" s="42">
        <f t="shared" si="101"/>
        <v>179</v>
      </c>
      <c r="O433" s="42">
        <f t="shared" si="102"/>
        <v>10346</v>
      </c>
      <c r="P433" s="42">
        <f t="shared" si="103"/>
        <v>57.798882681564244</v>
      </c>
      <c r="Q433" s="42">
        <f t="shared" si="104"/>
        <v>179</v>
      </c>
      <c r="R433" s="42" t="str">
        <f t="shared" si="105"/>
        <v>4</v>
      </c>
      <c r="S433" s="42" t="str">
        <f t="shared" si="106"/>
        <v>2</v>
      </c>
      <c r="T433" s="42">
        <f t="shared" si="107"/>
        <v>3</v>
      </c>
      <c r="U433" s="42">
        <f t="shared" si="108"/>
        <v>89</v>
      </c>
      <c r="V433" s="42">
        <f t="shared" si="109"/>
        <v>3183</v>
      </c>
      <c r="W433" s="42">
        <f t="shared" si="110"/>
        <v>49.316801509098106</v>
      </c>
      <c r="X433" s="42">
        <f t="shared" si="111"/>
        <v>0.18825987366070532</v>
      </c>
    </row>
    <row r="434" spans="1:24" x14ac:dyDescent="0.2">
      <c r="A434" s="49">
        <v>432</v>
      </c>
      <c r="B434" s="49">
        <v>433</v>
      </c>
      <c r="C434" s="49">
        <v>0.2727</v>
      </c>
      <c r="D434" s="49">
        <v>0.56000000000000005</v>
      </c>
      <c r="E434" s="49">
        <v>0</v>
      </c>
      <c r="F434" s="49">
        <v>2</v>
      </c>
      <c r="G434" s="49">
        <v>3</v>
      </c>
      <c r="H434" s="49">
        <v>5</v>
      </c>
      <c r="I434" s="42">
        <f t="shared" si="96"/>
        <v>30.15299999999997</v>
      </c>
      <c r="J434" s="42">
        <f t="shared" si="97"/>
        <v>0.16939887640449422</v>
      </c>
      <c r="K434" s="42">
        <f t="shared" si="98"/>
        <v>178</v>
      </c>
      <c r="L434" s="42">
        <f t="shared" si="99"/>
        <v>99.86000000000007</v>
      </c>
      <c r="M434" s="42">
        <f t="shared" si="100"/>
        <v>0.56101123595505653</v>
      </c>
      <c r="N434" s="42">
        <f t="shared" si="101"/>
        <v>178</v>
      </c>
      <c r="O434" s="42">
        <f t="shared" si="102"/>
        <v>10333</v>
      </c>
      <c r="P434" s="42">
        <f t="shared" si="103"/>
        <v>58.050561797752806</v>
      </c>
      <c r="Q434" s="42">
        <f t="shared" si="104"/>
        <v>178</v>
      </c>
      <c r="R434" s="42" t="str">
        <f t="shared" si="105"/>
        <v>4</v>
      </c>
      <c r="S434" s="42" t="str">
        <f t="shared" si="106"/>
        <v>3</v>
      </c>
      <c r="T434" s="42">
        <f t="shared" si="107"/>
        <v>3</v>
      </c>
      <c r="U434" s="42">
        <f t="shared" si="108"/>
        <v>89</v>
      </c>
      <c r="V434" s="42">
        <f t="shared" si="109"/>
        <v>3183</v>
      </c>
      <c r="W434" s="42">
        <f t="shared" si="110"/>
        <v>49.316801509098106</v>
      </c>
      <c r="X434" s="42">
        <f t="shared" si="111"/>
        <v>0.18825987366070532</v>
      </c>
    </row>
    <row r="435" spans="1:24" x14ac:dyDescent="0.2">
      <c r="A435" s="49">
        <v>433</v>
      </c>
      <c r="B435" s="49">
        <v>434</v>
      </c>
      <c r="C435" s="49">
        <v>0.2727</v>
      </c>
      <c r="D435" s="49">
        <v>0.56000000000000005</v>
      </c>
      <c r="E435" s="49">
        <v>0</v>
      </c>
      <c r="F435" s="49">
        <v>0</v>
      </c>
      <c r="G435" s="49">
        <v>2</v>
      </c>
      <c r="H435" s="49">
        <v>2</v>
      </c>
      <c r="I435" s="42">
        <f t="shared" si="96"/>
        <v>29.880299999999973</v>
      </c>
      <c r="J435" s="42">
        <f t="shared" si="97"/>
        <v>0.16881525423728799</v>
      </c>
      <c r="K435" s="42">
        <f t="shared" si="98"/>
        <v>177</v>
      </c>
      <c r="L435" s="42">
        <f t="shared" si="99"/>
        <v>99.300000000000082</v>
      </c>
      <c r="M435" s="42">
        <f t="shared" si="100"/>
        <v>0.56101694915254285</v>
      </c>
      <c r="N435" s="42">
        <f t="shared" si="101"/>
        <v>177</v>
      </c>
      <c r="O435" s="42">
        <f t="shared" si="102"/>
        <v>10328</v>
      </c>
      <c r="P435" s="42">
        <f t="shared" si="103"/>
        <v>58.350282485875709</v>
      </c>
      <c r="Q435" s="42">
        <f t="shared" si="104"/>
        <v>177</v>
      </c>
      <c r="R435" s="42" t="str">
        <f t="shared" si="105"/>
        <v>4</v>
      </c>
      <c r="S435" s="42" t="str">
        <f t="shared" si="106"/>
        <v>4</v>
      </c>
      <c r="T435" s="42">
        <f t="shared" si="107"/>
        <v>3</v>
      </c>
      <c r="U435" s="42">
        <f t="shared" si="108"/>
        <v>89</v>
      </c>
      <c r="V435" s="42">
        <f t="shared" si="109"/>
        <v>3183</v>
      </c>
      <c r="W435" s="42">
        <f t="shared" si="110"/>
        <v>49.316801509098106</v>
      </c>
      <c r="X435" s="42">
        <f t="shared" si="111"/>
        <v>0.18825987366070532</v>
      </c>
    </row>
    <row r="436" spans="1:24" x14ac:dyDescent="0.2">
      <c r="A436" s="49">
        <v>434</v>
      </c>
      <c r="B436" s="49">
        <v>435</v>
      </c>
      <c r="C436" s="49">
        <v>0.2576</v>
      </c>
      <c r="D436" s="49">
        <v>0.56000000000000005</v>
      </c>
      <c r="E436" s="49">
        <v>0.16420000000000001</v>
      </c>
      <c r="F436" s="49">
        <v>0</v>
      </c>
      <c r="G436" s="49">
        <v>1</v>
      </c>
      <c r="H436" s="49">
        <v>1</v>
      </c>
      <c r="I436" s="42">
        <f t="shared" si="96"/>
        <v>29.607599999999973</v>
      </c>
      <c r="J436" s="42">
        <f t="shared" si="97"/>
        <v>0.16822499999999985</v>
      </c>
      <c r="K436" s="42">
        <f t="shared" si="98"/>
        <v>176</v>
      </c>
      <c r="L436" s="42">
        <f t="shared" si="99"/>
        <v>98.74000000000008</v>
      </c>
      <c r="M436" s="42">
        <f t="shared" si="100"/>
        <v>0.56102272727272773</v>
      </c>
      <c r="N436" s="42">
        <f t="shared" si="101"/>
        <v>176</v>
      </c>
      <c r="O436" s="42">
        <f t="shared" si="102"/>
        <v>10326</v>
      </c>
      <c r="P436" s="42">
        <f t="shared" si="103"/>
        <v>58.670454545454547</v>
      </c>
      <c r="Q436" s="42">
        <f t="shared" si="104"/>
        <v>176</v>
      </c>
      <c r="R436" s="42" t="str">
        <f t="shared" si="105"/>
        <v>4</v>
      </c>
      <c r="S436" s="42" t="str">
        <f t="shared" si="106"/>
        <v>5</v>
      </c>
      <c r="T436" s="42">
        <f t="shared" si="107"/>
        <v>3</v>
      </c>
      <c r="U436" s="42">
        <f t="shared" si="108"/>
        <v>89</v>
      </c>
      <c r="V436" s="42">
        <f t="shared" si="109"/>
        <v>3183</v>
      </c>
      <c r="W436" s="42">
        <f t="shared" si="110"/>
        <v>49.316801509098106</v>
      </c>
      <c r="X436" s="42">
        <f t="shared" si="111"/>
        <v>0.18825987366070532</v>
      </c>
    </row>
    <row r="437" spans="1:24" x14ac:dyDescent="0.2">
      <c r="A437" s="49">
        <v>435</v>
      </c>
      <c r="B437" s="49">
        <v>436</v>
      </c>
      <c r="C437" s="49">
        <v>0.2576</v>
      </c>
      <c r="D437" s="49">
        <v>0.56000000000000005</v>
      </c>
      <c r="E437" s="49">
        <v>0.16420000000000001</v>
      </c>
      <c r="F437" s="49">
        <v>0</v>
      </c>
      <c r="G437" s="49">
        <v>1</v>
      </c>
      <c r="H437" s="49">
        <v>1</v>
      </c>
      <c r="I437" s="42">
        <f t="shared" si="96"/>
        <v>29.34999999999998</v>
      </c>
      <c r="J437" s="42">
        <f t="shared" si="97"/>
        <v>0.16771428571428559</v>
      </c>
      <c r="K437" s="42">
        <f t="shared" si="98"/>
        <v>175</v>
      </c>
      <c r="L437" s="42">
        <f t="shared" si="99"/>
        <v>98.180000000000064</v>
      </c>
      <c r="M437" s="42">
        <f t="shared" si="100"/>
        <v>0.56102857142857177</v>
      </c>
      <c r="N437" s="42">
        <f t="shared" si="101"/>
        <v>175</v>
      </c>
      <c r="O437" s="42">
        <f t="shared" si="102"/>
        <v>10325</v>
      </c>
      <c r="P437" s="42">
        <f t="shared" si="103"/>
        <v>59</v>
      </c>
      <c r="Q437" s="42">
        <f t="shared" si="104"/>
        <v>175</v>
      </c>
      <c r="R437" s="42" t="str">
        <f t="shared" si="105"/>
        <v>4</v>
      </c>
      <c r="S437" s="42" t="str">
        <f t="shared" si="106"/>
        <v>6</v>
      </c>
      <c r="T437" s="42">
        <f t="shared" si="107"/>
        <v>3</v>
      </c>
      <c r="U437" s="42">
        <f t="shared" si="108"/>
        <v>89</v>
      </c>
      <c r="V437" s="42">
        <f t="shared" si="109"/>
        <v>3183</v>
      </c>
      <c r="W437" s="42">
        <f t="shared" si="110"/>
        <v>49.316801509098106</v>
      </c>
      <c r="X437" s="42">
        <f t="shared" si="111"/>
        <v>0.18825987366070532</v>
      </c>
    </row>
    <row r="438" spans="1:24" x14ac:dyDescent="0.2">
      <c r="A438" s="49">
        <v>436</v>
      </c>
      <c r="B438" s="49">
        <v>437</v>
      </c>
      <c r="C438" s="49">
        <v>0.2273</v>
      </c>
      <c r="D438" s="49">
        <v>0.6</v>
      </c>
      <c r="E438" s="49">
        <v>0.22389999999999999</v>
      </c>
      <c r="F438" s="49">
        <v>0</v>
      </c>
      <c r="G438" s="49">
        <v>6</v>
      </c>
      <c r="H438" s="49">
        <v>6</v>
      </c>
      <c r="I438" s="42">
        <f t="shared" si="96"/>
        <v>29.09239999999998</v>
      </c>
      <c r="J438" s="42">
        <f t="shared" si="97"/>
        <v>0.16719770114942517</v>
      </c>
      <c r="K438" s="42">
        <f t="shared" si="98"/>
        <v>174</v>
      </c>
      <c r="L438" s="42">
        <f t="shared" si="99"/>
        <v>97.620000000000061</v>
      </c>
      <c r="M438" s="42">
        <f t="shared" si="100"/>
        <v>0.561034482758621</v>
      </c>
      <c r="N438" s="42">
        <f t="shared" si="101"/>
        <v>174</v>
      </c>
      <c r="O438" s="42">
        <f t="shared" si="102"/>
        <v>10324</v>
      </c>
      <c r="P438" s="42">
        <f t="shared" si="103"/>
        <v>59.333333333333336</v>
      </c>
      <c r="Q438" s="42">
        <f t="shared" si="104"/>
        <v>174</v>
      </c>
      <c r="R438" s="42" t="str">
        <f t="shared" si="105"/>
        <v>4</v>
      </c>
      <c r="S438" s="42" t="str">
        <f t="shared" si="106"/>
        <v>7</v>
      </c>
      <c r="T438" s="42">
        <f t="shared" si="107"/>
        <v>3</v>
      </c>
      <c r="U438" s="42">
        <f t="shared" si="108"/>
        <v>89</v>
      </c>
      <c r="V438" s="42">
        <f t="shared" si="109"/>
        <v>3183</v>
      </c>
      <c r="W438" s="42">
        <f t="shared" si="110"/>
        <v>49.316801509098106</v>
      </c>
      <c r="X438" s="42">
        <f t="shared" si="111"/>
        <v>0.18825987366070532</v>
      </c>
    </row>
    <row r="439" spans="1:24" x14ac:dyDescent="0.2">
      <c r="A439" s="49">
        <v>437</v>
      </c>
      <c r="B439" s="49">
        <v>438</v>
      </c>
      <c r="C439" s="49">
        <v>0.21210000000000001</v>
      </c>
      <c r="D439" s="49">
        <v>0.6</v>
      </c>
      <c r="E439" s="49">
        <v>0.22389999999999999</v>
      </c>
      <c r="F439" s="49">
        <v>0</v>
      </c>
      <c r="G439" s="49">
        <v>35</v>
      </c>
      <c r="H439" s="49">
        <v>35</v>
      </c>
      <c r="I439" s="42">
        <f t="shared" si="96"/>
        <v>28.865099999999984</v>
      </c>
      <c r="J439" s="42">
        <f t="shared" si="97"/>
        <v>0.16685028901734095</v>
      </c>
      <c r="K439" s="42">
        <f t="shared" si="98"/>
        <v>173</v>
      </c>
      <c r="L439" s="42">
        <f t="shared" si="99"/>
        <v>97.020000000000053</v>
      </c>
      <c r="M439" s="42">
        <f t="shared" si="100"/>
        <v>0.56080924855491365</v>
      </c>
      <c r="N439" s="42">
        <f t="shared" si="101"/>
        <v>173</v>
      </c>
      <c r="O439" s="42">
        <f t="shared" si="102"/>
        <v>10318</v>
      </c>
      <c r="P439" s="42">
        <f t="shared" si="103"/>
        <v>59.641618497109825</v>
      </c>
      <c r="Q439" s="42">
        <f t="shared" si="104"/>
        <v>173</v>
      </c>
      <c r="R439" s="42" t="str">
        <f t="shared" si="105"/>
        <v>4</v>
      </c>
      <c r="S439" s="42" t="str">
        <f t="shared" si="106"/>
        <v>8</v>
      </c>
      <c r="T439" s="42">
        <f t="shared" si="107"/>
        <v>3</v>
      </c>
      <c r="U439" s="42">
        <f t="shared" si="108"/>
        <v>89</v>
      </c>
      <c r="V439" s="42">
        <f t="shared" si="109"/>
        <v>3183</v>
      </c>
      <c r="W439" s="42">
        <f t="shared" si="110"/>
        <v>49.316801509098106</v>
      </c>
      <c r="X439" s="42">
        <f t="shared" si="111"/>
        <v>0.18825987366070532</v>
      </c>
    </row>
    <row r="440" spans="1:24" x14ac:dyDescent="0.2">
      <c r="A440" s="49">
        <v>438</v>
      </c>
      <c r="B440" s="49">
        <v>439</v>
      </c>
      <c r="C440" s="49">
        <v>0.21210000000000001</v>
      </c>
      <c r="D440" s="49">
        <v>0.55000000000000004</v>
      </c>
      <c r="E440" s="49">
        <v>0.22389999999999999</v>
      </c>
      <c r="F440" s="49">
        <v>1</v>
      </c>
      <c r="G440" s="49">
        <v>100</v>
      </c>
      <c r="H440" s="49">
        <v>101</v>
      </c>
      <c r="I440" s="42">
        <f t="shared" si="96"/>
        <v>28.652999999999988</v>
      </c>
      <c r="J440" s="42">
        <f t="shared" si="97"/>
        <v>0.16658720930232551</v>
      </c>
      <c r="K440" s="42">
        <f t="shared" si="98"/>
        <v>172</v>
      </c>
      <c r="L440" s="42">
        <f t="shared" si="99"/>
        <v>96.420000000000059</v>
      </c>
      <c r="M440" s="42">
        <f t="shared" si="100"/>
        <v>0.56058139534883755</v>
      </c>
      <c r="N440" s="42">
        <f t="shared" si="101"/>
        <v>172</v>
      </c>
      <c r="O440" s="42">
        <f t="shared" si="102"/>
        <v>10283</v>
      </c>
      <c r="P440" s="42">
        <f t="shared" si="103"/>
        <v>59.784883720930232</v>
      </c>
      <c r="Q440" s="42">
        <f t="shared" si="104"/>
        <v>172</v>
      </c>
      <c r="R440" s="42" t="str">
        <f t="shared" si="105"/>
        <v>4</v>
      </c>
      <c r="S440" s="42" t="str">
        <f t="shared" si="106"/>
        <v>9</v>
      </c>
      <c r="T440" s="42">
        <f t="shared" si="107"/>
        <v>3</v>
      </c>
      <c r="U440" s="42">
        <f t="shared" si="108"/>
        <v>89</v>
      </c>
      <c r="V440" s="42">
        <f t="shared" si="109"/>
        <v>3183</v>
      </c>
      <c r="W440" s="42">
        <f t="shared" si="110"/>
        <v>49.316801509098106</v>
      </c>
      <c r="X440" s="42">
        <f t="shared" si="111"/>
        <v>0.18825987366070532</v>
      </c>
    </row>
    <row r="441" spans="1:24" x14ac:dyDescent="0.2">
      <c r="A441" s="49">
        <v>439</v>
      </c>
      <c r="B441" s="49">
        <v>440</v>
      </c>
      <c r="C441" s="49">
        <v>0.21210000000000001</v>
      </c>
      <c r="D441" s="49">
        <v>0.55000000000000004</v>
      </c>
      <c r="E441" s="49">
        <v>0.28360000000000002</v>
      </c>
      <c r="F441" s="49">
        <v>2</v>
      </c>
      <c r="G441" s="49">
        <v>247</v>
      </c>
      <c r="H441" s="49">
        <v>249</v>
      </c>
      <c r="I441" s="42">
        <f t="shared" si="96"/>
        <v>28.440899999999989</v>
      </c>
      <c r="J441" s="42">
        <f t="shared" si="97"/>
        <v>0.16632105263157887</v>
      </c>
      <c r="K441" s="42">
        <f t="shared" si="98"/>
        <v>171</v>
      </c>
      <c r="L441" s="42">
        <f t="shared" si="99"/>
        <v>95.870000000000061</v>
      </c>
      <c r="M441" s="42">
        <f t="shared" si="100"/>
        <v>0.5606432748538015</v>
      </c>
      <c r="N441" s="42">
        <f t="shared" si="101"/>
        <v>171</v>
      </c>
      <c r="O441" s="42">
        <f t="shared" si="102"/>
        <v>10182</v>
      </c>
      <c r="P441" s="42">
        <f t="shared" si="103"/>
        <v>59.543859649122808</v>
      </c>
      <c r="Q441" s="42">
        <f t="shared" si="104"/>
        <v>171</v>
      </c>
      <c r="R441" s="42" t="str">
        <f t="shared" si="105"/>
        <v>4</v>
      </c>
      <c r="S441" s="42" t="str">
        <f t="shared" si="106"/>
        <v>0</v>
      </c>
      <c r="T441" s="42">
        <f t="shared" si="107"/>
        <v>3</v>
      </c>
      <c r="U441" s="42">
        <f t="shared" si="108"/>
        <v>89</v>
      </c>
      <c r="V441" s="42">
        <f t="shared" si="109"/>
        <v>3183</v>
      </c>
      <c r="W441" s="42">
        <f t="shared" si="110"/>
        <v>49.316801509098106</v>
      </c>
      <c r="X441" s="42">
        <f t="shared" si="111"/>
        <v>0.18825987366070532</v>
      </c>
    </row>
    <row r="442" spans="1:24" x14ac:dyDescent="0.2">
      <c r="A442" s="49">
        <v>440</v>
      </c>
      <c r="B442" s="49">
        <v>441</v>
      </c>
      <c r="C442" s="49">
        <v>0.2273</v>
      </c>
      <c r="D442" s="49">
        <v>0.52</v>
      </c>
      <c r="E442" s="49">
        <v>0.22389999999999999</v>
      </c>
      <c r="F442" s="49">
        <v>3</v>
      </c>
      <c r="G442" s="49">
        <v>140</v>
      </c>
      <c r="H442" s="49">
        <v>143</v>
      </c>
      <c r="I442" s="42">
        <f t="shared" si="96"/>
        <v>28.228799999999989</v>
      </c>
      <c r="J442" s="42">
        <f t="shared" si="97"/>
        <v>0.16605176470588229</v>
      </c>
      <c r="K442" s="42">
        <f t="shared" si="98"/>
        <v>170</v>
      </c>
      <c r="L442" s="42">
        <f t="shared" si="99"/>
        <v>95.320000000000064</v>
      </c>
      <c r="M442" s="42">
        <f t="shared" si="100"/>
        <v>0.56070588235294161</v>
      </c>
      <c r="N442" s="42">
        <f t="shared" si="101"/>
        <v>170</v>
      </c>
      <c r="O442" s="42">
        <f t="shared" si="102"/>
        <v>9933</v>
      </c>
      <c r="P442" s="42">
        <f t="shared" si="103"/>
        <v>58.429411764705883</v>
      </c>
      <c r="Q442" s="42">
        <f t="shared" si="104"/>
        <v>170</v>
      </c>
      <c r="R442" s="42" t="str">
        <f t="shared" si="105"/>
        <v>4</v>
      </c>
      <c r="S442" s="42" t="str">
        <f t="shared" si="106"/>
        <v>1</v>
      </c>
      <c r="T442" s="42">
        <f t="shared" si="107"/>
        <v>3</v>
      </c>
      <c r="U442" s="42">
        <f t="shared" si="108"/>
        <v>89</v>
      </c>
      <c r="V442" s="42">
        <f t="shared" si="109"/>
        <v>3183</v>
      </c>
      <c r="W442" s="42">
        <f t="shared" si="110"/>
        <v>49.316801509098106</v>
      </c>
      <c r="X442" s="42">
        <f t="shared" si="111"/>
        <v>0.18825987366070532</v>
      </c>
    </row>
    <row r="443" spans="1:24" x14ac:dyDescent="0.2">
      <c r="A443" s="49">
        <v>441</v>
      </c>
      <c r="B443" s="49">
        <v>442</v>
      </c>
      <c r="C443" s="49">
        <v>0.2273</v>
      </c>
      <c r="D443" s="49">
        <v>0.48</v>
      </c>
      <c r="E443" s="49">
        <v>0.29849999999999999</v>
      </c>
      <c r="F443" s="49">
        <v>1</v>
      </c>
      <c r="G443" s="49">
        <v>56</v>
      </c>
      <c r="H443" s="49">
        <v>57</v>
      </c>
      <c r="I443" s="42">
        <f t="shared" si="96"/>
        <v>28.001499999999989</v>
      </c>
      <c r="J443" s="42">
        <f t="shared" si="97"/>
        <v>0.16568934911242597</v>
      </c>
      <c r="K443" s="42">
        <f t="shared" si="98"/>
        <v>169</v>
      </c>
      <c r="L443" s="42">
        <f t="shared" si="99"/>
        <v>94.800000000000054</v>
      </c>
      <c r="M443" s="42">
        <f t="shared" si="100"/>
        <v>0.56094674556213053</v>
      </c>
      <c r="N443" s="42">
        <f t="shared" si="101"/>
        <v>169</v>
      </c>
      <c r="O443" s="42">
        <f t="shared" si="102"/>
        <v>9790</v>
      </c>
      <c r="P443" s="42">
        <f t="shared" si="103"/>
        <v>57.928994082840234</v>
      </c>
      <c r="Q443" s="42">
        <f t="shared" si="104"/>
        <v>169</v>
      </c>
      <c r="R443" s="42" t="str">
        <f t="shared" si="105"/>
        <v>4</v>
      </c>
      <c r="S443" s="42" t="str">
        <f t="shared" si="106"/>
        <v>2</v>
      </c>
      <c r="T443" s="42">
        <f t="shared" si="107"/>
        <v>3</v>
      </c>
      <c r="U443" s="42">
        <f t="shared" si="108"/>
        <v>89</v>
      </c>
      <c r="V443" s="42">
        <f t="shared" si="109"/>
        <v>3183</v>
      </c>
      <c r="W443" s="42">
        <f t="shared" si="110"/>
        <v>49.316801509098106</v>
      </c>
      <c r="X443" s="42">
        <f t="shared" si="111"/>
        <v>0.18825987366070532</v>
      </c>
    </row>
    <row r="444" spans="1:24" x14ac:dyDescent="0.2">
      <c r="A444" s="49">
        <v>442</v>
      </c>
      <c r="B444" s="49">
        <v>443</v>
      </c>
      <c r="C444" s="49">
        <v>0.2727</v>
      </c>
      <c r="D444" s="49">
        <v>0.45</v>
      </c>
      <c r="E444" s="49">
        <v>0.16420000000000001</v>
      </c>
      <c r="F444" s="49">
        <v>5</v>
      </c>
      <c r="G444" s="49">
        <v>63</v>
      </c>
      <c r="H444" s="49">
        <v>68</v>
      </c>
      <c r="I444" s="42">
        <f t="shared" si="96"/>
        <v>27.77419999999999</v>
      </c>
      <c r="J444" s="42">
        <f t="shared" si="97"/>
        <v>0.165322619047619</v>
      </c>
      <c r="K444" s="42">
        <f t="shared" si="98"/>
        <v>168</v>
      </c>
      <c r="L444" s="42">
        <f t="shared" si="99"/>
        <v>94.320000000000064</v>
      </c>
      <c r="M444" s="42">
        <f t="shared" si="100"/>
        <v>0.56142857142857183</v>
      </c>
      <c r="N444" s="42">
        <f t="shared" si="101"/>
        <v>168</v>
      </c>
      <c r="O444" s="42">
        <f t="shared" si="102"/>
        <v>9733</v>
      </c>
      <c r="P444" s="42">
        <f t="shared" si="103"/>
        <v>57.93452380952381</v>
      </c>
      <c r="Q444" s="42">
        <f t="shared" si="104"/>
        <v>168</v>
      </c>
      <c r="R444" s="42" t="str">
        <f t="shared" si="105"/>
        <v>4</v>
      </c>
      <c r="S444" s="42" t="str">
        <f t="shared" si="106"/>
        <v>3</v>
      </c>
      <c r="T444" s="42">
        <f t="shared" si="107"/>
        <v>3</v>
      </c>
      <c r="U444" s="42">
        <f t="shared" si="108"/>
        <v>89</v>
      </c>
      <c r="V444" s="42">
        <f t="shared" si="109"/>
        <v>3183</v>
      </c>
      <c r="W444" s="42">
        <f t="shared" si="110"/>
        <v>49.316801509098106</v>
      </c>
      <c r="X444" s="42">
        <f t="shared" si="111"/>
        <v>0.18825987366070532</v>
      </c>
    </row>
    <row r="445" spans="1:24" x14ac:dyDescent="0.2">
      <c r="A445" s="49">
        <v>443</v>
      </c>
      <c r="B445" s="49">
        <v>444</v>
      </c>
      <c r="C445" s="49">
        <v>0.33329999999999999</v>
      </c>
      <c r="D445" s="49">
        <v>0.42</v>
      </c>
      <c r="E445" s="49">
        <v>0</v>
      </c>
      <c r="F445" s="49">
        <v>7</v>
      </c>
      <c r="G445" s="49">
        <v>77</v>
      </c>
      <c r="H445" s="49">
        <v>84</v>
      </c>
      <c r="I445" s="42">
        <f t="shared" si="96"/>
        <v>27.501499999999989</v>
      </c>
      <c r="J445" s="42">
        <f t="shared" si="97"/>
        <v>0.16467964071856281</v>
      </c>
      <c r="K445" s="42">
        <f t="shared" si="98"/>
        <v>167</v>
      </c>
      <c r="L445" s="42">
        <f t="shared" si="99"/>
        <v>93.870000000000061</v>
      </c>
      <c r="M445" s="42">
        <f t="shared" si="100"/>
        <v>0.56209580838323392</v>
      </c>
      <c r="N445" s="42">
        <f t="shared" si="101"/>
        <v>167</v>
      </c>
      <c r="O445" s="42">
        <f t="shared" si="102"/>
        <v>9665</v>
      </c>
      <c r="P445" s="42">
        <f t="shared" si="103"/>
        <v>57.874251497005986</v>
      </c>
      <c r="Q445" s="42">
        <f t="shared" si="104"/>
        <v>167</v>
      </c>
      <c r="R445" s="42" t="str">
        <f t="shared" si="105"/>
        <v>4</v>
      </c>
      <c r="S445" s="42" t="str">
        <f t="shared" si="106"/>
        <v>4</v>
      </c>
      <c r="T445" s="42">
        <f t="shared" si="107"/>
        <v>3</v>
      </c>
      <c r="U445" s="42">
        <f t="shared" si="108"/>
        <v>89</v>
      </c>
      <c r="V445" s="42">
        <f t="shared" si="109"/>
        <v>3183</v>
      </c>
      <c r="W445" s="42">
        <f t="shared" si="110"/>
        <v>49.316801509098106</v>
      </c>
      <c r="X445" s="42">
        <f t="shared" si="111"/>
        <v>0.18825987366070532</v>
      </c>
    </row>
    <row r="446" spans="1:24" x14ac:dyDescent="0.2">
      <c r="A446" s="49">
        <v>444</v>
      </c>
      <c r="B446" s="49">
        <v>445</v>
      </c>
      <c r="C446" s="49">
        <v>0.28789999999999999</v>
      </c>
      <c r="D446" s="49">
        <v>0.45</v>
      </c>
      <c r="E446" s="49">
        <v>0.1045</v>
      </c>
      <c r="F446" s="49">
        <v>12</v>
      </c>
      <c r="G446" s="49">
        <v>86</v>
      </c>
      <c r="H446" s="49">
        <v>98</v>
      </c>
      <c r="I446" s="42">
        <f t="shared" si="96"/>
        <v>27.168199999999988</v>
      </c>
      <c r="J446" s="42">
        <f t="shared" si="97"/>
        <v>0.16366385542168668</v>
      </c>
      <c r="K446" s="42">
        <f t="shared" si="98"/>
        <v>166</v>
      </c>
      <c r="L446" s="42">
        <f t="shared" si="99"/>
        <v>93.45000000000006</v>
      </c>
      <c r="M446" s="42">
        <f t="shared" si="100"/>
        <v>0.56295180722891602</v>
      </c>
      <c r="N446" s="42">
        <f t="shared" si="101"/>
        <v>166</v>
      </c>
      <c r="O446" s="42">
        <f t="shared" si="102"/>
        <v>9581</v>
      </c>
      <c r="P446" s="42">
        <f t="shared" si="103"/>
        <v>57.716867469879517</v>
      </c>
      <c r="Q446" s="42">
        <f t="shared" si="104"/>
        <v>166</v>
      </c>
      <c r="R446" s="42" t="str">
        <f t="shared" si="105"/>
        <v>4</v>
      </c>
      <c r="S446" s="42" t="str">
        <f t="shared" si="106"/>
        <v>5</v>
      </c>
      <c r="T446" s="42">
        <f t="shared" si="107"/>
        <v>3</v>
      </c>
      <c r="U446" s="42">
        <f t="shared" si="108"/>
        <v>89</v>
      </c>
      <c r="V446" s="42">
        <f t="shared" si="109"/>
        <v>3183</v>
      </c>
      <c r="W446" s="42">
        <f t="shared" si="110"/>
        <v>49.316801509098106</v>
      </c>
      <c r="X446" s="42">
        <f t="shared" si="111"/>
        <v>0.18825987366070532</v>
      </c>
    </row>
    <row r="447" spans="1:24" x14ac:dyDescent="0.2">
      <c r="A447" s="49">
        <v>445</v>
      </c>
      <c r="B447" s="49">
        <v>446</v>
      </c>
      <c r="C447" s="49">
        <v>0.30299999999999999</v>
      </c>
      <c r="D447" s="49">
        <v>0.45</v>
      </c>
      <c r="E447" s="49">
        <v>0.1343</v>
      </c>
      <c r="F447" s="49">
        <v>6</v>
      </c>
      <c r="G447" s="49">
        <v>75</v>
      </c>
      <c r="H447" s="49">
        <v>81</v>
      </c>
      <c r="I447" s="42">
        <f t="shared" si="96"/>
        <v>26.880299999999991</v>
      </c>
      <c r="J447" s="42">
        <f t="shared" si="97"/>
        <v>0.16291090909090905</v>
      </c>
      <c r="K447" s="42">
        <f t="shared" si="98"/>
        <v>165</v>
      </c>
      <c r="L447" s="42">
        <f t="shared" si="99"/>
        <v>93.000000000000071</v>
      </c>
      <c r="M447" s="42">
        <f t="shared" si="100"/>
        <v>0.56363636363636405</v>
      </c>
      <c r="N447" s="42">
        <f t="shared" si="101"/>
        <v>165</v>
      </c>
      <c r="O447" s="42">
        <f t="shared" si="102"/>
        <v>9483</v>
      </c>
      <c r="P447" s="42">
        <f t="shared" si="103"/>
        <v>57.472727272727276</v>
      </c>
      <c r="Q447" s="42">
        <f t="shared" si="104"/>
        <v>165</v>
      </c>
      <c r="R447" s="42" t="str">
        <f t="shared" si="105"/>
        <v>4</v>
      </c>
      <c r="S447" s="42" t="str">
        <f t="shared" si="106"/>
        <v>6</v>
      </c>
      <c r="T447" s="42">
        <f t="shared" si="107"/>
        <v>3</v>
      </c>
      <c r="U447" s="42">
        <f t="shared" si="108"/>
        <v>89</v>
      </c>
      <c r="V447" s="42">
        <f t="shared" si="109"/>
        <v>3183</v>
      </c>
      <c r="W447" s="42">
        <f t="shared" si="110"/>
        <v>49.316801509098106</v>
      </c>
      <c r="X447" s="42">
        <f t="shared" si="111"/>
        <v>0.18825987366070532</v>
      </c>
    </row>
    <row r="448" spans="1:24" x14ac:dyDescent="0.2">
      <c r="A448" s="49">
        <v>446</v>
      </c>
      <c r="B448" s="49">
        <v>447</v>
      </c>
      <c r="C448" s="49">
        <v>0.31819999999999998</v>
      </c>
      <c r="D448" s="49">
        <v>0.45</v>
      </c>
      <c r="E448" s="49">
        <v>0.19400000000000001</v>
      </c>
      <c r="F448" s="49">
        <v>8</v>
      </c>
      <c r="G448" s="49">
        <v>62</v>
      </c>
      <c r="H448" s="49">
        <v>70</v>
      </c>
      <c r="I448" s="42">
        <f t="shared" si="96"/>
        <v>26.57729999999999</v>
      </c>
      <c r="J448" s="42">
        <f t="shared" si="97"/>
        <v>0.16205670731707311</v>
      </c>
      <c r="K448" s="42">
        <f t="shared" si="98"/>
        <v>164</v>
      </c>
      <c r="L448" s="42">
        <f t="shared" si="99"/>
        <v>92.550000000000068</v>
      </c>
      <c r="M448" s="42">
        <f t="shared" si="100"/>
        <v>0.56432926829268337</v>
      </c>
      <c r="N448" s="42">
        <f t="shared" si="101"/>
        <v>164</v>
      </c>
      <c r="O448" s="42">
        <f t="shared" si="102"/>
        <v>9402</v>
      </c>
      <c r="P448" s="42">
        <f t="shared" si="103"/>
        <v>57.329268292682926</v>
      </c>
      <c r="Q448" s="42">
        <f t="shared" si="104"/>
        <v>164</v>
      </c>
      <c r="R448" s="42" t="str">
        <f t="shared" si="105"/>
        <v>4</v>
      </c>
      <c r="S448" s="42" t="str">
        <f t="shared" si="106"/>
        <v>7</v>
      </c>
      <c r="T448" s="42">
        <f t="shared" si="107"/>
        <v>3</v>
      </c>
      <c r="U448" s="42">
        <f t="shared" si="108"/>
        <v>89</v>
      </c>
      <c r="V448" s="42">
        <f t="shared" si="109"/>
        <v>3183</v>
      </c>
      <c r="W448" s="42">
        <f t="shared" si="110"/>
        <v>49.316801509098106</v>
      </c>
      <c r="X448" s="42">
        <f t="shared" si="111"/>
        <v>0.18825987366070532</v>
      </c>
    </row>
    <row r="449" spans="1:24" x14ac:dyDescent="0.2">
      <c r="A449" s="49">
        <v>447</v>
      </c>
      <c r="B449" s="49">
        <v>448</v>
      </c>
      <c r="C449" s="49">
        <v>0.30299999999999999</v>
      </c>
      <c r="D449" s="49">
        <v>0.49</v>
      </c>
      <c r="E449" s="49">
        <v>0.1343</v>
      </c>
      <c r="F449" s="49">
        <v>8</v>
      </c>
      <c r="G449" s="49">
        <v>83</v>
      </c>
      <c r="H449" s="49">
        <v>91</v>
      </c>
      <c r="I449" s="42">
        <f t="shared" si="96"/>
        <v>26.259099999999989</v>
      </c>
      <c r="J449" s="42">
        <f t="shared" si="97"/>
        <v>0.1610987730061349</v>
      </c>
      <c r="K449" s="42">
        <f t="shared" si="98"/>
        <v>163</v>
      </c>
      <c r="L449" s="42">
        <f t="shared" si="99"/>
        <v>92.100000000000065</v>
      </c>
      <c r="M449" s="42">
        <f t="shared" si="100"/>
        <v>0.56503067484662617</v>
      </c>
      <c r="N449" s="42">
        <f t="shared" si="101"/>
        <v>163</v>
      </c>
      <c r="O449" s="42">
        <f t="shared" si="102"/>
        <v>9332</v>
      </c>
      <c r="P449" s="42">
        <f t="shared" si="103"/>
        <v>57.25153374233129</v>
      </c>
      <c r="Q449" s="42">
        <f t="shared" si="104"/>
        <v>163</v>
      </c>
      <c r="R449" s="42" t="str">
        <f t="shared" si="105"/>
        <v>4</v>
      </c>
      <c r="S449" s="42" t="str">
        <f t="shared" si="106"/>
        <v>8</v>
      </c>
      <c r="T449" s="42">
        <f t="shared" si="107"/>
        <v>3</v>
      </c>
      <c r="U449" s="42">
        <f t="shared" si="108"/>
        <v>89</v>
      </c>
      <c r="V449" s="42">
        <f t="shared" si="109"/>
        <v>3183</v>
      </c>
      <c r="W449" s="42">
        <f t="shared" si="110"/>
        <v>49.316801509098106</v>
      </c>
      <c r="X449" s="42">
        <f t="shared" si="111"/>
        <v>0.18825987366070532</v>
      </c>
    </row>
    <row r="450" spans="1:24" x14ac:dyDescent="0.2">
      <c r="A450" s="49">
        <v>448</v>
      </c>
      <c r="B450" s="49">
        <v>449</v>
      </c>
      <c r="C450" s="49">
        <v>0.31819999999999998</v>
      </c>
      <c r="D450" s="49">
        <v>0.49</v>
      </c>
      <c r="E450" s="49">
        <v>0.1045</v>
      </c>
      <c r="F450" s="49">
        <v>8</v>
      </c>
      <c r="G450" s="49">
        <v>207</v>
      </c>
      <c r="H450" s="49">
        <v>215</v>
      </c>
      <c r="I450" s="42">
        <f t="shared" si="96"/>
        <v>25.956099999999989</v>
      </c>
      <c r="J450" s="42">
        <f t="shared" si="97"/>
        <v>0.16022283950617278</v>
      </c>
      <c r="K450" s="42">
        <f t="shared" si="98"/>
        <v>162</v>
      </c>
      <c r="L450" s="42">
        <f t="shared" si="99"/>
        <v>91.61000000000007</v>
      </c>
      <c r="M450" s="42">
        <f t="shared" si="100"/>
        <v>0.56549382716049423</v>
      </c>
      <c r="N450" s="42">
        <f t="shared" si="101"/>
        <v>162</v>
      </c>
      <c r="O450" s="42">
        <f t="shared" si="102"/>
        <v>9241</v>
      </c>
      <c r="P450" s="42">
        <f t="shared" si="103"/>
        <v>57.043209876543209</v>
      </c>
      <c r="Q450" s="42">
        <f t="shared" si="104"/>
        <v>162</v>
      </c>
      <c r="R450" s="42" t="str">
        <f t="shared" si="105"/>
        <v>4</v>
      </c>
      <c r="S450" s="42" t="str">
        <f t="shared" si="106"/>
        <v>9</v>
      </c>
      <c r="T450" s="42">
        <f t="shared" si="107"/>
        <v>3</v>
      </c>
      <c r="U450" s="42">
        <f t="shared" si="108"/>
        <v>89</v>
      </c>
      <c r="V450" s="42">
        <f t="shared" si="109"/>
        <v>3183</v>
      </c>
      <c r="W450" s="42">
        <f t="shared" si="110"/>
        <v>49.316801509098106</v>
      </c>
      <c r="X450" s="42">
        <f t="shared" si="111"/>
        <v>0.18825987366070532</v>
      </c>
    </row>
    <row r="451" spans="1:24" x14ac:dyDescent="0.2">
      <c r="A451" s="49">
        <v>449</v>
      </c>
      <c r="B451" s="49">
        <v>450</v>
      </c>
      <c r="C451" s="49">
        <v>0.2576</v>
      </c>
      <c r="D451" s="49">
        <v>0.56000000000000005</v>
      </c>
      <c r="E451" s="49">
        <v>0.19400000000000001</v>
      </c>
      <c r="F451" s="49">
        <v>1</v>
      </c>
      <c r="G451" s="49">
        <v>184</v>
      </c>
      <c r="H451" s="49">
        <v>185</v>
      </c>
      <c r="I451" s="42">
        <f t="shared" ref="I451:I514" si="112">SUM(C451:C1060)</f>
        <v>25.637899999999988</v>
      </c>
      <c r="J451" s="42">
        <f t="shared" ref="J451:J514" si="113">AVERAGE(C451:C1060)</f>
        <v>0.15924161490683222</v>
      </c>
      <c r="K451" s="42">
        <f t="shared" ref="K451:K514" si="114">COUNT(C451:C1060)</f>
        <v>161</v>
      </c>
      <c r="L451" s="42">
        <f t="shared" ref="L451:L514" si="115">SUM(D451:D1060)</f>
        <v>91.120000000000061</v>
      </c>
      <c r="M451" s="42">
        <f t="shared" ref="M451:M514" si="116">AVERAGE(D451:D1060)</f>
        <v>0.56596273291925503</v>
      </c>
      <c r="N451" s="42">
        <f t="shared" ref="N451:N514" si="117">COUNT(D451:D1060)</f>
        <v>161</v>
      </c>
      <c r="O451" s="42">
        <f t="shared" ref="O451:O514" si="118">SUM(H451:H1060)</f>
        <v>9026</v>
      </c>
      <c r="P451" s="42">
        <f t="shared" ref="P451:P514" si="119">AVERAGE(H451:H1060)</f>
        <v>56.062111801242239</v>
      </c>
      <c r="Q451" s="42">
        <f t="shared" ref="Q451:Q514" si="120">COUNT(H451:H1060)</f>
        <v>161</v>
      </c>
      <c r="R451" s="42" t="str">
        <f t="shared" ref="R451:R514" si="121">LEFT(B451,1)</f>
        <v>4</v>
      </c>
      <c r="S451" s="42" t="str">
        <f t="shared" ref="S451:S514" si="122">RIGHT(B451,1)</f>
        <v>0</v>
      </c>
      <c r="T451" s="42">
        <f t="shared" ref="T451:T514" si="123">LEN(B451)</f>
        <v>3</v>
      </c>
      <c r="U451" s="42">
        <f t="shared" ref="U451:U514" si="124">COUNTIF(H:H,"&gt;100")</f>
        <v>89</v>
      </c>
      <c r="V451" s="42">
        <f t="shared" ref="V451:V514" si="125">SUMIF(D:D,"&gt;0.8",H:H)</f>
        <v>3183</v>
      </c>
      <c r="W451" s="42">
        <f t="shared" ref="W451:W514" si="126">STDEV(H:H)</f>
        <v>49.316801509098106</v>
      </c>
      <c r="X451" s="42">
        <f t="shared" ref="X451:X514" si="127">CORREL(C:C,H:H)</f>
        <v>0.18825987366070532</v>
      </c>
    </row>
    <row r="452" spans="1:24" x14ac:dyDescent="0.2">
      <c r="A452" s="49">
        <v>450</v>
      </c>
      <c r="B452" s="49">
        <v>451</v>
      </c>
      <c r="C452" s="49">
        <v>0.2273</v>
      </c>
      <c r="D452" s="49">
        <v>0.56000000000000005</v>
      </c>
      <c r="E452" s="49">
        <v>0.32840000000000003</v>
      </c>
      <c r="F452" s="49">
        <v>6</v>
      </c>
      <c r="G452" s="49">
        <v>146</v>
      </c>
      <c r="H452" s="49">
        <v>152</v>
      </c>
      <c r="I452" s="42">
        <f t="shared" si="112"/>
        <v>25.380299999999984</v>
      </c>
      <c r="J452" s="42">
        <f t="shared" si="113"/>
        <v>0.15862687499999989</v>
      </c>
      <c r="K452" s="42">
        <f t="shared" si="114"/>
        <v>160</v>
      </c>
      <c r="L452" s="42">
        <f t="shared" si="115"/>
        <v>90.560000000000073</v>
      </c>
      <c r="M452" s="42">
        <f t="shared" si="116"/>
        <v>0.5660000000000005</v>
      </c>
      <c r="N452" s="42">
        <f t="shared" si="117"/>
        <v>160</v>
      </c>
      <c r="O452" s="42">
        <f t="shared" si="118"/>
        <v>8841</v>
      </c>
      <c r="P452" s="42">
        <f t="shared" si="119"/>
        <v>55.256250000000001</v>
      </c>
      <c r="Q452" s="42">
        <f t="shared" si="120"/>
        <v>160</v>
      </c>
      <c r="R452" s="42" t="str">
        <f t="shared" si="121"/>
        <v>4</v>
      </c>
      <c r="S452" s="42" t="str">
        <f t="shared" si="122"/>
        <v>1</v>
      </c>
      <c r="T452" s="42">
        <f t="shared" si="123"/>
        <v>3</v>
      </c>
      <c r="U452" s="42">
        <f t="shared" si="124"/>
        <v>89</v>
      </c>
      <c r="V452" s="42">
        <f t="shared" si="125"/>
        <v>3183</v>
      </c>
      <c r="W452" s="42">
        <f t="shared" si="126"/>
        <v>49.316801509098106</v>
      </c>
      <c r="X452" s="42">
        <f t="shared" si="127"/>
        <v>0.18825987366070532</v>
      </c>
    </row>
    <row r="453" spans="1:24" x14ac:dyDescent="0.2">
      <c r="A453" s="49">
        <v>451</v>
      </c>
      <c r="B453" s="49">
        <v>452</v>
      </c>
      <c r="C453" s="49">
        <v>0.2424</v>
      </c>
      <c r="D453" s="49">
        <v>0.6</v>
      </c>
      <c r="E453" s="49">
        <v>0.28360000000000002</v>
      </c>
      <c r="F453" s="49">
        <v>2</v>
      </c>
      <c r="G453" s="49">
        <v>124</v>
      </c>
      <c r="H453" s="49">
        <v>126</v>
      </c>
      <c r="I453" s="42">
        <f t="shared" si="112"/>
        <v>25.152999999999988</v>
      </c>
      <c r="J453" s="42">
        <f t="shared" si="113"/>
        <v>0.15819496855345905</v>
      </c>
      <c r="K453" s="42">
        <f t="shared" si="114"/>
        <v>159</v>
      </c>
      <c r="L453" s="42">
        <f t="shared" si="115"/>
        <v>90.000000000000057</v>
      </c>
      <c r="M453" s="42">
        <f t="shared" si="116"/>
        <v>0.56603773584905692</v>
      </c>
      <c r="N453" s="42">
        <f t="shared" si="117"/>
        <v>159</v>
      </c>
      <c r="O453" s="42">
        <f t="shared" si="118"/>
        <v>8689</v>
      </c>
      <c r="P453" s="42">
        <f t="shared" si="119"/>
        <v>54.647798742138363</v>
      </c>
      <c r="Q453" s="42">
        <f t="shared" si="120"/>
        <v>159</v>
      </c>
      <c r="R453" s="42" t="str">
        <f t="shared" si="121"/>
        <v>4</v>
      </c>
      <c r="S453" s="42" t="str">
        <f t="shared" si="122"/>
        <v>2</v>
      </c>
      <c r="T453" s="42">
        <f t="shared" si="123"/>
        <v>3</v>
      </c>
      <c r="U453" s="42">
        <f t="shared" si="124"/>
        <v>89</v>
      </c>
      <c r="V453" s="42">
        <f t="shared" si="125"/>
        <v>3183</v>
      </c>
      <c r="W453" s="42">
        <f t="shared" si="126"/>
        <v>49.316801509098106</v>
      </c>
      <c r="X453" s="42">
        <f t="shared" si="127"/>
        <v>0.18825987366070532</v>
      </c>
    </row>
    <row r="454" spans="1:24" x14ac:dyDescent="0.2">
      <c r="A454" s="49">
        <v>452</v>
      </c>
      <c r="B454" s="49">
        <v>453</v>
      </c>
      <c r="C454" s="49">
        <v>0.2273</v>
      </c>
      <c r="D454" s="49">
        <v>0.6</v>
      </c>
      <c r="E454" s="49">
        <v>0.25369999999999998</v>
      </c>
      <c r="F454" s="49">
        <v>3</v>
      </c>
      <c r="G454" s="49">
        <v>54</v>
      </c>
      <c r="H454" s="49">
        <v>57</v>
      </c>
      <c r="I454" s="42">
        <f t="shared" si="112"/>
        <v>24.910599999999988</v>
      </c>
      <c r="J454" s="42">
        <f t="shared" si="113"/>
        <v>0.15766202531645562</v>
      </c>
      <c r="K454" s="42">
        <f t="shared" si="114"/>
        <v>158</v>
      </c>
      <c r="L454" s="42">
        <f t="shared" si="115"/>
        <v>89.400000000000048</v>
      </c>
      <c r="M454" s="42">
        <f t="shared" si="116"/>
        <v>0.56582278481012693</v>
      </c>
      <c r="N454" s="42">
        <f t="shared" si="117"/>
        <v>158</v>
      </c>
      <c r="O454" s="42">
        <f t="shared" si="118"/>
        <v>8563</v>
      </c>
      <c r="P454" s="42">
        <f t="shared" si="119"/>
        <v>54.196202531645568</v>
      </c>
      <c r="Q454" s="42">
        <f t="shared" si="120"/>
        <v>158</v>
      </c>
      <c r="R454" s="42" t="str">
        <f t="shared" si="121"/>
        <v>4</v>
      </c>
      <c r="S454" s="42" t="str">
        <f t="shared" si="122"/>
        <v>3</v>
      </c>
      <c r="T454" s="42">
        <f t="shared" si="123"/>
        <v>3</v>
      </c>
      <c r="U454" s="42">
        <f t="shared" si="124"/>
        <v>89</v>
      </c>
      <c r="V454" s="42">
        <f t="shared" si="125"/>
        <v>3183</v>
      </c>
      <c r="W454" s="42">
        <f t="shared" si="126"/>
        <v>49.316801509098106</v>
      </c>
      <c r="X454" s="42">
        <f t="shared" si="127"/>
        <v>0.18825987366070532</v>
      </c>
    </row>
    <row r="455" spans="1:24" x14ac:dyDescent="0.2">
      <c r="A455" s="49">
        <v>453</v>
      </c>
      <c r="B455" s="49">
        <v>454</v>
      </c>
      <c r="C455" s="49">
        <v>0.21210000000000001</v>
      </c>
      <c r="D455" s="49">
        <v>0.65</v>
      </c>
      <c r="E455" s="49">
        <v>0.28360000000000002</v>
      </c>
      <c r="F455" s="49">
        <v>0</v>
      </c>
      <c r="G455" s="49">
        <v>56</v>
      </c>
      <c r="H455" s="49">
        <v>56</v>
      </c>
      <c r="I455" s="42">
        <f t="shared" si="112"/>
        <v>24.683299999999988</v>
      </c>
      <c r="J455" s="42">
        <f t="shared" si="113"/>
        <v>0.15721847133757955</v>
      </c>
      <c r="K455" s="42">
        <f t="shared" si="114"/>
        <v>157</v>
      </c>
      <c r="L455" s="42">
        <f t="shared" si="115"/>
        <v>88.800000000000054</v>
      </c>
      <c r="M455" s="42">
        <f t="shared" si="116"/>
        <v>0.56560509554140159</v>
      </c>
      <c r="N455" s="42">
        <f t="shared" si="117"/>
        <v>157</v>
      </c>
      <c r="O455" s="42">
        <f t="shared" si="118"/>
        <v>8506</v>
      </c>
      <c r="P455" s="42">
        <f t="shared" si="119"/>
        <v>54.178343949044589</v>
      </c>
      <c r="Q455" s="42">
        <f t="shared" si="120"/>
        <v>157</v>
      </c>
      <c r="R455" s="42" t="str">
        <f t="shared" si="121"/>
        <v>4</v>
      </c>
      <c r="S455" s="42" t="str">
        <f t="shared" si="122"/>
        <v>4</v>
      </c>
      <c r="T455" s="42">
        <f t="shared" si="123"/>
        <v>3</v>
      </c>
      <c r="U455" s="42">
        <f t="shared" si="124"/>
        <v>89</v>
      </c>
      <c r="V455" s="42">
        <f t="shared" si="125"/>
        <v>3183</v>
      </c>
      <c r="W455" s="42">
        <f t="shared" si="126"/>
        <v>49.316801509098106</v>
      </c>
      <c r="X455" s="42">
        <f t="shared" si="127"/>
        <v>0.18825987366070532</v>
      </c>
    </row>
    <row r="456" spans="1:24" x14ac:dyDescent="0.2">
      <c r="A456" s="49">
        <v>454</v>
      </c>
      <c r="B456" s="49">
        <v>455</v>
      </c>
      <c r="C456" s="49">
        <v>0.21210000000000001</v>
      </c>
      <c r="D456" s="49">
        <v>0.65</v>
      </c>
      <c r="E456" s="49">
        <v>0.32840000000000003</v>
      </c>
      <c r="F456" s="49">
        <v>3</v>
      </c>
      <c r="G456" s="49">
        <v>28</v>
      </c>
      <c r="H456" s="49">
        <v>31</v>
      </c>
      <c r="I456" s="42">
        <f t="shared" si="112"/>
        <v>24.471199999999989</v>
      </c>
      <c r="J456" s="42">
        <f t="shared" si="113"/>
        <v>0.1568666666666666</v>
      </c>
      <c r="K456" s="42">
        <f t="shared" si="114"/>
        <v>156</v>
      </c>
      <c r="L456" s="42">
        <f t="shared" si="115"/>
        <v>88.150000000000034</v>
      </c>
      <c r="M456" s="42">
        <f t="shared" si="116"/>
        <v>0.56506410256410278</v>
      </c>
      <c r="N456" s="42">
        <f t="shared" si="117"/>
        <v>156</v>
      </c>
      <c r="O456" s="42">
        <f t="shared" si="118"/>
        <v>8450</v>
      </c>
      <c r="P456" s="42">
        <f t="shared" si="119"/>
        <v>54.166666666666664</v>
      </c>
      <c r="Q456" s="42">
        <f t="shared" si="120"/>
        <v>156</v>
      </c>
      <c r="R456" s="42" t="str">
        <f t="shared" si="121"/>
        <v>4</v>
      </c>
      <c r="S456" s="42" t="str">
        <f t="shared" si="122"/>
        <v>5</v>
      </c>
      <c r="T456" s="42">
        <f t="shared" si="123"/>
        <v>3</v>
      </c>
      <c r="U456" s="42">
        <f t="shared" si="124"/>
        <v>89</v>
      </c>
      <c r="V456" s="42">
        <f t="shared" si="125"/>
        <v>3183</v>
      </c>
      <c r="W456" s="42">
        <f t="shared" si="126"/>
        <v>49.316801509098106</v>
      </c>
      <c r="X456" s="42">
        <f t="shared" si="127"/>
        <v>0.18825987366070532</v>
      </c>
    </row>
    <row r="457" spans="1:24" x14ac:dyDescent="0.2">
      <c r="A457" s="49">
        <v>455</v>
      </c>
      <c r="B457" s="49">
        <v>456</v>
      </c>
      <c r="C457" s="49">
        <v>0.2273</v>
      </c>
      <c r="D457" s="49">
        <v>0.7</v>
      </c>
      <c r="E457" s="49">
        <v>0.25369999999999998</v>
      </c>
      <c r="F457" s="49">
        <v>1</v>
      </c>
      <c r="G457" s="49">
        <v>20</v>
      </c>
      <c r="H457" s="49">
        <v>21</v>
      </c>
      <c r="I457" s="42">
        <f t="shared" si="112"/>
        <v>24.259099999999982</v>
      </c>
      <c r="J457" s="42">
        <f t="shared" si="113"/>
        <v>0.15651032258064504</v>
      </c>
      <c r="K457" s="42">
        <f t="shared" si="114"/>
        <v>155</v>
      </c>
      <c r="L457" s="42">
        <f t="shared" si="115"/>
        <v>87.500000000000028</v>
      </c>
      <c r="M457" s="42">
        <f t="shared" si="116"/>
        <v>0.56451612903225823</v>
      </c>
      <c r="N457" s="42">
        <f t="shared" si="117"/>
        <v>155</v>
      </c>
      <c r="O457" s="42">
        <f t="shared" si="118"/>
        <v>8419</v>
      </c>
      <c r="P457" s="42">
        <f t="shared" si="119"/>
        <v>54.316129032258061</v>
      </c>
      <c r="Q457" s="42">
        <f t="shared" si="120"/>
        <v>155</v>
      </c>
      <c r="R457" s="42" t="str">
        <f t="shared" si="121"/>
        <v>4</v>
      </c>
      <c r="S457" s="42" t="str">
        <f t="shared" si="122"/>
        <v>6</v>
      </c>
      <c r="T457" s="42">
        <f t="shared" si="123"/>
        <v>3</v>
      </c>
      <c r="U457" s="42">
        <f t="shared" si="124"/>
        <v>89</v>
      </c>
      <c r="V457" s="42">
        <f t="shared" si="125"/>
        <v>3183</v>
      </c>
      <c r="W457" s="42">
        <f t="shared" si="126"/>
        <v>49.316801509098106</v>
      </c>
      <c r="X457" s="42">
        <f t="shared" si="127"/>
        <v>0.18825987366070532</v>
      </c>
    </row>
    <row r="458" spans="1:24" x14ac:dyDescent="0.2">
      <c r="A458" s="49">
        <v>456</v>
      </c>
      <c r="B458" s="49">
        <v>457</v>
      </c>
      <c r="C458" s="49">
        <v>0.2273</v>
      </c>
      <c r="D458" s="49">
        <v>0.7</v>
      </c>
      <c r="E458" s="49">
        <v>0.25369999999999998</v>
      </c>
      <c r="F458" s="49">
        <v>0</v>
      </c>
      <c r="G458" s="49">
        <v>6</v>
      </c>
      <c r="H458" s="49">
        <v>6</v>
      </c>
      <c r="I458" s="42">
        <f t="shared" si="112"/>
        <v>24.031799999999983</v>
      </c>
      <c r="J458" s="42">
        <f t="shared" si="113"/>
        <v>0.15605064935064925</v>
      </c>
      <c r="K458" s="42">
        <f t="shared" si="114"/>
        <v>154</v>
      </c>
      <c r="L458" s="42">
        <f t="shared" si="115"/>
        <v>86.80000000000004</v>
      </c>
      <c r="M458" s="42">
        <f t="shared" si="116"/>
        <v>0.56363636363636394</v>
      </c>
      <c r="N458" s="42">
        <f t="shared" si="117"/>
        <v>154</v>
      </c>
      <c r="O458" s="42">
        <f t="shared" si="118"/>
        <v>8398</v>
      </c>
      <c r="P458" s="42">
        <f t="shared" si="119"/>
        <v>54.532467532467535</v>
      </c>
      <c r="Q458" s="42">
        <f t="shared" si="120"/>
        <v>154</v>
      </c>
      <c r="R458" s="42" t="str">
        <f t="shared" si="121"/>
        <v>4</v>
      </c>
      <c r="S458" s="42" t="str">
        <f t="shared" si="122"/>
        <v>7</v>
      </c>
      <c r="T458" s="42">
        <f t="shared" si="123"/>
        <v>3</v>
      </c>
      <c r="U458" s="42">
        <f t="shared" si="124"/>
        <v>89</v>
      </c>
      <c r="V458" s="42">
        <f t="shared" si="125"/>
        <v>3183</v>
      </c>
      <c r="W458" s="42">
        <f t="shared" si="126"/>
        <v>49.316801509098106</v>
      </c>
      <c r="X458" s="42">
        <f t="shared" si="127"/>
        <v>0.18825987366070532</v>
      </c>
    </row>
    <row r="459" spans="1:24" x14ac:dyDescent="0.2">
      <c r="A459" s="49">
        <v>457</v>
      </c>
      <c r="B459" s="49">
        <v>458</v>
      </c>
      <c r="C459" s="49">
        <v>0.2424</v>
      </c>
      <c r="D459" s="49">
        <v>0.75</v>
      </c>
      <c r="E459" s="49">
        <v>0.16420000000000001</v>
      </c>
      <c r="F459" s="49">
        <v>0</v>
      </c>
      <c r="G459" s="49">
        <v>2</v>
      </c>
      <c r="H459" s="49">
        <v>2</v>
      </c>
      <c r="I459" s="42">
        <f t="shared" si="112"/>
        <v>23.804499999999983</v>
      </c>
      <c r="J459" s="42">
        <f t="shared" si="113"/>
        <v>0.15558496732026134</v>
      </c>
      <c r="K459" s="42">
        <f t="shared" si="114"/>
        <v>153</v>
      </c>
      <c r="L459" s="42">
        <f t="shared" si="115"/>
        <v>86.100000000000037</v>
      </c>
      <c r="M459" s="42">
        <f t="shared" si="116"/>
        <v>0.56274509803921591</v>
      </c>
      <c r="N459" s="42">
        <f t="shared" si="117"/>
        <v>153</v>
      </c>
      <c r="O459" s="42">
        <f t="shared" si="118"/>
        <v>8392</v>
      </c>
      <c r="P459" s="42">
        <f t="shared" si="119"/>
        <v>54.849673202614376</v>
      </c>
      <c r="Q459" s="42">
        <f t="shared" si="120"/>
        <v>153</v>
      </c>
      <c r="R459" s="42" t="str">
        <f t="shared" si="121"/>
        <v>4</v>
      </c>
      <c r="S459" s="42" t="str">
        <f t="shared" si="122"/>
        <v>8</v>
      </c>
      <c r="T459" s="42">
        <f t="shared" si="123"/>
        <v>3</v>
      </c>
      <c r="U459" s="42">
        <f t="shared" si="124"/>
        <v>89</v>
      </c>
      <c r="V459" s="42">
        <f t="shared" si="125"/>
        <v>3183</v>
      </c>
      <c r="W459" s="42">
        <f t="shared" si="126"/>
        <v>49.316801509098106</v>
      </c>
      <c r="X459" s="42">
        <f t="shared" si="127"/>
        <v>0.18825987366070532</v>
      </c>
    </row>
    <row r="460" spans="1:24" x14ac:dyDescent="0.2">
      <c r="A460" s="49">
        <v>458</v>
      </c>
      <c r="B460" s="49">
        <v>459</v>
      </c>
      <c r="C460" s="49">
        <v>0.21210000000000001</v>
      </c>
      <c r="D460" s="49">
        <v>0.8</v>
      </c>
      <c r="E460" s="49">
        <v>0.29849999999999999</v>
      </c>
      <c r="F460" s="49">
        <v>0</v>
      </c>
      <c r="G460" s="49">
        <v>1</v>
      </c>
      <c r="H460" s="49">
        <v>1</v>
      </c>
      <c r="I460" s="42">
        <f t="shared" si="112"/>
        <v>23.562099999999983</v>
      </c>
      <c r="J460" s="42">
        <f t="shared" si="113"/>
        <v>0.15501381578947357</v>
      </c>
      <c r="K460" s="42">
        <f t="shared" si="114"/>
        <v>152</v>
      </c>
      <c r="L460" s="42">
        <f t="shared" si="115"/>
        <v>85.350000000000023</v>
      </c>
      <c r="M460" s="42">
        <f t="shared" si="116"/>
        <v>0.56151315789473699</v>
      </c>
      <c r="N460" s="42">
        <f t="shared" si="117"/>
        <v>152</v>
      </c>
      <c r="O460" s="42">
        <f t="shared" si="118"/>
        <v>8390</v>
      </c>
      <c r="P460" s="42">
        <f t="shared" si="119"/>
        <v>55.19736842105263</v>
      </c>
      <c r="Q460" s="42">
        <f t="shared" si="120"/>
        <v>152</v>
      </c>
      <c r="R460" s="42" t="str">
        <f t="shared" si="121"/>
        <v>4</v>
      </c>
      <c r="S460" s="42" t="str">
        <f t="shared" si="122"/>
        <v>9</v>
      </c>
      <c r="T460" s="42">
        <f t="shared" si="123"/>
        <v>3</v>
      </c>
      <c r="U460" s="42">
        <f t="shared" si="124"/>
        <v>89</v>
      </c>
      <c r="V460" s="42">
        <f t="shared" si="125"/>
        <v>3183</v>
      </c>
      <c r="W460" s="42">
        <f t="shared" si="126"/>
        <v>49.316801509098106</v>
      </c>
      <c r="X460" s="42">
        <f t="shared" si="127"/>
        <v>0.18825987366070532</v>
      </c>
    </row>
    <row r="461" spans="1:24" x14ac:dyDescent="0.2">
      <c r="A461" s="49">
        <v>459</v>
      </c>
      <c r="B461" s="49">
        <v>460</v>
      </c>
      <c r="C461" s="49">
        <v>0.2576</v>
      </c>
      <c r="D461" s="49">
        <v>0.87</v>
      </c>
      <c r="E461" s="49">
        <v>8.9599999999999999E-2</v>
      </c>
      <c r="F461" s="49">
        <v>0</v>
      </c>
      <c r="G461" s="49">
        <v>1</v>
      </c>
      <c r="H461" s="49">
        <v>1</v>
      </c>
      <c r="I461" s="42">
        <f t="shared" si="112"/>
        <v>23.349999999999984</v>
      </c>
      <c r="J461" s="42">
        <f t="shared" si="113"/>
        <v>0.15463576158940387</v>
      </c>
      <c r="K461" s="42">
        <f t="shared" si="114"/>
        <v>151</v>
      </c>
      <c r="L461" s="42">
        <f t="shared" si="115"/>
        <v>84.550000000000011</v>
      </c>
      <c r="M461" s="42">
        <f t="shared" si="116"/>
        <v>0.55993377483443718</v>
      </c>
      <c r="N461" s="42">
        <f t="shared" si="117"/>
        <v>151</v>
      </c>
      <c r="O461" s="42">
        <f t="shared" si="118"/>
        <v>8389</v>
      </c>
      <c r="P461" s="42">
        <f t="shared" si="119"/>
        <v>55.556291390728475</v>
      </c>
      <c r="Q461" s="42">
        <f t="shared" si="120"/>
        <v>151</v>
      </c>
      <c r="R461" s="42" t="str">
        <f t="shared" si="121"/>
        <v>4</v>
      </c>
      <c r="S461" s="42" t="str">
        <f t="shared" si="122"/>
        <v>0</v>
      </c>
      <c r="T461" s="42">
        <f t="shared" si="123"/>
        <v>3</v>
      </c>
      <c r="U461" s="42">
        <f t="shared" si="124"/>
        <v>89</v>
      </c>
      <c r="V461" s="42">
        <f t="shared" si="125"/>
        <v>3183</v>
      </c>
      <c r="W461" s="42">
        <f t="shared" si="126"/>
        <v>49.316801509098106</v>
      </c>
      <c r="X461" s="42">
        <f t="shared" si="127"/>
        <v>0.18825987366070532</v>
      </c>
    </row>
    <row r="462" spans="1:24" x14ac:dyDescent="0.2">
      <c r="A462" s="49">
        <v>460</v>
      </c>
      <c r="B462" s="49">
        <v>461</v>
      </c>
      <c r="C462" s="49">
        <v>0.19700000000000001</v>
      </c>
      <c r="D462" s="49">
        <v>0.6</v>
      </c>
      <c r="E462" s="49">
        <v>0.41789999999999999</v>
      </c>
      <c r="F462" s="49">
        <v>1</v>
      </c>
      <c r="G462" s="49">
        <v>4</v>
      </c>
      <c r="H462" s="49">
        <v>5</v>
      </c>
      <c r="I462" s="42">
        <f t="shared" si="112"/>
        <v>23.092399999999987</v>
      </c>
      <c r="J462" s="42">
        <f t="shared" si="113"/>
        <v>0.15394933333333324</v>
      </c>
      <c r="K462" s="42">
        <f t="shared" si="114"/>
        <v>150</v>
      </c>
      <c r="L462" s="42">
        <f t="shared" si="115"/>
        <v>83.68</v>
      </c>
      <c r="M462" s="42">
        <f t="shared" si="116"/>
        <v>0.55786666666666673</v>
      </c>
      <c r="N462" s="42">
        <f t="shared" si="117"/>
        <v>150</v>
      </c>
      <c r="O462" s="42">
        <f t="shared" si="118"/>
        <v>8388</v>
      </c>
      <c r="P462" s="42">
        <f t="shared" si="119"/>
        <v>55.92</v>
      </c>
      <c r="Q462" s="42">
        <f t="shared" si="120"/>
        <v>150</v>
      </c>
      <c r="R462" s="42" t="str">
        <f t="shared" si="121"/>
        <v>4</v>
      </c>
      <c r="S462" s="42" t="str">
        <f t="shared" si="122"/>
        <v>1</v>
      </c>
      <c r="T462" s="42">
        <f t="shared" si="123"/>
        <v>3</v>
      </c>
      <c r="U462" s="42">
        <f t="shared" si="124"/>
        <v>89</v>
      </c>
      <c r="V462" s="42">
        <f t="shared" si="125"/>
        <v>3183</v>
      </c>
      <c r="W462" s="42">
        <f t="shared" si="126"/>
        <v>49.316801509098106</v>
      </c>
      <c r="X462" s="42">
        <f t="shared" si="127"/>
        <v>0.18825987366070532</v>
      </c>
    </row>
    <row r="463" spans="1:24" x14ac:dyDescent="0.2">
      <c r="A463" s="49">
        <v>461</v>
      </c>
      <c r="B463" s="49">
        <v>462</v>
      </c>
      <c r="C463" s="49">
        <v>0.21210000000000001</v>
      </c>
      <c r="D463" s="49">
        <v>0.55000000000000004</v>
      </c>
      <c r="E463" s="49">
        <v>0.25369999999999998</v>
      </c>
      <c r="F463" s="49">
        <v>0</v>
      </c>
      <c r="G463" s="49">
        <v>27</v>
      </c>
      <c r="H463" s="49">
        <v>27</v>
      </c>
      <c r="I463" s="42">
        <f t="shared" si="112"/>
        <v>22.895399999999988</v>
      </c>
      <c r="J463" s="42">
        <f t="shared" si="113"/>
        <v>0.15366040268456369</v>
      </c>
      <c r="K463" s="42">
        <f t="shared" si="114"/>
        <v>149</v>
      </c>
      <c r="L463" s="42">
        <f t="shared" si="115"/>
        <v>83.080000000000013</v>
      </c>
      <c r="M463" s="42">
        <f t="shared" si="116"/>
        <v>0.55758389261744978</v>
      </c>
      <c r="N463" s="42">
        <f t="shared" si="117"/>
        <v>149</v>
      </c>
      <c r="O463" s="42">
        <f t="shared" si="118"/>
        <v>8383</v>
      </c>
      <c r="P463" s="42">
        <f t="shared" si="119"/>
        <v>56.261744966442954</v>
      </c>
      <c r="Q463" s="42">
        <f t="shared" si="120"/>
        <v>149</v>
      </c>
      <c r="R463" s="42" t="str">
        <f t="shared" si="121"/>
        <v>4</v>
      </c>
      <c r="S463" s="42" t="str">
        <f t="shared" si="122"/>
        <v>2</v>
      </c>
      <c r="T463" s="42">
        <f t="shared" si="123"/>
        <v>3</v>
      </c>
      <c r="U463" s="42">
        <f t="shared" si="124"/>
        <v>89</v>
      </c>
      <c r="V463" s="42">
        <f t="shared" si="125"/>
        <v>3183</v>
      </c>
      <c r="W463" s="42">
        <f t="shared" si="126"/>
        <v>49.316801509098106</v>
      </c>
      <c r="X463" s="42">
        <f t="shared" si="127"/>
        <v>0.18825987366070532</v>
      </c>
    </row>
    <row r="464" spans="1:24" x14ac:dyDescent="0.2">
      <c r="A464" s="49">
        <v>462</v>
      </c>
      <c r="B464" s="49">
        <v>463</v>
      </c>
      <c r="C464" s="49">
        <v>0.18179999999999999</v>
      </c>
      <c r="D464" s="49">
        <v>0.51</v>
      </c>
      <c r="E464" s="49">
        <v>0.28360000000000002</v>
      </c>
      <c r="F464" s="49">
        <v>2</v>
      </c>
      <c r="G464" s="49">
        <v>66</v>
      </c>
      <c r="H464" s="49">
        <v>68</v>
      </c>
      <c r="I464" s="42">
        <f t="shared" si="112"/>
        <v>22.683299999999985</v>
      </c>
      <c r="J464" s="42">
        <f t="shared" si="113"/>
        <v>0.15326554054054045</v>
      </c>
      <c r="K464" s="42">
        <f t="shared" si="114"/>
        <v>148</v>
      </c>
      <c r="L464" s="42">
        <f t="shared" si="115"/>
        <v>82.53</v>
      </c>
      <c r="M464" s="42">
        <f t="shared" si="116"/>
        <v>0.55763513513513518</v>
      </c>
      <c r="N464" s="42">
        <f t="shared" si="117"/>
        <v>148</v>
      </c>
      <c r="O464" s="42">
        <f t="shared" si="118"/>
        <v>8356</v>
      </c>
      <c r="P464" s="42">
        <f t="shared" si="119"/>
        <v>56.45945945945946</v>
      </c>
      <c r="Q464" s="42">
        <f t="shared" si="120"/>
        <v>148</v>
      </c>
      <c r="R464" s="42" t="str">
        <f t="shared" si="121"/>
        <v>4</v>
      </c>
      <c r="S464" s="42" t="str">
        <f t="shared" si="122"/>
        <v>3</v>
      </c>
      <c r="T464" s="42">
        <f t="shared" si="123"/>
        <v>3</v>
      </c>
      <c r="U464" s="42">
        <f t="shared" si="124"/>
        <v>89</v>
      </c>
      <c r="V464" s="42">
        <f t="shared" si="125"/>
        <v>3183</v>
      </c>
      <c r="W464" s="42">
        <f t="shared" si="126"/>
        <v>49.316801509098106</v>
      </c>
      <c r="X464" s="42">
        <f t="shared" si="127"/>
        <v>0.18825987366070532</v>
      </c>
    </row>
    <row r="465" spans="1:24" x14ac:dyDescent="0.2">
      <c r="A465" s="49">
        <v>463</v>
      </c>
      <c r="B465" s="49">
        <v>464</v>
      </c>
      <c r="C465" s="49">
        <v>0.18179999999999999</v>
      </c>
      <c r="D465" s="49">
        <v>0.47</v>
      </c>
      <c r="E465" s="49">
        <v>0.32840000000000003</v>
      </c>
      <c r="F465" s="49">
        <v>7</v>
      </c>
      <c r="G465" s="49">
        <v>210</v>
      </c>
      <c r="H465" s="49">
        <v>217</v>
      </c>
      <c r="I465" s="42">
        <f t="shared" si="112"/>
        <v>22.501499999999986</v>
      </c>
      <c r="J465" s="42">
        <f t="shared" si="113"/>
        <v>0.15307142857142847</v>
      </c>
      <c r="K465" s="42">
        <f t="shared" si="114"/>
        <v>147</v>
      </c>
      <c r="L465" s="42">
        <f t="shared" si="115"/>
        <v>82.02</v>
      </c>
      <c r="M465" s="42">
        <f t="shared" si="116"/>
        <v>0.55795918367346931</v>
      </c>
      <c r="N465" s="42">
        <f t="shared" si="117"/>
        <v>147</v>
      </c>
      <c r="O465" s="42">
        <f t="shared" si="118"/>
        <v>8288</v>
      </c>
      <c r="P465" s="42">
        <f t="shared" si="119"/>
        <v>56.38095238095238</v>
      </c>
      <c r="Q465" s="42">
        <f t="shared" si="120"/>
        <v>147</v>
      </c>
      <c r="R465" s="42" t="str">
        <f t="shared" si="121"/>
        <v>4</v>
      </c>
      <c r="S465" s="42" t="str">
        <f t="shared" si="122"/>
        <v>4</v>
      </c>
      <c r="T465" s="42">
        <f t="shared" si="123"/>
        <v>3</v>
      </c>
      <c r="U465" s="42">
        <f t="shared" si="124"/>
        <v>89</v>
      </c>
      <c r="V465" s="42">
        <f t="shared" si="125"/>
        <v>3183</v>
      </c>
      <c r="W465" s="42">
        <f t="shared" si="126"/>
        <v>49.316801509098106</v>
      </c>
      <c r="X465" s="42">
        <f t="shared" si="127"/>
        <v>0.18825987366070532</v>
      </c>
    </row>
    <row r="466" spans="1:24" x14ac:dyDescent="0.2">
      <c r="A466" s="49">
        <v>464</v>
      </c>
      <c r="B466" s="49">
        <v>465</v>
      </c>
      <c r="C466" s="49">
        <v>0.18179999999999999</v>
      </c>
      <c r="D466" s="49">
        <v>0.51</v>
      </c>
      <c r="E466" s="49">
        <v>0.35820000000000002</v>
      </c>
      <c r="F466" s="49">
        <v>7</v>
      </c>
      <c r="G466" s="49">
        <v>159</v>
      </c>
      <c r="H466" s="49">
        <v>166</v>
      </c>
      <c r="I466" s="42">
        <f t="shared" si="112"/>
        <v>22.319699999999987</v>
      </c>
      <c r="J466" s="42">
        <f t="shared" si="113"/>
        <v>0.15287465753424648</v>
      </c>
      <c r="K466" s="42">
        <f t="shared" si="114"/>
        <v>146</v>
      </c>
      <c r="L466" s="42">
        <f t="shared" si="115"/>
        <v>81.55</v>
      </c>
      <c r="M466" s="42">
        <f t="shared" si="116"/>
        <v>0.55856164383561646</v>
      </c>
      <c r="N466" s="42">
        <f t="shared" si="117"/>
        <v>146</v>
      </c>
      <c r="O466" s="42">
        <f t="shared" si="118"/>
        <v>8071</v>
      </c>
      <c r="P466" s="42">
        <f t="shared" si="119"/>
        <v>55.280821917808218</v>
      </c>
      <c r="Q466" s="42">
        <f t="shared" si="120"/>
        <v>146</v>
      </c>
      <c r="R466" s="42" t="str">
        <f t="shared" si="121"/>
        <v>4</v>
      </c>
      <c r="S466" s="42" t="str">
        <f t="shared" si="122"/>
        <v>5</v>
      </c>
      <c r="T466" s="42">
        <f t="shared" si="123"/>
        <v>3</v>
      </c>
      <c r="U466" s="42">
        <f t="shared" si="124"/>
        <v>89</v>
      </c>
      <c r="V466" s="42">
        <f t="shared" si="125"/>
        <v>3183</v>
      </c>
      <c r="W466" s="42">
        <f t="shared" si="126"/>
        <v>49.316801509098106</v>
      </c>
      <c r="X466" s="42">
        <f t="shared" si="127"/>
        <v>0.18825987366070532</v>
      </c>
    </row>
    <row r="467" spans="1:24" x14ac:dyDescent="0.2">
      <c r="A467" s="49">
        <v>465</v>
      </c>
      <c r="B467" s="49">
        <v>466</v>
      </c>
      <c r="C467" s="49">
        <v>0.16669999999999999</v>
      </c>
      <c r="D467" s="49">
        <v>0.47</v>
      </c>
      <c r="E467" s="49">
        <v>0.4627</v>
      </c>
      <c r="F467" s="49">
        <v>6</v>
      </c>
      <c r="G467" s="49">
        <v>57</v>
      </c>
      <c r="H467" s="49">
        <v>63</v>
      </c>
      <c r="I467" s="42">
        <f t="shared" si="112"/>
        <v>22.137899999999984</v>
      </c>
      <c r="J467" s="42">
        <f t="shared" si="113"/>
        <v>0.152675172413793</v>
      </c>
      <c r="K467" s="42">
        <f t="shared" si="114"/>
        <v>145</v>
      </c>
      <c r="L467" s="42">
        <f t="shared" si="115"/>
        <v>81.040000000000006</v>
      </c>
      <c r="M467" s="42">
        <f t="shared" si="116"/>
        <v>0.55889655172413799</v>
      </c>
      <c r="N467" s="42">
        <f t="shared" si="117"/>
        <v>145</v>
      </c>
      <c r="O467" s="42">
        <f t="shared" si="118"/>
        <v>7905</v>
      </c>
      <c r="P467" s="42">
        <f t="shared" si="119"/>
        <v>54.517241379310342</v>
      </c>
      <c r="Q467" s="42">
        <f t="shared" si="120"/>
        <v>145</v>
      </c>
      <c r="R467" s="42" t="str">
        <f t="shared" si="121"/>
        <v>4</v>
      </c>
      <c r="S467" s="42" t="str">
        <f t="shared" si="122"/>
        <v>6</v>
      </c>
      <c r="T467" s="42">
        <f t="shared" si="123"/>
        <v>3</v>
      </c>
      <c r="U467" s="42">
        <f t="shared" si="124"/>
        <v>89</v>
      </c>
      <c r="V467" s="42">
        <f t="shared" si="125"/>
        <v>3183</v>
      </c>
      <c r="W467" s="42">
        <f t="shared" si="126"/>
        <v>49.316801509098106</v>
      </c>
      <c r="X467" s="42">
        <f t="shared" si="127"/>
        <v>0.18825987366070532</v>
      </c>
    </row>
    <row r="468" spans="1:24" x14ac:dyDescent="0.2">
      <c r="A468" s="49">
        <v>466</v>
      </c>
      <c r="B468" s="49">
        <v>467</v>
      </c>
      <c r="C468" s="49">
        <v>0.18179999999999999</v>
      </c>
      <c r="D468" s="49">
        <v>0.41</v>
      </c>
      <c r="E468" s="49">
        <v>0.4627</v>
      </c>
      <c r="F468" s="49">
        <v>6</v>
      </c>
      <c r="G468" s="49">
        <v>53</v>
      </c>
      <c r="H468" s="49">
        <v>59</v>
      </c>
      <c r="I468" s="42">
        <f t="shared" si="112"/>
        <v>21.971199999999985</v>
      </c>
      <c r="J468" s="42">
        <f t="shared" si="113"/>
        <v>0.15257777777777767</v>
      </c>
      <c r="K468" s="42">
        <f t="shared" si="114"/>
        <v>144</v>
      </c>
      <c r="L468" s="42">
        <f t="shared" si="115"/>
        <v>80.569999999999993</v>
      </c>
      <c r="M468" s="42">
        <f t="shared" si="116"/>
        <v>0.55951388888888887</v>
      </c>
      <c r="N468" s="42">
        <f t="shared" si="117"/>
        <v>144</v>
      </c>
      <c r="O468" s="42">
        <f t="shared" si="118"/>
        <v>7842</v>
      </c>
      <c r="P468" s="42">
        <f t="shared" si="119"/>
        <v>54.458333333333336</v>
      </c>
      <c r="Q468" s="42">
        <f t="shared" si="120"/>
        <v>144</v>
      </c>
      <c r="R468" s="42" t="str">
        <f t="shared" si="121"/>
        <v>4</v>
      </c>
      <c r="S468" s="42" t="str">
        <f t="shared" si="122"/>
        <v>7</v>
      </c>
      <c r="T468" s="42">
        <f t="shared" si="123"/>
        <v>3</v>
      </c>
      <c r="U468" s="42">
        <f t="shared" si="124"/>
        <v>89</v>
      </c>
      <c r="V468" s="42">
        <f t="shared" si="125"/>
        <v>3183</v>
      </c>
      <c r="W468" s="42">
        <f t="shared" si="126"/>
        <v>49.316801509098106</v>
      </c>
      <c r="X468" s="42">
        <f t="shared" si="127"/>
        <v>0.18825987366070532</v>
      </c>
    </row>
    <row r="469" spans="1:24" x14ac:dyDescent="0.2">
      <c r="A469" s="49">
        <v>467</v>
      </c>
      <c r="B469" s="49">
        <v>468</v>
      </c>
      <c r="C469" s="49">
        <v>0.18179999999999999</v>
      </c>
      <c r="D469" s="49">
        <v>0.27</v>
      </c>
      <c r="E469" s="49">
        <v>0.58209999999999995</v>
      </c>
      <c r="F469" s="49">
        <v>11</v>
      </c>
      <c r="G469" s="49">
        <v>67</v>
      </c>
      <c r="H469" s="49">
        <v>78</v>
      </c>
      <c r="I469" s="42">
        <f t="shared" si="112"/>
        <v>21.789399999999986</v>
      </c>
      <c r="J469" s="42">
        <f t="shared" si="113"/>
        <v>0.15237342657342648</v>
      </c>
      <c r="K469" s="42">
        <f t="shared" si="114"/>
        <v>143</v>
      </c>
      <c r="L469" s="42">
        <f t="shared" si="115"/>
        <v>80.16</v>
      </c>
      <c r="M469" s="42">
        <f t="shared" si="116"/>
        <v>0.56055944055944051</v>
      </c>
      <c r="N469" s="42">
        <f t="shared" si="117"/>
        <v>143</v>
      </c>
      <c r="O469" s="42">
        <f t="shared" si="118"/>
        <v>7783</v>
      </c>
      <c r="P469" s="42">
        <f t="shared" si="119"/>
        <v>54.426573426573427</v>
      </c>
      <c r="Q469" s="42">
        <f t="shared" si="120"/>
        <v>143</v>
      </c>
      <c r="R469" s="42" t="str">
        <f t="shared" si="121"/>
        <v>4</v>
      </c>
      <c r="S469" s="42" t="str">
        <f t="shared" si="122"/>
        <v>8</v>
      </c>
      <c r="T469" s="42">
        <f t="shared" si="123"/>
        <v>3</v>
      </c>
      <c r="U469" s="42">
        <f t="shared" si="124"/>
        <v>89</v>
      </c>
      <c r="V469" s="42">
        <f t="shared" si="125"/>
        <v>3183</v>
      </c>
      <c r="W469" s="42">
        <f t="shared" si="126"/>
        <v>49.316801509098106</v>
      </c>
      <c r="X469" s="42">
        <f t="shared" si="127"/>
        <v>0.18825987366070532</v>
      </c>
    </row>
    <row r="470" spans="1:24" x14ac:dyDescent="0.2">
      <c r="A470" s="49">
        <v>468</v>
      </c>
      <c r="B470" s="49">
        <v>469</v>
      </c>
      <c r="C470" s="49">
        <v>0.1515</v>
      </c>
      <c r="D470" s="49">
        <v>0.21</v>
      </c>
      <c r="E470" s="49">
        <v>0.58209999999999995</v>
      </c>
      <c r="F470" s="49">
        <v>8</v>
      </c>
      <c r="G470" s="49">
        <v>65</v>
      </c>
      <c r="H470" s="49">
        <v>73</v>
      </c>
      <c r="I470" s="42">
        <f t="shared" si="112"/>
        <v>21.607599999999987</v>
      </c>
      <c r="J470" s="42">
        <f t="shared" si="113"/>
        <v>0.15216619718309851</v>
      </c>
      <c r="K470" s="42">
        <f t="shared" si="114"/>
        <v>142</v>
      </c>
      <c r="L470" s="42">
        <f t="shared" si="115"/>
        <v>79.89</v>
      </c>
      <c r="M470" s="42">
        <f t="shared" si="116"/>
        <v>0.56260563380281692</v>
      </c>
      <c r="N470" s="42">
        <f t="shared" si="117"/>
        <v>142</v>
      </c>
      <c r="O470" s="42">
        <f t="shared" si="118"/>
        <v>7705</v>
      </c>
      <c r="P470" s="42">
        <f t="shared" si="119"/>
        <v>54.260563380281688</v>
      </c>
      <c r="Q470" s="42">
        <f t="shared" si="120"/>
        <v>142</v>
      </c>
      <c r="R470" s="42" t="str">
        <f t="shared" si="121"/>
        <v>4</v>
      </c>
      <c r="S470" s="42" t="str">
        <f t="shared" si="122"/>
        <v>9</v>
      </c>
      <c r="T470" s="42">
        <f t="shared" si="123"/>
        <v>3</v>
      </c>
      <c r="U470" s="42">
        <f t="shared" si="124"/>
        <v>89</v>
      </c>
      <c r="V470" s="42">
        <f t="shared" si="125"/>
        <v>3183</v>
      </c>
      <c r="W470" s="42">
        <f t="shared" si="126"/>
        <v>49.316801509098106</v>
      </c>
      <c r="X470" s="42">
        <f t="shared" si="127"/>
        <v>0.18825987366070532</v>
      </c>
    </row>
    <row r="471" spans="1:24" x14ac:dyDescent="0.2">
      <c r="A471" s="49">
        <v>469</v>
      </c>
      <c r="B471" s="49">
        <v>470</v>
      </c>
      <c r="C471" s="49">
        <v>0.1515</v>
      </c>
      <c r="D471" s="49">
        <v>0.25</v>
      </c>
      <c r="E471" s="49">
        <v>0.52239999999999998</v>
      </c>
      <c r="F471" s="49">
        <v>6</v>
      </c>
      <c r="G471" s="49">
        <v>56</v>
      </c>
      <c r="H471" s="49">
        <v>62</v>
      </c>
      <c r="I471" s="42">
        <f t="shared" si="112"/>
        <v>21.456099999999985</v>
      </c>
      <c r="J471" s="42">
        <f t="shared" si="113"/>
        <v>0.1521709219858155</v>
      </c>
      <c r="K471" s="42">
        <f t="shared" si="114"/>
        <v>141</v>
      </c>
      <c r="L471" s="42">
        <f t="shared" si="115"/>
        <v>79.679999999999993</v>
      </c>
      <c r="M471" s="42">
        <f t="shared" si="116"/>
        <v>0.5651063829787234</v>
      </c>
      <c r="N471" s="42">
        <f t="shared" si="117"/>
        <v>141</v>
      </c>
      <c r="O471" s="42">
        <f t="shared" si="118"/>
        <v>7632</v>
      </c>
      <c r="P471" s="42">
        <f t="shared" si="119"/>
        <v>54.127659574468083</v>
      </c>
      <c r="Q471" s="42">
        <f t="shared" si="120"/>
        <v>141</v>
      </c>
      <c r="R471" s="42" t="str">
        <f t="shared" si="121"/>
        <v>4</v>
      </c>
      <c r="S471" s="42" t="str">
        <f t="shared" si="122"/>
        <v>0</v>
      </c>
      <c r="T471" s="42">
        <f t="shared" si="123"/>
        <v>3</v>
      </c>
      <c r="U471" s="42">
        <f t="shared" si="124"/>
        <v>89</v>
      </c>
      <c r="V471" s="42">
        <f t="shared" si="125"/>
        <v>3183</v>
      </c>
      <c r="W471" s="42">
        <f t="shared" si="126"/>
        <v>49.316801509098106</v>
      </c>
      <c r="X471" s="42">
        <f t="shared" si="127"/>
        <v>0.18825987366070532</v>
      </c>
    </row>
    <row r="472" spans="1:24" x14ac:dyDescent="0.2">
      <c r="A472" s="49">
        <v>470</v>
      </c>
      <c r="B472" s="49">
        <v>471</v>
      </c>
      <c r="C472" s="49">
        <v>0.1212</v>
      </c>
      <c r="D472" s="49">
        <v>0.26</v>
      </c>
      <c r="E472" s="49">
        <v>0.44779999999999998</v>
      </c>
      <c r="F472" s="49">
        <v>4</v>
      </c>
      <c r="G472" s="49">
        <v>61</v>
      </c>
      <c r="H472" s="49">
        <v>65</v>
      </c>
      <c r="I472" s="42">
        <f t="shared" si="112"/>
        <v>21.304599999999986</v>
      </c>
      <c r="J472" s="42">
        <f t="shared" si="113"/>
        <v>0.15217571428571419</v>
      </c>
      <c r="K472" s="42">
        <f t="shared" si="114"/>
        <v>140</v>
      </c>
      <c r="L472" s="42">
        <f t="shared" si="115"/>
        <v>79.429999999999993</v>
      </c>
      <c r="M472" s="42">
        <f t="shared" si="116"/>
        <v>0.56735714285714278</v>
      </c>
      <c r="N472" s="42">
        <f t="shared" si="117"/>
        <v>140</v>
      </c>
      <c r="O472" s="42">
        <f t="shared" si="118"/>
        <v>7570</v>
      </c>
      <c r="P472" s="42">
        <f t="shared" si="119"/>
        <v>54.071428571428569</v>
      </c>
      <c r="Q472" s="42">
        <f t="shared" si="120"/>
        <v>140</v>
      </c>
      <c r="R472" s="42" t="str">
        <f t="shared" si="121"/>
        <v>4</v>
      </c>
      <c r="S472" s="42" t="str">
        <f t="shared" si="122"/>
        <v>1</v>
      </c>
      <c r="T472" s="42">
        <f t="shared" si="123"/>
        <v>3</v>
      </c>
      <c r="U472" s="42">
        <f t="shared" si="124"/>
        <v>89</v>
      </c>
      <c r="V472" s="42">
        <f t="shared" si="125"/>
        <v>3183</v>
      </c>
      <c r="W472" s="42">
        <f t="shared" si="126"/>
        <v>49.316801509098106</v>
      </c>
      <c r="X472" s="42">
        <f t="shared" si="127"/>
        <v>0.18825987366070532</v>
      </c>
    </row>
    <row r="473" spans="1:24" x14ac:dyDescent="0.2">
      <c r="A473" s="49">
        <v>471</v>
      </c>
      <c r="B473" s="49">
        <v>472</v>
      </c>
      <c r="C473" s="49">
        <v>0.13639999999999999</v>
      </c>
      <c r="D473" s="49">
        <v>0.26</v>
      </c>
      <c r="E473" s="49">
        <v>0.35820000000000002</v>
      </c>
      <c r="F473" s="49">
        <v>0</v>
      </c>
      <c r="G473" s="49">
        <v>97</v>
      </c>
      <c r="H473" s="49">
        <v>97</v>
      </c>
      <c r="I473" s="42">
        <f t="shared" si="112"/>
        <v>21.183399999999988</v>
      </c>
      <c r="J473" s="42">
        <f t="shared" si="113"/>
        <v>0.15239856115107905</v>
      </c>
      <c r="K473" s="42">
        <f t="shared" si="114"/>
        <v>139</v>
      </c>
      <c r="L473" s="42">
        <f t="shared" si="115"/>
        <v>79.169999999999987</v>
      </c>
      <c r="M473" s="42">
        <f t="shared" si="116"/>
        <v>0.5695683453237409</v>
      </c>
      <c r="N473" s="42">
        <f t="shared" si="117"/>
        <v>139</v>
      </c>
      <c r="O473" s="42">
        <f t="shared" si="118"/>
        <v>7505</v>
      </c>
      <c r="P473" s="42">
        <f t="shared" si="119"/>
        <v>53.992805755395686</v>
      </c>
      <c r="Q473" s="42">
        <f t="shared" si="120"/>
        <v>139</v>
      </c>
      <c r="R473" s="42" t="str">
        <f t="shared" si="121"/>
        <v>4</v>
      </c>
      <c r="S473" s="42" t="str">
        <f t="shared" si="122"/>
        <v>2</v>
      </c>
      <c r="T473" s="42">
        <f t="shared" si="123"/>
        <v>3</v>
      </c>
      <c r="U473" s="42">
        <f t="shared" si="124"/>
        <v>89</v>
      </c>
      <c r="V473" s="42">
        <f t="shared" si="125"/>
        <v>3183</v>
      </c>
      <c r="W473" s="42">
        <f t="shared" si="126"/>
        <v>49.316801509098106</v>
      </c>
      <c r="X473" s="42">
        <f t="shared" si="127"/>
        <v>0.18825987366070532</v>
      </c>
    </row>
    <row r="474" spans="1:24" x14ac:dyDescent="0.2">
      <c r="A474" s="49">
        <v>472</v>
      </c>
      <c r="B474" s="49">
        <v>473</v>
      </c>
      <c r="C474" s="49">
        <v>0.1212</v>
      </c>
      <c r="D474" s="49">
        <v>0.28000000000000003</v>
      </c>
      <c r="E474" s="49">
        <v>0.35820000000000002</v>
      </c>
      <c r="F474" s="49">
        <v>10</v>
      </c>
      <c r="G474" s="49">
        <v>151</v>
      </c>
      <c r="H474" s="49">
        <v>161</v>
      </c>
      <c r="I474" s="42">
        <f t="shared" si="112"/>
        <v>21.046999999999986</v>
      </c>
      <c r="J474" s="42">
        <f t="shared" si="113"/>
        <v>0.15251449275362308</v>
      </c>
      <c r="K474" s="42">
        <f t="shared" si="114"/>
        <v>138</v>
      </c>
      <c r="L474" s="42">
        <f t="shared" si="115"/>
        <v>78.909999999999982</v>
      </c>
      <c r="M474" s="42">
        <f t="shared" si="116"/>
        <v>0.5718115942028984</v>
      </c>
      <c r="N474" s="42">
        <f t="shared" si="117"/>
        <v>138</v>
      </c>
      <c r="O474" s="42">
        <f t="shared" si="118"/>
        <v>7408</v>
      </c>
      <c r="P474" s="42">
        <f t="shared" si="119"/>
        <v>53.681159420289852</v>
      </c>
      <c r="Q474" s="42">
        <f t="shared" si="120"/>
        <v>138</v>
      </c>
      <c r="R474" s="42" t="str">
        <f t="shared" si="121"/>
        <v>4</v>
      </c>
      <c r="S474" s="42" t="str">
        <f t="shared" si="122"/>
        <v>3</v>
      </c>
      <c r="T474" s="42">
        <f t="shared" si="123"/>
        <v>3</v>
      </c>
      <c r="U474" s="42">
        <f t="shared" si="124"/>
        <v>89</v>
      </c>
      <c r="V474" s="42">
        <f t="shared" si="125"/>
        <v>3183</v>
      </c>
      <c r="W474" s="42">
        <f t="shared" si="126"/>
        <v>49.316801509098106</v>
      </c>
      <c r="X474" s="42">
        <f t="shared" si="127"/>
        <v>0.18825987366070532</v>
      </c>
    </row>
    <row r="475" spans="1:24" x14ac:dyDescent="0.2">
      <c r="A475" s="49">
        <v>473</v>
      </c>
      <c r="B475" s="49">
        <v>474</v>
      </c>
      <c r="C475" s="49">
        <v>0.1212</v>
      </c>
      <c r="D475" s="49">
        <v>0.3</v>
      </c>
      <c r="E475" s="49">
        <v>0.25369999999999998</v>
      </c>
      <c r="F475" s="49">
        <v>1</v>
      </c>
      <c r="G475" s="49">
        <v>119</v>
      </c>
      <c r="H475" s="49">
        <v>120</v>
      </c>
      <c r="I475" s="42">
        <f t="shared" si="112"/>
        <v>20.925799999999988</v>
      </c>
      <c r="J475" s="42">
        <f t="shared" si="113"/>
        <v>0.15274306569343057</v>
      </c>
      <c r="K475" s="42">
        <f t="shared" si="114"/>
        <v>137</v>
      </c>
      <c r="L475" s="42">
        <f t="shared" si="115"/>
        <v>78.63</v>
      </c>
      <c r="M475" s="42">
        <f t="shared" si="116"/>
        <v>0.573941605839416</v>
      </c>
      <c r="N475" s="42">
        <f t="shared" si="117"/>
        <v>137</v>
      </c>
      <c r="O475" s="42">
        <f t="shared" si="118"/>
        <v>7247</v>
      </c>
      <c r="P475" s="42">
        <f t="shared" si="119"/>
        <v>52.897810218978101</v>
      </c>
      <c r="Q475" s="42">
        <f t="shared" si="120"/>
        <v>137</v>
      </c>
      <c r="R475" s="42" t="str">
        <f t="shared" si="121"/>
        <v>4</v>
      </c>
      <c r="S475" s="42" t="str">
        <f t="shared" si="122"/>
        <v>4</v>
      </c>
      <c r="T475" s="42">
        <f t="shared" si="123"/>
        <v>3</v>
      </c>
      <c r="U475" s="42">
        <f t="shared" si="124"/>
        <v>89</v>
      </c>
      <c r="V475" s="42">
        <f t="shared" si="125"/>
        <v>3183</v>
      </c>
      <c r="W475" s="42">
        <f t="shared" si="126"/>
        <v>49.316801509098106</v>
      </c>
      <c r="X475" s="42">
        <f t="shared" si="127"/>
        <v>0.18825987366070532</v>
      </c>
    </row>
    <row r="476" spans="1:24" x14ac:dyDescent="0.2">
      <c r="A476" s="49">
        <v>474</v>
      </c>
      <c r="B476" s="49">
        <v>475</v>
      </c>
      <c r="C476" s="49">
        <v>0.1061</v>
      </c>
      <c r="D476" s="49">
        <v>0.3</v>
      </c>
      <c r="E476" s="49">
        <v>0.32840000000000003</v>
      </c>
      <c r="F476" s="49">
        <v>3</v>
      </c>
      <c r="G476" s="49">
        <v>93</v>
      </c>
      <c r="H476" s="49">
        <v>96</v>
      </c>
      <c r="I476" s="42">
        <f t="shared" si="112"/>
        <v>20.80459999999999</v>
      </c>
      <c r="J476" s="42">
        <f t="shared" si="113"/>
        <v>0.15297499999999992</v>
      </c>
      <c r="K476" s="42">
        <f t="shared" si="114"/>
        <v>136</v>
      </c>
      <c r="L476" s="42">
        <f t="shared" si="115"/>
        <v>78.33</v>
      </c>
      <c r="M476" s="42">
        <f t="shared" si="116"/>
        <v>0.57595588235294115</v>
      </c>
      <c r="N476" s="42">
        <f t="shared" si="117"/>
        <v>136</v>
      </c>
      <c r="O476" s="42">
        <f t="shared" si="118"/>
        <v>7127</v>
      </c>
      <c r="P476" s="42">
        <f t="shared" si="119"/>
        <v>52.404411764705884</v>
      </c>
      <c r="Q476" s="42">
        <f t="shared" si="120"/>
        <v>136</v>
      </c>
      <c r="R476" s="42" t="str">
        <f t="shared" si="121"/>
        <v>4</v>
      </c>
      <c r="S476" s="42" t="str">
        <f t="shared" si="122"/>
        <v>5</v>
      </c>
      <c r="T476" s="42">
        <f t="shared" si="123"/>
        <v>3</v>
      </c>
      <c r="U476" s="42">
        <f t="shared" si="124"/>
        <v>89</v>
      </c>
      <c r="V476" s="42">
        <f t="shared" si="125"/>
        <v>3183</v>
      </c>
      <c r="W476" s="42">
        <f t="shared" si="126"/>
        <v>49.316801509098106</v>
      </c>
      <c r="X476" s="42">
        <f t="shared" si="127"/>
        <v>0.18825987366070532</v>
      </c>
    </row>
    <row r="477" spans="1:24" x14ac:dyDescent="0.2">
      <c r="A477" s="49">
        <v>475</v>
      </c>
      <c r="B477" s="49">
        <v>476</v>
      </c>
      <c r="C477" s="49">
        <v>7.5800000000000006E-2</v>
      </c>
      <c r="D477" s="49">
        <v>0.33</v>
      </c>
      <c r="E477" s="49">
        <v>0.41789999999999999</v>
      </c>
      <c r="F477" s="49">
        <v>1</v>
      </c>
      <c r="G477" s="49">
        <v>52</v>
      </c>
      <c r="H477" s="49">
        <v>53</v>
      </c>
      <c r="I477" s="42">
        <f t="shared" si="112"/>
        <v>20.698499999999989</v>
      </c>
      <c r="J477" s="42">
        <f t="shared" si="113"/>
        <v>0.15332222222222214</v>
      </c>
      <c r="K477" s="42">
        <f t="shared" si="114"/>
        <v>135</v>
      </c>
      <c r="L477" s="42">
        <f t="shared" si="115"/>
        <v>78.03</v>
      </c>
      <c r="M477" s="42">
        <f t="shared" si="116"/>
        <v>0.57799999999999996</v>
      </c>
      <c r="N477" s="42">
        <f t="shared" si="117"/>
        <v>135</v>
      </c>
      <c r="O477" s="42">
        <f t="shared" si="118"/>
        <v>7031</v>
      </c>
      <c r="P477" s="42">
        <f t="shared" si="119"/>
        <v>52.081481481481482</v>
      </c>
      <c r="Q477" s="42">
        <f t="shared" si="120"/>
        <v>135</v>
      </c>
      <c r="R477" s="42" t="str">
        <f t="shared" si="121"/>
        <v>4</v>
      </c>
      <c r="S477" s="42" t="str">
        <f t="shared" si="122"/>
        <v>6</v>
      </c>
      <c r="T477" s="42">
        <f t="shared" si="123"/>
        <v>3</v>
      </c>
      <c r="U477" s="42">
        <f t="shared" si="124"/>
        <v>89</v>
      </c>
      <c r="V477" s="42">
        <f t="shared" si="125"/>
        <v>3183</v>
      </c>
      <c r="W477" s="42">
        <f t="shared" si="126"/>
        <v>49.316801509098106</v>
      </c>
      <c r="X477" s="42">
        <f t="shared" si="127"/>
        <v>0.18825987366070532</v>
      </c>
    </row>
    <row r="478" spans="1:24" x14ac:dyDescent="0.2">
      <c r="A478" s="49">
        <v>476</v>
      </c>
      <c r="B478" s="49">
        <v>477</v>
      </c>
      <c r="C478" s="49">
        <v>7.5800000000000006E-2</v>
      </c>
      <c r="D478" s="49">
        <v>0.38</v>
      </c>
      <c r="E478" s="49">
        <v>0.28360000000000002</v>
      </c>
      <c r="F478" s="49">
        <v>0</v>
      </c>
      <c r="G478" s="49">
        <v>41</v>
      </c>
      <c r="H478" s="49">
        <v>41</v>
      </c>
      <c r="I478" s="42">
        <f t="shared" si="112"/>
        <v>20.622699999999988</v>
      </c>
      <c r="J478" s="42">
        <f t="shared" si="113"/>
        <v>0.15390074626865663</v>
      </c>
      <c r="K478" s="42">
        <f t="shared" si="114"/>
        <v>134</v>
      </c>
      <c r="L478" s="42">
        <f t="shared" si="115"/>
        <v>77.7</v>
      </c>
      <c r="M478" s="42">
        <f t="shared" si="116"/>
        <v>0.57985074626865674</v>
      </c>
      <c r="N478" s="42">
        <f t="shared" si="117"/>
        <v>134</v>
      </c>
      <c r="O478" s="42">
        <f t="shared" si="118"/>
        <v>6978</v>
      </c>
      <c r="P478" s="42">
        <f t="shared" si="119"/>
        <v>52.07462686567164</v>
      </c>
      <c r="Q478" s="42">
        <f t="shared" si="120"/>
        <v>134</v>
      </c>
      <c r="R478" s="42" t="str">
        <f t="shared" si="121"/>
        <v>4</v>
      </c>
      <c r="S478" s="42" t="str">
        <f t="shared" si="122"/>
        <v>7</v>
      </c>
      <c r="T478" s="42">
        <f t="shared" si="123"/>
        <v>3</v>
      </c>
      <c r="U478" s="42">
        <f t="shared" si="124"/>
        <v>89</v>
      </c>
      <c r="V478" s="42">
        <f t="shared" si="125"/>
        <v>3183</v>
      </c>
      <c r="W478" s="42">
        <f t="shared" si="126"/>
        <v>49.316801509098106</v>
      </c>
      <c r="X478" s="42">
        <f t="shared" si="127"/>
        <v>0.18825987366070532</v>
      </c>
    </row>
    <row r="479" spans="1:24" x14ac:dyDescent="0.2">
      <c r="A479" s="49">
        <v>477</v>
      </c>
      <c r="B479" s="49">
        <v>478</v>
      </c>
      <c r="C479" s="49">
        <v>3.0300000000000001E-2</v>
      </c>
      <c r="D479" s="49">
        <v>0.41</v>
      </c>
      <c r="E479" s="49">
        <v>0.3881</v>
      </c>
      <c r="F479" s="49">
        <v>1</v>
      </c>
      <c r="G479" s="49">
        <v>33</v>
      </c>
      <c r="H479" s="49">
        <v>34</v>
      </c>
      <c r="I479" s="42">
        <f t="shared" si="112"/>
        <v>20.546899999999987</v>
      </c>
      <c r="J479" s="42">
        <f t="shared" si="113"/>
        <v>0.15448796992481192</v>
      </c>
      <c r="K479" s="42">
        <f t="shared" si="114"/>
        <v>133</v>
      </c>
      <c r="L479" s="42">
        <f t="shared" si="115"/>
        <v>77.320000000000007</v>
      </c>
      <c r="M479" s="42">
        <f t="shared" si="116"/>
        <v>0.58135338345864662</v>
      </c>
      <c r="N479" s="42">
        <f t="shared" si="117"/>
        <v>133</v>
      </c>
      <c r="O479" s="42">
        <f t="shared" si="118"/>
        <v>6937</v>
      </c>
      <c r="P479" s="42">
        <f t="shared" si="119"/>
        <v>52.157894736842103</v>
      </c>
      <c r="Q479" s="42">
        <f t="shared" si="120"/>
        <v>133</v>
      </c>
      <c r="R479" s="42" t="str">
        <f t="shared" si="121"/>
        <v>4</v>
      </c>
      <c r="S479" s="42" t="str">
        <f t="shared" si="122"/>
        <v>8</v>
      </c>
      <c r="T479" s="42">
        <f t="shared" si="123"/>
        <v>3</v>
      </c>
      <c r="U479" s="42">
        <f t="shared" si="124"/>
        <v>89</v>
      </c>
      <c r="V479" s="42">
        <f t="shared" si="125"/>
        <v>3183</v>
      </c>
      <c r="W479" s="42">
        <f t="shared" si="126"/>
        <v>49.316801509098106</v>
      </c>
      <c r="X479" s="42">
        <f t="shared" si="127"/>
        <v>0.18825987366070532</v>
      </c>
    </row>
    <row r="480" spans="1:24" x14ac:dyDescent="0.2">
      <c r="A480" s="49">
        <v>478</v>
      </c>
      <c r="B480" s="49">
        <v>479</v>
      </c>
      <c r="C480" s="49">
        <v>4.5499999999999999E-2</v>
      </c>
      <c r="D480" s="49">
        <v>0.38</v>
      </c>
      <c r="E480" s="49">
        <v>0.32840000000000003</v>
      </c>
      <c r="F480" s="49">
        <v>0</v>
      </c>
      <c r="G480" s="49">
        <v>27</v>
      </c>
      <c r="H480" s="49">
        <v>27</v>
      </c>
      <c r="I480" s="42">
        <f t="shared" si="112"/>
        <v>20.516599999999986</v>
      </c>
      <c r="J480" s="42">
        <f t="shared" si="113"/>
        <v>0.15542878787878778</v>
      </c>
      <c r="K480" s="42">
        <f t="shared" si="114"/>
        <v>132</v>
      </c>
      <c r="L480" s="42">
        <f t="shared" si="115"/>
        <v>76.910000000000011</v>
      </c>
      <c r="M480" s="42">
        <f t="shared" si="116"/>
        <v>0.58265151515151525</v>
      </c>
      <c r="N480" s="42">
        <f t="shared" si="117"/>
        <v>132</v>
      </c>
      <c r="O480" s="42">
        <f t="shared" si="118"/>
        <v>6903</v>
      </c>
      <c r="P480" s="42">
        <f t="shared" si="119"/>
        <v>52.295454545454547</v>
      </c>
      <c r="Q480" s="42">
        <f t="shared" si="120"/>
        <v>132</v>
      </c>
      <c r="R480" s="42" t="str">
        <f t="shared" si="121"/>
        <v>4</v>
      </c>
      <c r="S480" s="42" t="str">
        <f t="shared" si="122"/>
        <v>9</v>
      </c>
      <c r="T480" s="42">
        <f t="shared" si="123"/>
        <v>3</v>
      </c>
      <c r="U480" s="42">
        <f t="shared" si="124"/>
        <v>89</v>
      </c>
      <c r="V480" s="42">
        <f t="shared" si="125"/>
        <v>3183</v>
      </c>
      <c r="W480" s="42">
        <f t="shared" si="126"/>
        <v>49.316801509098106</v>
      </c>
      <c r="X480" s="42">
        <f t="shared" si="127"/>
        <v>0.18825987366070532</v>
      </c>
    </row>
    <row r="481" spans="1:24" x14ac:dyDescent="0.2">
      <c r="A481" s="49">
        <v>479</v>
      </c>
      <c r="B481" s="49">
        <v>480</v>
      </c>
      <c r="C481" s="49">
        <v>3.0300000000000001E-2</v>
      </c>
      <c r="D481" s="49">
        <v>0.45</v>
      </c>
      <c r="E481" s="49">
        <v>0.25369999999999998</v>
      </c>
      <c r="F481" s="49">
        <v>0</v>
      </c>
      <c r="G481" s="49">
        <v>13</v>
      </c>
      <c r="H481" s="49">
        <v>13</v>
      </c>
      <c r="I481" s="42">
        <f t="shared" si="112"/>
        <v>20.471099999999989</v>
      </c>
      <c r="J481" s="42">
        <f t="shared" si="113"/>
        <v>0.15626793893129762</v>
      </c>
      <c r="K481" s="42">
        <f t="shared" si="114"/>
        <v>131</v>
      </c>
      <c r="L481" s="42">
        <f t="shared" si="115"/>
        <v>76.530000000000015</v>
      </c>
      <c r="M481" s="42">
        <f t="shared" si="116"/>
        <v>0.5841984732824429</v>
      </c>
      <c r="N481" s="42">
        <f t="shared" si="117"/>
        <v>131</v>
      </c>
      <c r="O481" s="42">
        <f t="shared" si="118"/>
        <v>6876</v>
      </c>
      <c r="P481" s="42">
        <f t="shared" si="119"/>
        <v>52.488549618320612</v>
      </c>
      <c r="Q481" s="42">
        <f t="shared" si="120"/>
        <v>131</v>
      </c>
      <c r="R481" s="42" t="str">
        <f t="shared" si="121"/>
        <v>4</v>
      </c>
      <c r="S481" s="42" t="str">
        <f t="shared" si="122"/>
        <v>0</v>
      </c>
      <c r="T481" s="42">
        <f t="shared" si="123"/>
        <v>3</v>
      </c>
      <c r="U481" s="42">
        <f t="shared" si="124"/>
        <v>89</v>
      </c>
      <c r="V481" s="42">
        <f t="shared" si="125"/>
        <v>3183</v>
      </c>
      <c r="W481" s="42">
        <f t="shared" si="126"/>
        <v>49.316801509098106</v>
      </c>
      <c r="X481" s="42">
        <f t="shared" si="127"/>
        <v>0.18825987366070532</v>
      </c>
    </row>
    <row r="482" spans="1:24" x14ac:dyDescent="0.2">
      <c r="A482" s="49">
        <v>480</v>
      </c>
      <c r="B482" s="49">
        <v>481</v>
      </c>
      <c r="C482" s="49">
        <v>0</v>
      </c>
      <c r="D482" s="49">
        <v>0.41</v>
      </c>
      <c r="E482" s="49">
        <v>0.3881</v>
      </c>
      <c r="F482" s="49">
        <v>3</v>
      </c>
      <c r="G482" s="49">
        <v>9</v>
      </c>
      <c r="H482" s="49">
        <v>12</v>
      </c>
      <c r="I482" s="42">
        <f t="shared" si="112"/>
        <v>20.440799999999989</v>
      </c>
      <c r="J482" s="42">
        <f t="shared" si="113"/>
        <v>0.157236923076923</v>
      </c>
      <c r="K482" s="42">
        <f t="shared" si="114"/>
        <v>130</v>
      </c>
      <c r="L482" s="42">
        <f t="shared" si="115"/>
        <v>76.080000000000013</v>
      </c>
      <c r="M482" s="42">
        <f t="shared" si="116"/>
        <v>0.58523076923076933</v>
      </c>
      <c r="N482" s="42">
        <f t="shared" si="117"/>
        <v>130</v>
      </c>
      <c r="O482" s="42">
        <f t="shared" si="118"/>
        <v>6863</v>
      </c>
      <c r="P482" s="42">
        <f t="shared" si="119"/>
        <v>52.792307692307695</v>
      </c>
      <c r="Q482" s="42">
        <f t="shared" si="120"/>
        <v>130</v>
      </c>
      <c r="R482" s="42" t="str">
        <f t="shared" si="121"/>
        <v>4</v>
      </c>
      <c r="S482" s="42" t="str">
        <f t="shared" si="122"/>
        <v>1</v>
      </c>
      <c r="T482" s="42">
        <f t="shared" si="123"/>
        <v>3</v>
      </c>
      <c r="U482" s="42">
        <f t="shared" si="124"/>
        <v>89</v>
      </c>
      <c r="V482" s="42">
        <f t="shared" si="125"/>
        <v>3183</v>
      </c>
      <c r="W482" s="42">
        <f t="shared" si="126"/>
        <v>49.316801509098106</v>
      </c>
      <c r="X482" s="42">
        <f t="shared" si="127"/>
        <v>0.18825987366070532</v>
      </c>
    </row>
    <row r="483" spans="1:24" x14ac:dyDescent="0.2">
      <c r="A483" s="49">
        <v>481</v>
      </c>
      <c r="B483" s="49">
        <v>482</v>
      </c>
      <c r="C483" s="49">
        <v>3.0300000000000001E-2</v>
      </c>
      <c r="D483" s="49">
        <v>0.41</v>
      </c>
      <c r="E483" s="49">
        <v>0.25369999999999998</v>
      </c>
      <c r="F483" s="49">
        <v>0</v>
      </c>
      <c r="G483" s="49">
        <v>11</v>
      </c>
      <c r="H483" s="49">
        <v>11</v>
      </c>
      <c r="I483" s="42">
        <f t="shared" si="112"/>
        <v>20.440799999999989</v>
      </c>
      <c r="J483" s="42">
        <f t="shared" si="113"/>
        <v>0.15845581395348829</v>
      </c>
      <c r="K483" s="42">
        <f t="shared" si="114"/>
        <v>129</v>
      </c>
      <c r="L483" s="42">
        <f t="shared" si="115"/>
        <v>75.670000000000016</v>
      </c>
      <c r="M483" s="42">
        <f t="shared" si="116"/>
        <v>0.58658914728682188</v>
      </c>
      <c r="N483" s="42">
        <f t="shared" si="117"/>
        <v>129</v>
      </c>
      <c r="O483" s="42">
        <f t="shared" si="118"/>
        <v>6851</v>
      </c>
      <c r="P483" s="42">
        <f t="shared" si="119"/>
        <v>53.108527131782942</v>
      </c>
      <c r="Q483" s="42">
        <f t="shared" si="120"/>
        <v>129</v>
      </c>
      <c r="R483" s="42" t="str">
        <f t="shared" si="121"/>
        <v>4</v>
      </c>
      <c r="S483" s="42" t="str">
        <f t="shared" si="122"/>
        <v>2</v>
      </c>
      <c r="T483" s="42">
        <f t="shared" si="123"/>
        <v>3</v>
      </c>
      <c r="U483" s="42">
        <f t="shared" si="124"/>
        <v>89</v>
      </c>
      <c r="V483" s="42">
        <f t="shared" si="125"/>
        <v>3183</v>
      </c>
      <c r="W483" s="42">
        <f t="shared" si="126"/>
        <v>49.316801509098106</v>
      </c>
      <c r="X483" s="42">
        <f t="shared" si="127"/>
        <v>0.18825987366070532</v>
      </c>
    </row>
    <row r="484" spans="1:24" x14ac:dyDescent="0.2">
      <c r="A484" s="49">
        <v>482</v>
      </c>
      <c r="B484" s="49">
        <v>483</v>
      </c>
      <c r="C484" s="49">
        <v>3.0300000000000001E-2</v>
      </c>
      <c r="D484" s="49">
        <v>0.41</v>
      </c>
      <c r="E484" s="49">
        <v>0.28360000000000002</v>
      </c>
      <c r="F484" s="49">
        <v>1</v>
      </c>
      <c r="G484" s="49">
        <v>6</v>
      </c>
      <c r="H484" s="49">
        <v>7</v>
      </c>
      <c r="I484" s="42">
        <f t="shared" si="112"/>
        <v>20.410499999999988</v>
      </c>
      <c r="J484" s="42">
        <f t="shared" si="113"/>
        <v>0.15945703124999991</v>
      </c>
      <c r="K484" s="42">
        <f t="shared" si="114"/>
        <v>128</v>
      </c>
      <c r="L484" s="42">
        <f t="shared" si="115"/>
        <v>75.260000000000005</v>
      </c>
      <c r="M484" s="42">
        <f t="shared" si="116"/>
        <v>0.58796875000000004</v>
      </c>
      <c r="N484" s="42">
        <f t="shared" si="117"/>
        <v>128</v>
      </c>
      <c r="O484" s="42">
        <f t="shared" si="118"/>
        <v>6840</v>
      </c>
      <c r="P484" s="42">
        <f t="shared" si="119"/>
        <v>53.4375</v>
      </c>
      <c r="Q484" s="42">
        <f t="shared" si="120"/>
        <v>128</v>
      </c>
      <c r="R484" s="42" t="str">
        <f t="shared" si="121"/>
        <v>4</v>
      </c>
      <c r="S484" s="42" t="str">
        <f t="shared" si="122"/>
        <v>3</v>
      </c>
      <c r="T484" s="42">
        <f t="shared" si="123"/>
        <v>3</v>
      </c>
      <c r="U484" s="42">
        <f t="shared" si="124"/>
        <v>89</v>
      </c>
      <c r="V484" s="42">
        <f t="shared" si="125"/>
        <v>3183</v>
      </c>
      <c r="W484" s="42">
        <f t="shared" si="126"/>
        <v>49.316801509098106</v>
      </c>
      <c r="X484" s="42">
        <f t="shared" si="127"/>
        <v>0.18825987366070532</v>
      </c>
    </row>
    <row r="485" spans="1:24" x14ac:dyDescent="0.2">
      <c r="A485" s="49">
        <v>483</v>
      </c>
      <c r="B485" s="49">
        <v>484</v>
      </c>
      <c r="C485" s="49">
        <v>1.52E-2</v>
      </c>
      <c r="D485" s="49">
        <v>0.48</v>
      </c>
      <c r="E485" s="49">
        <v>0.29849999999999999</v>
      </c>
      <c r="F485" s="49">
        <v>0</v>
      </c>
      <c r="G485" s="49">
        <v>3</v>
      </c>
      <c r="H485" s="49">
        <v>3</v>
      </c>
      <c r="I485" s="42">
        <f t="shared" si="112"/>
        <v>20.380199999999988</v>
      </c>
      <c r="J485" s="42">
        <f t="shared" si="113"/>
        <v>0.16047401574803141</v>
      </c>
      <c r="K485" s="42">
        <f t="shared" si="114"/>
        <v>127</v>
      </c>
      <c r="L485" s="42">
        <f t="shared" si="115"/>
        <v>74.849999999999994</v>
      </c>
      <c r="M485" s="42">
        <f t="shared" si="116"/>
        <v>0.58937007874015745</v>
      </c>
      <c r="N485" s="42">
        <f t="shared" si="117"/>
        <v>127</v>
      </c>
      <c r="O485" s="42">
        <f t="shared" si="118"/>
        <v>6833</v>
      </c>
      <c r="P485" s="42">
        <f t="shared" si="119"/>
        <v>53.803149606299215</v>
      </c>
      <c r="Q485" s="42">
        <f t="shared" si="120"/>
        <v>127</v>
      </c>
      <c r="R485" s="42" t="str">
        <f t="shared" si="121"/>
        <v>4</v>
      </c>
      <c r="S485" s="42" t="str">
        <f t="shared" si="122"/>
        <v>4</v>
      </c>
      <c r="T485" s="42">
        <f t="shared" si="123"/>
        <v>3</v>
      </c>
      <c r="U485" s="42">
        <f t="shared" si="124"/>
        <v>89</v>
      </c>
      <c r="V485" s="42">
        <f t="shared" si="125"/>
        <v>3183</v>
      </c>
      <c r="W485" s="42">
        <f t="shared" si="126"/>
        <v>49.316801509098106</v>
      </c>
      <c r="X485" s="42">
        <f t="shared" si="127"/>
        <v>0.18825987366070532</v>
      </c>
    </row>
    <row r="486" spans="1:24" x14ac:dyDescent="0.2">
      <c r="A486" s="49">
        <v>484</v>
      </c>
      <c r="B486" s="49">
        <v>485</v>
      </c>
      <c r="C486" s="49">
        <v>3.0300000000000001E-2</v>
      </c>
      <c r="D486" s="49">
        <v>0.44</v>
      </c>
      <c r="E486" s="49">
        <v>0.22389999999999999</v>
      </c>
      <c r="F486" s="49">
        <v>0</v>
      </c>
      <c r="G486" s="49">
        <v>2</v>
      </c>
      <c r="H486" s="49">
        <v>2</v>
      </c>
      <c r="I486" s="42">
        <f t="shared" si="112"/>
        <v>20.364999999999988</v>
      </c>
      <c r="J486" s="42">
        <f t="shared" si="113"/>
        <v>0.16162698412698404</v>
      </c>
      <c r="K486" s="42">
        <f t="shared" si="114"/>
        <v>126</v>
      </c>
      <c r="L486" s="42">
        <f t="shared" si="115"/>
        <v>74.37</v>
      </c>
      <c r="M486" s="42">
        <f t="shared" si="116"/>
        <v>0.59023809523809523</v>
      </c>
      <c r="N486" s="42">
        <f t="shared" si="117"/>
        <v>126</v>
      </c>
      <c r="O486" s="42">
        <f t="shared" si="118"/>
        <v>6830</v>
      </c>
      <c r="P486" s="42">
        <f t="shared" si="119"/>
        <v>54.206349206349209</v>
      </c>
      <c r="Q486" s="42">
        <f t="shared" si="120"/>
        <v>126</v>
      </c>
      <c r="R486" s="42" t="str">
        <f t="shared" si="121"/>
        <v>4</v>
      </c>
      <c r="S486" s="42" t="str">
        <f t="shared" si="122"/>
        <v>5</v>
      </c>
      <c r="T486" s="42">
        <f t="shared" si="123"/>
        <v>3</v>
      </c>
      <c r="U486" s="42">
        <f t="shared" si="124"/>
        <v>89</v>
      </c>
      <c r="V486" s="42">
        <f t="shared" si="125"/>
        <v>3183</v>
      </c>
      <c r="W486" s="42">
        <f t="shared" si="126"/>
        <v>49.316801509098106</v>
      </c>
      <c r="X486" s="42">
        <f t="shared" si="127"/>
        <v>0.18825987366070532</v>
      </c>
    </row>
    <row r="487" spans="1:24" x14ac:dyDescent="0.2">
      <c r="A487" s="49">
        <v>485</v>
      </c>
      <c r="B487" s="49">
        <v>486</v>
      </c>
      <c r="C487" s="49">
        <v>1.52E-2</v>
      </c>
      <c r="D487" s="49">
        <v>0.44</v>
      </c>
      <c r="E487" s="49">
        <v>0.28360000000000002</v>
      </c>
      <c r="F487" s="49">
        <v>0</v>
      </c>
      <c r="G487" s="49">
        <v>8</v>
      </c>
      <c r="H487" s="49">
        <v>8</v>
      </c>
      <c r="I487" s="42">
        <f t="shared" si="112"/>
        <v>20.334699999999987</v>
      </c>
      <c r="J487" s="42">
        <f t="shared" si="113"/>
        <v>0.16267759999999989</v>
      </c>
      <c r="K487" s="42">
        <f t="shared" si="114"/>
        <v>125</v>
      </c>
      <c r="L487" s="42">
        <f t="shared" si="115"/>
        <v>73.930000000000007</v>
      </c>
      <c r="M487" s="42">
        <f t="shared" si="116"/>
        <v>0.59144000000000008</v>
      </c>
      <c r="N487" s="42">
        <f t="shared" si="117"/>
        <v>125</v>
      </c>
      <c r="O487" s="42">
        <f t="shared" si="118"/>
        <v>6828</v>
      </c>
      <c r="P487" s="42">
        <f t="shared" si="119"/>
        <v>54.624000000000002</v>
      </c>
      <c r="Q487" s="42">
        <f t="shared" si="120"/>
        <v>125</v>
      </c>
      <c r="R487" s="42" t="str">
        <f t="shared" si="121"/>
        <v>4</v>
      </c>
      <c r="S487" s="42" t="str">
        <f t="shared" si="122"/>
        <v>6</v>
      </c>
      <c r="T487" s="42">
        <f t="shared" si="123"/>
        <v>3</v>
      </c>
      <c r="U487" s="42">
        <f t="shared" si="124"/>
        <v>89</v>
      </c>
      <c r="V487" s="42">
        <f t="shared" si="125"/>
        <v>3183</v>
      </c>
      <c r="W487" s="42">
        <f t="shared" si="126"/>
        <v>49.316801509098106</v>
      </c>
      <c r="X487" s="42">
        <f t="shared" si="127"/>
        <v>0.18825987366070532</v>
      </c>
    </row>
    <row r="488" spans="1:24" x14ac:dyDescent="0.2">
      <c r="A488" s="49">
        <v>486</v>
      </c>
      <c r="B488" s="49">
        <v>487</v>
      </c>
      <c r="C488" s="49">
        <v>0</v>
      </c>
      <c r="D488" s="49">
        <v>0.44</v>
      </c>
      <c r="E488" s="49">
        <v>0.32840000000000003</v>
      </c>
      <c r="F488" s="49">
        <v>1</v>
      </c>
      <c r="G488" s="49">
        <v>26</v>
      </c>
      <c r="H488" s="49">
        <v>27</v>
      </c>
      <c r="I488" s="42">
        <f t="shared" si="112"/>
        <v>20.319499999999987</v>
      </c>
      <c r="J488" s="42">
        <f t="shared" si="113"/>
        <v>0.16386693548387085</v>
      </c>
      <c r="K488" s="42">
        <f t="shared" si="114"/>
        <v>124</v>
      </c>
      <c r="L488" s="42">
        <f t="shared" si="115"/>
        <v>73.490000000000009</v>
      </c>
      <c r="M488" s="42">
        <f t="shared" si="116"/>
        <v>0.59266129032258075</v>
      </c>
      <c r="N488" s="42">
        <f t="shared" si="117"/>
        <v>124</v>
      </c>
      <c r="O488" s="42">
        <f t="shared" si="118"/>
        <v>6820</v>
      </c>
      <c r="P488" s="42">
        <f t="shared" si="119"/>
        <v>55</v>
      </c>
      <c r="Q488" s="42">
        <f t="shared" si="120"/>
        <v>124</v>
      </c>
      <c r="R488" s="42" t="str">
        <f t="shared" si="121"/>
        <v>4</v>
      </c>
      <c r="S488" s="42" t="str">
        <f t="shared" si="122"/>
        <v>7</v>
      </c>
      <c r="T488" s="42">
        <f t="shared" si="123"/>
        <v>3</v>
      </c>
      <c r="U488" s="42">
        <f t="shared" si="124"/>
        <v>89</v>
      </c>
      <c r="V488" s="42">
        <f t="shared" si="125"/>
        <v>3183</v>
      </c>
      <c r="W488" s="42">
        <f t="shared" si="126"/>
        <v>49.316801509098106</v>
      </c>
      <c r="X488" s="42">
        <f t="shared" si="127"/>
        <v>0.18825987366070532</v>
      </c>
    </row>
    <row r="489" spans="1:24" x14ac:dyDescent="0.2">
      <c r="A489" s="49">
        <v>487</v>
      </c>
      <c r="B489" s="49">
        <v>488</v>
      </c>
      <c r="C489" s="49">
        <v>3.0300000000000001E-2</v>
      </c>
      <c r="D489" s="49">
        <v>0.41</v>
      </c>
      <c r="E489" s="49">
        <v>0.25369999999999998</v>
      </c>
      <c r="F489" s="49">
        <v>3</v>
      </c>
      <c r="G489" s="49">
        <v>37</v>
      </c>
      <c r="H489" s="49">
        <v>40</v>
      </c>
      <c r="I489" s="42">
        <f t="shared" si="112"/>
        <v>20.319499999999987</v>
      </c>
      <c r="J489" s="42">
        <f t="shared" si="113"/>
        <v>0.16519918699186981</v>
      </c>
      <c r="K489" s="42">
        <f t="shared" si="114"/>
        <v>123</v>
      </c>
      <c r="L489" s="42">
        <f t="shared" si="115"/>
        <v>73.05</v>
      </c>
      <c r="M489" s="42">
        <f t="shared" si="116"/>
        <v>0.59390243902439022</v>
      </c>
      <c r="N489" s="42">
        <f t="shared" si="117"/>
        <v>123</v>
      </c>
      <c r="O489" s="42">
        <f t="shared" si="118"/>
        <v>6793</v>
      </c>
      <c r="P489" s="42">
        <f t="shared" si="119"/>
        <v>55.227642276422763</v>
      </c>
      <c r="Q489" s="42">
        <f t="shared" si="120"/>
        <v>123</v>
      </c>
      <c r="R489" s="42" t="str">
        <f t="shared" si="121"/>
        <v>4</v>
      </c>
      <c r="S489" s="42" t="str">
        <f t="shared" si="122"/>
        <v>8</v>
      </c>
      <c r="T489" s="42">
        <f t="shared" si="123"/>
        <v>3</v>
      </c>
      <c r="U489" s="42">
        <f t="shared" si="124"/>
        <v>89</v>
      </c>
      <c r="V489" s="42">
        <f t="shared" si="125"/>
        <v>3183</v>
      </c>
      <c r="W489" s="42">
        <f t="shared" si="126"/>
        <v>49.316801509098106</v>
      </c>
      <c r="X489" s="42">
        <f t="shared" si="127"/>
        <v>0.18825987366070532</v>
      </c>
    </row>
    <row r="490" spans="1:24" x14ac:dyDescent="0.2">
      <c r="A490" s="49">
        <v>488</v>
      </c>
      <c r="B490" s="49">
        <v>489</v>
      </c>
      <c r="C490" s="49">
        <v>6.0600000000000001E-2</v>
      </c>
      <c r="D490" s="49">
        <v>0.41</v>
      </c>
      <c r="E490" s="49">
        <v>0.16420000000000001</v>
      </c>
      <c r="F490" s="49">
        <v>3</v>
      </c>
      <c r="G490" s="49">
        <v>50</v>
      </c>
      <c r="H490" s="49">
        <v>53</v>
      </c>
      <c r="I490" s="42">
        <f t="shared" si="112"/>
        <v>20.289199999999987</v>
      </c>
      <c r="J490" s="42">
        <f t="shared" si="113"/>
        <v>0.16630491803278677</v>
      </c>
      <c r="K490" s="42">
        <f t="shared" si="114"/>
        <v>122</v>
      </c>
      <c r="L490" s="42">
        <f t="shared" si="115"/>
        <v>72.64</v>
      </c>
      <c r="M490" s="42">
        <f t="shared" si="116"/>
        <v>0.59540983606557374</v>
      </c>
      <c r="N490" s="42">
        <f t="shared" si="117"/>
        <v>122</v>
      </c>
      <c r="O490" s="42">
        <f t="shared" si="118"/>
        <v>6753</v>
      </c>
      <c r="P490" s="42">
        <f t="shared" si="119"/>
        <v>55.352459016393439</v>
      </c>
      <c r="Q490" s="42">
        <f t="shared" si="120"/>
        <v>122</v>
      </c>
      <c r="R490" s="42" t="str">
        <f t="shared" si="121"/>
        <v>4</v>
      </c>
      <c r="S490" s="42" t="str">
        <f t="shared" si="122"/>
        <v>9</v>
      </c>
      <c r="T490" s="42">
        <f t="shared" si="123"/>
        <v>3</v>
      </c>
      <c r="U490" s="42">
        <f t="shared" si="124"/>
        <v>89</v>
      </c>
      <c r="V490" s="42">
        <f t="shared" si="125"/>
        <v>3183</v>
      </c>
      <c r="W490" s="42">
        <f t="shared" si="126"/>
        <v>49.316801509098106</v>
      </c>
      <c r="X490" s="42">
        <f t="shared" si="127"/>
        <v>0.18825987366070532</v>
      </c>
    </row>
    <row r="491" spans="1:24" x14ac:dyDescent="0.2">
      <c r="A491" s="49">
        <v>489</v>
      </c>
      <c r="B491" s="49">
        <v>490</v>
      </c>
      <c r="C491" s="49">
        <v>7.5800000000000006E-2</v>
      </c>
      <c r="D491" s="49">
        <v>0.38</v>
      </c>
      <c r="E491" s="49">
        <v>0.1343</v>
      </c>
      <c r="F491" s="49">
        <v>4</v>
      </c>
      <c r="G491" s="49">
        <v>59</v>
      </c>
      <c r="H491" s="49">
        <v>63</v>
      </c>
      <c r="I491" s="42">
        <f t="shared" si="112"/>
        <v>20.228599999999989</v>
      </c>
      <c r="J491" s="42">
        <f t="shared" si="113"/>
        <v>0.16717851239669412</v>
      </c>
      <c r="K491" s="42">
        <f t="shared" si="114"/>
        <v>121</v>
      </c>
      <c r="L491" s="42">
        <f t="shared" si="115"/>
        <v>72.23</v>
      </c>
      <c r="M491" s="42">
        <f t="shared" si="116"/>
        <v>0.59694214876033058</v>
      </c>
      <c r="N491" s="42">
        <f t="shared" si="117"/>
        <v>121</v>
      </c>
      <c r="O491" s="42">
        <f t="shared" si="118"/>
        <v>6700</v>
      </c>
      <c r="P491" s="42">
        <f t="shared" si="119"/>
        <v>55.371900826446279</v>
      </c>
      <c r="Q491" s="42">
        <f t="shared" si="120"/>
        <v>121</v>
      </c>
      <c r="R491" s="42" t="str">
        <f t="shared" si="121"/>
        <v>4</v>
      </c>
      <c r="S491" s="42" t="str">
        <f t="shared" si="122"/>
        <v>0</v>
      </c>
      <c r="T491" s="42">
        <f t="shared" si="123"/>
        <v>3</v>
      </c>
      <c r="U491" s="42">
        <f t="shared" si="124"/>
        <v>89</v>
      </c>
      <c r="V491" s="42">
        <f t="shared" si="125"/>
        <v>3183</v>
      </c>
      <c r="W491" s="42">
        <f t="shared" si="126"/>
        <v>49.316801509098106</v>
      </c>
      <c r="X491" s="42">
        <f t="shared" si="127"/>
        <v>0.18825987366070532</v>
      </c>
    </row>
    <row r="492" spans="1:24" x14ac:dyDescent="0.2">
      <c r="A492" s="49">
        <v>490</v>
      </c>
      <c r="B492" s="49">
        <v>491</v>
      </c>
      <c r="C492" s="49">
        <v>0.1061</v>
      </c>
      <c r="D492" s="49">
        <v>0.38</v>
      </c>
      <c r="E492" s="49">
        <v>0.1045</v>
      </c>
      <c r="F492" s="49">
        <v>10</v>
      </c>
      <c r="G492" s="49">
        <v>60</v>
      </c>
      <c r="H492" s="49">
        <v>70</v>
      </c>
      <c r="I492" s="42">
        <f t="shared" si="112"/>
        <v>20.152799999999989</v>
      </c>
      <c r="J492" s="42">
        <f t="shared" si="113"/>
        <v>0.16793999999999989</v>
      </c>
      <c r="K492" s="42">
        <f t="shared" si="114"/>
        <v>120</v>
      </c>
      <c r="L492" s="42">
        <f t="shared" si="115"/>
        <v>71.849999999999994</v>
      </c>
      <c r="M492" s="42">
        <f t="shared" si="116"/>
        <v>0.59875</v>
      </c>
      <c r="N492" s="42">
        <f t="shared" si="117"/>
        <v>120</v>
      </c>
      <c r="O492" s="42">
        <f t="shared" si="118"/>
        <v>6637</v>
      </c>
      <c r="P492" s="42">
        <f t="shared" si="119"/>
        <v>55.30833333333333</v>
      </c>
      <c r="Q492" s="42">
        <f t="shared" si="120"/>
        <v>120</v>
      </c>
      <c r="R492" s="42" t="str">
        <f t="shared" si="121"/>
        <v>4</v>
      </c>
      <c r="S492" s="42" t="str">
        <f t="shared" si="122"/>
        <v>1</v>
      </c>
      <c r="T492" s="42">
        <f t="shared" si="123"/>
        <v>3</v>
      </c>
      <c r="U492" s="42">
        <f t="shared" si="124"/>
        <v>89</v>
      </c>
      <c r="V492" s="42">
        <f t="shared" si="125"/>
        <v>3183</v>
      </c>
      <c r="W492" s="42">
        <f t="shared" si="126"/>
        <v>49.316801509098106</v>
      </c>
      <c r="X492" s="42">
        <f t="shared" si="127"/>
        <v>0.18825987366070532</v>
      </c>
    </row>
    <row r="493" spans="1:24" x14ac:dyDescent="0.2">
      <c r="A493" s="49">
        <v>491</v>
      </c>
      <c r="B493" s="49">
        <v>492</v>
      </c>
      <c r="C493" s="49">
        <v>0.16669999999999999</v>
      </c>
      <c r="D493" s="49">
        <v>0.35</v>
      </c>
      <c r="E493" s="49">
        <v>0</v>
      </c>
      <c r="F493" s="49">
        <v>12</v>
      </c>
      <c r="G493" s="49">
        <v>72</v>
      </c>
      <c r="H493" s="49">
        <v>84</v>
      </c>
      <c r="I493" s="42">
        <f t="shared" si="112"/>
        <v>20.046699999999987</v>
      </c>
      <c r="J493" s="42">
        <f t="shared" si="113"/>
        <v>0.16845966386554612</v>
      </c>
      <c r="K493" s="42">
        <f t="shared" si="114"/>
        <v>119</v>
      </c>
      <c r="L493" s="42">
        <f t="shared" si="115"/>
        <v>71.47</v>
      </c>
      <c r="M493" s="42">
        <f t="shared" si="116"/>
        <v>0.60058823529411764</v>
      </c>
      <c r="N493" s="42">
        <f t="shared" si="117"/>
        <v>119</v>
      </c>
      <c r="O493" s="42">
        <f t="shared" si="118"/>
        <v>6567</v>
      </c>
      <c r="P493" s="42">
        <f t="shared" si="119"/>
        <v>55.184873949579831</v>
      </c>
      <c r="Q493" s="42">
        <f t="shared" si="120"/>
        <v>119</v>
      </c>
      <c r="R493" s="42" t="str">
        <f t="shared" si="121"/>
        <v>4</v>
      </c>
      <c r="S493" s="42" t="str">
        <f t="shared" si="122"/>
        <v>2</v>
      </c>
      <c r="T493" s="42">
        <f t="shared" si="123"/>
        <v>3</v>
      </c>
      <c r="U493" s="42">
        <f t="shared" si="124"/>
        <v>89</v>
      </c>
      <c r="V493" s="42">
        <f t="shared" si="125"/>
        <v>3183</v>
      </c>
      <c r="W493" s="42">
        <f t="shared" si="126"/>
        <v>49.316801509098106</v>
      </c>
      <c r="X493" s="42">
        <f t="shared" si="127"/>
        <v>0.18825987366070532</v>
      </c>
    </row>
    <row r="494" spans="1:24" x14ac:dyDescent="0.2">
      <c r="A494" s="49">
        <v>492</v>
      </c>
      <c r="B494" s="49">
        <v>493</v>
      </c>
      <c r="C494" s="49">
        <v>0.13639999999999999</v>
      </c>
      <c r="D494" s="49">
        <v>0.33</v>
      </c>
      <c r="E494" s="49">
        <v>0.1045</v>
      </c>
      <c r="F494" s="49">
        <v>11</v>
      </c>
      <c r="G494" s="49">
        <v>64</v>
      </c>
      <c r="H494" s="49">
        <v>75</v>
      </c>
      <c r="I494" s="42">
        <f t="shared" si="112"/>
        <v>19.879999999999988</v>
      </c>
      <c r="J494" s="42">
        <f t="shared" si="113"/>
        <v>0.16847457627118634</v>
      </c>
      <c r="K494" s="42">
        <f t="shared" si="114"/>
        <v>118</v>
      </c>
      <c r="L494" s="42">
        <f t="shared" si="115"/>
        <v>71.11999999999999</v>
      </c>
      <c r="M494" s="42">
        <f t="shared" si="116"/>
        <v>0.6027118644067796</v>
      </c>
      <c r="N494" s="42">
        <f t="shared" si="117"/>
        <v>118</v>
      </c>
      <c r="O494" s="42">
        <f t="shared" si="118"/>
        <v>6483</v>
      </c>
      <c r="P494" s="42">
        <f t="shared" si="119"/>
        <v>54.940677966101696</v>
      </c>
      <c r="Q494" s="42">
        <f t="shared" si="120"/>
        <v>118</v>
      </c>
      <c r="R494" s="42" t="str">
        <f t="shared" si="121"/>
        <v>4</v>
      </c>
      <c r="S494" s="42" t="str">
        <f t="shared" si="122"/>
        <v>3</v>
      </c>
      <c r="T494" s="42">
        <f t="shared" si="123"/>
        <v>3</v>
      </c>
      <c r="U494" s="42">
        <f t="shared" si="124"/>
        <v>89</v>
      </c>
      <c r="V494" s="42">
        <f t="shared" si="125"/>
        <v>3183</v>
      </c>
      <c r="W494" s="42">
        <f t="shared" si="126"/>
        <v>49.316801509098106</v>
      </c>
      <c r="X494" s="42">
        <f t="shared" si="127"/>
        <v>0.18825987366070532</v>
      </c>
    </row>
    <row r="495" spans="1:24" x14ac:dyDescent="0.2">
      <c r="A495" s="49">
        <v>493</v>
      </c>
      <c r="B495" s="49">
        <v>494</v>
      </c>
      <c r="C495" s="49">
        <v>0.1515</v>
      </c>
      <c r="D495" s="49">
        <v>0.28000000000000003</v>
      </c>
      <c r="E495" s="49">
        <v>0</v>
      </c>
      <c r="F495" s="49">
        <v>10</v>
      </c>
      <c r="G495" s="49">
        <v>93</v>
      </c>
      <c r="H495" s="49">
        <v>103</v>
      </c>
      <c r="I495" s="42">
        <f t="shared" si="112"/>
        <v>19.743599999999986</v>
      </c>
      <c r="J495" s="42">
        <f t="shared" si="113"/>
        <v>0.16874871794871785</v>
      </c>
      <c r="K495" s="42">
        <f t="shared" si="114"/>
        <v>117</v>
      </c>
      <c r="L495" s="42">
        <f t="shared" si="115"/>
        <v>70.789999999999992</v>
      </c>
      <c r="M495" s="42">
        <f t="shared" si="116"/>
        <v>0.60504273504273498</v>
      </c>
      <c r="N495" s="42">
        <f t="shared" si="117"/>
        <v>117</v>
      </c>
      <c r="O495" s="42">
        <f t="shared" si="118"/>
        <v>6408</v>
      </c>
      <c r="P495" s="42">
        <f t="shared" si="119"/>
        <v>54.769230769230766</v>
      </c>
      <c r="Q495" s="42">
        <f t="shared" si="120"/>
        <v>117</v>
      </c>
      <c r="R495" s="42" t="str">
        <f t="shared" si="121"/>
        <v>4</v>
      </c>
      <c r="S495" s="42" t="str">
        <f t="shared" si="122"/>
        <v>4</v>
      </c>
      <c r="T495" s="42">
        <f t="shared" si="123"/>
        <v>3</v>
      </c>
      <c r="U495" s="42">
        <f t="shared" si="124"/>
        <v>89</v>
      </c>
      <c r="V495" s="42">
        <f t="shared" si="125"/>
        <v>3183</v>
      </c>
      <c r="W495" s="42">
        <f t="shared" si="126"/>
        <v>49.316801509098106</v>
      </c>
      <c r="X495" s="42">
        <f t="shared" si="127"/>
        <v>0.18825987366070532</v>
      </c>
    </row>
    <row r="496" spans="1:24" x14ac:dyDescent="0.2">
      <c r="A496" s="49">
        <v>494</v>
      </c>
      <c r="B496" s="49">
        <v>495</v>
      </c>
      <c r="C496" s="49">
        <v>0.13639999999999999</v>
      </c>
      <c r="D496" s="49">
        <v>0.28000000000000003</v>
      </c>
      <c r="E496" s="49">
        <v>0.19400000000000001</v>
      </c>
      <c r="F496" s="49">
        <v>11</v>
      </c>
      <c r="G496" s="49">
        <v>72</v>
      </c>
      <c r="H496" s="49">
        <v>83</v>
      </c>
      <c r="I496" s="42">
        <f t="shared" si="112"/>
        <v>19.592099999999984</v>
      </c>
      <c r="J496" s="42">
        <f t="shared" si="113"/>
        <v>0.1688974137931033</v>
      </c>
      <c r="K496" s="42">
        <f t="shared" si="114"/>
        <v>116</v>
      </c>
      <c r="L496" s="42">
        <f t="shared" si="115"/>
        <v>70.509999999999991</v>
      </c>
      <c r="M496" s="42">
        <f t="shared" si="116"/>
        <v>0.60784482758620684</v>
      </c>
      <c r="N496" s="42">
        <f t="shared" si="117"/>
        <v>116</v>
      </c>
      <c r="O496" s="42">
        <f t="shared" si="118"/>
        <v>6305</v>
      </c>
      <c r="P496" s="42">
        <f t="shared" si="119"/>
        <v>54.353448275862071</v>
      </c>
      <c r="Q496" s="42">
        <f t="shared" si="120"/>
        <v>116</v>
      </c>
      <c r="R496" s="42" t="str">
        <f t="shared" si="121"/>
        <v>4</v>
      </c>
      <c r="S496" s="42" t="str">
        <f t="shared" si="122"/>
        <v>5</v>
      </c>
      <c r="T496" s="42">
        <f t="shared" si="123"/>
        <v>3</v>
      </c>
      <c r="U496" s="42">
        <f t="shared" si="124"/>
        <v>89</v>
      </c>
      <c r="V496" s="42">
        <f t="shared" si="125"/>
        <v>3183</v>
      </c>
      <c r="W496" s="42">
        <f t="shared" si="126"/>
        <v>49.316801509098106</v>
      </c>
      <c r="X496" s="42">
        <f t="shared" si="127"/>
        <v>0.18825987366070532</v>
      </c>
    </row>
    <row r="497" spans="1:24" x14ac:dyDescent="0.2">
      <c r="A497" s="49">
        <v>495</v>
      </c>
      <c r="B497" s="49">
        <v>496</v>
      </c>
      <c r="C497" s="49">
        <v>0.19700000000000001</v>
      </c>
      <c r="D497" s="49">
        <v>0.28000000000000003</v>
      </c>
      <c r="E497" s="49">
        <v>0</v>
      </c>
      <c r="F497" s="49">
        <v>8</v>
      </c>
      <c r="G497" s="49">
        <v>59</v>
      </c>
      <c r="H497" s="49">
        <v>67</v>
      </c>
      <c r="I497" s="42">
        <f t="shared" si="112"/>
        <v>19.455699999999986</v>
      </c>
      <c r="J497" s="42">
        <f t="shared" si="113"/>
        <v>0.16917999999999989</v>
      </c>
      <c r="K497" s="42">
        <f t="shared" si="114"/>
        <v>115</v>
      </c>
      <c r="L497" s="42">
        <f t="shared" si="115"/>
        <v>70.22999999999999</v>
      </c>
      <c r="M497" s="42">
        <f t="shared" si="116"/>
        <v>0.61069565217391297</v>
      </c>
      <c r="N497" s="42">
        <f t="shared" si="117"/>
        <v>115</v>
      </c>
      <c r="O497" s="42">
        <f t="shared" si="118"/>
        <v>6222</v>
      </c>
      <c r="P497" s="42">
        <f t="shared" si="119"/>
        <v>54.104347826086958</v>
      </c>
      <c r="Q497" s="42">
        <f t="shared" si="120"/>
        <v>115</v>
      </c>
      <c r="R497" s="42" t="str">
        <f t="shared" si="121"/>
        <v>4</v>
      </c>
      <c r="S497" s="42" t="str">
        <f t="shared" si="122"/>
        <v>6</v>
      </c>
      <c r="T497" s="42">
        <f t="shared" si="123"/>
        <v>3</v>
      </c>
      <c r="U497" s="42">
        <f t="shared" si="124"/>
        <v>89</v>
      </c>
      <c r="V497" s="42">
        <f t="shared" si="125"/>
        <v>3183</v>
      </c>
      <c r="W497" s="42">
        <f t="shared" si="126"/>
        <v>49.316801509098106</v>
      </c>
      <c r="X497" s="42">
        <f t="shared" si="127"/>
        <v>0.18825987366070532</v>
      </c>
    </row>
    <row r="498" spans="1:24" x14ac:dyDescent="0.2">
      <c r="A498" s="49">
        <v>496</v>
      </c>
      <c r="B498" s="49">
        <v>497</v>
      </c>
      <c r="C498" s="49">
        <v>9.0899999999999995E-2</v>
      </c>
      <c r="D498" s="49">
        <v>0.35</v>
      </c>
      <c r="E498" s="49">
        <v>0.19400000000000001</v>
      </c>
      <c r="F498" s="49">
        <v>0</v>
      </c>
      <c r="G498" s="49">
        <v>54</v>
      </c>
      <c r="H498" s="49">
        <v>54</v>
      </c>
      <c r="I498" s="42">
        <f t="shared" si="112"/>
        <v>19.258699999999983</v>
      </c>
      <c r="J498" s="42">
        <f t="shared" si="113"/>
        <v>0.16893596491228055</v>
      </c>
      <c r="K498" s="42">
        <f t="shared" si="114"/>
        <v>114</v>
      </c>
      <c r="L498" s="42">
        <f t="shared" si="115"/>
        <v>69.95</v>
      </c>
      <c r="M498" s="42">
        <f t="shared" si="116"/>
        <v>0.61359649122807025</v>
      </c>
      <c r="N498" s="42">
        <f t="shared" si="117"/>
        <v>114</v>
      </c>
      <c r="O498" s="42">
        <f t="shared" si="118"/>
        <v>6155</v>
      </c>
      <c r="P498" s="42">
        <f t="shared" si="119"/>
        <v>53.991228070175438</v>
      </c>
      <c r="Q498" s="42">
        <f t="shared" si="120"/>
        <v>114</v>
      </c>
      <c r="R498" s="42" t="str">
        <f t="shared" si="121"/>
        <v>4</v>
      </c>
      <c r="S498" s="42" t="str">
        <f t="shared" si="122"/>
        <v>7</v>
      </c>
      <c r="T498" s="42">
        <f t="shared" si="123"/>
        <v>3</v>
      </c>
      <c r="U498" s="42">
        <f t="shared" si="124"/>
        <v>89</v>
      </c>
      <c r="V498" s="42">
        <f t="shared" si="125"/>
        <v>3183</v>
      </c>
      <c r="W498" s="42">
        <f t="shared" si="126"/>
        <v>49.316801509098106</v>
      </c>
      <c r="X498" s="42">
        <f t="shared" si="127"/>
        <v>0.18825987366070532</v>
      </c>
    </row>
    <row r="499" spans="1:24" x14ac:dyDescent="0.2">
      <c r="A499" s="49">
        <v>497</v>
      </c>
      <c r="B499" s="49">
        <v>498</v>
      </c>
      <c r="C499" s="49">
        <v>0.1061</v>
      </c>
      <c r="D499" s="49">
        <v>0.35</v>
      </c>
      <c r="E499" s="49">
        <v>0.1343</v>
      </c>
      <c r="F499" s="49">
        <v>6</v>
      </c>
      <c r="G499" s="49">
        <v>53</v>
      </c>
      <c r="H499" s="49">
        <v>59</v>
      </c>
      <c r="I499" s="42">
        <f t="shared" si="112"/>
        <v>19.167799999999986</v>
      </c>
      <c r="J499" s="42">
        <f t="shared" si="113"/>
        <v>0.16962654867256624</v>
      </c>
      <c r="K499" s="42">
        <f t="shared" si="114"/>
        <v>113</v>
      </c>
      <c r="L499" s="42">
        <f t="shared" si="115"/>
        <v>69.599999999999994</v>
      </c>
      <c r="M499" s="42">
        <f t="shared" si="116"/>
        <v>0.61592920353982294</v>
      </c>
      <c r="N499" s="42">
        <f t="shared" si="117"/>
        <v>113</v>
      </c>
      <c r="O499" s="42">
        <f t="shared" si="118"/>
        <v>6101</v>
      </c>
      <c r="P499" s="42">
        <f t="shared" si="119"/>
        <v>53.991150442477874</v>
      </c>
      <c r="Q499" s="42">
        <f t="shared" si="120"/>
        <v>113</v>
      </c>
      <c r="R499" s="42" t="str">
        <f t="shared" si="121"/>
        <v>4</v>
      </c>
      <c r="S499" s="42" t="str">
        <f t="shared" si="122"/>
        <v>8</v>
      </c>
      <c r="T499" s="42">
        <f t="shared" si="123"/>
        <v>3</v>
      </c>
      <c r="U499" s="42">
        <f t="shared" si="124"/>
        <v>89</v>
      </c>
      <c r="V499" s="42">
        <f t="shared" si="125"/>
        <v>3183</v>
      </c>
      <c r="W499" s="42">
        <f t="shared" si="126"/>
        <v>49.316801509098106</v>
      </c>
      <c r="X499" s="42">
        <f t="shared" si="127"/>
        <v>0.18825987366070532</v>
      </c>
    </row>
    <row r="500" spans="1:24" x14ac:dyDescent="0.2">
      <c r="A500" s="49">
        <v>498</v>
      </c>
      <c r="B500" s="49">
        <v>499</v>
      </c>
      <c r="C500" s="49">
        <v>7.5800000000000006E-2</v>
      </c>
      <c r="D500" s="49">
        <v>0.45</v>
      </c>
      <c r="E500" s="49">
        <v>0.16420000000000001</v>
      </c>
      <c r="F500" s="49">
        <v>1</v>
      </c>
      <c r="G500" s="49">
        <v>44</v>
      </c>
      <c r="H500" s="49">
        <v>45</v>
      </c>
      <c r="I500" s="42">
        <f t="shared" si="112"/>
        <v>19.061699999999984</v>
      </c>
      <c r="J500" s="42">
        <f t="shared" si="113"/>
        <v>0.17019374999999987</v>
      </c>
      <c r="K500" s="42">
        <f t="shared" si="114"/>
        <v>112</v>
      </c>
      <c r="L500" s="42">
        <f t="shared" si="115"/>
        <v>69.249999999999986</v>
      </c>
      <c r="M500" s="42">
        <f t="shared" si="116"/>
        <v>0.61830357142857129</v>
      </c>
      <c r="N500" s="42">
        <f t="shared" si="117"/>
        <v>112</v>
      </c>
      <c r="O500" s="42">
        <f t="shared" si="118"/>
        <v>6042</v>
      </c>
      <c r="P500" s="42">
        <f t="shared" si="119"/>
        <v>53.946428571428569</v>
      </c>
      <c r="Q500" s="42">
        <f t="shared" si="120"/>
        <v>112</v>
      </c>
      <c r="R500" s="42" t="str">
        <f t="shared" si="121"/>
        <v>4</v>
      </c>
      <c r="S500" s="42" t="str">
        <f t="shared" si="122"/>
        <v>9</v>
      </c>
      <c r="T500" s="42">
        <f t="shared" si="123"/>
        <v>3</v>
      </c>
      <c r="U500" s="42">
        <f t="shared" si="124"/>
        <v>89</v>
      </c>
      <c r="V500" s="42">
        <f t="shared" si="125"/>
        <v>3183</v>
      </c>
      <c r="W500" s="42">
        <f t="shared" si="126"/>
        <v>49.316801509098106</v>
      </c>
      <c r="X500" s="42">
        <f t="shared" si="127"/>
        <v>0.18825987366070532</v>
      </c>
    </row>
    <row r="501" spans="1:24" x14ac:dyDescent="0.2">
      <c r="A501" s="49">
        <v>499</v>
      </c>
      <c r="B501" s="49">
        <v>500</v>
      </c>
      <c r="C501" s="49">
        <v>0.1061</v>
      </c>
      <c r="D501" s="49">
        <v>0.41</v>
      </c>
      <c r="E501" s="49">
        <v>8.9599999999999999E-2</v>
      </c>
      <c r="F501" s="49">
        <v>0</v>
      </c>
      <c r="G501" s="49">
        <v>39</v>
      </c>
      <c r="H501" s="49">
        <v>39</v>
      </c>
      <c r="I501" s="42">
        <f t="shared" si="112"/>
        <v>18.985899999999987</v>
      </c>
      <c r="J501" s="42">
        <f t="shared" si="113"/>
        <v>0.17104414414414401</v>
      </c>
      <c r="K501" s="42">
        <f t="shared" si="114"/>
        <v>111</v>
      </c>
      <c r="L501" s="42">
        <f t="shared" si="115"/>
        <v>68.799999999999983</v>
      </c>
      <c r="M501" s="42">
        <f t="shared" si="116"/>
        <v>0.61981981981981971</v>
      </c>
      <c r="N501" s="42">
        <f t="shared" si="117"/>
        <v>111</v>
      </c>
      <c r="O501" s="42">
        <f t="shared" si="118"/>
        <v>5997</v>
      </c>
      <c r="P501" s="42">
        <f t="shared" si="119"/>
        <v>54.027027027027025</v>
      </c>
      <c r="Q501" s="42">
        <f t="shared" si="120"/>
        <v>111</v>
      </c>
      <c r="R501" s="42" t="str">
        <f t="shared" si="121"/>
        <v>5</v>
      </c>
      <c r="S501" s="42" t="str">
        <f t="shared" si="122"/>
        <v>0</v>
      </c>
      <c r="T501" s="42">
        <f t="shared" si="123"/>
        <v>3</v>
      </c>
      <c r="U501" s="42">
        <f t="shared" si="124"/>
        <v>89</v>
      </c>
      <c r="V501" s="42">
        <f t="shared" si="125"/>
        <v>3183</v>
      </c>
      <c r="W501" s="42">
        <f t="shared" si="126"/>
        <v>49.316801509098106</v>
      </c>
      <c r="X501" s="42">
        <f t="shared" si="127"/>
        <v>0.18825987366070532</v>
      </c>
    </row>
    <row r="502" spans="1:24" x14ac:dyDescent="0.2">
      <c r="A502" s="49">
        <v>500</v>
      </c>
      <c r="B502" s="49">
        <v>501</v>
      </c>
      <c r="C502" s="49">
        <v>0.1515</v>
      </c>
      <c r="D502" s="49">
        <v>0.49</v>
      </c>
      <c r="E502" s="49">
        <v>0</v>
      </c>
      <c r="F502" s="49">
        <v>7</v>
      </c>
      <c r="G502" s="49">
        <v>23</v>
      </c>
      <c r="H502" s="49">
        <v>30</v>
      </c>
      <c r="I502" s="42">
        <f t="shared" si="112"/>
        <v>18.879799999999985</v>
      </c>
      <c r="J502" s="42">
        <f t="shared" si="113"/>
        <v>0.17163454545454532</v>
      </c>
      <c r="K502" s="42">
        <f t="shared" si="114"/>
        <v>110</v>
      </c>
      <c r="L502" s="42">
        <f t="shared" si="115"/>
        <v>68.389999999999972</v>
      </c>
      <c r="M502" s="42">
        <f t="shared" si="116"/>
        <v>0.62172727272727246</v>
      </c>
      <c r="N502" s="42">
        <f t="shared" si="117"/>
        <v>110</v>
      </c>
      <c r="O502" s="42">
        <f t="shared" si="118"/>
        <v>5958</v>
      </c>
      <c r="P502" s="42">
        <f t="shared" si="119"/>
        <v>54.163636363636364</v>
      </c>
      <c r="Q502" s="42">
        <f t="shared" si="120"/>
        <v>110</v>
      </c>
      <c r="R502" s="42" t="str">
        <f t="shared" si="121"/>
        <v>5</v>
      </c>
      <c r="S502" s="42" t="str">
        <f t="shared" si="122"/>
        <v>1</v>
      </c>
      <c r="T502" s="42">
        <f t="shared" si="123"/>
        <v>3</v>
      </c>
      <c r="U502" s="42">
        <f t="shared" si="124"/>
        <v>89</v>
      </c>
      <c r="V502" s="42">
        <f t="shared" si="125"/>
        <v>3183</v>
      </c>
      <c r="W502" s="42">
        <f t="shared" si="126"/>
        <v>49.316801509098106</v>
      </c>
      <c r="X502" s="42">
        <f t="shared" si="127"/>
        <v>0.18825987366070532</v>
      </c>
    </row>
    <row r="503" spans="1:24" x14ac:dyDescent="0.2">
      <c r="A503" s="49">
        <v>501</v>
      </c>
      <c r="B503" s="49">
        <v>502</v>
      </c>
      <c r="C503" s="49">
        <v>7.5800000000000006E-2</v>
      </c>
      <c r="D503" s="49">
        <v>0.56999999999999995</v>
      </c>
      <c r="E503" s="49">
        <v>0.1045</v>
      </c>
      <c r="F503" s="49">
        <v>2</v>
      </c>
      <c r="G503" s="49">
        <v>31</v>
      </c>
      <c r="H503" s="49">
        <v>33</v>
      </c>
      <c r="I503" s="42">
        <f t="shared" si="112"/>
        <v>18.728299999999987</v>
      </c>
      <c r="J503" s="42">
        <f t="shared" si="113"/>
        <v>0.17181926605504574</v>
      </c>
      <c r="K503" s="42">
        <f t="shared" si="114"/>
        <v>109</v>
      </c>
      <c r="L503" s="42">
        <f t="shared" si="115"/>
        <v>67.899999999999977</v>
      </c>
      <c r="M503" s="42">
        <f t="shared" si="116"/>
        <v>0.6229357798165136</v>
      </c>
      <c r="N503" s="42">
        <f t="shared" si="117"/>
        <v>109</v>
      </c>
      <c r="O503" s="42">
        <f t="shared" si="118"/>
        <v>5928</v>
      </c>
      <c r="P503" s="42">
        <f t="shared" si="119"/>
        <v>54.38532110091743</v>
      </c>
      <c r="Q503" s="42">
        <f t="shared" si="120"/>
        <v>109</v>
      </c>
      <c r="R503" s="42" t="str">
        <f t="shared" si="121"/>
        <v>5</v>
      </c>
      <c r="S503" s="42" t="str">
        <f t="shared" si="122"/>
        <v>2</v>
      </c>
      <c r="T503" s="42">
        <f t="shared" si="123"/>
        <v>3</v>
      </c>
      <c r="U503" s="42">
        <f t="shared" si="124"/>
        <v>89</v>
      </c>
      <c r="V503" s="42">
        <f t="shared" si="125"/>
        <v>3183</v>
      </c>
      <c r="W503" s="42">
        <f t="shared" si="126"/>
        <v>49.316801509098106</v>
      </c>
      <c r="X503" s="42">
        <f t="shared" si="127"/>
        <v>0.18825987366070532</v>
      </c>
    </row>
    <row r="504" spans="1:24" x14ac:dyDescent="0.2">
      <c r="A504" s="49">
        <v>502</v>
      </c>
      <c r="B504" s="49">
        <v>503</v>
      </c>
      <c r="C504" s="49">
        <v>7.5800000000000006E-2</v>
      </c>
      <c r="D504" s="49">
        <v>0.56999999999999995</v>
      </c>
      <c r="E504" s="49">
        <v>0.1045</v>
      </c>
      <c r="F504" s="49">
        <v>2</v>
      </c>
      <c r="G504" s="49">
        <v>20</v>
      </c>
      <c r="H504" s="49">
        <v>22</v>
      </c>
      <c r="I504" s="42">
        <f t="shared" si="112"/>
        <v>18.652499999999986</v>
      </c>
      <c r="J504" s="42">
        <f t="shared" si="113"/>
        <v>0.17270833333333321</v>
      </c>
      <c r="K504" s="42">
        <f t="shared" si="114"/>
        <v>108</v>
      </c>
      <c r="L504" s="42">
        <f t="shared" si="115"/>
        <v>67.32999999999997</v>
      </c>
      <c r="M504" s="42">
        <f t="shared" si="116"/>
        <v>0.62342592592592561</v>
      </c>
      <c r="N504" s="42">
        <f t="shared" si="117"/>
        <v>108</v>
      </c>
      <c r="O504" s="42">
        <f t="shared" si="118"/>
        <v>5895</v>
      </c>
      <c r="P504" s="42">
        <f t="shared" si="119"/>
        <v>54.583333333333336</v>
      </c>
      <c r="Q504" s="42">
        <f t="shared" si="120"/>
        <v>108</v>
      </c>
      <c r="R504" s="42" t="str">
        <f t="shared" si="121"/>
        <v>5</v>
      </c>
      <c r="S504" s="42" t="str">
        <f t="shared" si="122"/>
        <v>3</v>
      </c>
      <c r="T504" s="42">
        <f t="shared" si="123"/>
        <v>3</v>
      </c>
      <c r="U504" s="42">
        <f t="shared" si="124"/>
        <v>89</v>
      </c>
      <c r="V504" s="42">
        <f t="shared" si="125"/>
        <v>3183</v>
      </c>
      <c r="W504" s="42">
        <f t="shared" si="126"/>
        <v>49.316801509098106</v>
      </c>
      <c r="X504" s="42">
        <f t="shared" si="127"/>
        <v>0.18825987366070532</v>
      </c>
    </row>
    <row r="505" spans="1:24" x14ac:dyDescent="0.2">
      <c r="A505" s="49">
        <v>503</v>
      </c>
      <c r="B505" s="49">
        <v>504</v>
      </c>
      <c r="C505" s="49">
        <v>7.5800000000000006E-2</v>
      </c>
      <c r="D505" s="49">
        <v>0.56999999999999995</v>
      </c>
      <c r="E505" s="49">
        <v>0.1045</v>
      </c>
      <c r="F505" s="49">
        <v>1</v>
      </c>
      <c r="G505" s="49">
        <v>12</v>
      </c>
      <c r="H505" s="49">
        <v>13</v>
      </c>
      <c r="I505" s="42">
        <f t="shared" si="112"/>
        <v>18.576699999999985</v>
      </c>
      <c r="J505" s="42">
        <f t="shared" si="113"/>
        <v>0.17361401869158863</v>
      </c>
      <c r="K505" s="42">
        <f t="shared" si="114"/>
        <v>107</v>
      </c>
      <c r="L505" s="42">
        <f t="shared" si="115"/>
        <v>66.759999999999962</v>
      </c>
      <c r="M505" s="42">
        <f t="shared" si="116"/>
        <v>0.62392523364485941</v>
      </c>
      <c r="N505" s="42">
        <f t="shared" si="117"/>
        <v>107</v>
      </c>
      <c r="O505" s="42">
        <f t="shared" si="118"/>
        <v>5873</v>
      </c>
      <c r="P505" s="42">
        <f t="shared" si="119"/>
        <v>54.887850467289717</v>
      </c>
      <c r="Q505" s="42">
        <f t="shared" si="120"/>
        <v>107</v>
      </c>
      <c r="R505" s="42" t="str">
        <f t="shared" si="121"/>
        <v>5</v>
      </c>
      <c r="S505" s="42" t="str">
        <f t="shared" si="122"/>
        <v>4</v>
      </c>
      <c r="T505" s="42">
        <f t="shared" si="123"/>
        <v>3</v>
      </c>
      <c r="U505" s="42">
        <f t="shared" si="124"/>
        <v>89</v>
      </c>
      <c r="V505" s="42">
        <f t="shared" si="125"/>
        <v>3183</v>
      </c>
      <c r="W505" s="42">
        <f t="shared" si="126"/>
        <v>49.316801509098106</v>
      </c>
      <c r="X505" s="42">
        <f t="shared" si="127"/>
        <v>0.18825987366070532</v>
      </c>
    </row>
    <row r="506" spans="1:24" x14ac:dyDescent="0.2">
      <c r="A506" s="49">
        <v>504</v>
      </c>
      <c r="B506" s="49">
        <v>505</v>
      </c>
      <c r="C506" s="49">
        <v>6.0600000000000001E-2</v>
      </c>
      <c r="D506" s="49">
        <v>0.62</v>
      </c>
      <c r="E506" s="49">
        <v>0.1343</v>
      </c>
      <c r="F506" s="49">
        <v>3</v>
      </c>
      <c r="G506" s="49">
        <v>15</v>
      </c>
      <c r="H506" s="49">
        <v>18</v>
      </c>
      <c r="I506" s="42">
        <f t="shared" si="112"/>
        <v>18.500899999999987</v>
      </c>
      <c r="J506" s="42">
        <f t="shared" si="113"/>
        <v>0.17453679245283008</v>
      </c>
      <c r="K506" s="42">
        <f t="shared" si="114"/>
        <v>106</v>
      </c>
      <c r="L506" s="42">
        <f t="shared" si="115"/>
        <v>66.189999999999969</v>
      </c>
      <c r="M506" s="42">
        <f t="shared" si="116"/>
        <v>0.6244339622641506</v>
      </c>
      <c r="N506" s="42">
        <f t="shared" si="117"/>
        <v>106</v>
      </c>
      <c r="O506" s="42">
        <f t="shared" si="118"/>
        <v>5860</v>
      </c>
      <c r="P506" s="42">
        <f t="shared" si="119"/>
        <v>55.283018867924525</v>
      </c>
      <c r="Q506" s="42">
        <f t="shared" si="120"/>
        <v>106</v>
      </c>
      <c r="R506" s="42" t="str">
        <f t="shared" si="121"/>
        <v>5</v>
      </c>
      <c r="S506" s="42" t="str">
        <f t="shared" si="122"/>
        <v>5</v>
      </c>
      <c r="T506" s="42">
        <f t="shared" si="123"/>
        <v>3</v>
      </c>
      <c r="U506" s="42">
        <f t="shared" si="124"/>
        <v>89</v>
      </c>
      <c r="V506" s="42">
        <f t="shared" si="125"/>
        <v>3183</v>
      </c>
      <c r="W506" s="42">
        <f t="shared" si="126"/>
        <v>49.316801509098106</v>
      </c>
      <c r="X506" s="42">
        <f t="shared" si="127"/>
        <v>0.18825987366070532</v>
      </c>
    </row>
    <row r="507" spans="1:24" x14ac:dyDescent="0.2">
      <c r="A507" s="49">
        <v>505</v>
      </c>
      <c r="B507" s="49">
        <v>506</v>
      </c>
      <c r="C507" s="49">
        <v>6.0600000000000001E-2</v>
      </c>
      <c r="D507" s="49">
        <v>0.62</v>
      </c>
      <c r="E507" s="49">
        <v>0.1343</v>
      </c>
      <c r="F507" s="49">
        <v>1</v>
      </c>
      <c r="G507" s="49">
        <v>4</v>
      </c>
      <c r="H507" s="49">
        <v>5</v>
      </c>
      <c r="I507" s="42">
        <f t="shared" si="112"/>
        <v>18.440299999999986</v>
      </c>
      <c r="J507" s="42">
        <f t="shared" si="113"/>
        <v>0.17562190476190465</v>
      </c>
      <c r="K507" s="42">
        <f t="shared" si="114"/>
        <v>105</v>
      </c>
      <c r="L507" s="42">
        <f t="shared" si="115"/>
        <v>65.569999999999965</v>
      </c>
      <c r="M507" s="42">
        <f t="shared" si="116"/>
        <v>0.62447619047619018</v>
      </c>
      <c r="N507" s="42">
        <f t="shared" si="117"/>
        <v>105</v>
      </c>
      <c r="O507" s="42">
        <f t="shared" si="118"/>
        <v>5842</v>
      </c>
      <c r="P507" s="42">
        <f t="shared" si="119"/>
        <v>55.638095238095239</v>
      </c>
      <c r="Q507" s="42">
        <f t="shared" si="120"/>
        <v>105</v>
      </c>
      <c r="R507" s="42" t="str">
        <f t="shared" si="121"/>
        <v>5</v>
      </c>
      <c r="S507" s="42" t="str">
        <f t="shared" si="122"/>
        <v>6</v>
      </c>
      <c r="T507" s="42">
        <f t="shared" si="123"/>
        <v>3</v>
      </c>
      <c r="U507" s="42">
        <f t="shared" si="124"/>
        <v>89</v>
      </c>
      <c r="V507" s="42">
        <f t="shared" si="125"/>
        <v>3183</v>
      </c>
      <c r="W507" s="42">
        <f t="shared" si="126"/>
        <v>49.316801509098106</v>
      </c>
      <c r="X507" s="42">
        <f t="shared" si="127"/>
        <v>0.18825987366070532</v>
      </c>
    </row>
    <row r="508" spans="1:24" x14ac:dyDescent="0.2">
      <c r="A508" s="49">
        <v>506</v>
      </c>
      <c r="B508" s="49">
        <v>507</v>
      </c>
      <c r="C508" s="49">
        <v>7.5800000000000006E-2</v>
      </c>
      <c r="D508" s="49">
        <v>0.56999999999999995</v>
      </c>
      <c r="E508" s="49">
        <v>0.1045</v>
      </c>
      <c r="F508" s="49">
        <v>0</v>
      </c>
      <c r="G508" s="49">
        <v>3</v>
      </c>
      <c r="H508" s="49">
        <v>3</v>
      </c>
      <c r="I508" s="42">
        <f t="shared" si="112"/>
        <v>18.379699999999985</v>
      </c>
      <c r="J508" s="42">
        <f t="shared" si="113"/>
        <v>0.17672788461538447</v>
      </c>
      <c r="K508" s="42">
        <f t="shared" si="114"/>
        <v>104</v>
      </c>
      <c r="L508" s="42">
        <f t="shared" si="115"/>
        <v>64.94999999999996</v>
      </c>
      <c r="M508" s="42">
        <f t="shared" si="116"/>
        <v>0.62451923076923044</v>
      </c>
      <c r="N508" s="42">
        <f t="shared" si="117"/>
        <v>104</v>
      </c>
      <c r="O508" s="42">
        <f t="shared" si="118"/>
        <v>5837</v>
      </c>
      <c r="P508" s="42">
        <f t="shared" si="119"/>
        <v>56.125</v>
      </c>
      <c r="Q508" s="42">
        <f t="shared" si="120"/>
        <v>104</v>
      </c>
      <c r="R508" s="42" t="str">
        <f t="shared" si="121"/>
        <v>5</v>
      </c>
      <c r="S508" s="42" t="str">
        <f t="shared" si="122"/>
        <v>7</v>
      </c>
      <c r="T508" s="42">
        <f t="shared" si="123"/>
        <v>3</v>
      </c>
      <c r="U508" s="42">
        <f t="shared" si="124"/>
        <v>89</v>
      </c>
      <c r="V508" s="42">
        <f t="shared" si="125"/>
        <v>3183</v>
      </c>
      <c r="W508" s="42">
        <f t="shared" si="126"/>
        <v>49.316801509098106</v>
      </c>
      <c r="X508" s="42">
        <f t="shared" si="127"/>
        <v>0.18825987366070532</v>
      </c>
    </row>
    <row r="509" spans="1:24" x14ac:dyDescent="0.2">
      <c r="A509" s="49">
        <v>507</v>
      </c>
      <c r="B509" s="49">
        <v>508</v>
      </c>
      <c r="C509" s="49">
        <v>7.5800000000000006E-2</v>
      </c>
      <c r="D509" s="49">
        <v>0.56999999999999995</v>
      </c>
      <c r="E509" s="49">
        <v>0.1045</v>
      </c>
      <c r="F509" s="49">
        <v>0</v>
      </c>
      <c r="G509" s="49">
        <v>1</v>
      </c>
      <c r="H509" s="49">
        <v>1</v>
      </c>
      <c r="I509" s="42">
        <f t="shared" si="112"/>
        <v>18.303899999999985</v>
      </c>
      <c r="J509" s="42">
        <f t="shared" si="113"/>
        <v>0.17770776699029112</v>
      </c>
      <c r="K509" s="42">
        <f t="shared" si="114"/>
        <v>103</v>
      </c>
      <c r="L509" s="42">
        <f t="shared" si="115"/>
        <v>64.379999999999967</v>
      </c>
      <c r="M509" s="42">
        <f t="shared" si="116"/>
        <v>0.62504854368932006</v>
      </c>
      <c r="N509" s="42">
        <f t="shared" si="117"/>
        <v>103</v>
      </c>
      <c r="O509" s="42">
        <f t="shared" si="118"/>
        <v>5834</v>
      </c>
      <c r="P509" s="42">
        <f t="shared" si="119"/>
        <v>56.640776699029125</v>
      </c>
      <c r="Q509" s="42">
        <f t="shared" si="120"/>
        <v>103</v>
      </c>
      <c r="R509" s="42" t="str">
        <f t="shared" si="121"/>
        <v>5</v>
      </c>
      <c r="S509" s="42" t="str">
        <f t="shared" si="122"/>
        <v>8</v>
      </c>
      <c r="T509" s="42">
        <f t="shared" si="123"/>
        <v>3</v>
      </c>
      <c r="U509" s="42">
        <f t="shared" si="124"/>
        <v>89</v>
      </c>
      <c r="V509" s="42">
        <f t="shared" si="125"/>
        <v>3183</v>
      </c>
      <c r="W509" s="42">
        <f t="shared" si="126"/>
        <v>49.316801509098106</v>
      </c>
      <c r="X509" s="42">
        <f t="shared" si="127"/>
        <v>0.18825987366070532</v>
      </c>
    </row>
    <row r="510" spans="1:24" x14ac:dyDescent="0.2">
      <c r="A510" s="49">
        <v>508</v>
      </c>
      <c r="B510" s="49">
        <v>509</v>
      </c>
      <c r="C510" s="49">
        <v>0.1061</v>
      </c>
      <c r="D510" s="49">
        <v>0.57999999999999996</v>
      </c>
      <c r="E510" s="49">
        <v>0.16420000000000001</v>
      </c>
      <c r="F510" s="49">
        <v>1</v>
      </c>
      <c r="G510" s="49">
        <v>1</v>
      </c>
      <c r="H510" s="49">
        <v>2</v>
      </c>
      <c r="I510" s="42">
        <f t="shared" si="112"/>
        <v>18.228099999999987</v>
      </c>
      <c r="J510" s="42">
        <f t="shared" si="113"/>
        <v>0.17870686274509792</v>
      </c>
      <c r="K510" s="42">
        <f t="shared" si="114"/>
        <v>102</v>
      </c>
      <c r="L510" s="42">
        <f t="shared" si="115"/>
        <v>63.80999999999996</v>
      </c>
      <c r="M510" s="42">
        <f t="shared" si="116"/>
        <v>0.62558823529411722</v>
      </c>
      <c r="N510" s="42">
        <f t="shared" si="117"/>
        <v>102</v>
      </c>
      <c r="O510" s="42">
        <f t="shared" si="118"/>
        <v>5833</v>
      </c>
      <c r="P510" s="42">
        <f t="shared" si="119"/>
        <v>57.186274509803923</v>
      </c>
      <c r="Q510" s="42">
        <f t="shared" si="120"/>
        <v>102</v>
      </c>
      <c r="R510" s="42" t="str">
        <f t="shared" si="121"/>
        <v>5</v>
      </c>
      <c r="S510" s="42" t="str">
        <f t="shared" si="122"/>
        <v>9</v>
      </c>
      <c r="T510" s="42">
        <f t="shared" si="123"/>
        <v>3</v>
      </c>
      <c r="U510" s="42">
        <f t="shared" si="124"/>
        <v>89</v>
      </c>
      <c r="V510" s="42">
        <f t="shared" si="125"/>
        <v>3183</v>
      </c>
      <c r="W510" s="42">
        <f t="shared" si="126"/>
        <v>49.316801509098106</v>
      </c>
      <c r="X510" s="42">
        <f t="shared" si="127"/>
        <v>0.18825987366070532</v>
      </c>
    </row>
    <row r="511" spans="1:24" x14ac:dyDescent="0.2">
      <c r="A511" s="49">
        <v>509</v>
      </c>
      <c r="B511" s="49">
        <v>510</v>
      </c>
      <c r="C511" s="49">
        <v>7.5800000000000006E-2</v>
      </c>
      <c r="D511" s="49">
        <v>0.62</v>
      </c>
      <c r="E511" s="49">
        <v>0.16420000000000001</v>
      </c>
      <c r="F511" s="49">
        <v>2</v>
      </c>
      <c r="G511" s="49">
        <v>17</v>
      </c>
      <c r="H511" s="49">
        <v>19</v>
      </c>
      <c r="I511" s="42">
        <f t="shared" si="112"/>
        <v>18.121999999999986</v>
      </c>
      <c r="J511" s="42">
        <f t="shared" si="113"/>
        <v>0.17942574257425728</v>
      </c>
      <c r="K511" s="42">
        <f t="shared" si="114"/>
        <v>101</v>
      </c>
      <c r="L511" s="42">
        <f t="shared" si="115"/>
        <v>63.229999999999968</v>
      </c>
      <c r="M511" s="42">
        <f t="shared" si="116"/>
        <v>0.62603960396039571</v>
      </c>
      <c r="N511" s="42">
        <f t="shared" si="117"/>
        <v>101</v>
      </c>
      <c r="O511" s="42">
        <f t="shared" si="118"/>
        <v>5831</v>
      </c>
      <c r="P511" s="42">
        <f t="shared" si="119"/>
        <v>57.732673267326732</v>
      </c>
      <c r="Q511" s="42">
        <f t="shared" si="120"/>
        <v>101</v>
      </c>
      <c r="R511" s="42" t="str">
        <f t="shared" si="121"/>
        <v>5</v>
      </c>
      <c r="S511" s="42" t="str">
        <f t="shared" si="122"/>
        <v>0</v>
      </c>
      <c r="T511" s="42">
        <f t="shared" si="123"/>
        <v>3</v>
      </c>
      <c r="U511" s="42">
        <f t="shared" si="124"/>
        <v>89</v>
      </c>
      <c r="V511" s="42">
        <f t="shared" si="125"/>
        <v>3183</v>
      </c>
      <c r="W511" s="42">
        <f t="shared" si="126"/>
        <v>49.316801509098106</v>
      </c>
      <c r="X511" s="42">
        <f t="shared" si="127"/>
        <v>0.18825987366070532</v>
      </c>
    </row>
    <row r="512" spans="1:24" x14ac:dyDescent="0.2">
      <c r="A512" s="49">
        <v>510</v>
      </c>
      <c r="B512" s="49">
        <v>511</v>
      </c>
      <c r="C512" s="49">
        <v>7.5800000000000006E-2</v>
      </c>
      <c r="D512" s="49">
        <v>0.54</v>
      </c>
      <c r="E512" s="49">
        <v>0.35820000000000002</v>
      </c>
      <c r="F512" s="49">
        <v>3</v>
      </c>
      <c r="G512" s="49">
        <v>25</v>
      </c>
      <c r="H512" s="49">
        <v>28</v>
      </c>
      <c r="I512" s="42">
        <f t="shared" si="112"/>
        <v>18.046199999999985</v>
      </c>
      <c r="J512" s="42">
        <f t="shared" si="113"/>
        <v>0.18046199999999984</v>
      </c>
      <c r="K512" s="42">
        <f t="shared" si="114"/>
        <v>100</v>
      </c>
      <c r="L512" s="42">
        <f t="shared" si="115"/>
        <v>62.609999999999971</v>
      </c>
      <c r="M512" s="42">
        <f t="shared" si="116"/>
        <v>0.62609999999999966</v>
      </c>
      <c r="N512" s="42">
        <f t="shared" si="117"/>
        <v>100</v>
      </c>
      <c r="O512" s="42">
        <f t="shared" si="118"/>
        <v>5812</v>
      </c>
      <c r="P512" s="42">
        <f t="shared" si="119"/>
        <v>58.12</v>
      </c>
      <c r="Q512" s="42">
        <f t="shared" si="120"/>
        <v>100</v>
      </c>
      <c r="R512" s="42" t="str">
        <f t="shared" si="121"/>
        <v>5</v>
      </c>
      <c r="S512" s="42" t="str">
        <f t="shared" si="122"/>
        <v>1</v>
      </c>
      <c r="T512" s="42">
        <f t="shared" si="123"/>
        <v>3</v>
      </c>
      <c r="U512" s="42">
        <f t="shared" si="124"/>
        <v>89</v>
      </c>
      <c r="V512" s="42">
        <f t="shared" si="125"/>
        <v>3183</v>
      </c>
      <c r="W512" s="42">
        <f t="shared" si="126"/>
        <v>49.316801509098106</v>
      </c>
      <c r="X512" s="42">
        <f t="shared" si="127"/>
        <v>0.18825987366070532</v>
      </c>
    </row>
    <row r="513" spans="1:24" x14ac:dyDescent="0.2">
      <c r="A513" s="49">
        <v>511</v>
      </c>
      <c r="B513" s="49">
        <v>512</v>
      </c>
      <c r="C513" s="49">
        <v>0.1061</v>
      </c>
      <c r="D513" s="49">
        <v>0.46</v>
      </c>
      <c r="E513" s="49">
        <v>0.3881</v>
      </c>
      <c r="F513" s="49">
        <v>7</v>
      </c>
      <c r="G513" s="49">
        <v>51</v>
      </c>
      <c r="H513" s="49">
        <v>58</v>
      </c>
      <c r="I513" s="42">
        <f t="shared" si="112"/>
        <v>17.970399999999984</v>
      </c>
      <c r="J513" s="42">
        <f t="shared" si="113"/>
        <v>0.18151919191919175</v>
      </c>
      <c r="K513" s="42">
        <f t="shared" si="114"/>
        <v>99</v>
      </c>
      <c r="L513" s="42">
        <f t="shared" si="115"/>
        <v>62.069999999999972</v>
      </c>
      <c r="M513" s="42">
        <f t="shared" si="116"/>
        <v>0.62696969696969673</v>
      </c>
      <c r="N513" s="42">
        <f t="shared" si="117"/>
        <v>99</v>
      </c>
      <c r="O513" s="42">
        <f t="shared" si="118"/>
        <v>5784</v>
      </c>
      <c r="P513" s="42">
        <f t="shared" si="119"/>
        <v>58.424242424242422</v>
      </c>
      <c r="Q513" s="42">
        <f t="shared" si="120"/>
        <v>99</v>
      </c>
      <c r="R513" s="42" t="str">
        <f t="shared" si="121"/>
        <v>5</v>
      </c>
      <c r="S513" s="42" t="str">
        <f t="shared" si="122"/>
        <v>2</v>
      </c>
      <c r="T513" s="42">
        <f t="shared" si="123"/>
        <v>3</v>
      </c>
      <c r="U513" s="42">
        <f t="shared" si="124"/>
        <v>89</v>
      </c>
      <c r="V513" s="42">
        <f t="shared" si="125"/>
        <v>3183</v>
      </c>
      <c r="W513" s="42">
        <f t="shared" si="126"/>
        <v>49.316801509098106</v>
      </c>
      <c r="X513" s="42">
        <f t="shared" si="127"/>
        <v>0.18825987366070532</v>
      </c>
    </row>
    <row r="514" spans="1:24" x14ac:dyDescent="0.2">
      <c r="A514" s="49">
        <v>512</v>
      </c>
      <c r="B514" s="49">
        <v>513</v>
      </c>
      <c r="C514" s="49">
        <v>0.13639999999999999</v>
      </c>
      <c r="D514" s="49">
        <v>0.43</v>
      </c>
      <c r="E514" s="49">
        <v>0.22389999999999999</v>
      </c>
      <c r="F514" s="49">
        <v>22</v>
      </c>
      <c r="G514" s="49">
        <v>77</v>
      </c>
      <c r="H514" s="49">
        <v>99</v>
      </c>
      <c r="I514" s="42">
        <f t="shared" si="112"/>
        <v>17.864299999999986</v>
      </c>
      <c r="J514" s="42">
        <f t="shared" si="113"/>
        <v>0.18228877551020395</v>
      </c>
      <c r="K514" s="42">
        <f t="shared" si="114"/>
        <v>98</v>
      </c>
      <c r="L514" s="42">
        <f t="shared" si="115"/>
        <v>61.609999999999971</v>
      </c>
      <c r="M514" s="42">
        <f t="shared" si="116"/>
        <v>0.62867346938775481</v>
      </c>
      <c r="N514" s="42">
        <f t="shared" si="117"/>
        <v>98</v>
      </c>
      <c r="O514" s="42">
        <f t="shared" si="118"/>
        <v>5726</v>
      </c>
      <c r="P514" s="42">
        <f t="shared" si="119"/>
        <v>58.428571428571431</v>
      </c>
      <c r="Q514" s="42">
        <f t="shared" si="120"/>
        <v>98</v>
      </c>
      <c r="R514" s="42" t="str">
        <f t="shared" si="121"/>
        <v>5</v>
      </c>
      <c r="S514" s="42" t="str">
        <f t="shared" si="122"/>
        <v>3</v>
      </c>
      <c r="T514" s="42">
        <f t="shared" si="123"/>
        <v>3</v>
      </c>
      <c r="U514" s="42">
        <f t="shared" si="124"/>
        <v>89</v>
      </c>
      <c r="V514" s="42">
        <f t="shared" si="125"/>
        <v>3183</v>
      </c>
      <c r="W514" s="42">
        <f t="shared" si="126"/>
        <v>49.316801509098106</v>
      </c>
      <c r="X514" s="42">
        <f t="shared" si="127"/>
        <v>0.18825987366070532</v>
      </c>
    </row>
    <row r="515" spans="1:24" x14ac:dyDescent="0.2">
      <c r="A515" s="49">
        <v>513</v>
      </c>
      <c r="B515" s="49">
        <v>514</v>
      </c>
      <c r="C515" s="49">
        <v>0.1212</v>
      </c>
      <c r="D515" s="49">
        <v>0.37</v>
      </c>
      <c r="E515" s="49">
        <v>0.4627</v>
      </c>
      <c r="F515" s="49">
        <v>24</v>
      </c>
      <c r="G515" s="49">
        <v>92</v>
      </c>
      <c r="H515" s="49">
        <v>116</v>
      </c>
      <c r="I515" s="42">
        <f t="shared" ref="I515:I578" si="128">SUM(C515:C1124)</f>
        <v>17.727899999999984</v>
      </c>
      <c r="J515" s="42">
        <f t="shared" ref="J515:J578" si="129">AVERAGE(C515:C1124)</f>
        <v>0.18276185567010292</v>
      </c>
      <c r="K515" s="42">
        <f t="shared" ref="K515:K578" si="130">COUNT(C515:C1124)</f>
        <v>97</v>
      </c>
      <c r="L515" s="42">
        <f t="shared" ref="L515:L578" si="131">SUM(D515:D1124)</f>
        <v>61.179999999999971</v>
      </c>
      <c r="M515" s="42">
        <f t="shared" ref="M515:M578" si="132">AVERAGE(D515:D1124)</f>
        <v>0.6307216494845358</v>
      </c>
      <c r="N515" s="42">
        <f t="shared" ref="N515:N578" si="133">COUNT(D515:D1124)</f>
        <v>97</v>
      </c>
      <c r="O515" s="42">
        <f t="shared" ref="O515:O578" si="134">SUM(H515:H1124)</f>
        <v>5627</v>
      </c>
      <c r="P515" s="42">
        <f t="shared" ref="P515:P578" si="135">AVERAGE(H515:H1124)</f>
        <v>58.010309278350519</v>
      </c>
      <c r="Q515" s="42">
        <f t="shared" ref="Q515:Q578" si="136">COUNT(H515:H1124)</f>
        <v>97</v>
      </c>
      <c r="R515" s="42" t="str">
        <f t="shared" ref="R515:R578" si="137">LEFT(B515,1)</f>
        <v>5</v>
      </c>
      <c r="S515" s="42" t="str">
        <f t="shared" ref="S515:S578" si="138">RIGHT(B515,1)</f>
        <v>4</v>
      </c>
      <c r="T515" s="42">
        <f t="shared" ref="T515:T578" si="139">LEN(B515)</f>
        <v>3</v>
      </c>
      <c r="U515" s="42">
        <f t="shared" ref="U515:U578" si="140">COUNTIF(H:H,"&gt;100")</f>
        <v>89</v>
      </c>
      <c r="V515" s="42">
        <f t="shared" ref="V515:V578" si="141">SUMIF(D:D,"&gt;0.8",H:H)</f>
        <v>3183</v>
      </c>
      <c r="W515" s="42">
        <f t="shared" ref="W515:W578" si="142">STDEV(H:H)</f>
        <v>49.316801509098106</v>
      </c>
      <c r="X515" s="42">
        <f t="shared" ref="X515:X578" si="143">CORREL(C:C,H:H)</f>
        <v>0.18825987366070532</v>
      </c>
    </row>
    <row r="516" spans="1:24" x14ac:dyDescent="0.2">
      <c r="A516" s="49">
        <v>514</v>
      </c>
      <c r="B516" s="49">
        <v>515</v>
      </c>
      <c r="C516" s="49">
        <v>0.1061</v>
      </c>
      <c r="D516" s="49">
        <v>0.33</v>
      </c>
      <c r="E516" s="49">
        <v>0.3881</v>
      </c>
      <c r="F516" s="49">
        <v>12</v>
      </c>
      <c r="G516" s="49">
        <v>75</v>
      </c>
      <c r="H516" s="49">
        <v>87</v>
      </c>
      <c r="I516" s="42">
        <f t="shared" si="128"/>
        <v>17.606699999999986</v>
      </c>
      <c r="J516" s="42">
        <f t="shared" si="129"/>
        <v>0.18340312499999986</v>
      </c>
      <c r="K516" s="42">
        <f t="shared" si="130"/>
        <v>96</v>
      </c>
      <c r="L516" s="42">
        <f t="shared" si="131"/>
        <v>60.809999999999967</v>
      </c>
      <c r="M516" s="42">
        <f t="shared" si="132"/>
        <v>0.63343749999999965</v>
      </c>
      <c r="N516" s="42">
        <f t="shared" si="133"/>
        <v>96</v>
      </c>
      <c r="O516" s="42">
        <f t="shared" si="134"/>
        <v>5511</v>
      </c>
      <c r="P516" s="42">
        <f t="shared" si="135"/>
        <v>57.40625</v>
      </c>
      <c r="Q516" s="42">
        <f t="shared" si="136"/>
        <v>96</v>
      </c>
      <c r="R516" s="42" t="str">
        <f t="shared" si="137"/>
        <v>5</v>
      </c>
      <c r="S516" s="42" t="str">
        <f t="shared" si="138"/>
        <v>5</v>
      </c>
      <c r="T516" s="42">
        <f t="shared" si="139"/>
        <v>3</v>
      </c>
      <c r="U516" s="42">
        <f t="shared" si="140"/>
        <v>89</v>
      </c>
      <c r="V516" s="42">
        <f t="shared" si="141"/>
        <v>3183</v>
      </c>
      <c r="W516" s="42">
        <f t="shared" si="142"/>
        <v>49.316801509098106</v>
      </c>
      <c r="X516" s="42">
        <f t="shared" si="143"/>
        <v>0.18825987366070532</v>
      </c>
    </row>
    <row r="517" spans="1:24" x14ac:dyDescent="0.2">
      <c r="A517" s="49">
        <v>515</v>
      </c>
      <c r="B517" s="49">
        <v>516</v>
      </c>
      <c r="C517" s="49">
        <v>0.13639999999999999</v>
      </c>
      <c r="D517" s="49">
        <v>0.28000000000000003</v>
      </c>
      <c r="E517" s="49">
        <v>0.35820000000000002</v>
      </c>
      <c r="F517" s="49">
        <v>17</v>
      </c>
      <c r="G517" s="49">
        <v>93</v>
      </c>
      <c r="H517" s="49">
        <v>110</v>
      </c>
      <c r="I517" s="42">
        <f t="shared" si="128"/>
        <v>17.500599999999984</v>
      </c>
      <c r="J517" s="42">
        <f t="shared" si="129"/>
        <v>0.18421684210526298</v>
      </c>
      <c r="K517" s="42">
        <f t="shared" si="130"/>
        <v>95</v>
      </c>
      <c r="L517" s="42">
        <f t="shared" si="131"/>
        <v>60.479999999999968</v>
      </c>
      <c r="M517" s="42">
        <f t="shared" si="132"/>
        <v>0.6366315789473681</v>
      </c>
      <c r="N517" s="42">
        <f t="shared" si="133"/>
        <v>95</v>
      </c>
      <c r="O517" s="42">
        <f t="shared" si="134"/>
        <v>5424</v>
      </c>
      <c r="P517" s="42">
        <f t="shared" si="135"/>
        <v>57.094736842105263</v>
      </c>
      <c r="Q517" s="42">
        <f t="shared" si="136"/>
        <v>95</v>
      </c>
      <c r="R517" s="42" t="str">
        <f t="shared" si="137"/>
        <v>5</v>
      </c>
      <c r="S517" s="42" t="str">
        <f t="shared" si="138"/>
        <v>6</v>
      </c>
      <c r="T517" s="42">
        <f t="shared" si="139"/>
        <v>3</v>
      </c>
      <c r="U517" s="42">
        <f t="shared" si="140"/>
        <v>89</v>
      </c>
      <c r="V517" s="42">
        <f t="shared" si="141"/>
        <v>3183</v>
      </c>
      <c r="W517" s="42">
        <f t="shared" si="142"/>
        <v>49.316801509098106</v>
      </c>
      <c r="X517" s="42">
        <f t="shared" si="143"/>
        <v>0.18825987366070532</v>
      </c>
    </row>
    <row r="518" spans="1:24" x14ac:dyDescent="0.2">
      <c r="A518" s="49">
        <v>516</v>
      </c>
      <c r="B518" s="49">
        <v>517</v>
      </c>
      <c r="C518" s="49">
        <v>0.13639999999999999</v>
      </c>
      <c r="D518" s="49">
        <v>0.28000000000000003</v>
      </c>
      <c r="E518" s="49">
        <v>0.35820000000000002</v>
      </c>
      <c r="F518" s="49">
        <v>13</v>
      </c>
      <c r="G518" s="49">
        <v>64</v>
      </c>
      <c r="H518" s="49">
        <v>77</v>
      </c>
      <c r="I518" s="42">
        <f t="shared" si="128"/>
        <v>17.364199999999986</v>
      </c>
      <c r="J518" s="42">
        <f t="shared" si="129"/>
        <v>0.18472553191489346</v>
      </c>
      <c r="K518" s="42">
        <f t="shared" si="130"/>
        <v>94</v>
      </c>
      <c r="L518" s="42">
        <f t="shared" si="131"/>
        <v>60.199999999999967</v>
      </c>
      <c r="M518" s="42">
        <f t="shared" si="132"/>
        <v>0.64042553191489326</v>
      </c>
      <c r="N518" s="42">
        <f t="shared" si="133"/>
        <v>94</v>
      </c>
      <c r="O518" s="42">
        <f t="shared" si="134"/>
        <v>5314</v>
      </c>
      <c r="P518" s="42">
        <f t="shared" si="135"/>
        <v>56.531914893617021</v>
      </c>
      <c r="Q518" s="42">
        <f t="shared" si="136"/>
        <v>94</v>
      </c>
      <c r="R518" s="42" t="str">
        <f t="shared" si="137"/>
        <v>5</v>
      </c>
      <c r="S518" s="42" t="str">
        <f t="shared" si="138"/>
        <v>7</v>
      </c>
      <c r="T518" s="42">
        <f t="shared" si="139"/>
        <v>3</v>
      </c>
      <c r="U518" s="42">
        <f t="shared" si="140"/>
        <v>89</v>
      </c>
      <c r="V518" s="42">
        <f t="shared" si="141"/>
        <v>3183</v>
      </c>
      <c r="W518" s="42">
        <f t="shared" si="142"/>
        <v>49.316801509098106</v>
      </c>
      <c r="X518" s="42">
        <f t="shared" si="143"/>
        <v>0.18825987366070532</v>
      </c>
    </row>
    <row r="519" spans="1:24" x14ac:dyDescent="0.2">
      <c r="A519" s="49">
        <v>517</v>
      </c>
      <c r="B519" s="49">
        <v>518</v>
      </c>
      <c r="C519" s="49">
        <v>0.13639999999999999</v>
      </c>
      <c r="D519" s="49">
        <v>0.26</v>
      </c>
      <c r="E519" s="49">
        <v>0.32840000000000003</v>
      </c>
      <c r="F519" s="49">
        <v>9</v>
      </c>
      <c r="G519" s="49">
        <v>56</v>
      </c>
      <c r="H519" s="49">
        <v>65</v>
      </c>
      <c r="I519" s="42">
        <f t="shared" si="128"/>
        <v>17.227799999999984</v>
      </c>
      <c r="J519" s="42">
        <f t="shared" si="129"/>
        <v>0.18524516129032242</v>
      </c>
      <c r="K519" s="42">
        <f t="shared" si="130"/>
        <v>93</v>
      </c>
      <c r="L519" s="42">
        <f t="shared" si="131"/>
        <v>59.919999999999966</v>
      </c>
      <c r="M519" s="42">
        <f t="shared" si="132"/>
        <v>0.64430107526881686</v>
      </c>
      <c r="N519" s="42">
        <f t="shared" si="133"/>
        <v>93</v>
      </c>
      <c r="O519" s="42">
        <f t="shared" si="134"/>
        <v>5237</v>
      </c>
      <c r="P519" s="42">
        <f t="shared" si="135"/>
        <v>56.311827956989248</v>
      </c>
      <c r="Q519" s="42">
        <f t="shared" si="136"/>
        <v>93</v>
      </c>
      <c r="R519" s="42" t="str">
        <f t="shared" si="137"/>
        <v>5</v>
      </c>
      <c r="S519" s="42" t="str">
        <f t="shared" si="138"/>
        <v>8</v>
      </c>
      <c r="T519" s="42">
        <f t="shared" si="139"/>
        <v>3</v>
      </c>
      <c r="U519" s="42">
        <f t="shared" si="140"/>
        <v>89</v>
      </c>
      <c r="V519" s="42">
        <f t="shared" si="141"/>
        <v>3183</v>
      </c>
      <c r="W519" s="42">
        <f t="shared" si="142"/>
        <v>49.316801509098106</v>
      </c>
      <c r="X519" s="42">
        <f t="shared" si="143"/>
        <v>0.18825987366070532</v>
      </c>
    </row>
    <row r="520" spans="1:24" x14ac:dyDescent="0.2">
      <c r="A520" s="49">
        <v>518</v>
      </c>
      <c r="B520" s="49">
        <v>519</v>
      </c>
      <c r="C520" s="49">
        <v>0.1061</v>
      </c>
      <c r="D520" s="49">
        <v>0.26</v>
      </c>
      <c r="E520" s="49">
        <v>0.3881</v>
      </c>
      <c r="F520" s="49">
        <v>5</v>
      </c>
      <c r="G520" s="49">
        <v>50</v>
      </c>
      <c r="H520" s="49">
        <v>55</v>
      </c>
      <c r="I520" s="42">
        <f t="shared" si="128"/>
        <v>17.091399999999986</v>
      </c>
      <c r="J520" s="42">
        <f t="shared" si="129"/>
        <v>0.18577608695652159</v>
      </c>
      <c r="K520" s="42">
        <f t="shared" si="130"/>
        <v>92</v>
      </c>
      <c r="L520" s="42">
        <f t="shared" si="131"/>
        <v>59.659999999999968</v>
      </c>
      <c r="M520" s="42">
        <f t="shared" si="132"/>
        <v>0.64847826086956484</v>
      </c>
      <c r="N520" s="42">
        <f t="shared" si="133"/>
        <v>92</v>
      </c>
      <c r="O520" s="42">
        <f t="shared" si="134"/>
        <v>5172</v>
      </c>
      <c r="P520" s="42">
        <f t="shared" si="135"/>
        <v>56.217391304347828</v>
      </c>
      <c r="Q520" s="42">
        <f t="shared" si="136"/>
        <v>92</v>
      </c>
      <c r="R520" s="42" t="str">
        <f t="shared" si="137"/>
        <v>5</v>
      </c>
      <c r="S520" s="42" t="str">
        <f t="shared" si="138"/>
        <v>9</v>
      </c>
      <c r="T520" s="42">
        <f t="shared" si="139"/>
        <v>3</v>
      </c>
      <c r="U520" s="42">
        <f t="shared" si="140"/>
        <v>89</v>
      </c>
      <c r="V520" s="42">
        <f t="shared" si="141"/>
        <v>3183</v>
      </c>
      <c r="W520" s="42">
        <f t="shared" si="142"/>
        <v>49.316801509098106</v>
      </c>
      <c r="X520" s="42">
        <f t="shared" si="143"/>
        <v>0.18825987366070532</v>
      </c>
    </row>
    <row r="521" spans="1:24" x14ac:dyDescent="0.2">
      <c r="A521" s="49">
        <v>519</v>
      </c>
      <c r="B521" s="49">
        <v>520</v>
      </c>
      <c r="C521" s="49">
        <v>0.1212</v>
      </c>
      <c r="D521" s="49">
        <v>0.3</v>
      </c>
      <c r="E521" s="49">
        <v>0.25369999999999998</v>
      </c>
      <c r="F521" s="49">
        <v>5</v>
      </c>
      <c r="G521" s="49">
        <v>44</v>
      </c>
      <c r="H521" s="49">
        <v>49</v>
      </c>
      <c r="I521" s="42">
        <f t="shared" si="128"/>
        <v>16.985299999999985</v>
      </c>
      <c r="J521" s="42">
        <f t="shared" si="129"/>
        <v>0.18665164835164819</v>
      </c>
      <c r="K521" s="42">
        <f t="shared" si="130"/>
        <v>91</v>
      </c>
      <c r="L521" s="42">
        <f t="shared" si="131"/>
        <v>59.39999999999997</v>
      </c>
      <c r="M521" s="42">
        <f t="shared" si="132"/>
        <v>0.65274725274725243</v>
      </c>
      <c r="N521" s="42">
        <f t="shared" si="133"/>
        <v>91</v>
      </c>
      <c r="O521" s="42">
        <f t="shared" si="134"/>
        <v>5117</v>
      </c>
      <c r="P521" s="42">
        <f t="shared" si="135"/>
        <v>56.230769230769234</v>
      </c>
      <c r="Q521" s="42">
        <f t="shared" si="136"/>
        <v>91</v>
      </c>
      <c r="R521" s="42" t="str">
        <f t="shared" si="137"/>
        <v>5</v>
      </c>
      <c r="S521" s="42" t="str">
        <f t="shared" si="138"/>
        <v>0</v>
      </c>
      <c r="T521" s="42">
        <f t="shared" si="139"/>
        <v>3</v>
      </c>
      <c r="U521" s="42">
        <f t="shared" si="140"/>
        <v>89</v>
      </c>
      <c r="V521" s="42">
        <f t="shared" si="141"/>
        <v>3183</v>
      </c>
      <c r="W521" s="42">
        <f t="shared" si="142"/>
        <v>49.316801509098106</v>
      </c>
      <c r="X521" s="42">
        <f t="shared" si="143"/>
        <v>0.18825987366070532</v>
      </c>
    </row>
    <row r="522" spans="1:24" x14ac:dyDescent="0.2">
      <c r="A522" s="49">
        <v>520</v>
      </c>
      <c r="B522" s="49">
        <v>521</v>
      </c>
      <c r="C522" s="49">
        <v>0.1212</v>
      </c>
      <c r="D522" s="49">
        <v>0.3</v>
      </c>
      <c r="E522" s="49">
        <v>0.28360000000000002</v>
      </c>
      <c r="F522" s="49">
        <v>5</v>
      </c>
      <c r="G522" s="49">
        <v>45</v>
      </c>
      <c r="H522" s="49">
        <v>50</v>
      </c>
      <c r="I522" s="42">
        <f t="shared" si="128"/>
        <v>16.864099999999986</v>
      </c>
      <c r="J522" s="42">
        <f t="shared" si="129"/>
        <v>0.18737888888888873</v>
      </c>
      <c r="K522" s="42">
        <f t="shared" si="130"/>
        <v>90</v>
      </c>
      <c r="L522" s="42">
        <f t="shared" si="131"/>
        <v>59.099999999999973</v>
      </c>
      <c r="M522" s="42">
        <f t="shared" si="132"/>
        <v>0.6566666666666664</v>
      </c>
      <c r="N522" s="42">
        <f t="shared" si="133"/>
        <v>90</v>
      </c>
      <c r="O522" s="42">
        <f t="shared" si="134"/>
        <v>5068</v>
      </c>
      <c r="P522" s="42">
        <f t="shared" si="135"/>
        <v>56.31111111111111</v>
      </c>
      <c r="Q522" s="42">
        <f t="shared" si="136"/>
        <v>90</v>
      </c>
      <c r="R522" s="42" t="str">
        <f t="shared" si="137"/>
        <v>5</v>
      </c>
      <c r="S522" s="42" t="str">
        <f t="shared" si="138"/>
        <v>1</v>
      </c>
      <c r="T522" s="42">
        <f t="shared" si="139"/>
        <v>3</v>
      </c>
      <c r="U522" s="42">
        <f t="shared" si="140"/>
        <v>89</v>
      </c>
      <c r="V522" s="42">
        <f t="shared" si="141"/>
        <v>3183</v>
      </c>
      <c r="W522" s="42">
        <f t="shared" si="142"/>
        <v>49.316801509098106</v>
      </c>
      <c r="X522" s="42">
        <f t="shared" si="143"/>
        <v>0.18825987366070532</v>
      </c>
    </row>
    <row r="523" spans="1:24" x14ac:dyDescent="0.2">
      <c r="A523" s="49">
        <v>521</v>
      </c>
      <c r="B523" s="49">
        <v>522</v>
      </c>
      <c r="C523" s="49">
        <v>0.1061</v>
      </c>
      <c r="D523" s="49">
        <v>0.36</v>
      </c>
      <c r="E523" s="49">
        <v>0.25369999999999998</v>
      </c>
      <c r="F523" s="49">
        <v>4</v>
      </c>
      <c r="G523" s="49">
        <v>31</v>
      </c>
      <c r="H523" s="49">
        <v>35</v>
      </c>
      <c r="I523" s="42">
        <f t="shared" si="128"/>
        <v>16.742899999999988</v>
      </c>
      <c r="J523" s="42">
        <f t="shared" si="129"/>
        <v>0.18812247191011222</v>
      </c>
      <c r="K523" s="42">
        <f t="shared" si="130"/>
        <v>89</v>
      </c>
      <c r="L523" s="42">
        <f t="shared" si="131"/>
        <v>58.799999999999969</v>
      </c>
      <c r="M523" s="42">
        <f t="shared" si="132"/>
        <v>0.66067415730337042</v>
      </c>
      <c r="N523" s="42">
        <f t="shared" si="133"/>
        <v>89</v>
      </c>
      <c r="O523" s="42">
        <f t="shared" si="134"/>
        <v>5018</v>
      </c>
      <c r="P523" s="42">
        <f t="shared" si="135"/>
        <v>56.382022471910112</v>
      </c>
      <c r="Q523" s="42">
        <f t="shared" si="136"/>
        <v>89</v>
      </c>
      <c r="R523" s="42" t="str">
        <f t="shared" si="137"/>
        <v>5</v>
      </c>
      <c r="S523" s="42" t="str">
        <f t="shared" si="138"/>
        <v>2</v>
      </c>
      <c r="T523" s="42">
        <f t="shared" si="139"/>
        <v>3</v>
      </c>
      <c r="U523" s="42">
        <f t="shared" si="140"/>
        <v>89</v>
      </c>
      <c r="V523" s="42">
        <f t="shared" si="141"/>
        <v>3183</v>
      </c>
      <c r="W523" s="42">
        <f t="shared" si="142"/>
        <v>49.316801509098106</v>
      </c>
      <c r="X523" s="42">
        <f t="shared" si="143"/>
        <v>0.18825987366070532</v>
      </c>
    </row>
    <row r="524" spans="1:24" x14ac:dyDescent="0.2">
      <c r="A524" s="49">
        <v>522</v>
      </c>
      <c r="B524" s="49">
        <v>523</v>
      </c>
      <c r="C524" s="49">
        <v>0.1061</v>
      </c>
      <c r="D524" s="49">
        <v>0.36</v>
      </c>
      <c r="E524" s="49">
        <v>0.19400000000000001</v>
      </c>
      <c r="F524" s="49">
        <v>5</v>
      </c>
      <c r="G524" s="49">
        <v>20</v>
      </c>
      <c r="H524" s="49">
        <v>25</v>
      </c>
      <c r="I524" s="42">
        <f t="shared" si="128"/>
        <v>16.636799999999987</v>
      </c>
      <c r="J524" s="42">
        <f t="shared" si="129"/>
        <v>0.18905454545454531</v>
      </c>
      <c r="K524" s="42">
        <f t="shared" si="130"/>
        <v>88</v>
      </c>
      <c r="L524" s="42">
        <f t="shared" si="131"/>
        <v>58.439999999999969</v>
      </c>
      <c r="M524" s="42">
        <f t="shared" si="132"/>
        <v>0.66409090909090873</v>
      </c>
      <c r="N524" s="42">
        <f t="shared" si="133"/>
        <v>88</v>
      </c>
      <c r="O524" s="42">
        <f t="shared" si="134"/>
        <v>4983</v>
      </c>
      <c r="P524" s="42">
        <f t="shared" si="135"/>
        <v>56.625</v>
      </c>
      <c r="Q524" s="42">
        <f t="shared" si="136"/>
        <v>88</v>
      </c>
      <c r="R524" s="42" t="str">
        <f t="shared" si="137"/>
        <v>5</v>
      </c>
      <c r="S524" s="42" t="str">
        <f t="shared" si="138"/>
        <v>3</v>
      </c>
      <c r="T524" s="42">
        <f t="shared" si="139"/>
        <v>3</v>
      </c>
      <c r="U524" s="42">
        <f t="shared" si="140"/>
        <v>89</v>
      </c>
      <c r="V524" s="42">
        <f t="shared" si="141"/>
        <v>3183</v>
      </c>
      <c r="W524" s="42">
        <f t="shared" si="142"/>
        <v>49.316801509098106</v>
      </c>
      <c r="X524" s="42">
        <f t="shared" si="143"/>
        <v>0.18825987366070532</v>
      </c>
    </row>
    <row r="525" spans="1:24" x14ac:dyDescent="0.2">
      <c r="A525" s="49">
        <v>523</v>
      </c>
      <c r="B525" s="49">
        <v>524</v>
      </c>
      <c r="C525" s="49">
        <v>9.0899999999999995E-2</v>
      </c>
      <c r="D525" s="49">
        <v>0.38</v>
      </c>
      <c r="E525" s="49">
        <v>0.19400000000000001</v>
      </c>
      <c r="F525" s="49">
        <v>5</v>
      </c>
      <c r="G525" s="49">
        <v>23</v>
      </c>
      <c r="H525" s="49">
        <v>28</v>
      </c>
      <c r="I525" s="42">
        <f t="shared" si="128"/>
        <v>16.530699999999985</v>
      </c>
      <c r="J525" s="42">
        <f t="shared" si="129"/>
        <v>0.19000804597701132</v>
      </c>
      <c r="K525" s="42">
        <f t="shared" si="130"/>
        <v>87</v>
      </c>
      <c r="L525" s="42">
        <f t="shared" si="131"/>
        <v>58.079999999999977</v>
      </c>
      <c r="M525" s="42">
        <f t="shared" si="132"/>
        <v>0.66758620689655146</v>
      </c>
      <c r="N525" s="42">
        <f t="shared" si="133"/>
        <v>87</v>
      </c>
      <c r="O525" s="42">
        <f t="shared" si="134"/>
        <v>4958</v>
      </c>
      <c r="P525" s="42">
        <f t="shared" si="135"/>
        <v>56.988505747126439</v>
      </c>
      <c r="Q525" s="42">
        <f t="shared" si="136"/>
        <v>87</v>
      </c>
      <c r="R525" s="42" t="str">
        <f t="shared" si="137"/>
        <v>5</v>
      </c>
      <c r="S525" s="42" t="str">
        <f t="shared" si="138"/>
        <v>4</v>
      </c>
      <c r="T525" s="42">
        <f t="shared" si="139"/>
        <v>3</v>
      </c>
      <c r="U525" s="42">
        <f t="shared" si="140"/>
        <v>89</v>
      </c>
      <c r="V525" s="42">
        <f t="shared" si="141"/>
        <v>3183</v>
      </c>
      <c r="W525" s="42">
        <f t="shared" si="142"/>
        <v>49.316801509098106</v>
      </c>
      <c r="X525" s="42">
        <f t="shared" si="143"/>
        <v>0.18825987366070532</v>
      </c>
    </row>
    <row r="526" spans="1:24" x14ac:dyDescent="0.2">
      <c r="A526" s="49">
        <v>524</v>
      </c>
      <c r="B526" s="49">
        <v>525</v>
      </c>
      <c r="C526" s="49">
        <v>6.0600000000000001E-2</v>
      </c>
      <c r="D526" s="49">
        <v>0.41</v>
      </c>
      <c r="E526" s="49">
        <v>0.22389999999999999</v>
      </c>
      <c r="F526" s="49">
        <v>4</v>
      </c>
      <c r="G526" s="49">
        <v>17</v>
      </c>
      <c r="H526" s="49">
        <v>21</v>
      </c>
      <c r="I526" s="42">
        <f t="shared" si="128"/>
        <v>16.439799999999984</v>
      </c>
      <c r="J526" s="42">
        <f t="shared" si="129"/>
        <v>0.19116046511627888</v>
      </c>
      <c r="K526" s="42">
        <f t="shared" si="130"/>
        <v>86</v>
      </c>
      <c r="L526" s="42">
        <f t="shared" si="131"/>
        <v>57.699999999999974</v>
      </c>
      <c r="M526" s="42">
        <f t="shared" si="132"/>
        <v>0.67093023255813922</v>
      </c>
      <c r="N526" s="42">
        <f t="shared" si="133"/>
        <v>86</v>
      </c>
      <c r="O526" s="42">
        <f t="shared" si="134"/>
        <v>4930</v>
      </c>
      <c r="P526" s="42">
        <f t="shared" si="135"/>
        <v>57.325581395348834</v>
      </c>
      <c r="Q526" s="42">
        <f t="shared" si="136"/>
        <v>86</v>
      </c>
      <c r="R526" s="42" t="str">
        <f t="shared" si="137"/>
        <v>5</v>
      </c>
      <c r="S526" s="42" t="str">
        <f t="shared" si="138"/>
        <v>5</v>
      </c>
      <c r="T526" s="42">
        <f t="shared" si="139"/>
        <v>3</v>
      </c>
      <c r="U526" s="42">
        <f t="shared" si="140"/>
        <v>89</v>
      </c>
      <c r="V526" s="42">
        <f t="shared" si="141"/>
        <v>3183</v>
      </c>
      <c r="W526" s="42">
        <f t="shared" si="142"/>
        <v>49.316801509098106</v>
      </c>
      <c r="X526" s="42">
        <f t="shared" si="143"/>
        <v>0.18825987366070532</v>
      </c>
    </row>
    <row r="527" spans="1:24" x14ac:dyDescent="0.2">
      <c r="A527" s="49">
        <v>525</v>
      </c>
      <c r="B527" s="49">
        <v>526</v>
      </c>
      <c r="C527" s="49">
        <v>6.0600000000000001E-2</v>
      </c>
      <c r="D527" s="49">
        <v>0.41</v>
      </c>
      <c r="E527" s="49">
        <v>0.19400000000000001</v>
      </c>
      <c r="F527" s="49">
        <v>0</v>
      </c>
      <c r="G527" s="49">
        <v>7</v>
      </c>
      <c r="H527" s="49">
        <v>7</v>
      </c>
      <c r="I527" s="42">
        <f t="shared" si="128"/>
        <v>16.379199999999983</v>
      </c>
      <c r="J527" s="42">
        <f t="shared" si="129"/>
        <v>0.19269647058823511</v>
      </c>
      <c r="K527" s="42">
        <f t="shared" si="130"/>
        <v>85</v>
      </c>
      <c r="L527" s="42">
        <f t="shared" si="131"/>
        <v>57.289999999999978</v>
      </c>
      <c r="M527" s="42">
        <f t="shared" si="132"/>
        <v>0.67399999999999971</v>
      </c>
      <c r="N527" s="42">
        <f t="shared" si="133"/>
        <v>85</v>
      </c>
      <c r="O527" s="42">
        <f t="shared" si="134"/>
        <v>4909</v>
      </c>
      <c r="P527" s="42">
        <f t="shared" si="135"/>
        <v>57.752941176470586</v>
      </c>
      <c r="Q527" s="42">
        <f t="shared" si="136"/>
        <v>85</v>
      </c>
      <c r="R527" s="42" t="str">
        <f t="shared" si="137"/>
        <v>5</v>
      </c>
      <c r="S527" s="42" t="str">
        <f t="shared" si="138"/>
        <v>6</v>
      </c>
      <c r="T527" s="42">
        <f t="shared" si="139"/>
        <v>3</v>
      </c>
      <c r="U527" s="42">
        <f t="shared" si="140"/>
        <v>89</v>
      </c>
      <c r="V527" s="42">
        <f t="shared" si="141"/>
        <v>3183</v>
      </c>
      <c r="W527" s="42">
        <f t="shared" si="142"/>
        <v>49.316801509098106</v>
      </c>
      <c r="X527" s="42">
        <f t="shared" si="143"/>
        <v>0.18825987366070532</v>
      </c>
    </row>
    <row r="528" spans="1:24" x14ac:dyDescent="0.2">
      <c r="A528" s="49">
        <v>526</v>
      </c>
      <c r="B528" s="49">
        <v>527</v>
      </c>
      <c r="C528" s="49">
        <v>4.5499999999999999E-2</v>
      </c>
      <c r="D528" s="49">
        <v>0.45</v>
      </c>
      <c r="E528" s="49">
        <v>0.19400000000000001</v>
      </c>
      <c r="F528" s="49">
        <v>0</v>
      </c>
      <c r="G528" s="49">
        <v>1</v>
      </c>
      <c r="H528" s="49">
        <v>1</v>
      </c>
      <c r="I528" s="42">
        <f t="shared" si="128"/>
        <v>16.318599999999986</v>
      </c>
      <c r="J528" s="42">
        <f t="shared" si="129"/>
        <v>0.19426904761904745</v>
      </c>
      <c r="K528" s="42">
        <f t="shared" si="130"/>
        <v>84</v>
      </c>
      <c r="L528" s="42">
        <f t="shared" si="131"/>
        <v>56.879999999999981</v>
      </c>
      <c r="M528" s="42">
        <f t="shared" si="132"/>
        <v>0.67714285714285694</v>
      </c>
      <c r="N528" s="42">
        <f t="shared" si="133"/>
        <v>84</v>
      </c>
      <c r="O528" s="42">
        <f t="shared" si="134"/>
        <v>4902</v>
      </c>
      <c r="P528" s="42">
        <f t="shared" si="135"/>
        <v>58.357142857142854</v>
      </c>
      <c r="Q528" s="42">
        <f t="shared" si="136"/>
        <v>84</v>
      </c>
      <c r="R528" s="42" t="str">
        <f t="shared" si="137"/>
        <v>5</v>
      </c>
      <c r="S528" s="42" t="str">
        <f t="shared" si="138"/>
        <v>7</v>
      </c>
      <c r="T528" s="42">
        <f t="shared" si="139"/>
        <v>3</v>
      </c>
      <c r="U528" s="42">
        <f t="shared" si="140"/>
        <v>89</v>
      </c>
      <c r="V528" s="42">
        <f t="shared" si="141"/>
        <v>3183</v>
      </c>
      <c r="W528" s="42">
        <f t="shared" si="142"/>
        <v>49.316801509098106</v>
      </c>
      <c r="X528" s="42">
        <f t="shared" si="143"/>
        <v>0.18825987366070532</v>
      </c>
    </row>
    <row r="529" spans="1:24" x14ac:dyDescent="0.2">
      <c r="A529" s="49">
        <v>527</v>
      </c>
      <c r="B529" s="49">
        <v>528</v>
      </c>
      <c r="C529" s="49">
        <v>3.0300000000000001E-2</v>
      </c>
      <c r="D529" s="49">
        <v>0.45</v>
      </c>
      <c r="E529" s="49">
        <v>0.25369999999999998</v>
      </c>
      <c r="F529" s="49">
        <v>0</v>
      </c>
      <c r="G529" s="49">
        <v>1</v>
      </c>
      <c r="H529" s="49">
        <v>1</v>
      </c>
      <c r="I529" s="42">
        <f t="shared" si="128"/>
        <v>16.273099999999985</v>
      </c>
      <c r="J529" s="42">
        <f t="shared" si="129"/>
        <v>0.19606144578313237</v>
      </c>
      <c r="K529" s="42">
        <f t="shared" si="130"/>
        <v>83</v>
      </c>
      <c r="L529" s="42">
        <f t="shared" si="131"/>
        <v>56.429999999999986</v>
      </c>
      <c r="M529" s="42">
        <f t="shared" si="132"/>
        <v>0.67987951807228897</v>
      </c>
      <c r="N529" s="42">
        <f t="shared" si="133"/>
        <v>83</v>
      </c>
      <c r="O529" s="42">
        <f t="shared" si="134"/>
        <v>4901</v>
      </c>
      <c r="P529" s="42">
        <f t="shared" si="135"/>
        <v>59.048192771084338</v>
      </c>
      <c r="Q529" s="42">
        <f t="shared" si="136"/>
        <v>83</v>
      </c>
      <c r="R529" s="42" t="str">
        <f t="shared" si="137"/>
        <v>5</v>
      </c>
      <c r="S529" s="42" t="str">
        <f t="shared" si="138"/>
        <v>8</v>
      </c>
      <c r="T529" s="42">
        <f t="shared" si="139"/>
        <v>3</v>
      </c>
      <c r="U529" s="42">
        <f t="shared" si="140"/>
        <v>89</v>
      </c>
      <c r="V529" s="42">
        <f t="shared" si="141"/>
        <v>3183</v>
      </c>
      <c r="W529" s="42">
        <f t="shared" si="142"/>
        <v>49.316801509098106</v>
      </c>
      <c r="X529" s="42">
        <f t="shared" si="143"/>
        <v>0.18825987366070532</v>
      </c>
    </row>
    <row r="530" spans="1:24" x14ac:dyDescent="0.2">
      <c r="A530" s="49">
        <v>528</v>
      </c>
      <c r="B530" s="49">
        <v>529</v>
      </c>
      <c r="C530" s="49">
        <v>6.0600000000000001E-2</v>
      </c>
      <c r="D530" s="49">
        <v>0.48</v>
      </c>
      <c r="E530" s="49">
        <v>0.1343</v>
      </c>
      <c r="F530" s="49">
        <v>0</v>
      </c>
      <c r="G530" s="49">
        <v>1</v>
      </c>
      <c r="H530" s="49">
        <v>1</v>
      </c>
      <c r="I530" s="42">
        <f t="shared" si="128"/>
        <v>16.242799999999985</v>
      </c>
      <c r="J530" s="42">
        <f t="shared" si="129"/>
        <v>0.19808292682926812</v>
      </c>
      <c r="K530" s="42">
        <f t="shared" si="130"/>
        <v>82</v>
      </c>
      <c r="L530" s="42">
        <f t="shared" si="131"/>
        <v>55.979999999999983</v>
      </c>
      <c r="M530" s="42">
        <f t="shared" si="132"/>
        <v>0.68268292682926812</v>
      </c>
      <c r="N530" s="42">
        <f t="shared" si="133"/>
        <v>82</v>
      </c>
      <c r="O530" s="42">
        <f t="shared" si="134"/>
        <v>4900</v>
      </c>
      <c r="P530" s="42">
        <f t="shared" si="135"/>
        <v>59.756097560975611</v>
      </c>
      <c r="Q530" s="42">
        <f t="shared" si="136"/>
        <v>82</v>
      </c>
      <c r="R530" s="42" t="str">
        <f t="shared" si="137"/>
        <v>5</v>
      </c>
      <c r="S530" s="42" t="str">
        <f t="shared" si="138"/>
        <v>9</v>
      </c>
      <c r="T530" s="42">
        <f t="shared" si="139"/>
        <v>3</v>
      </c>
      <c r="U530" s="42">
        <f t="shared" si="140"/>
        <v>89</v>
      </c>
      <c r="V530" s="42">
        <f t="shared" si="141"/>
        <v>3183</v>
      </c>
      <c r="W530" s="42">
        <f t="shared" si="142"/>
        <v>49.316801509098106</v>
      </c>
      <c r="X530" s="42">
        <f t="shared" si="143"/>
        <v>0.18825987366070532</v>
      </c>
    </row>
    <row r="531" spans="1:24" x14ac:dyDescent="0.2">
      <c r="A531" s="49">
        <v>529</v>
      </c>
      <c r="B531" s="49">
        <v>530</v>
      </c>
      <c r="C531" s="49">
        <v>6.0600000000000001E-2</v>
      </c>
      <c r="D531" s="49">
        <v>0.48</v>
      </c>
      <c r="E531" s="49">
        <v>0.1343</v>
      </c>
      <c r="F531" s="49">
        <v>0</v>
      </c>
      <c r="G531" s="49">
        <v>5</v>
      </c>
      <c r="H531" s="49">
        <v>5</v>
      </c>
      <c r="I531" s="42">
        <f t="shared" si="128"/>
        <v>16.182199999999984</v>
      </c>
      <c r="J531" s="42">
        <f t="shared" si="129"/>
        <v>0.19978024691358004</v>
      </c>
      <c r="K531" s="42">
        <f t="shared" si="130"/>
        <v>81</v>
      </c>
      <c r="L531" s="42">
        <f t="shared" si="131"/>
        <v>55.499999999999979</v>
      </c>
      <c r="M531" s="42">
        <f t="shared" si="132"/>
        <v>0.6851851851851849</v>
      </c>
      <c r="N531" s="42">
        <f t="shared" si="133"/>
        <v>81</v>
      </c>
      <c r="O531" s="42">
        <f t="shared" si="134"/>
        <v>4899</v>
      </c>
      <c r="P531" s="42">
        <f t="shared" si="135"/>
        <v>60.481481481481481</v>
      </c>
      <c r="Q531" s="42">
        <f t="shared" si="136"/>
        <v>81</v>
      </c>
      <c r="R531" s="42" t="str">
        <f t="shared" si="137"/>
        <v>5</v>
      </c>
      <c r="S531" s="42" t="str">
        <f t="shared" si="138"/>
        <v>0</v>
      </c>
      <c r="T531" s="42">
        <f t="shared" si="139"/>
        <v>3</v>
      </c>
      <c r="U531" s="42">
        <f t="shared" si="140"/>
        <v>89</v>
      </c>
      <c r="V531" s="42">
        <f t="shared" si="141"/>
        <v>3183</v>
      </c>
      <c r="W531" s="42">
        <f t="shared" si="142"/>
        <v>49.316801509098106</v>
      </c>
      <c r="X531" s="42">
        <f t="shared" si="143"/>
        <v>0.18825987366070532</v>
      </c>
    </row>
    <row r="532" spans="1:24" x14ac:dyDescent="0.2">
      <c r="A532" s="49">
        <v>530</v>
      </c>
      <c r="B532" s="49">
        <v>531</v>
      </c>
      <c r="C532" s="49">
        <v>7.5800000000000006E-2</v>
      </c>
      <c r="D532" s="49">
        <v>0.48</v>
      </c>
      <c r="E532" s="49">
        <v>8.9599999999999999E-2</v>
      </c>
      <c r="F532" s="49">
        <v>0</v>
      </c>
      <c r="G532" s="49">
        <v>15</v>
      </c>
      <c r="H532" s="49">
        <v>15</v>
      </c>
      <c r="I532" s="42">
        <f t="shared" si="128"/>
        <v>16.121599999999983</v>
      </c>
      <c r="J532" s="42">
        <f t="shared" si="129"/>
        <v>0.20151999999999978</v>
      </c>
      <c r="K532" s="42">
        <f t="shared" si="130"/>
        <v>80</v>
      </c>
      <c r="L532" s="42">
        <f t="shared" si="131"/>
        <v>55.019999999999982</v>
      </c>
      <c r="M532" s="42">
        <f t="shared" si="132"/>
        <v>0.68774999999999975</v>
      </c>
      <c r="N532" s="42">
        <f t="shared" si="133"/>
        <v>80</v>
      </c>
      <c r="O532" s="42">
        <f t="shared" si="134"/>
        <v>4894</v>
      </c>
      <c r="P532" s="42">
        <f t="shared" si="135"/>
        <v>61.174999999999997</v>
      </c>
      <c r="Q532" s="42">
        <f t="shared" si="136"/>
        <v>80</v>
      </c>
      <c r="R532" s="42" t="str">
        <f t="shared" si="137"/>
        <v>5</v>
      </c>
      <c r="S532" s="42" t="str">
        <f t="shared" si="138"/>
        <v>1</v>
      </c>
      <c r="T532" s="42">
        <f t="shared" si="139"/>
        <v>3</v>
      </c>
      <c r="U532" s="42">
        <f t="shared" si="140"/>
        <v>89</v>
      </c>
      <c r="V532" s="42">
        <f t="shared" si="141"/>
        <v>3183</v>
      </c>
      <c r="W532" s="42">
        <f t="shared" si="142"/>
        <v>49.316801509098106</v>
      </c>
      <c r="X532" s="42">
        <f t="shared" si="143"/>
        <v>0.18825987366070532</v>
      </c>
    </row>
    <row r="533" spans="1:24" x14ac:dyDescent="0.2">
      <c r="A533" s="49">
        <v>531</v>
      </c>
      <c r="B533" s="49">
        <v>532</v>
      </c>
      <c r="C533" s="49">
        <v>0.1212</v>
      </c>
      <c r="D533" s="49">
        <v>0.48</v>
      </c>
      <c r="E533" s="49">
        <v>0</v>
      </c>
      <c r="F533" s="49">
        <v>5</v>
      </c>
      <c r="G533" s="49">
        <v>79</v>
      </c>
      <c r="H533" s="49">
        <v>84</v>
      </c>
      <c r="I533" s="42">
        <f t="shared" si="128"/>
        <v>16.045799999999986</v>
      </c>
      <c r="J533" s="42">
        <f t="shared" si="129"/>
        <v>0.2031113924050631</v>
      </c>
      <c r="K533" s="42">
        <f t="shared" si="130"/>
        <v>79</v>
      </c>
      <c r="L533" s="42">
        <f t="shared" si="131"/>
        <v>54.539999999999978</v>
      </c>
      <c r="M533" s="42">
        <f t="shared" si="132"/>
        <v>0.69037974683544279</v>
      </c>
      <c r="N533" s="42">
        <f t="shared" si="133"/>
        <v>79</v>
      </c>
      <c r="O533" s="42">
        <f t="shared" si="134"/>
        <v>4879</v>
      </c>
      <c r="P533" s="42">
        <f t="shared" si="135"/>
        <v>61.759493670886073</v>
      </c>
      <c r="Q533" s="42">
        <f t="shared" si="136"/>
        <v>79</v>
      </c>
      <c r="R533" s="42" t="str">
        <f t="shared" si="137"/>
        <v>5</v>
      </c>
      <c r="S533" s="42" t="str">
        <f t="shared" si="138"/>
        <v>2</v>
      </c>
      <c r="T533" s="42">
        <f t="shared" si="139"/>
        <v>3</v>
      </c>
      <c r="U533" s="42">
        <f t="shared" si="140"/>
        <v>89</v>
      </c>
      <c r="V533" s="42">
        <f t="shared" si="141"/>
        <v>3183</v>
      </c>
      <c r="W533" s="42">
        <f t="shared" si="142"/>
        <v>49.316801509098106</v>
      </c>
      <c r="X533" s="42">
        <f t="shared" si="143"/>
        <v>0.18825987366070532</v>
      </c>
    </row>
    <row r="534" spans="1:24" x14ac:dyDescent="0.2">
      <c r="A534" s="49">
        <v>532</v>
      </c>
      <c r="B534" s="49">
        <v>533</v>
      </c>
      <c r="C534" s="49">
        <v>0.13639999999999999</v>
      </c>
      <c r="D534" s="49">
        <v>0.49</v>
      </c>
      <c r="E534" s="49">
        <v>0</v>
      </c>
      <c r="F534" s="49">
        <v>6</v>
      </c>
      <c r="G534" s="49">
        <v>171</v>
      </c>
      <c r="H534" s="49">
        <v>177</v>
      </c>
      <c r="I534" s="42">
        <f t="shared" si="128"/>
        <v>15.924599999999986</v>
      </c>
      <c r="J534" s="42">
        <f t="shared" si="129"/>
        <v>0.20416153846153828</v>
      </c>
      <c r="K534" s="42">
        <f t="shared" si="130"/>
        <v>78</v>
      </c>
      <c r="L534" s="42">
        <f t="shared" si="131"/>
        <v>54.059999999999981</v>
      </c>
      <c r="M534" s="42">
        <f t="shared" si="132"/>
        <v>0.69307692307692281</v>
      </c>
      <c r="N534" s="42">
        <f t="shared" si="133"/>
        <v>78</v>
      </c>
      <c r="O534" s="42">
        <f t="shared" si="134"/>
        <v>4795</v>
      </c>
      <c r="P534" s="42">
        <f t="shared" si="135"/>
        <v>61.474358974358971</v>
      </c>
      <c r="Q534" s="42">
        <f t="shared" si="136"/>
        <v>78</v>
      </c>
      <c r="R534" s="42" t="str">
        <f t="shared" si="137"/>
        <v>5</v>
      </c>
      <c r="S534" s="42" t="str">
        <f t="shared" si="138"/>
        <v>3</v>
      </c>
      <c r="T534" s="42">
        <f t="shared" si="139"/>
        <v>3</v>
      </c>
      <c r="U534" s="42">
        <f t="shared" si="140"/>
        <v>89</v>
      </c>
      <c r="V534" s="42">
        <f t="shared" si="141"/>
        <v>3183</v>
      </c>
      <c r="W534" s="42">
        <f t="shared" si="142"/>
        <v>49.316801509098106</v>
      </c>
      <c r="X534" s="42">
        <f t="shared" si="143"/>
        <v>0.18825987366070532</v>
      </c>
    </row>
    <row r="535" spans="1:24" x14ac:dyDescent="0.2">
      <c r="A535" s="49">
        <v>533</v>
      </c>
      <c r="B535" s="49">
        <v>534</v>
      </c>
      <c r="C535" s="49">
        <v>0.1515</v>
      </c>
      <c r="D535" s="49">
        <v>0.41</v>
      </c>
      <c r="E535" s="49">
        <v>0</v>
      </c>
      <c r="F535" s="49">
        <v>4</v>
      </c>
      <c r="G535" s="49">
        <v>98</v>
      </c>
      <c r="H535" s="49">
        <v>102</v>
      </c>
      <c r="I535" s="42">
        <f t="shared" si="128"/>
        <v>15.788199999999986</v>
      </c>
      <c r="J535" s="42">
        <f t="shared" si="129"/>
        <v>0.20504155844155825</v>
      </c>
      <c r="K535" s="42">
        <f t="shared" si="130"/>
        <v>77</v>
      </c>
      <c r="L535" s="42">
        <f t="shared" si="131"/>
        <v>53.569999999999979</v>
      </c>
      <c r="M535" s="42">
        <f t="shared" si="132"/>
        <v>0.6957142857142854</v>
      </c>
      <c r="N535" s="42">
        <f t="shared" si="133"/>
        <v>77</v>
      </c>
      <c r="O535" s="42">
        <f t="shared" si="134"/>
        <v>4618</v>
      </c>
      <c r="P535" s="42">
        <f t="shared" si="135"/>
        <v>59.974025974025977</v>
      </c>
      <c r="Q535" s="42">
        <f t="shared" si="136"/>
        <v>77</v>
      </c>
      <c r="R535" s="42" t="str">
        <f t="shared" si="137"/>
        <v>5</v>
      </c>
      <c r="S535" s="42" t="str">
        <f t="shared" si="138"/>
        <v>4</v>
      </c>
      <c r="T535" s="42">
        <f t="shared" si="139"/>
        <v>3</v>
      </c>
      <c r="U535" s="42">
        <f t="shared" si="140"/>
        <v>89</v>
      </c>
      <c r="V535" s="42">
        <f t="shared" si="141"/>
        <v>3183</v>
      </c>
      <c r="W535" s="42">
        <f t="shared" si="142"/>
        <v>49.316801509098106</v>
      </c>
      <c r="X535" s="42">
        <f t="shared" si="143"/>
        <v>0.18825987366070532</v>
      </c>
    </row>
    <row r="536" spans="1:24" x14ac:dyDescent="0.2">
      <c r="A536" s="49">
        <v>534</v>
      </c>
      <c r="B536" s="49">
        <v>535</v>
      </c>
      <c r="C536" s="49">
        <v>0.13639999999999999</v>
      </c>
      <c r="D536" s="49">
        <v>0.42</v>
      </c>
      <c r="E536" s="49">
        <v>0</v>
      </c>
      <c r="F536" s="49">
        <v>6</v>
      </c>
      <c r="G536" s="49">
        <v>34</v>
      </c>
      <c r="H536" s="49">
        <v>40</v>
      </c>
      <c r="I536" s="42">
        <f t="shared" si="128"/>
        <v>15.636699999999985</v>
      </c>
      <c r="J536" s="42">
        <f t="shared" si="129"/>
        <v>0.20574605263157875</v>
      </c>
      <c r="K536" s="42">
        <f t="shared" si="130"/>
        <v>76</v>
      </c>
      <c r="L536" s="42">
        <f t="shared" si="131"/>
        <v>53.159999999999982</v>
      </c>
      <c r="M536" s="42">
        <f t="shared" si="132"/>
        <v>0.69947368421052614</v>
      </c>
      <c r="N536" s="42">
        <f t="shared" si="133"/>
        <v>76</v>
      </c>
      <c r="O536" s="42">
        <f t="shared" si="134"/>
        <v>4516</v>
      </c>
      <c r="P536" s="42">
        <f t="shared" si="135"/>
        <v>59.421052631578945</v>
      </c>
      <c r="Q536" s="42">
        <f t="shared" si="136"/>
        <v>76</v>
      </c>
      <c r="R536" s="42" t="str">
        <f t="shared" si="137"/>
        <v>5</v>
      </c>
      <c r="S536" s="42" t="str">
        <f t="shared" si="138"/>
        <v>5</v>
      </c>
      <c r="T536" s="42">
        <f t="shared" si="139"/>
        <v>3</v>
      </c>
      <c r="U536" s="42">
        <f t="shared" si="140"/>
        <v>89</v>
      </c>
      <c r="V536" s="42">
        <f t="shared" si="141"/>
        <v>3183</v>
      </c>
      <c r="W536" s="42">
        <f t="shared" si="142"/>
        <v>49.316801509098106</v>
      </c>
      <c r="X536" s="42">
        <f t="shared" si="143"/>
        <v>0.18825987366070532</v>
      </c>
    </row>
    <row r="537" spans="1:24" x14ac:dyDescent="0.2">
      <c r="A537" s="49">
        <v>535</v>
      </c>
      <c r="B537" s="49">
        <v>536</v>
      </c>
      <c r="C537" s="49">
        <v>0.1212</v>
      </c>
      <c r="D537" s="49">
        <v>0.46</v>
      </c>
      <c r="E537" s="49">
        <v>0.1343</v>
      </c>
      <c r="F537" s="49">
        <v>3</v>
      </c>
      <c r="G537" s="49">
        <v>43</v>
      </c>
      <c r="H537" s="49">
        <v>46</v>
      </c>
      <c r="I537" s="42">
        <f t="shared" si="128"/>
        <v>15.500299999999985</v>
      </c>
      <c r="J537" s="42">
        <f t="shared" si="129"/>
        <v>0.20667066666666647</v>
      </c>
      <c r="K537" s="42">
        <f t="shared" si="130"/>
        <v>75</v>
      </c>
      <c r="L537" s="42">
        <f t="shared" si="131"/>
        <v>52.739999999999981</v>
      </c>
      <c r="M537" s="42">
        <f t="shared" si="132"/>
        <v>0.70319999999999971</v>
      </c>
      <c r="N537" s="42">
        <f t="shared" si="133"/>
        <v>75</v>
      </c>
      <c r="O537" s="42">
        <f t="shared" si="134"/>
        <v>4476</v>
      </c>
      <c r="P537" s="42">
        <f t="shared" si="135"/>
        <v>59.68</v>
      </c>
      <c r="Q537" s="42">
        <f t="shared" si="136"/>
        <v>75</v>
      </c>
      <c r="R537" s="42" t="str">
        <f t="shared" si="137"/>
        <v>5</v>
      </c>
      <c r="S537" s="42" t="str">
        <f t="shared" si="138"/>
        <v>6</v>
      </c>
      <c r="T537" s="42">
        <f t="shared" si="139"/>
        <v>3</v>
      </c>
      <c r="U537" s="42">
        <f t="shared" si="140"/>
        <v>89</v>
      </c>
      <c r="V537" s="42">
        <f t="shared" si="141"/>
        <v>3183</v>
      </c>
      <c r="W537" s="42">
        <f t="shared" si="142"/>
        <v>49.316801509098106</v>
      </c>
      <c r="X537" s="42">
        <f t="shared" si="143"/>
        <v>0.18825987366070532</v>
      </c>
    </row>
    <row r="538" spans="1:24" x14ac:dyDescent="0.2">
      <c r="A538" s="49">
        <v>536</v>
      </c>
      <c r="B538" s="49">
        <v>537</v>
      </c>
      <c r="C538" s="49">
        <v>0.13639999999999999</v>
      </c>
      <c r="D538" s="49">
        <v>0.42</v>
      </c>
      <c r="E538" s="49">
        <v>0.19400000000000001</v>
      </c>
      <c r="F538" s="49">
        <v>11</v>
      </c>
      <c r="G538" s="49">
        <v>52</v>
      </c>
      <c r="H538" s="49">
        <v>63</v>
      </c>
      <c r="I538" s="42">
        <f t="shared" si="128"/>
        <v>15.379099999999983</v>
      </c>
      <c r="J538" s="42">
        <f t="shared" si="129"/>
        <v>0.20782567567567545</v>
      </c>
      <c r="K538" s="42">
        <f t="shared" si="130"/>
        <v>74</v>
      </c>
      <c r="L538" s="42">
        <f t="shared" si="131"/>
        <v>52.27999999999998</v>
      </c>
      <c r="M538" s="42">
        <f t="shared" si="132"/>
        <v>0.70648648648648626</v>
      </c>
      <c r="N538" s="42">
        <f t="shared" si="133"/>
        <v>74</v>
      </c>
      <c r="O538" s="42">
        <f t="shared" si="134"/>
        <v>4430</v>
      </c>
      <c r="P538" s="42">
        <f t="shared" si="135"/>
        <v>59.864864864864863</v>
      </c>
      <c r="Q538" s="42">
        <f t="shared" si="136"/>
        <v>74</v>
      </c>
      <c r="R538" s="42" t="str">
        <f t="shared" si="137"/>
        <v>5</v>
      </c>
      <c r="S538" s="42" t="str">
        <f t="shared" si="138"/>
        <v>7</v>
      </c>
      <c r="T538" s="42">
        <f t="shared" si="139"/>
        <v>3</v>
      </c>
      <c r="U538" s="42">
        <f t="shared" si="140"/>
        <v>89</v>
      </c>
      <c r="V538" s="42">
        <f t="shared" si="141"/>
        <v>3183</v>
      </c>
      <c r="W538" s="42">
        <f t="shared" si="142"/>
        <v>49.316801509098106</v>
      </c>
      <c r="X538" s="42">
        <f t="shared" si="143"/>
        <v>0.18825987366070532</v>
      </c>
    </row>
    <row r="539" spans="1:24" x14ac:dyDescent="0.2">
      <c r="A539" s="49">
        <v>537</v>
      </c>
      <c r="B539" s="49">
        <v>538</v>
      </c>
      <c r="C539" s="49">
        <v>0.13639999999999999</v>
      </c>
      <c r="D539" s="49">
        <v>0.43</v>
      </c>
      <c r="E539" s="49">
        <v>0.22389999999999999</v>
      </c>
      <c r="F539" s="49">
        <v>6</v>
      </c>
      <c r="G539" s="49">
        <v>54</v>
      </c>
      <c r="H539" s="49">
        <v>60</v>
      </c>
      <c r="I539" s="42">
        <f t="shared" si="128"/>
        <v>15.242699999999983</v>
      </c>
      <c r="J539" s="42">
        <f t="shared" si="129"/>
        <v>0.20880410958904086</v>
      </c>
      <c r="K539" s="42">
        <f t="shared" si="130"/>
        <v>73</v>
      </c>
      <c r="L539" s="42">
        <f t="shared" si="131"/>
        <v>51.859999999999978</v>
      </c>
      <c r="M539" s="42">
        <f t="shared" si="132"/>
        <v>0.71041095890410932</v>
      </c>
      <c r="N539" s="42">
        <f t="shared" si="133"/>
        <v>73</v>
      </c>
      <c r="O539" s="42">
        <f t="shared" si="134"/>
        <v>4367</v>
      </c>
      <c r="P539" s="42">
        <f t="shared" si="135"/>
        <v>59.821917808219176</v>
      </c>
      <c r="Q539" s="42">
        <f t="shared" si="136"/>
        <v>73</v>
      </c>
      <c r="R539" s="42" t="str">
        <f t="shared" si="137"/>
        <v>5</v>
      </c>
      <c r="S539" s="42" t="str">
        <f t="shared" si="138"/>
        <v>8</v>
      </c>
      <c r="T539" s="42">
        <f t="shared" si="139"/>
        <v>3</v>
      </c>
      <c r="U539" s="42">
        <f t="shared" si="140"/>
        <v>89</v>
      </c>
      <c r="V539" s="42">
        <f t="shared" si="141"/>
        <v>3183</v>
      </c>
      <c r="W539" s="42">
        <f t="shared" si="142"/>
        <v>49.316801509098106</v>
      </c>
      <c r="X539" s="42">
        <f t="shared" si="143"/>
        <v>0.18825987366070532</v>
      </c>
    </row>
    <row r="540" spans="1:24" x14ac:dyDescent="0.2">
      <c r="A540" s="49">
        <v>538</v>
      </c>
      <c r="B540" s="49">
        <v>539</v>
      </c>
      <c r="C540" s="49">
        <v>0.13639999999999999</v>
      </c>
      <c r="D540" s="49">
        <v>0.46</v>
      </c>
      <c r="E540" s="49">
        <v>0.22389999999999999</v>
      </c>
      <c r="F540" s="49">
        <v>2</v>
      </c>
      <c r="G540" s="49">
        <v>43</v>
      </c>
      <c r="H540" s="49">
        <v>45</v>
      </c>
      <c r="I540" s="42">
        <f t="shared" si="128"/>
        <v>15.106299999999983</v>
      </c>
      <c r="J540" s="42">
        <f t="shared" si="129"/>
        <v>0.20980972222222199</v>
      </c>
      <c r="K540" s="42">
        <f t="shared" si="130"/>
        <v>72</v>
      </c>
      <c r="L540" s="42">
        <f t="shared" si="131"/>
        <v>51.429999999999978</v>
      </c>
      <c r="M540" s="42">
        <f t="shared" si="132"/>
        <v>0.7143055555555553</v>
      </c>
      <c r="N540" s="42">
        <f t="shared" si="133"/>
        <v>72</v>
      </c>
      <c r="O540" s="42">
        <f t="shared" si="134"/>
        <v>4307</v>
      </c>
      <c r="P540" s="42">
        <f t="shared" si="135"/>
        <v>59.819444444444443</v>
      </c>
      <c r="Q540" s="42">
        <f t="shared" si="136"/>
        <v>72</v>
      </c>
      <c r="R540" s="42" t="str">
        <f t="shared" si="137"/>
        <v>5</v>
      </c>
      <c r="S540" s="42" t="str">
        <f t="shared" si="138"/>
        <v>9</v>
      </c>
      <c r="T540" s="42">
        <f t="shared" si="139"/>
        <v>3</v>
      </c>
      <c r="U540" s="42">
        <f t="shared" si="140"/>
        <v>89</v>
      </c>
      <c r="V540" s="42">
        <f t="shared" si="141"/>
        <v>3183</v>
      </c>
      <c r="W540" s="42">
        <f t="shared" si="142"/>
        <v>49.316801509098106</v>
      </c>
      <c r="X540" s="42">
        <f t="shared" si="143"/>
        <v>0.18825987366070532</v>
      </c>
    </row>
    <row r="541" spans="1:24" x14ac:dyDescent="0.2">
      <c r="A541" s="49">
        <v>539</v>
      </c>
      <c r="B541" s="49">
        <v>540</v>
      </c>
      <c r="C541" s="49">
        <v>0.16669999999999999</v>
      </c>
      <c r="D541" s="49">
        <v>0.4</v>
      </c>
      <c r="E541" s="49">
        <v>0.16420000000000001</v>
      </c>
      <c r="F541" s="49">
        <v>7</v>
      </c>
      <c r="G541" s="49">
        <v>50</v>
      </c>
      <c r="H541" s="49">
        <v>57</v>
      </c>
      <c r="I541" s="42">
        <f t="shared" si="128"/>
        <v>14.969899999999983</v>
      </c>
      <c r="J541" s="42">
        <f t="shared" si="129"/>
        <v>0.21084366197183074</v>
      </c>
      <c r="K541" s="42">
        <f t="shared" si="130"/>
        <v>71</v>
      </c>
      <c r="L541" s="42">
        <f t="shared" si="131"/>
        <v>50.969999999999978</v>
      </c>
      <c r="M541" s="42">
        <f t="shared" si="132"/>
        <v>0.71788732394366161</v>
      </c>
      <c r="N541" s="42">
        <f t="shared" si="133"/>
        <v>71</v>
      </c>
      <c r="O541" s="42">
        <f t="shared" si="134"/>
        <v>4262</v>
      </c>
      <c r="P541" s="42">
        <f t="shared" si="135"/>
        <v>60.028169014084504</v>
      </c>
      <c r="Q541" s="42">
        <f t="shared" si="136"/>
        <v>71</v>
      </c>
      <c r="R541" s="42" t="str">
        <f t="shared" si="137"/>
        <v>5</v>
      </c>
      <c r="S541" s="42" t="str">
        <f t="shared" si="138"/>
        <v>0</v>
      </c>
      <c r="T541" s="42">
        <f t="shared" si="139"/>
        <v>3</v>
      </c>
      <c r="U541" s="42">
        <f t="shared" si="140"/>
        <v>89</v>
      </c>
      <c r="V541" s="42">
        <f t="shared" si="141"/>
        <v>3183</v>
      </c>
      <c r="W541" s="42">
        <f t="shared" si="142"/>
        <v>49.316801509098106</v>
      </c>
      <c r="X541" s="42">
        <f t="shared" si="143"/>
        <v>0.18825987366070532</v>
      </c>
    </row>
    <row r="542" spans="1:24" x14ac:dyDescent="0.2">
      <c r="A542" s="49">
        <v>540</v>
      </c>
      <c r="B542" s="49">
        <v>541</v>
      </c>
      <c r="C542" s="49">
        <v>0.1515</v>
      </c>
      <c r="D542" s="49">
        <v>0.47</v>
      </c>
      <c r="E542" s="49">
        <v>0.25369999999999998</v>
      </c>
      <c r="F542" s="49">
        <v>4</v>
      </c>
      <c r="G542" s="49">
        <v>66</v>
      </c>
      <c r="H542" s="49">
        <v>70</v>
      </c>
      <c r="I542" s="42">
        <f t="shared" si="128"/>
        <v>14.803199999999984</v>
      </c>
      <c r="J542" s="42">
        <f t="shared" si="129"/>
        <v>0.2114742857142855</v>
      </c>
      <c r="K542" s="42">
        <f t="shared" si="130"/>
        <v>70</v>
      </c>
      <c r="L542" s="42">
        <f t="shared" si="131"/>
        <v>50.569999999999979</v>
      </c>
      <c r="M542" s="42">
        <f t="shared" si="132"/>
        <v>0.72242857142857109</v>
      </c>
      <c r="N542" s="42">
        <f t="shared" si="133"/>
        <v>70</v>
      </c>
      <c r="O542" s="42">
        <f t="shared" si="134"/>
        <v>4205</v>
      </c>
      <c r="P542" s="42">
        <f t="shared" si="135"/>
        <v>60.071428571428569</v>
      </c>
      <c r="Q542" s="42">
        <f t="shared" si="136"/>
        <v>70</v>
      </c>
      <c r="R542" s="42" t="str">
        <f t="shared" si="137"/>
        <v>5</v>
      </c>
      <c r="S542" s="42" t="str">
        <f t="shared" si="138"/>
        <v>1</v>
      </c>
      <c r="T542" s="42">
        <f t="shared" si="139"/>
        <v>3</v>
      </c>
      <c r="U542" s="42">
        <f t="shared" si="140"/>
        <v>89</v>
      </c>
      <c r="V542" s="42">
        <f t="shared" si="141"/>
        <v>3183</v>
      </c>
      <c r="W542" s="42">
        <f t="shared" si="142"/>
        <v>49.316801509098106</v>
      </c>
      <c r="X542" s="42">
        <f t="shared" si="143"/>
        <v>0.18825987366070532</v>
      </c>
    </row>
    <row r="543" spans="1:24" x14ac:dyDescent="0.2">
      <c r="A543" s="49">
        <v>541</v>
      </c>
      <c r="B543" s="49">
        <v>542</v>
      </c>
      <c r="C543" s="49">
        <v>0.1212</v>
      </c>
      <c r="D543" s="49">
        <v>0.5</v>
      </c>
      <c r="E543" s="49">
        <v>0.25369999999999998</v>
      </c>
      <c r="F543" s="49">
        <v>6</v>
      </c>
      <c r="G543" s="49">
        <v>178</v>
      </c>
      <c r="H543" s="49">
        <v>184</v>
      </c>
      <c r="I543" s="42">
        <f t="shared" si="128"/>
        <v>14.651699999999986</v>
      </c>
      <c r="J543" s="42">
        <f t="shared" si="129"/>
        <v>0.21234347826086936</v>
      </c>
      <c r="K543" s="42">
        <f t="shared" si="130"/>
        <v>69</v>
      </c>
      <c r="L543" s="42">
        <f t="shared" si="131"/>
        <v>50.09999999999998</v>
      </c>
      <c r="M543" s="42">
        <f t="shared" si="132"/>
        <v>0.72608695652173882</v>
      </c>
      <c r="N543" s="42">
        <f t="shared" si="133"/>
        <v>69</v>
      </c>
      <c r="O543" s="42">
        <f t="shared" si="134"/>
        <v>4135</v>
      </c>
      <c r="P543" s="42">
        <f t="shared" si="135"/>
        <v>59.927536231884055</v>
      </c>
      <c r="Q543" s="42">
        <f t="shared" si="136"/>
        <v>69</v>
      </c>
      <c r="R543" s="42" t="str">
        <f t="shared" si="137"/>
        <v>5</v>
      </c>
      <c r="S543" s="42" t="str">
        <f t="shared" si="138"/>
        <v>2</v>
      </c>
      <c r="T543" s="42">
        <f t="shared" si="139"/>
        <v>3</v>
      </c>
      <c r="U543" s="42">
        <f t="shared" si="140"/>
        <v>89</v>
      </c>
      <c r="V543" s="42">
        <f t="shared" si="141"/>
        <v>3183</v>
      </c>
      <c r="W543" s="42">
        <f t="shared" si="142"/>
        <v>49.316801509098106</v>
      </c>
      <c r="X543" s="42">
        <f t="shared" si="143"/>
        <v>0.18825987366070532</v>
      </c>
    </row>
    <row r="544" spans="1:24" x14ac:dyDescent="0.2">
      <c r="A544" s="49">
        <v>542</v>
      </c>
      <c r="B544" s="49">
        <v>543</v>
      </c>
      <c r="C544" s="49">
        <v>0.13639999999999999</v>
      </c>
      <c r="D544" s="49">
        <v>0.59</v>
      </c>
      <c r="E544" s="49">
        <v>0.19400000000000001</v>
      </c>
      <c r="F544" s="49">
        <v>8</v>
      </c>
      <c r="G544" s="49">
        <v>145</v>
      </c>
      <c r="H544" s="49">
        <v>153</v>
      </c>
      <c r="I544" s="42">
        <f t="shared" si="128"/>
        <v>14.530499999999986</v>
      </c>
      <c r="J544" s="42">
        <f t="shared" si="129"/>
        <v>0.21368382352941157</v>
      </c>
      <c r="K544" s="42">
        <f t="shared" si="130"/>
        <v>68</v>
      </c>
      <c r="L544" s="42">
        <f t="shared" si="131"/>
        <v>49.599999999999987</v>
      </c>
      <c r="M544" s="42">
        <f t="shared" si="132"/>
        <v>0.7294117647058822</v>
      </c>
      <c r="N544" s="42">
        <f t="shared" si="133"/>
        <v>68</v>
      </c>
      <c r="O544" s="42">
        <f t="shared" si="134"/>
        <v>3951</v>
      </c>
      <c r="P544" s="42">
        <f t="shared" si="135"/>
        <v>58.102941176470587</v>
      </c>
      <c r="Q544" s="42">
        <f t="shared" si="136"/>
        <v>68</v>
      </c>
      <c r="R544" s="42" t="str">
        <f t="shared" si="137"/>
        <v>5</v>
      </c>
      <c r="S544" s="42" t="str">
        <f t="shared" si="138"/>
        <v>3</v>
      </c>
      <c r="T544" s="42">
        <f t="shared" si="139"/>
        <v>3</v>
      </c>
      <c r="U544" s="42">
        <f t="shared" si="140"/>
        <v>89</v>
      </c>
      <c r="V544" s="42">
        <f t="shared" si="141"/>
        <v>3183</v>
      </c>
      <c r="W544" s="42">
        <f t="shared" si="142"/>
        <v>49.316801509098106</v>
      </c>
      <c r="X544" s="42">
        <f t="shared" si="143"/>
        <v>0.18825987366070532</v>
      </c>
    </row>
    <row r="545" spans="1:24" x14ac:dyDescent="0.2">
      <c r="A545" s="49">
        <v>543</v>
      </c>
      <c r="B545" s="49">
        <v>544</v>
      </c>
      <c r="C545" s="49">
        <v>0.1515</v>
      </c>
      <c r="D545" s="49">
        <v>0.54</v>
      </c>
      <c r="E545" s="49">
        <v>0.16420000000000001</v>
      </c>
      <c r="F545" s="49">
        <v>5</v>
      </c>
      <c r="G545" s="49">
        <v>101</v>
      </c>
      <c r="H545" s="49">
        <v>106</v>
      </c>
      <c r="I545" s="42">
        <f t="shared" si="128"/>
        <v>14.394099999999986</v>
      </c>
      <c r="J545" s="42">
        <f t="shared" si="129"/>
        <v>0.2148373134328356</v>
      </c>
      <c r="K545" s="42">
        <f t="shared" si="130"/>
        <v>67</v>
      </c>
      <c r="L545" s="42">
        <f t="shared" si="131"/>
        <v>49.009999999999991</v>
      </c>
      <c r="M545" s="42">
        <f t="shared" si="132"/>
        <v>0.73149253731343267</v>
      </c>
      <c r="N545" s="42">
        <f t="shared" si="133"/>
        <v>67</v>
      </c>
      <c r="O545" s="42">
        <f t="shared" si="134"/>
        <v>3798</v>
      </c>
      <c r="P545" s="42">
        <f t="shared" si="135"/>
        <v>56.686567164179102</v>
      </c>
      <c r="Q545" s="42">
        <f t="shared" si="136"/>
        <v>67</v>
      </c>
      <c r="R545" s="42" t="str">
        <f t="shared" si="137"/>
        <v>5</v>
      </c>
      <c r="S545" s="42" t="str">
        <f t="shared" si="138"/>
        <v>4</v>
      </c>
      <c r="T545" s="42">
        <f t="shared" si="139"/>
        <v>3</v>
      </c>
      <c r="U545" s="42">
        <f t="shared" si="140"/>
        <v>89</v>
      </c>
      <c r="V545" s="42">
        <f t="shared" si="141"/>
        <v>3183</v>
      </c>
      <c r="W545" s="42">
        <f t="shared" si="142"/>
        <v>49.316801509098106</v>
      </c>
      <c r="X545" s="42">
        <f t="shared" si="143"/>
        <v>0.18825987366070532</v>
      </c>
    </row>
    <row r="546" spans="1:24" x14ac:dyDescent="0.2">
      <c r="A546" s="49">
        <v>544</v>
      </c>
      <c r="B546" s="49">
        <v>545</v>
      </c>
      <c r="C546" s="49">
        <v>0.13639999999999999</v>
      </c>
      <c r="D546" s="49">
        <v>0.59</v>
      </c>
      <c r="E546" s="49">
        <v>0.19400000000000001</v>
      </c>
      <c r="F546" s="49">
        <v>1</v>
      </c>
      <c r="G546" s="49">
        <v>80</v>
      </c>
      <c r="H546" s="49">
        <v>81</v>
      </c>
      <c r="I546" s="42">
        <f t="shared" si="128"/>
        <v>14.242599999999987</v>
      </c>
      <c r="J546" s="42">
        <f t="shared" si="129"/>
        <v>0.21579696969696949</v>
      </c>
      <c r="K546" s="42">
        <f t="shared" si="130"/>
        <v>66</v>
      </c>
      <c r="L546" s="42">
        <f t="shared" si="131"/>
        <v>48.469999999999992</v>
      </c>
      <c r="M546" s="42">
        <f t="shared" si="132"/>
        <v>0.73439393939393927</v>
      </c>
      <c r="N546" s="42">
        <f t="shared" si="133"/>
        <v>66</v>
      </c>
      <c r="O546" s="42">
        <f t="shared" si="134"/>
        <v>3692</v>
      </c>
      <c r="P546" s="42">
        <f t="shared" si="135"/>
        <v>55.939393939393938</v>
      </c>
      <c r="Q546" s="42">
        <f t="shared" si="136"/>
        <v>66</v>
      </c>
      <c r="R546" s="42" t="str">
        <f t="shared" si="137"/>
        <v>5</v>
      </c>
      <c r="S546" s="42" t="str">
        <f t="shared" si="138"/>
        <v>5</v>
      </c>
      <c r="T546" s="42">
        <f t="shared" si="139"/>
        <v>3</v>
      </c>
      <c r="U546" s="42">
        <f t="shared" si="140"/>
        <v>89</v>
      </c>
      <c r="V546" s="42">
        <f t="shared" si="141"/>
        <v>3183</v>
      </c>
      <c r="W546" s="42">
        <f t="shared" si="142"/>
        <v>49.316801509098106</v>
      </c>
      <c r="X546" s="42">
        <f t="shared" si="143"/>
        <v>0.18825987366070532</v>
      </c>
    </row>
    <row r="547" spans="1:24" x14ac:dyDescent="0.2">
      <c r="A547" s="49">
        <v>545</v>
      </c>
      <c r="B547" s="49">
        <v>546</v>
      </c>
      <c r="C547" s="49">
        <v>0.1515</v>
      </c>
      <c r="D547" s="49">
        <v>0.63</v>
      </c>
      <c r="E547" s="49">
        <v>0.16420000000000001</v>
      </c>
      <c r="F547" s="49">
        <v>6</v>
      </c>
      <c r="G547" s="49">
        <v>53</v>
      </c>
      <c r="H547" s="49">
        <v>59</v>
      </c>
      <c r="I547" s="42">
        <f t="shared" si="128"/>
        <v>14.106199999999989</v>
      </c>
      <c r="J547" s="42">
        <f t="shared" si="129"/>
        <v>0.21701846153846135</v>
      </c>
      <c r="K547" s="42">
        <f t="shared" si="130"/>
        <v>65</v>
      </c>
      <c r="L547" s="42">
        <f t="shared" si="131"/>
        <v>47.879999999999995</v>
      </c>
      <c r="M547" s="42">
        <f t="shared" si="132"/>
        <v>0.73661538461538456</v>
      </c>
      <c r="N547" s="42">
        <f t="shared" si="133"/>
        <v>65</v>
      </c>
      <c r="O547" s="42">
        <f t="shared" si="134"/>
        <v>3611</v>
      </c>
      <c r="P547" s="42">
        <f t="shared" si="135"/>
        <v>55.553846153846152</v>
      </c>
      <c r="Q547" s="42">
        <f t="shared" si="136"/>
        <v>65</v>
      </c>
      <c r="R547" s="42" t="str">
        <f t="shared" si="137"/>
        <v>5</v>
      </c>
      <c r="S547" s="42" t="str">
        <f t="shared" si="138"/>
        <v>6</v>
      </c>
      <c r="T547" s="42">
        <f t="shared" si="139"/>
        <v>3</v>
      </c>
      <c r="U547" s="42">
        <f t="shared" si="140"/>
        <v>89</v>
      </c>
      <c r="V547" s="42">
        <f t="shared" si="141"/>
        <v>3183</v>
      </c>
      <c r="W547" s="42">
        <f t="shared" si="142"/>
        <v>49.316801509098106</v>
      </c>
      <c r="X547" s="42">
        <f t="shared" si="143"/>
        <v>0.18825987366070532</v>
      </c>
    </row>
    <row r="548" spans="1:24" x14ac:dyDescent="0.2">
      <c r="A548" s="49">
        <v>546</v>
      </c>
      <c r="B548" s="49">
        <v>547</v>
      </c>
      <c r="C548" s="49">
        <v>0.13639999999999999</v>
      </c>
      <c r="D548" s="49">
        <v>0.63</v>
      </c>
      <c r="E548" s="49">
        <v>0.22389999999999999</v>
      </c>
      <c r="F548" s="49">
        <v>3</v>
      </c>
      <c r="G548" s="49">
        <v>32</v>
      </c>
      <c r="H548" s="49">
        <v>35</v>
      </c>
      <c r="I548" s="42">
        <f t="shared" si="128"/>
        <v>13.954699999999988</v>
      </c>
      <c r="J548" s="42">
        <f t="shared" si="129"/>
        <v>0.21804218749999982</v>
      </c>
      <c r="K548" s="42">
        <f t="shared" si="130"/>
        <v>64</v>
      </c>
      <c r="L548" s="42">
        <f t="shared" si="131"/>
        <v>47.249999999999993</v>
      </c>
      <c r="M548" s="42">
        <f t="shared" si="132"/>
        <v>0.73828124999999989</v>
      </c>
      <c r="N548" s="42">
        <f t="shared" si="133"/>
        <v>64</v>
      </c>
      <c r="O548" s="42">
        <f t="shared" si="134"/>
        <v>3552</v>
      </c>
      <c r="P548" s="42">
        <f t="shared" si="135"/>
        <v>55.5</v>
      </c>
      <c r="Q548" s="42">
        <f t="shared" si="136"/>
        <v>64</v>
      </c>
      <c r="R548" s="42" t="str">
        <f t="shared" si="137"/>
        <v>5</v>
      </c>
      <c r="S548" s="42" t="str">
        <f t="shared" si="138"/>
        <v>7</v>
      </c>
      <c r="T548" s="42">
        <f t="shared" si="139"/>
        <v>3</v>
      </c>
      <c r="U548" s="42">
        <f t="shared" si="140"/>
        <v>89</v>
      </c>
      <c r="V548" s="42">
        <f t="shared" si="141"/>
        <v>3183</v>
      </c>
      <c r="W548" s="42">
        <f t="shared" si="142"/>
        <v>49.316801509098106</v>
      </c>
      <c r="X548" s="42">
        <f t="shared" si="143"/>
        <v>0.18825987366070532</v>
      </c>
    </row>
    <row r="549" spans="1:24" x14ac:dyDescent="0.2">
      <c r="A549" s="49">
        <v>547</v>
      </c>
      <c r="B549" s="49">
        <v>548</v>
      </c>
      <c r="C549" s="49">
        <v>0.1515</v>
      </c>
      <c r="D549" s="49">
        <v>0.64</v>
      </c>
      <c r="E549" s="49">
        <v>0.25369999999999998</v>
      </c>
      <c r="F549" s="49">
        <v>3</v>
      </c>
      <c r="G549" s="49">
        <v>21</v>
      </c>
      <c r="H549" s="49">
        <v>24</v>
      </c>
      <c r="I549" s="42">
        <f t="shared" si="128"/>
        <v>13.818299999999988</v>
      </c>
      <c r="J549" s="42">
        <f t="shared" si="129"/>
        <v>0.21933809523809505</v>
      </c>
      <c r="K549" s="42">
        <f t="shared" si="130"/>
        <v>63</v>
      </c>
      <c r="L549" s="42">
        <f t="shared" si="131"/>
        <v>46.61999999999999</v>
      </c>
      <c r="M549" s="42">
        <f t="shared" si="132"/>
        <v>0.73999999999999988</v>
      </c>
      <c r="N549" s="42">
        <f t="shared" si="133"/>
        <v>63</v>
      </c>
      <c r="O549" s="42">
        <f t="shared" si="134"/>
        <v>3517</v>
      </c>
      <c r="P549" s="42">
        <f t="shared" si="135"/>
        <v>55.825396825396822</v>
      </c>
      <c r="Q549" s="42">
        <f t="shared" si="136"/>
        <v>63</v>
      </c>
      <c r="R549" s="42" t="str">
        <f t="shared" si="137"/>
        <v>5</v>
      </c>
      <c r="S549" s="42" t="str">
        <f t="shared" si="138"/>
        <v>8</v>
      </c>
      <c r="T549" s="42">
        <f t="shared" si="139"/>
        <v>3</v>
      </c>
      <c r="U549" s="42">
        <f t="shared" si="140"/>
        <v>89</v>
      </c>
      <c r="V549" s="42">
        <f t="shared" si="141"/>
        <v>3183</v>
      </c>
      <c r="W549" s="42">
        <f t="shared" si="142"/>
        <v>49.316801509098106</v>
      </c>
      <c r="X549" s="42">
        <f t="shared" si="143"/>
        <v>0.18825987366070532</v>
      </c>
    </row>
    <row r="550" spans="1:24" x14ac:dyDescent="0.2">
      <c r="A550" s="49">
        <v>548</v>
      </c>
      <c r="B550" s="49">
        <v>549</v>
      </c>
      <c r="C550" s="49">
        <v>0.13639999999999999</v>
      </c>
      <c r="D550" s="49">
        <v>0.69</v>
      </c>
      <c r="E550" s="49">
        <v>0.28360000000000002</v>
      </c>
      <c r="F550" s="49">
        <v>3</v>
      </c>
      <c r="G550" s="49">
        <v>6</v>
      </c>
      <c r="H550" s="49">
        <v>9</v>
      </c>
      <c r="I550" s="42">
        <f t="shared" si="128"/>
        <v>13.66679999999999</v>
      </c>
      <c r="J550" s="42">
        <f t="shared" si="129"/>
        <v>0.22043225806451597</v>
      </c>
      <c r="K550" s="42">
        <f t="shared" si="130"/>
        <v>62</v>
      </c>
      <c r="L550" s="42">
        <f t="shared" si="131"/>
        <v>45.97999999999999</v>
      </c>
      <c r="M550" s="42">
        <f t="shared" si="132"/>
        <v>0.74161290322580631</v>
      </c>
      <c r="N550" s="42">
        <f t="shared" si="133"/>
        <v>62</v>
      </c>
      <c r="O550" s="42">
        <f t="shared" si="134"/>
        <v>3493</v>
      </c>
      <c r="P550" s="42">
        <f t="shared" si="135"/>
        <v>56.338709677419352</v>
      </c>
      <c r="Q550" s="42">
        <f t="shared" si="136"/>
        <v>62</v>
      </c>
      <c r="R550" s="42" t="str">
        <f t="shared" si="137"/>
        <v>5</v>
      </c>
      <c r="S550" s="42" t="str">
        <f t="shared" si="138"/>
        <v>9</v>
      </c>
      <c r="T550" s="42">
        <f t="shared" si="139"/>
        <v>3</v>
      </c>
      <c r="U550" s="42">
        <f t="shared" si="140"/>
        <v>89</v>
      </c>
      <c r="V550" s="42">
        <f t="shared" si="141"/>
        <v>3183</v>
      </c>
      <c r="W550" s="42">
        <f t="shared" si="142"/>
        <v>49.316801509098106</v>
      </c>
      <c r="X550" s="42">
        <f t="shared" si="143"/>
        <v>0.18825987366070532</v>
      </c>
    </row>
    <row r="551" spans="1:24" x14ac:dyDescent="0.2">
      <c r="A551" s="49">
        <v>549</v>
      </c>
      <c r="B551" s="49">
        <v>550</v>
      </c>
      <c r="C551" s="49">
        <v>0.16669999999999999</v>
      </c>
      <c r="D551" s="49">
        <v>0.69</v>
      </c>
      <c r="E551" s="49">
        <v>0.16420000000000001</v>
      </c>
      <c r="F551" s="49">
        <v>0</v>
      </c>
      <c r="G551" s="49">
        <v>5</v>
      </c>
      <c r="H551" s="49">
        <v>5</v>
      </c>
      <c r="I551" s="42">
        <f t="shared" si="128"/>
        <v>13.53039999999999</v>
      </c>
      <c r="J551" s="42">
        <f t="shared" si="129"/>
        <v>0.22180983606557361</v>
      </c>
      <c r="K551" s="42">
        <f t="shared" si="130"/>
        <v>61</v>
      </c>
      <c r="L551" s="42">
        <f t="shared" si="131"/>
        <v>45.289999999999985</v>
      </c>
      <c r="M551" s="42">
        <f t="shared" si="132"/>
        <v>0.74245901639344236</v>
      </c>
      <c r="N551" s="42">
        <f t="shared" si="133"/>
        <v>61</v>
      </c>
      <c r="O551" s="42">
        <f t="shared" si="134"/>
        <v>3484</v>
      </c>
      <c r="P551" s="42">
        <f t="shared" si="135"/>
        <v>57.114754098360656</v>
      </c>
      <c r="Q551" s="42">
        <f t="shared" si="136"/>
        <v>61</v>
      </c>
      <c r="R551" s="42" t="str">
        <f t="shared" si="137"/>
        <v>5</v>
      </c>
      <c r="S551" s="42" t="str">
        <f t="shared" si="138"/>
        <v>0</v>
      </c>
      <c r="T551" s="42">
        <f t="shared" si="139"/>
        <v>3</v>
      </c>
      <c r="U551" s="42">
        <f t="shared" si="140"/>
        <v>89</v>
      </c>
      <c r="V551" s="42">
        <f t="shared" si="141"/>
        <v>3183</v>
      </c>
      <c r="W551" s="42">
        <f t="shared" si="142"/>
        <v>49.316801509098106</v>
      </c>
      <c r="X551" s="42">
        <f t="shared" si="143"/>
        <v>0.18825987366070532</v>
      </c>
    </row>
    <row r="552" spans="1:24" x14ac:dyDescent="0.2">
      <c r="A552" s="49">
        <v>550</v>
      </c>
      <c r="B552" s="49">
        <v>551</v>
      </c>
      <c r="C552" s="49">
        <v>0.1515</v>
      </c>
      <c r="D552" s="49">
        <v>0.69</v>
      </c>
      <c r="E552" s="49">
        <v>0.22389999999999999</v>
      </c>
      <c r="F552" s="49">
        <v>0</v>
      </c>
      <c r="G552" s="49">
        <v>2</v>
      </c>
      <c r="H552" s="49">
        <v>2</v>
      </c>
      <c r="I552" s="42">
        <f t="shared" si="128"/>
        <v>13.363699999999989</v>
      </c>
      <c r="J552" s="42">
        <f t="shared" si="129"/>
        <v>0.22272833333333314</v>
      </c>
      <c r="K552" s="42">
        <f t="shared" si="130"/>
        <v>60</v>
      </c>
      <c r="L552" s="42">
        <f t="shared" si="131"/>
        <v>44.599999999999987</v>
      </c>
      <c r="M552" s="42">
        <f t="shared" si="132"/>
        <v>0.74333333333333307</v>
      </c>
      <c r="N552" s="42">
        <f t="shared" si="133"/>
        <v>60</v>
      </c>
      <c r="O552" s="42">
        <f t="shared" si="134"/>
        <v>3479</v>
      </c>
      <c r="P552" s="42">
        <f t="shared" si="135"/>
        <v>57.983333333333334</v>
      </c>
      <c r="Q552" s="42">
        <f t="shared" si="136"/>
        <v>60</v>
      </c>
      <c r="R552" s="42" t="str">
        <f t="shared" si="137"/>
        <v>5</v>
      </c>
      <c r="S552" s="42" t="str">
        <f t="shared" si="138"/>
        <v>1</v>
      </c>
      <c r="T552" s="42">
        <f t="shared" si="139"/>
        <v>3</v>
      </c>
      <c r="U552" s="42">
        <f t="shared" si="140"/>
        <v>89</v>
      </c>
      <c r="V552" s="42">
        <f t="shared" si="141"/>
        <v>3183</v>
      </c>
      <c r="W552" s="42">
        <f t="shared" si="142"/>
        <v>49.316801509098106</v>
      </c>
      <c r="X552" s="42">
        <f t="shared" si="143"/>
        <v>0.18825987366070532</v>
      </c>
    </row>
    <row r="553" spans="1:24" x14ac:dyDescent="0.2">
      <c r="A553" s="49">
        <v>551</v>
      </c>
      <c r="B553" s="49">
        <v>552</v>
      </c>
      <c r="C553" s="49">
        <v>0.16669999999999999</v>
      </c>
      <c r="D553" s="49">
        <v>0.74</v>
      </c>
      <c r="E553" s="49">
        <v>0.1045</v>
      </c>
      <c r="F553" s="49">
        <v>0</v>
      </c>
      <c r="G553" s="49">
        <v>1</v>
      </c>
      <c r="H553" s="49">
        <v>1</v>
      </c>
      <c r="I553" s="42">
        <f t="shared" si="128"/>
        <v>13.212199999999989</v>
      </c>
      <c r="J553" s="42">
        <f t="shared" si="129"/>
        <v>0.22393559322033879</v>
      </c>
      <c r="K553" s="42">
        <f t="shared" si="130"/>
        <v>59</v>
      </c>
      <c r="L553" s="42">
        <f t="shared" si="131"/>
        <v>43.909999999999989</v>
      </c>
      <c r="M553" s="42">
        <f t="shared" si="132"/>
        <v>0.74423728813559309</v>
      </c>
      <c r="N553" s="42">
        <f t="shared" si="133"/>
        <v>59</v>
      </c>
      <c r="O553" s="42">
        <f t="shared" si="134"/>
        <v>3477</v>
      </c>
      <c r="P553" s="42">
        <f t="shared" si="135"/>
        <v>58.932203389830505</v>
      </c>
      <c r="Q553" s="42">
        <f t="shared" si="136"/>
        <v>59</v>
      </c>
      <c r="R553" s="42" t="str">
        <f t="shared" si="137"/>
        <v>5</v>
      </c>
      <c r="S553" s="42" t="str">
        <f t="shared" si="138"/>
        <v>2</v>
      </c>
      <c r="T553" s="42">
        <f t="shared" si="139"/>
        <v>3</v>
      </c>
      <c r="U553" s="42">
        <f t="shared" si="140"/>
        <v>89</v>
      </c>
      <c r="V553" s="42">
        <f t="shared" si="141"/>
        <v>3183</v>
      </c>
      <c r="W553" s="42">
        <f t="shared" si="142"/>
        <v>49.316801509098106</v>
      </c>
      <c r="X553" s="42">
        <f t="shared" si="143"/>
        <v>0.18825987366070532</v>
      </c>
    </row>
    <row r="554" spans="1:24" x14ac:dyDescent="0.2">
      <c r="A554" s="49">
        <v>552</v>
      </c>
      <c r="B554" s="49">
        <v>553</v>
      </c>
      <c r="C554" s="49">
        <v>0.13639999999999999</v>
      </c>
      <c r="D554" s="49">
        <v>0.74</v>
      </c>
      <c r="E554" s="49">
        <v>0.22389999999999999</v>
      </c>
      <c r="F554" s="49">
        <v>0</v>
      </c>
      <c r="G554" s="49">
        <v>9</v>
      </c>
      <c r="H554" s="49">
        <v>9</v>
      </c>
      <c r="I554" s="42">
        <f t="shared" si="128"/>
        <v>13.04549999999999</v>
      </c>
      <c r="J554" s="42">
        <f t="shared" si="129"/>
        <v>0.22492241379310327</v>
      </c>
      <c r="K554" s="42">
        <f t="shared" si="130"/>
        <v>58</v>
      </c>
      <c r="L554" s="42">
        <f t="shared" si="131"/>
        <v>43.169999999999987</v>
      </c>
      <c r="M554" s="42">
        <f t="shared" si="132"/>
        <v>0.74431034482758596</v>
      </c>
      <c r="N554" s="42">
        <f t="shared" si="133"/>
        <v>58</v>
      </c>
      <c r="O554" s="42">
        <f t="shared" si="134"/>
        <v>3476</v>
      </c>
      <c r="P554" s="42">
        <f t="shared" si="135"/>
        <v>59.931034482758619</v>
      </c>
      <c r="Q554" s="42">
        <f t="shared" si="136"/>
        <v>58</v>
      </c>
      <c r="R554" s="42" t="str">
        <f t="shared" si="137"/>
        <v>5</v>
      </c>
      <c r="S554" s="42" t="str">
        <f t="shared" si="138"/>
        <v>3</v>
      </c>
      <c r="T554" s="42">
        <f t="shared" si="139"/>
        <v>3</v>
      </c>
      <c r="U554" s="42">
        <f t="shared" si="140"/>
        <v>89</v>
      </c>
      <c r="V554" s="42">
        <f t="shared" si="141"/>
        <v>3183</v>
      </c>
      <c r="W554" s="42">
        <f t="shared" si="142"/>
        <v>49.316801509098106</v>
      </c>
      <c r="X554" s="42">
        <f t="shared" si="143"/>
        <v>0.18825987366070532</v>
      </c>
    </row>
    <row r="555" spans="1:24" x14ac:dyDescent="0.2">
      <c r="A555" s="49">
        <v>553</v>
      </c>
      <c r="B555" s="49">
        <v>554</v>
      </c>
      <c r="C555" s="49">
        <v>0.18179999999999999</v>
      </c>
      <c r="D555" s="49">
        <v>0.74</v>
      </c>
      <c r="E555" s="49">
        <v>0.1045</v>
      </c>
      <c r="F555" s="49">
        <v>1</v>
      </c>
      <c r="G555" s="49">
        <v>35</v>
      </c>
      <c r="H555" s="49">
        <v>36</v>
      </c>
      <c r="I555" s="42">
        <f t="shared" si="128"/>
        <v>12.90909999999999</v>
      </c>
      <c r="J555" s="42">
        <f t="shared" si="129"/>
        <v>0.22647543859649105</v>
      </c>
      <c r="K555" s="42">
        <f t="shared" si="130"/>
        <v>57</v>
      </c>
      <c r="L555" s="42">
        <f t="shared" si="131"/>
        <v>42.429999999999986</v>
      </c>
      <c r="M555" s="42">
        <f t="shared" si="132"/>
        <v>0.74438596491228048</v>
      </c>
      <c r="N555" s="42">
        <f t="shared" si="133"/>
        <v>57</v>
      </c>
      <c r="O555" s="42">
        <f t="shared" si="134"/>
        <v>3467</v>
      </c>
      <c r="P555" s="42">
        <f t="shared" si="135"/>
        <v>60.824561403508774</v>
      </c>
      <c r="Q555" s="42">
        <f t="shared" si="136"/>
        <v>57</v>
      </c>
      <c r="R555" s="42" t="str">
        <f t="shared" si="137"/>
        <v>5</v>
      </c>
      <c r="S555" s="42" t="str">
        <f t="shared" si="138"/>
        <v>4</v>
      </c>
      <c r="T555" s="42">
        <f t="shared" si="139"/>
        <v>3</v>
      </c>
      <c r="U555" s="42">
        <f t="shared" si="140"/>
        <v>89</v>
      </c>
      <c r="V555" s="42">
        <f t="shared" si="141"/>
        <v>3183</v>
      </c>
      <c r="W555" s="42">
        <f t="shared" si="142"/>
        <v>49.316801509098106</v>
      </c>
      <c r="X555" s="42">
        <f t="shared" si="143"/>
        <v>0.18825987366070532</v>
      </c>
    </row>
    <row r="556" spans="1:24" x14ac:dyDescent="0.2">
      <c r="A556" s="49">
        <v>554</v>
      </c>
      <c r="B556" s="49">
        <v>555</v>
      </c>
      <c r="C556" s="49">
        <v>0.1515</v>
      </c>
      <c r="D556" s="49">
        <v>0.74</v>
      </c>
      <c r="E556" s="49">
        <v>0.22389999999999999</v>
      </c>
      <c r="F556" s="49">
        <v>5</v>
      </c>
      <c r="G556" s="49">
        <v>103</v>
      </c>
      <c r="H556" s="49">
        <v>108</v>
      </c>
      <c r="I556" s="42">
        <f t="shared" si="128"/>
        <v>12.727299999999991</v>
      </c>
      <c r="J556" s="42">
        <f t="shared" si="129"/>
        <v>0.22727321428571412</v>
      </c>
      <c r="K556" s="42">
        <f t="shared" si="130"/>
        <v>56</v>
      </c>
      <c r="L556" s="42">
        <f t="shared" si="131"/>
        <v>41.689999999999984</v>
      </c>
      <c r="M556" s="42">
        <f t="shared" si="132"/>
        <v>0.74446428571428547</v>
      </c>
      <c r="N556" s="42">
        <f t="shared" si="133"/>
        <v>56</v>
      </c>
      <c r="O556" s="42">
        <f t="shared" si="134"/>
        <v>3431</v>
      </c>
      <c r="P556" s="42">
        <f t="shared" si="135"/>
        <v>61.267857142857146</v>
      </c>
      <c r="Q556" s="42">
        <f t="shared" si="136"/>
        <v>56</v>
      </c>
      <c r="R556" s="42" t="str">
        <f t="shared" si="137"/>
        <v>5</v>
      </c>
      <c r="S556" s="42" t="str">
        <f t="shared" si="138"/>
        <v>5</v>
      </c>
      <c r="T556" s="42">
        <f t="shared" si="139"/>
        <v>3</v>
      </c>
      <c r="U556" s="42">
        <f t="shared" si="140"/>
        <v>89</v>
      </c>
      <c r="V556" s="42">
        <f t="shared" si="141"/>
        <v>3183</v>
      </c>
      <c r="W556" s="42">
        <f t="shared" si="142"/>
        <v>49.316801509098106</v>
      </c>
      <c r="X556" s="42">
        <f t="shared" si="143"/>
        <v>0.18825987366070532</v>
      </c>
    </row>
    <row r="557" spans="1:24" x14ac:dyDescent="0.2">
      <c r="A557" s="49">
        <v>555</v>
      </c>
      <c r="B557" s="49">
        <v>556</v>
      </c>
      <c r="C557" s="49">
        <v>0.18179999999999999</v>
      </c>
      <c r="D557" s="49">
        <v>0.74</v>
      </c>
      <c r="E557" s="49">
        <v>0.1343</v>
      </c>
      <c r="F557" s="49">
        <v>5</v>
      </c>
      <c r="G557" s="49">
        <v>233</v>
      </c>
      <c r="H557" s="49">
        <v>238</v>
      </c>
      <c r="I557" s="42">
        <f t="shared" si="128"/>
        <v>12.57579999999999</v>
      </c>
      <c r="J557" s="42">
        <f t="shared" si="129"/>
        <v>0.2286509090909089</v>
      </c>
      <c r="K557" s="42">
        <f t="shared" si="130"/>
        <v>55</v>
      </c>
      <c r="L557" s="42">
        <f t="shared" si="131"/>
        <v>40.949999999999989</v>
      </c>
      <c r="M557" s="42">
        <f t="shared" si="132"/>
        <v>0.74454545454545429</v>
      </c>
      <c r="N557" s="42">
        <f t="shared" si="133"/>
        <v>55</v>
      </c>
      <c r="O557" s="42">
        <f t="shared" si="134"/>
        <v>3323</v>
      </c>
      <c r="P557" s="42">
        <f t="shared" si="135"/>
        <v>60.418181818181822</v>
      </c>
      <c r="Q557" s="42">
        <f t="shared" si="136"/>
        <v>55</v>
      </c>
      <c r="R557" s="42" t="str">
        <f t="shared" si="137"/>
        <v>5</v>
      </c>
      <c r="S557" s="42" t="str">
        <f t="shared" si="138"/>
        <v>6</v>
      </c>
      <c r="T557" s="42">
        <f t="shared" si="139"/>
        <v>3</v>
      </c>
      <c r="U557" s="42">
        <f t="shared" si="140"/>
        <v>89</v>
      </c>
      <c r="V557" s="42">
        <f t="shared" si="141"/>
        <v>3183</v>
      </c>
      <c r="W557" s="42">
        <f t="shared" si="142"/>
        <v>49.316801509098106</v>
      </c>
      <c r="X557" s="42">
        <f t="shared" si="143"/>
        <v>0.18825987366070532</v>
      </c>
    </row>
    <row r="558" spans="1:24" x14ac:dyDescent="0.2">
      <c r="A558" s="49">
        <v>556</v>
      </c>
      <c r="B558" s="49">
        <v>557</v>
      </c>
      <c r="C558" s="49">
        <v>0.2273</v>
      </c>
      <c r="D558" s="49">
        <v>0.64</v>
      </c>
      <c r="E558" s="49">
        <v>8.9599999999999999E-2</v>
      </c>
      <c r="F558" s="49">
        <v>10</v>
      </c>
      <c r="G558" s="49">
        <v>134</v>
      </c>
      <c r="H558" s="49">
        <v>144</v>
      </c>
      <c r="I558" s="42">
        <f t="shared" si="128"/>
        <v>12.393999999999991</v>
      </c>
      <c r="J558" s="42">
        <f t="shared" si="129"/>
        <v>0.22951851851851834</v>
      </c>
      <c r="K558" s="42">
        <f t="shared" si="130"/>
        <v>54</v>
      </c>
      <c r="L558" s="42">
        <f t="shared" si="131"/>
        <v>40.209999999999987</v>
      </c>
      <c r="M558" s="42">
        <f t="shared" si="132"/>
        <v>0.74462962962962942</v>
      </c>
      <c r="N558" s="42">
        <f t="shared" si="133"/>
        <v>54</v>
      </c>
      <c r="O558" s="42">
        <f t="shared" si="134"/>
        <v>3085</v>
      </c>
      <c r="P558" s="42">
        <f t="shared" si="135"/>
        <v>57.129629629629626</v>
      </c>
      <c r="Q558" s="42">
        <f t="shared" si="136"/>
        <v>54</v>
      </c>
      <c r="R558" s="42" t="str">
        <f t="shared" si="137"/>
        <v>5</v>
      </c>
      <c r="S558" s="42" t="str">
        <f t="shared" si="138"/>
        <v>7</v>
      </c>
      <c r="T558" s="42">
        <f t="shared" si="139"/>
        <v>3</v>
      </c>
      <c r="U558" s="42">
        <f t="shared" si="140"/>
        <v>89</v>
      </c>
      <c r="V558" s="42">
        <f t="shared" si="141"/>
        <v>3183</v>
      </c>
      <c r="W558" s="42">
        <f t="shared" si="142"/>
        <v>49.316801509098106</v>
      </c>
      <c r="X558" s="42">
        <f t="shared" si="143"/>
        <v>0.18825987366070532</v>
      </c>
    </row>
    <row r="559" spans="1:24" x14ac:dyDescent="0.2">
      <c r="A559" s="49">
        <v>557</v>
      </c>
      <c r="B559" s="49">
        <v>558</v>
      </c>
      <c r="C559" s="49">
        <v>0.2424</v>
      </c>
      <c r="D559" s="49">
        <v>0.6</v>
      </c>
      <c r="E559" s="49">
        <v>0.1045</v>
      </c>
      <c r="F559" s="49">
        <v>6</v>
      </c>
      <c r="G559" s="49">
        <v>49</v>
      </c>
      <c r="H559" s="49">
        <v>55</v>
      </c>
      <c r="I559" s="42">
        <f t="shared" si="128"/>
        <v>12.166699999999992</v>
      </c>
      <c r="J559" s="42">
        <f t="shared" si="129"/>
        <v>0.22956037735849041</v>
      </c>
      <c r="K559" s="42">
        <f t="shared" si="130"/>
        <v>53</v>
      </c>
      <c r="L559" s="42">
        <f t="shared" si="131"/>
        <v>39.569999999999993</v>
      </c>
      <c r="M559" s="42">
        <f t="shared" si="132"/>
        <v>0.74660377358490548</v>
      </c>
      <c r="N559" s="42">
        <f t="shared" si="133"/>
        <v>53</v>
      </c>
      <c r="O559" s="42">
        <f t="shared" si="134"/>
        <v>2941</v>
      </c>
      <c r="P559" s="42">
        <f t="shared" si="135"/>
        <v>55.490566037735846</v>
      </c>
      <c r="Q559" s="42">
        <f t="shared" si="136"/>
        <v>53</v>
      </c>
      <c r="R559" s="42" t="str">
        <f t="shared" si="137"/>
        <v>5</v>
      </c>
      <c r="S559" s="42" t="str">
        <f t="shared" si="138"/>
        <v>8</v>
      </c>
      <c r="T559" s="42">
        <f t="shared" si="139"/>
        <v>3</v>
      </c>
      <c r="U559" s="42">
        <f t="shared" si="140"/>
        <v>89</v>
      </c>
      <c r="V559" s="42">
        <f t="shared" si="141"/>
        <v>3183</v>
      </c>
      <c r="W559" s="42">
        <f t="shared" si="142"/>
        <v>49.316801509098106</v>
      </c>
      <c r="X559" s="42">
        <f t="shared" si="143"/>
        <v>0.18825987366070532</v>
      </c>
    </row>
    <row r="560" spans="1:24" x14ac:dyDescent="0.2">
      <c r="A560" s="49">
        <v>558</v>
      </c>
      <c r="B560" s="49">
        <v>559</v>
      </c>
      <c r="C560" s="49">
        <v>0.2424</v>
      </c>
      <c r="D560" s="49">
        <v>0.6</v>
      </c>
      <c r="E560" s="49">
        <v>0.1343</v>
      </c>
      <c r="F560" s="49">
        <v>6</v>
      </c>
      <c r="G560" s="49">
        <v>55</v>
      </c>
      <c r="H560" s="49">
        <v>61</v>
      </c>
      <c r="I560" s="42">
        <f t="shared" si="128"/>
        <v>11.924299999999992</v>
      </c>
      <c r="J560" s="42">
        <f t="shared" si="129"/>
        <v>0.22931346153846138</v>
      </c>
      <c r="K560" s="42">
        <f t="shared" si="130"/>
        <v>52</v>
      </c>
      <c r="L560" s="42">
        <f t="shared" si="131"/>
        <v>38.969999999999992</v>
      </c>
      <c r="M560" s="42">
        <f t="shared" si="132"/>
        <v>0.74942307692307675</v>
      </c>
      <c r="N560" s="42">
        <f t="shared" si="133"/>
        <v>52</v>
      </c>
      <c r="O560" s="42">
        <f t="shared" si="134"/>
        <v>2886</v>
      </c>
      <c r="P560" s="42">
        <f t="shared" si="135"/>
        <v>55.5</v>
      </c>
      <c r="Q560" s="42">
        <f t="shared" si="136"/>
        <v>52</v>
      </c>
      <c r="R560" s="42" t="str">
        <f t="shared" si="137"/>
        <v>5</v>
      </c>
      <c r="S560" s="42" t="str">
        <f t="shared" si="138"/>
        <v>9</v>
      </c>
      <c r="T560" s="42">
        <f t="shared" si="139"/>
        <v>3</v>
      </c>
      <c r="U560" s="42">
        <f t="shared" si="140"/>
        <v>89</v>
      </c>
      <c r="V560" s="42">
        <f t="shared" si="141"/>
        <v>3183</v>
      </c>
      <c r="W560" s="42">
        <f t="shared" si="142"/>
        <v>49.316801509098106</v>
      </c>
      <c r="X560" s="42">
        <f t="shared" si="143"/>
        <v>0.18825987366070532</v>
      </c>
    </row>
    <row r="561" spans="1:24" x14ac:dyDescent="0.2">
      <c r="A561" s="49">
        <v>559</v>
      </c>
      <c r="B561" s="49">
        <v>560</v>
      </c>
      <c r="C561" s="49">
        <v>0.28789999999999999</v>
      </c>
      <c r="D561" s="49">
        <v>0.56000000000000005</v>
      </c>
      <c r="E561" s="49">
        <v>8.9599999999999999E-2</v>
      </c>
      <c r="F561" s="49">
        <v>21</v>
      </c>
      <c r="G561" s="49">
        <v>85</v>
      </c>
      <c r="H561" s="49">
        <v>106</v>
      </c>
      <c r="I561" s="42">
        <f t="shared" si="128"/>
        <v>11.681899999999994</v>
      </c>
      <c r="J561" s="42">
        <f t="shared" si="129"/>
        <v>0.2290568627450979</v>
      </c>
      <c r="K561" s="42">
        <f t="shared" si="130"/>
        <v>51</v>
      </c>
      <c r="L561" s="42">
        <f t="shared" si="131"/>
        <v>38.36999999999999</v>
      </c>
      <c r="M561" s="42">
        <f t="shared" si="132"/>
        <v>0.75235294117647045</v>
      </c>
      <c r="N561" s="42">
        <f t="shared" si="133"/>
        <v>51</v>
      </c>
      <c r="O561" s="42">
        <f t="shared" si="134"/>
        <v>2825</v>
      </c>
      <c r="P561" s="42">
        <f t="shared" si="135"/>
        <v>55.392156862745097</v>
      </c>
      <c r="Q561" s="42">
        <f t="shared" si="136"/>
        <v>51</v>
      </c>
      <c r="R561" s="42" t="str">
        <f t="shared" si="137"/>
        <v>5</v>
      </c>
      <c r="S561" s="42" t="str">
        <f t="shared" si="138"/>
        <v>0</v>
      </c>
      <c r="T561" s="42">
        <f t="shared" si="139"/>
        <v>3</v>
      </c>
      <c r="U561" s="42">
        <f t="shared" si="140"/>
        <v>89</v>
      </c>
      <c r="V561" s="42">
        <f t="shared" si="141"/>
        <v>3183</v>
      </c>
      <c r="W561" s="42">
        <f t="shared" si="142"/>
        <v>49.316801509098106</v>
      </c>
      <c r="X561" s="42">
        <f t="shared" si="143"/>
        <v>0.18825987366070532</v>
      </c>
    </row>
    <row r="562" spans="1:24" x14ac:dyDescent="0.2">
      <c r="A562" s="49">
        <v>560</v>
      </c>
      <c r="B562" s="49">
        <v>561</v>
      </c>
      <c r="C562" s="49">
        <v>0.2727</v>
      </c>
      <c r="D562" s="49">
        <v>0.56000000000000005</v>
      </c>
      <c r="E562" s="49">
        <v>0.1343</v>
      </c>
      <c r="F562" s="49">
        <v>21</v>
      </c>
      <c r="G562" s="49">
        <v>72</v>
      </c>
      <c r="H562" s="49">
        <v>93</v>
      </c>
      <c r="I562" s="42">
        <f t="shared" si="128"/>
        <v>11.393999999999995</v>
      </c>
      <c r="J562" s="42">
        <f t="shared" si="129"/>
        <v>0.22787999999999989</v>
      </c>
      <c r="K562" s="42">
        <f t="shared" si="130"/>
        <v>50</v>
      </c>
      <c r="L562" s="42">
        <f t="shared" si="131"/>
        <v>37.809999999999988</v>
      </c>
      <c r="M562" s="42">
        <f t="shared" si="132"/>
        <v>0.75619999999999976</v>
      </c>
      <c r="N562" s="42">
        <f t="shared" si="133"/>
        <v>50</v>
      </c>
      <c r="O562" s="42">
        <f t="shared" si="134"/>
        <v>2719</v>
      </c>
      <c r="P562" s="42">
        <f t="shared" si="135"/>
        <v>54.38</v>
      </c>
      <c r="Q562" s="42">
        <f t="shared" si="136"/>
        <v>50</v>
      </c>
      <c r="R562" s="42" t="str">
        <f t="shared" si="137"/>
        <v>5</v>
      </c>
      <c r="S562" s="42" t="str">
        <f t="shared" si="138"/>
        <v>1</v>
      </c>
      <c r="T562" s="42">
        <f t="shared" si="139"/>
        <v>3</v>
      </c>
      <c r="U562" s="42">
        <f t="shared" si="140"/>
        <v>89</v>
      </c>
      <c r="V562" s="42">
        <f t="shared" si="141"/>
        <v>3183</v>
      </c>
      <c r="W562" s="42">
        <f t="shared" si="142"/>
        <v>49.316801509098106</v>
      </c>
      <c r="X562" s="42">
        <f t="shared" si="143"/>
        <v>0.18825987366070532</v>
      </c>
    </row>
    <row r="563" spans="1:24" x14ac:dyDescent="0.2">
      <c r="A563" s="49">
        <v>561</v>
      </c>
      <c r="B563" s="49">
        <v>562</v>
      </c>
      <c r="C563" s="49">
        <v>0.33329999999999999</v>
      </c>
      <c r="D563" s="49">
        <v>0.45</v>
      </c>
      <c r="E563" s="49">
        <v>0</v>
      </c>
      <c r="F563" s="49">
        <v>11</v>
      </c>
      <c r="G563" s="49">
        <v>57</v>
      </c>
      <c r="H563" s="49">
        <v>68</v>
      </c>
      <c r="I563" s="42">
        <f t="shared" si="128"/>
        <v>11.121299999999996</v>
      </c>
      <c r="J563" s="42">
        <f t="shared" si="129"/>
        <v>0.22696530612244889</v>
      </c>
      <c r="K563" s="42">
        <f t="shared" si="130"/>
        <v>49</v>
      </c>
      <c r="L563" s="42">
        <f t="shared" si="131"/>
        <v>37.249999999999993</v>
      </c>
      <c r="M563" s="42">
        <f t="shared" si="132"/>
        <v>0.76020408163265296</v>
      </c>
      <c r="N563" s="42">
        <f t="shared" si="133"/>
        <v>49</v>
      </c>
      <c r="O563" s="42">
        <f t="shared" si="134"/>
        <v>2626</v>
      </c>
      <c r="P563" s="42">
        <f t="shared" si="135"/>
        <v>53.591836734693878</v>
      </c>
      <c r="Q563" s="42">
        <f t="shared" si="136"/>
        <v>49</v>
      </c>
      <c r="R563" s="42" t="str">
        <f t="shared" si="137"/>
        <v>5</v>
      </c>
      <c r="S563" s="42" t="str">
        <f t="shared" si="138"/>
        <v>2</v>
      </c>
      <c r="T563" s="42">
        <f t="shared" si="139"/>
        <v>3</v>
      </c>
      <c r="U563" s="42">
        <f t="shared" si="140"/>
        <v>89</v>
      </c>
      <c r="V563" s="42">
        <f t="shared" si="141"/>
        <v>3183</v>
      </c>
      <c r="W563" s="42">
        <f t="shared" si="142"/>
        <v>49.316801509098106</v>
      </c>
      <c r="X563" s="42">
        <f t="shared" si="143"/>
        <v>0.18825987366070532</v>
      </c>
    </row>
    <row r="564" spans="1:24" x14ac:dyDescent="0.2">
      <c r="A564" s="49">
        <v>562</v>
      </c>
      <c r="B564" s="49">
        <v>563</v>
      </c>
      <c r="C564" s="49">
        <v>0.34849999999999998</v>
      </c>
      <c r="D564" s="49">
        <v>0.42</v>
      </c>
      <c r="E564" s="49">
        <v>0</v>
      </c>
      <c r="F564" s="49">
        <v>21</v>
      </c>
      <c r="G564" s="49">
        <v>63</v>
      </c>
      <c r="H564" s="49">
        <v>84</v>
      </c>
      <c r="I564" s="42">
        <f t="shared" si="128"/>
        <v>10.787999999999997</v>
      </c>
      <c r="J564" s="42">
        <f t="shared" si="129"/>
        <v>0.22474999999999992</v>
      </c>
      <c r="K564" s="42">
        <f t="shared" si="130"/>
        <v>48</v>
      </c>
      <c r="L564" s="42">
        <f t="shared" si="131"/>
        <v>36.79999999999999</v>
      </c>
      <c r="M564" s="42">
        <f t="shared" si="132"/>
        <v>0.7666666666666665</v>
      </c>
      <c r="N564" s="42">
        <f t="shared" si="133"/>
        <v>48</v>
      </c>
      <c r="O564" s="42">
        <f t="shared" si="134"/>
        <v>2558</v>
      </c>
      <c r="P564" s="42">
        <f t="shared" si="135"/>
        <v>53.291666666666664</v>
      </c>
      <c r="Q564" s="42">
        <f t="shared" si="136"/>
        <v>48</v>
      </c>
      <c r="R564" s="42" t="str">
        <f t="shared" si="137"/>
        <v>5</v>
      </c>
      <c r="S564" s="42" t="str">
        <f t="shared" si="138"/>
        <v>3</v>
      </c>
      <c r="T564" s="42">
        <f t="shared" si="139"/>
        <v>3</v>
      </c>
      <c r="U564" s="42">
        <f t="shared" si="140"/>
        <v>89</v>
      </c>
      <c r="V564" s="42">
        <f t="shared" si="141"/>
        <v>3183</v>
      </c>
      <c r="W564" s="42">
        <f t="shared" si="142"/>
        <v>49.316801509098106</v>
      </c>
      <c r="X564" s="42">
        <f t="shared" si="143"/>
        <v>0.18825987366070532</v>
      </c>
    </row>
    <row r="565" spans="1:24" x14ac:dyDescent="0.2">
      <c r="A565" s="49">
        <v>563</v>
      </c>
      <c r="B565" s="49">
        <v>564</v>
      </c>
      <c r="C565" s="49">
        <v>0.34849999999999998</v>
      </c>
      <c r="D565" s="49">
        <v>0.42</v>
      </c>
      <c r="E565" s="49">
        <v>0</v>
      </c>
      <c r="F565" s="49">
        <v>14</v>
      </c>
      <c r="G565" s="49">
        <v>102</v>
      </c>
      <c r="H565" s="49">
        <v>116</v>
      </c>
      <c r="I565" s="42">
        <f t="shared" si="128"/>
        <v>10.439499999999997</v>
      </c>
      <c r="J565" s="42">
        <f t="shared" si="129"/>
        <v>0.22211702127659569</v>
      </c>
      <c r="K565" s="42">
        <f t="shared" si="130"/>
        <v>47</v>
      </c>
      <c r="L565" s="42">
        <f t="shared" si="131"/>
        <v>36.379999999999995</v>
      </c>
      <c r="M565" s="42">
        <f t="shared" si="132"/>
        <v>0.77404255319148929</v>
      </c>
      <c r="N565" s="42">
        <f t="shared" si="133"/>
        <v>47</v>
      </c>
      <c r="O565" s="42">
        <f t="shared" si="134"/>
        <v>2474</v>
      </c>
      <c r="P565" s="42">
        <f t="shared" si="135"/>
        <v>52.638297872340424</v>
      </c>
      <c r="Q565" s="42">
        <f t="shared" si="136"/>
        <v>47</v>
      </c>
      <c r="R565" s="42" t="str">
        <f t="shared" si="137"/>
        <v>5</v>
      </c>
      <c r="S565" s="42" t="str">
        <f t="shared" si="138"/>
        <v>4</v>
      </c>
      <c r="T565" s="42">
        <f t="shared" si="139"/>
        <v>3</v>
      </c>
      <c r="U565" s="42">
        <f t="shared" si="140"/>
        <v>89</v>
      </c>
      <c r="V565" s="42">
        <f t="shared" si="141"/>
        <v>3183</v>
      </c>
      <c r="W565" s="42">
        <f t="shared" si="142"/>
        <v>49.316801509098106</v>
      </c>
      <c r="X565" s="42">
        <f t="shared" si="143"/>
        <v>0.18825987366070532</v>
      </c>
    </row>
    <row r="566" spans="1:24" x14ac:dyDescent="0.2">
      <c r="A566" s="49">
        <v>564</v>
      </c>
      <c r="B566" s="49">
        <v>565</v>
      </c>
      <c r="C566" s="49">
        <v>0.33329999999999999</v>
      </c>
      <c r="D566" s="49">
        <v>0.45</v>
      </c>
      <c r="E566" s="49">
        <v>0</v>
      </c>
      <c r="F566" s="49">
        <v>14</v>
      </c>
      <c r="G566" s="49">
        <v>208</v>
      </c>
      <c r="H566" s="49">
        <v>222</v>
      </c>
      <c r="I566" s="42">
        <f t="shared" si="128"/>
        <v>10.090999999999998</v>
      </c>
      <c r="J566" s="42">
        <f t="shared" si="129"/>
        <v>0.21936956521739126</v>
      </c>
      <c r="K566" s="42">
        <f t="shared" si="130"/>
        <v>46</v>
      </c>
      <c r="L566" s="42">
        <f t="shared" si="131"/>
        <v>35.959999999999994</v>
      </c>
      <c r="M566" s="42">
        <f t="shared" si="132"/>
        <v>0.78173913043478249</v>
      </c>
      <c r="N566" s="42">
        <f t="shared" si="133"/>
        <v>46</v>
      </c>
      <c r="O566" s="42">
        <f t="shared" si="134"/>
        <v>2358</v>
      </c>
      <c r="P566" s="42">
        <f t="shared" si="135"/>
        <v>51.260869565217391</v>
      </c>
      <c r="Q566" s="42">
        <f t="shared" si="136"/>
        <v>46</v>
      </c>
      <c r="R566" s="42" t="str">
        <f t="shared" si="137"/>
        <v>5</v>
      </c>
      <c r="S566" s="42" t="str">
        <f t="shared" si="138"/>
        <v>5</v>
      </c>
      <c r="T566" s="42">
        <f t="shared" si="139"/>
        <v>3</v>
      </c>
      <c r="U566" s="42">
        <f t="shared" si="140"/>
        <v>89</v>
      </c>
      <c r="V566" s="42">
        <f t="shared" si="141"/>
        <v>3183</v>
      </c>
      <c r="W566" s="42">
        <f t="shared" si="142"/>
        <v>49.316801509098106</v>
      </c>
      <c r="X566" s="42">
        <f t="shared" si="143"/>
        <v>0.18825987366070532</v>
      </c>
    </row>
    <row r="567" spans="1:24" x14ac:dyDescent="0.2">
      <c r="A567" s="49">
        <v>565</v>
      </c>
      <c r="B567" s="49">
        <v>566</v>
      </c>
      <c r="C567" s="49">
        <v>0.31819999999999998</v>
      </c>
      <c r="D567" s="49">
        <v>0.49</v>
      </c>
      <c r="E567" s="49">
        <v>8.9599999999999999E-2</v>
      </c>
      <c r="F567" s="49">
        <v>7</v>
      </c>
      <c r="G567" s="49">
        <v>218</v>
      </c>
      <c r="H567" s="49">
        <v>225</v>
      </c>
      <c r="I567" s="42">
        <f t="shared" si="128"/>
        <v>9.757699999999998</v>
      </c>
      <c r="J567" s="42">
        <f t="shared" si="129"/>
        <v>0.21683777777777774</v>
      </c>
      <c r="K567" s="42">
        <f t="shared" si="130"/>
        <v>45</v>
      </c>
      <c r="L567" s="42">
        <f t="shared" si="131"/>
        <v>35.509999999999991</v>
      </c>
      <c r="M567" s="42">
        <f t="shared" si="132"/>
        <v>0.78911111111111087</v>
      </c>
      <c r="N567" s="42">
        <f t="shared" si="133"/>
        <v>45</v>
      </c>
      <c r="O567" s="42">
        <f t="shared" si="134"/>
        <v>2136</v>
      </c>
      <c r="P567" s="42">
        <f t="shared" si="135"/>
        <v>47.466666666666669</v>
      </c>
      <c r="Q567" s="42">
        <f t="shared" si="136"/>
        <v>45</v>
      </c>
      <c r="R567" s="42" t="str">
        <f t="shared" si="137"/>
        <v>5</v>
      </c>
      <c r="S567" s="42" t="str">
        <f t="shared" si="138"/>
        <v>6</v>
      </c>
      <c r="T567" s="42">
        <f t="shared" si="139"/>
        <v>3</v>
      </c>
      <c r="U567" s="42">
        <f t="shared" si="140"/>
        <v>89</v>
      </c>
      <c r="V567" s="42">
        <f t="shared" si="141"/>
        <v>3183</v>
      </c>
      <c r="W567" s="42">
        <f t="shared" si="142"/>
        <v>49.316801509098106</v>
      </c>
      <c r="X567" s="42">
        <f t="shared" si="143"/>
        <v>0.18825987366070532</v>
      </c>
    </row>
    <row r="568" spans="1:24" x14ac:dyDescent="0.2">
      <c r="A568" s="49">
        <v>566</v>
      </c>
      <c r="B568" s="49">
        <v>567</v>
      </c>
      <c r="C568" s="49">
        <v>0.2576</v>
      </c>
      <c r="D568" s="49">
        <v>0.65</v>
      </c>
      <c r="E568" s="49">
        <v>0.16420000000000001</v>
      </c>
      <c r="F568" s="49">
        <v>13</v>
      </c>
      <c r="G568" s="49">
        <v>133</v>
      </c>
      <c r="H568" s="49">
        <v>146</v>
      </c>
      <c r="I568" s="42">
        <f t="shared" si="128"/>
        <v>9.4395000000000007</v>
      </c>
      <c r="J568" s="42">
        <f t="shared" si="129"/>
        <v>0.21453409090909092</v>
      </c>
      <c r="K568" s="42">
        <f t="shared" si="130"/>
        <v>44</v>
      </c>
      <c r="L568" s="42">
        <f t="shared" si="131"/>
        <v>35.019999999999996</v>
      </c>
      <c r="M568" s="42">
        <f t="shared" si="132"/>
        <v>0.79590909090909079</v>
      </c>
      <c r="N568" s="42">
        <f t="shared" si="133"/>
        <v>44</v>
      </c>
      <c r="O568" s="42">
        <f t="shared" si="134"/>
        <v>1911</v>
      </c>
      <c r="P568" s="42">
        <f t="shared" si="135"/>
        <v>43.43181818181818</v>
      </c>
      <c r="Q568" s="42">
        <f t="shared" si="136"/>
        <v>44</v>
      </c>
      <c r="R568" s="42" t="str">
        <f t="shared" si="137"/>
        <v>5</v>
      </c>
      <c r="S568" s="42" t="str">
        <f t="shared" si="138"/>
        <v>7</v>
      </c>
      <c r="T568" s="42">
        <f t="shared" si="139"/>
        <v>3</v>
      </c>
      <c r="U568" s="42">
        <f t="shared" si="140"/>
        <v>89</v>
      </c>
      <c r="V568" s="42">
        <f t="shared" si="141"/>
        <v>3183</v>
      </c>
      <c r="W568" s="42">
        <f t="shared" si="142"/>
        <v>49.316801509098106</v>
      </c>
      <c r="X568" s="42">
        <f t="shared" si="143"/>
        <v>0.18825987366070532</v>
      </c>
    </row>
    <row r="569" spans="1:24" x14ac:dyDescent="0.2">
      <c r="A569" s="49">
        <v>567</v>
      </c>
      <c r="B569" s="49">
        <v>568</v>
      </c>
      <c r="C569" s="49">
        <v>0.2273</v>
      </c>
      <c r="D569" s="49">
        <v>0.65</v>
      </c>
      <c r="E569" s="49">
        <v>0.19400000000000001</v>
      </c>
      <c r="F569" s="49">
        <v>16</v>
      </c>
      <c r="G569" s="49">
        <v>103</v>
      </c>
      <c r="H569" s="49">
        <v>119</v>
      </c>
      <c r="I569" s="42">
        <f t="shared" si="128"/>
        <v>9.1819000000000006</v>
      </c>
      <c r="J569" s="42">
        <f t="shared" si="129"/>
        <v>0.21353255813953489</v>
      </c>
      <c r="K569" s="42">
        <f t="shared" si="130"/>
        <v>43</v>
      </c>
      <c r="L569" s="42">
        <f t="shared" si="131"/>
        <v>34.369999999999997</v>
      </c>
      <c r="M569" s="42">
        <f t="shared" si="132"/>
        <v>0.79930232558139525</v>
      </c>
      <c r="N569" s="42">
        <f t="shared" si="133"/>
        <v>43</v>
      </c>
      <c r="O569" s="42">
        <f t="shared" si="134"/>
        <v>1765</v>
      </c>
      <c r="P569" s="42">
        <f t="shared" si="135"/>
        <v>41.046511627906973</v>
      </c>
      <c r="Q569" s="42">
        <f t="shared" si="136"/>
        <v>43</v>
      </c>
      <c r="R569" s="42" t="str">
        <f t="shared" si="137"/>
        <v>5</v>
      </c>
      <c r="S569" s="42" t="str">
        <f t="shared" si="138"/>
        <v>8</v>
      </c>
      <c r="T569" s="42">
        <f t="shared" si="139"/>
        <v>3</v>
      </c>
      <c r="U569" s="42">
        <f t="shared" si="140"/>
        <v>89</v>
      </c>
      <c r="V569" s="42">
        <f t="shared" si="141"/>
        <v>3183</v>
      </c>
      <c r="W569" s="42">
        <f t="shared" si="142"/>
        <v>49.316801509098106</v>
      </c>
      <c r="X569" s="42">
        <f t="shared" si="143"/>
        <v>0.18825987366070532</v>
      </c>
    </row>
    <row r="570" spans="1:24" x14ac:dyDescent="0.2">
      <c r="A570" s="49">
        <v>568</v>
      </c>
      <c r="B570" s="49">
        <v>569</v>
      </c>
      <c r="C570" s="49">
        <v>0.2273</v>
      </c>
      <c r="D570" s="49">
        <v>0.65</v>
      </c>
      <c r="E570" s="49">
        <v>0.19400000000000001</v>
      </c>
      <c r="F570" s="49">
        <v>5</v>
      </c>
      <c r="G570" s="49">
        <v>40</v>
      </c>
      <c r="H570" s="49">
        <v>45</v>
      </c>
      <c r="I570" s="42">
        <f t="shared" si="128"/>
        <v>8.9546000000000028</v>
      </c>
      <c r="J570" s="42">
        <f t="shared" si="129"/>
        <v>0.21320476190476198</v>
      </c>
      <c r="K570" s="42">
        <f t="shared" si="130"/>
        <v>42</v>
      </c>
      <c r="L570" s="42">
        <f t="shared" si="131"/>
        <v>33.719999999999992</v>
      </c>
      <c r="M570" s="42">
        <f t="shared" si="132"/>
        <v>0.80285714285714271</v>
      </c>
      <c r="N570" s="42">
        <f t="shared" si="133"/>
        <v>42</v>
      </c>
      <c r="O570" s="42">
        <f t="shared" si="134"/>
        <v>1646</v>
      </c>
      <c r="P570" s="42">
        <f t="shared" si="135"/>
        <v>39.19047619047619</v>
      </c>
      <c r="Q570" s="42">
        <f t="shared" si="136"/>
        <v>42</v>
      </c>
      <c r="R570" s="42" t="str">
        <f t="shared" si="137"/>
        <v>5</v>
      </c>
      <c r="S570" s="42" t="str">
        <f t="shared" si="138"/>
        <v>9</v>
      </c>
      <c r="T570" s="42">
        <f t="shared" si="139"/>
        <v>3</v>
      </c>
      <c r="U570" s="42">
        <f t="shared" si="140"/>
        <v>89</v>
      </c>
      <c r="V570" s="42">
        <f t="shared" si="141"/>
        <v>3183</v>
      </c>
      <c r="W570" s="42">
        <f t="shared" si="142"/>
        <v>49.316801509098106</v>
      </c>
      <c r="X570" s="42">
        <f t="shared" si="143"/>
        <v>0.18825987366070532</v>
      </c>
    </row>
    <row r="571" spans="1:24" x14ac:dyDescent="0.2">
      <c r="A571" s="49">
        <v>569</v>
      </c>
      <c r="B571" s="49">
        <v>570</v>
      </c>
      <c r="C571" s="49">
        <v>0.2273</v>
      </c>
      <c r="D571" s="49">
        <v>0.64</v>
      </c>
      <c r="E571" s="49">
        <v>0.16420000000000001</v>
      </c>
      <c r="F571" s="49">
        <v>4</v>
      </c>
      <c r="G571" s="49">
        <v>49</v>
      </c>
      <c r="H571" s="49">
        <v>53</v>
      </c>
      <c r="I571" s="42">
        <f t="shared" si="128"/>
        <v>8.7273000000000049</v>
      </c>
      <c r="J571" s="42">
        <f t="shared" si="129"/>
        <v>0.21286097560975623</v>
      </c>
      <c r="K571" s="42">
        <f t="shared" si="130"/>
        <v>41</v>
      </c>
      <c r="L571" s="42">
        <f t="shared" si="131"/>
        <v>33.069999999999993</v>
      </c>
      <c r="M571" s="42">
        <f t="shared" si="132"/>
        <v>0.80658536585365836</v>
      </c>
      <c r="N571" s="42">
        <f t="shared" si="133"/>
        <v>41</v>
      </c>
      <c r="O571" s="42">
        <f t="shared" si="134"/>
        <v>1601</v>
      </c>
      <c r="P571" s="42">
        <f t="shared" si="135"/>
        <v>39.048780487804876</v>
      </c>
      <c r="Q571" s="42">
        <f t="shared" si="136"/>
        <v>41</v>
      </c>
      <c r="R571" s="42" t="str">
        <f t="shared" si="137"/>
        <v>5</v>
      </c>
      <c r="S571" s="42" t="str">
        <f t="shared" si="138"/>
        <v>0</v>
      </c>
      <c r="T571" s="42">
        <f t="shared" si="139"/>
        <v>3</v>
      </c>
      <c r="U571" s="42">
        <f t="shared" si="140"/>
        <v>89</v>
      </c>
      <c r="V571" s="42">
        <f t="shared" si="141"/>
        <v>3183</v>
      </c>
      <c r="W571" s="42">
        <f t="shared" si="142"/>
        <v>49.316801509098106</v>
      </c>
      <c r="X571" s="42">
        <f t="shared" si="143"/>
        <v>0.18825987366070532</v>
      </c>
    </row>
    <row r="572" spans="1:24" x14ac:dyDescent="0.2">
      <c r="A572" s="49">
        <v>570</v>
      </c>
      <c r="B572" s="49">
        <v>571</v>
      </c>
      <c r="C572" s="49">
        <v>0.2273</v>
      </c>
      <c r="D572" s="49">
        <v>0.64</v>
      </c>
      <c r="E572" s="49">
        <v>0.16420000000000001</v>
      </c>
      <c r="F572" s="49">
        <v>3</v>
      </c>
      <c r="G572" s="49">
        <v>37</v>
      </c>
      <c r="H572" s="49">
        <v>40</v>
      </c>
      <c r="I572" s="42">
        <f t="shared" si="128"/>
        <v>8.5000000000000036</v>
      </c>
      <c r="J572" s="42">
        <f t="shared" si="129"/>
        <v>0.21250000000000008</v>
      </c>
      <c r="K572" s="42">
        <f t="shared" si="130"/>
        <v>40</v>
      </c>
      <c r="L572" s="42">
        <f t="shared" si="131"/>
        <v>32.43</v>
      </c>
      <c r="M572" s="42">
        <f t="shared" si="132"/>
        <v>0.81074999999999997</v>
      </c>
      <c r="N572" s="42">
        <f t="shared" si="133"/>
        <v>40</v>
      </c>
      <c r="O572" s="42">
        <f t="shared" si="134"/>
        <v>1548</v>
      </c>
      <c r="P572" s="42">
        <f t="shared" si="135"/>
        <v>38.700000000000003</v>
      </c>
      <c r="Q572" s="42">
        <f t="shared" si="136"/>
        <v>40</v>
      </c>
      <c r="R572" s="42" t="str">
        <f t="shared" si="137"/>
        <v>5</v>
      </c>
      <c r="S572" s="42" t="str">
        <f t="shared" si="138"/>
        <v>1</v>
      </c>
      <c r="T572" s="42">
        <f t="shared" si="139"/>
        <v>3</v>
      </c>
      <c r="U572" s="42">
        <f t="shared" si="140"/>
        <v>89</v>
      </c>
      <c r="V572" s="42">
        <f t="shared" si="141"/>
        <v>3183</v>
      </c>
      <c r="W572" s="42">
        <f t="shared" si="142"/>
        <v>49.316801509098106</v>
      </c>
      <c r="X572" s="42">
        <f t="shared" si="143"/>
        <v>0.18825987366070532</v>
      </c>
    </row>
    <row r="573" spans="1:24" x14ac:dyDescent="0.2">
      <c r="A573" s="49">
        <v>571</v>
      </c>
      <c r="B573" s="49">
        <v>572</v>
      </c>
      <c r="C573" s="49">
        <v>0.2273</v>
      </c>
      <c r="D573" s="49">
        <v>0.69</v>
      </c>
      <c r="E573" s="49">
        <v>0.1343</v>
      </c>
      <c r="F573" s="49">
        <v>3</v>
      </c>
      <c r="G573" s="49">
        <v>14</v>
      </c>
      <c r="H573" s="49">
        <v>17</v>
      </c>
      <c r="I573" s="42">
        <f t="shared" si="128"/>
        <v>8.2727000000000039</v>
      </c>
      <c r="J573" s="42">
        <f t="shared" si="129"/>
        <v>0.21212051282051292</v>
      </c>
      <c r="K573" s="42">
        <f t="shared" si="130"/>
        <v>39</v>
      </c>
      <c r="L573" s="42">
        <f t="shared" si="131"/>
        <v>31.789999999999992</v>
      </c>
      <c r="M573" s="42">
        <f t="shared" si="132"/>
        <v>0.81512820512820494</v>
      </c>
      <c r="N573" s="42">
        <f t="shared" si="133"/>
        <v>39</v>
      </c>
      <c r="O573" s="42">
        <f t="shared" si="134"/>
        <v>1508</v>
      </c>
      <c r="P573" s="42">
        <f t="shared" si="135"/>
        <v>38.666666666666664</v>
      </c>
      <c r="Q573" s="42">
        <f t="shared" si="136"/>
        <v>39</v>
      </c>
      <c r="R573" s="42" t="str">
        <f t="shared" si="137"/>
        <v>5</v>
      </c>
      <c r="S573" s="42" t="str">
        <f t="shared" si="138"/>
        <v>2</v>
      </c>
      <c r="T573" s="42">
        <f t="shared" si="139"/>
        <v>3</v>
      </c>
      <c r="U573" s="42">
        <f t="shared" si="140"/>
        <v>89</v>
      </c>
      <c r="V573" s="42">
        <f t="shared" si="141"/>
        <v>3183</v>
      </c>
      <c r="W573" s="42">
        <f t="shared" si="142"/>
        <v>49.316801509098106</v>
      </c>
      <c r="X573" s="42">
        <f t="shared" si="143"/>
        <v>0.18825987366070532</v>
      </c>
    </row>
    <row r="574" spans="1:24" x14ac:dyDescent="0.2">
      <c r="A574" s="49">
        <v>572</v>
      </c>
      <c r="B574" s="49">
        <v>573</v>
      </c>
      <c r="C574" s="49">
        <v>0.2424</v>
      </c>
      <c r="D574" s="49">
        <v>0.65</v>
      </c>
      <c r="E574" s="49">
        <v>0.1343</v>
      </c>
      <c r="F574" s="49">
        <v>0</v>
      </c>
      <c r="G574" s="49">
        <v>5</v>
      </c>
      <c r="H574" s="49">
        <v>5</v>
      </c>
      <c r="I574" s="42">
        <f t="shared" si="128"/>
        <v>8.0454000000000043</v>
      </c>
      <c r="J574" s="42">
        <f t="shared" si="129"/>
        <v>0.21172105263157906</v>
      </c>
      <c r="K574" s="42">
        <f t="shared" si="130"/>
        <v>38</v>
      </c>
      <c r="L574" s="42">
        <f t="shared" si="131"/>
        <v>31.099999999999994</v>
      </c>
      <c r="M574" s="42">
        <f t="shared" si="132"/>
        <v>0.81842105263157883</v>
      </c>
      <c r="N574" s="42">
        <f t="shared" si="133"/>
        <v>38</v>
      </c>
      <c r="O574" s="42">
        <f t="shared" si="134"/>
        <v>1491</v>
      </c>
      <c r="P574" s="42">
        <f t="shared" si="135"/>
        <v>39.236842105263158</v>
      </c>
      <c r="Q574" s="42">
        <f t="shared" si="136"/>
        <v>38</v>
      </c>
      <c r="R574" s="42" t="str">
        <f t="shared" si="137"/>
        <v>5</v>
      </c>
      <c r="S574" s="42" t="str">
        <f t="shared" si="138"/>
        <v>3</v>
      </c>
      <c r="T574" s="42">
        <f t="shared" si="139"/>
        <v>3</v>
      </c>
      <c r="U574" s="42">
        <f t="shared" si="140"/>
        <v>89</v>
      </c>
      <c r="V574" s="42">
        <f t="shared" si="141"/>
        <v>3183</v>
      </c>
      <c r="W574" s="42">
        <f t="shared" si="142"/>
        <v>49.316801509098106</v>
      </c>
      <c r="X574" s="42">
        <f t="shared" si="143"/>
        <v>0.18825987366070532</v>
      </c>
    </row>
    <row r="575" spans="1:24" x14ac:dyDescent="0.2">
      <c r="A575" s="49">
        <v>573</v>
      </c>
      <c r="B575" s="49">
        <v>574</v>
      </c>
      <c r="C575" s="49">
        <v>0.2273</v>
      </c>
      <c r="D575" s="49">
        <v>0.69</v>
      </c>
      <c r="E575" s="49">
        <v>0.19400000000000001</v>
      </c>
      <c r="F575" s="49">
        <v>3</v>
      </c>
      <c r="G575" s="49">
        <v>7</v>
      </c>
      <c r="H575" s="49">
        <v>10</v>
      </c>
      <c r="I575" s="42">
        <f t="shared" si="128"/>
        <v>7.8030000000000044</v>
      </c>
      <c r="J575" s="42">
        <f t="shared" si="129"/>
        <v>0.210891891891892</v>
      </c>
      <c r="K575" s="42">
        <f t="shared" si="130"/>
        <v>37</v>
      </c>
      <c r="L575" s="42">
        <f t="shared" si="131"/>
        <v>30.449999999999996</v>
      </c>
      <c r="M575" s="42">
        <f t="shared" si="132"/>
        <v>0.82297297297297289</v>
      </c>
      <c r="N575" s="42">
        <f t="shared" si="133"/>
        <v>37</v>
      </c>
      <c r="O575" s="42">
        <f t="shared" si="134"/>
        <v>1486</v>
      </c>
      <c r="P575" s="42">
        <f t="shared" si="135"/>
        <v>40.162162162162161</v>
      </c>
      <c r="Q575" s="42">
        <f t="shared" si="136"/>
        <v>37</v>
      </c>
      <c r="R575" s="42" t="str">
        <f t="shared" si="137"/>
        <v>5</v>
      </c>
      <c r="S575" s="42" t="str">
        <f t="shared" si="138"/>
        <v>4</v>
      </c>
      <c r="T575" s="42">
        <f t="shared" si="139"/>
        <v>3</v>
      </c>
      <c r="U575" s="42">
        <f t="shared" si="140"/>
        <v>89</v>
      </c>
      <c r="V575" s="42">
        <f t="shared" si="141"/>
        <v>3183</v>
      </c>
      <c r="W575" s="42">
        <f t="shared" si="142"/>
        <v>49.316801509098106</v>
      </c>
      <c r="X575" s="42">
        <f t="shared" si="143"/>
        <v>0.18825987366070532</v>
      </c>
    </row>
    <row r="576" spans="1:24" x14ac:dyDescent="0.2">
      <c r="A576" s="49">
        <v>574</v>
      </c>
      <c r="B576" s="49">
        <v>575</v>
      </c>
      <c r="C576" s="49">
        <v>0.18179999999999999</v>
      </c>
      <c r="D576" s="49">
        <v>0.86</v>
      </c>
      <c r="E576" s="49">
        <v>0.28360000000000002</v>
      </c>
      <c r="F576" s="49">
        <v>0</v>
      </c>
      <c r="G576" s="49">
        <v>1</v>
      </c>
      <c r="H576" s="49">
        <v>1</v>
      </c>
      <c r="I576" s="42">
        <f t="shared" si="128"/>
        <v>7.5757000000000039</v>
      </c>
      <c r="J576" s="42">
        <f t="shared" si="129"/>
        <v>0.21043611111111121</v>
      </c>
      <c r="K576" s="42">
        <f t="shared" si="130"/>
        <v>36</v>
      </c>
      <c r="L576" s="42">
        <f t="shared" si="131"/>
        <v>29.759999999999998</v>
      </c>
      <c r="M576" s="42">
        <f t="shared" si="132"/>
        <v>0.82666666666666666</v>
      </c>
      <c r="N576" s="42">
        <f t="shared" si="133"/>
        <v>36</v>
      </c>
      <c r="O576" s="42">
        <f t="shared" si="134"/>
        <v>1476</v>
      </c>
      <c r="P576" s="42">
        <f t="shared" si="135"/>
        <v>41</v>
      </c>
      <c r="Q576" s="42">
        <f t="shared" si="136"/>
        <v>36</v>
      </c>
      <c r="R576" s="42" t="str">
        <f t="shared" si="137"/>
        <v>5</v>
      </c>
      <c r="S576" s="42" t="str">
        <f t="shared" si="138"/>
        <v>5</v>
      </c>
      <c r="T576" s="42">
        <f t="shared" si="139"/>
        <v>3</v>
      </c>
      <c r="U576" s="42">
        <f t="shared" si="140"/>
        <v>89</v>
      </c>
      <c r="V576" s="42">
        <f t="shared" si="141"/>
        <v>3183</v>
      </c>
      <c r="W576" s="42">
        <f t="shared" si="142"/>
        <v>49.316801509098106</v>
      </c>
      <c r="X576" s="42">
        <f t="shared" si="143"/>
        <v>0.18825987366070532</v>
      </c>
    </row>
    <row r="577" spans="1:24" x14ac:dyDescent="0.2">
      <c r="A577" s="49">
        <v>575</v>
      </c>
      <c r="B577" s="49">
        <v>576</v>
      </c>
      <c r="C577" s="49">
        <v>0.18179999999999999</v>
      </c>
      <c r="D577" s="49">
        <v>0.86</v>
      </c>
      <c r="E577" s="49">
        <v>0.28360000000000002</v>
      </c>
      <c r="F577" s="49">
        <v>0</v>
      </c>
      <c r="G577" s="49">
        <v>8</v>
      </c>
      <c r="H577" s="49">
        <v>8</v>
      </c>
      <c r="I577" s="42">
        <f t="shared" si="128"/>
        <v>7.3939000000000039</v>
      </c>
      <c r="J577" s="42">
        <f t="shared" si="129"/>
        <v>0.21125428571428584</v>
      </c>
      <c r="K577" s="42">
        <f t="shared" si="130"/>
        <v>35</v>
      </c>
      <c r="L577" s="42">
        <f t="shared" si="131"/>
        <v>28.9</v>
      </c>
      <c r="M577" s="42">
        <f t="shared" si="132"/>
        <v>0.82571428571428562</v>
      </c>
      <c r="N577" s="42">
        <f t="shared" si="133"/>
        <v>35</v>
      </c>
      <c r="O577" s="42">
        <f t="shared" si="134"/>
        <v>1475</v>
      </c>
      <c r="P577" s="42">
        <f t="shared" si="135"/>
        <v>42.142857142857146</v>
      </c>
      <c r="Q577" s="42">
        <f t="shared" si="136"/>
        <v>35</v>
      </c>
      <c r="R577" s="42" t="str">
        <f t="shared" si="137"/>
        <v>5</v>
      </c>
      <c r="S577" s="42" t="str">
        <f t="shared" si="138"/>
        <v>6</v>
      </c>
      <c r="T577" s="42">
        <f t="shared" si="139"/>
        <v>3</v>
      </c>
      <c r="U577" s="42">
        <f t="shared" si="140"/>
        <v>89</v>
      </c>
      <c r="V577" s="42">
        <f t="shared" si="141"/>
        <v>3183</v>
      </c>
      <c r="W577" s="42">
        <f t="shared" si="142"/>
        <v>49.316801509098106</v>
      </c>
      <c r="X577" s="42">
        <f t="shared" si="143"/>
        <v>0.18825987366070532</v>
      </c>
    </row>
    <row r="578" spans="1:24" x14ac:dyDescent="0.2">
      <c r="A578" s="49">
        <v>576</v>
      </c>
      <c r="B578" s="49">
        <v>577</v>
      </c>
      <c r="C578" s="49">
        <v>0.21210000000000001</v>
      </c>
      <c r="D578" s="49">
        <v>0.87</v>
      </c>
      <c r="E578" s="49">
        <v>0.29849999999999999</v>
      </c>
      <c r="F578" s="49">
        <v>1</v>
      </c>
      <c r="G578" s="49">
        <v>29</v>
      </c>
      <c r="H578" s="49">
        <v>30</v>
      </c>
      <c r="I578" s="42">
        <f t="shared" si="128"/>
        <v>7.212100000000004</v>
      </c>
      <c r="J578" s="42">
        <f t="shared" si="129"/>
        <v>0.21212058823529423</v>
      </c>
      <c r="K578" s="42">
        <f t="shared" si="130"/>
        <v>34</v>
      </c>
      <c r="L578" s="42">
        <f t="shared" si="131"/>
        <v>28.04</v>
      </c>
      <c r="M578" s="42">
        <f t="shared" si="132"/>
        <v>0.82470588235294118</v>
      </c>
      <c r="N578" s="42">
        <f t="shared" si="133"/>
        <v>34</v>
      </c>
      <c r="O578" s="42">
        <f t="shared" si="134"/>
        <v>1467</v>
      </c>
      <c r="P578" s="42">
        <f t="shared" si="135"/>
        <v>43.147058823529413</v>
      </c>
      <c r="Q578" s="42">
        <f t="shared" si="136"/>
        <v>34</v>
      </c>
      <c r="R578" s="42" t="str">
        <f t="shared" si="137"/>
        <v>5</v>
      </c>
      <c r="S578" s="42" t="str">
        <f t="shared" si="138"/>
        <v>7</v>
      </c>
      <c r="T578" s="42">
        <f t="shared" si="139"/>
        <v>3</v>
      </c>
      <c r="U578" s="42">
        <f t="shared" si="140"/>
        <v>89</v>
      </c>
      <c r="V578" s="42">
        <f t="shared" si="141"/>
        <v>3183</v>
      </c>
      <c r="W578" s="42">
        <f t="shared" si="142"/>
        <v>49.316801509098106</v>
      </c>
      <c r="X578" s="42">
        <f t="shared" si="143"/>
        <v>0.18825987366070532</v>
      </c>
    </row>
    <row r="579" spans="1:24" x14ac:dyDescent="0.2">
      <c r="A579" s="49">
        <v>577</v>
      </c>
      <c r="B579" s="49">
        <v>578</v>
      </c>
      <c r="C579" s="49">
        <v>0.21210000000000001</v>
      </c>
      <c r="D579" s="49">
        <v>0.87</v>
      </c>
      <c r="E579" s="49">
        <v>0.29849999999999999</v>
      </c>
      <c r="F579" s="49">
        <v>3</v>
      </c>
      <c r="G579" s="49">
        <v>69</v>
      </c>
      <c r="H579" s="49">
        <v>72</v>
      </c>
      <c r="I579" s="42">
        <f t="shared" ref="I579:I611" si="144">SUM(C579:C1188)</f>
        <v>7.0000000000000036</v>
      </c>
      <c r="J579" s="42">
        <f t="shared" ref="J579:J611" si="145">AVERAGE(C579:C1188)</f>
        <v>0.21212121212121224</v>
      </c>
      <c r="K579" s="42">
        <f t="shared" ref="K579:K611" si="146">COUNT(C579:C1188)</f>
        <v>33</v>
      </c>
      <c r="L579" s="42">
        <f t="shared" ref="L579:L611" si="147">SUM(D579:D1188)</f>
        <v>27.169999999999998</v>
      </c>
      <c r="M579" s="42">
        <f t="shared" ref="M579:M611" si="148">AVERAGE(D579:D1188)</f>
        <v>0.82333333333333325</v>
      </c>
      <c r="N579" s="42">
        <f t="shared" ref="N579:N611" si="149">COUNT(D579:D1188)</f>
        <v>33</v>
      </c>
      <c r="O579" s="42">
        <f t="shared" ref="O579:O611" si="150">SUM(H579:H1188)</f>
        <v>1437</v>
      </c>
      <c r="P579" s="42">
        <f t="shared" ref="P579:P611" si="151">AVERAGE(H579:H1188)</f>
        <v>43.545454545454547</v>
      </c>
      <c r="Q579" s="42">
        <f t="shared" ref="Q579:Q611" si="152">COUNT(H579:H1188)</f>
        <v>33</v>
      </c>
      <c r="R579" s="42" t="str">
        <f t="shared" ref="R579:R611" si="153">LEFT(B579,1)</f>
        <v>5</v>
      </c>
      <c r="S579" s="42" t="str">
        <f t="shared" ref="S579:S611" si="154">RIGHT(B579,1)</f>
        <v>8</v>
      </c>
      <c r="T579" s="42">
        <f t="shared" ref="T579:T611" si="155">LEN(B579)</f>
        <v>3</v>
      </c>
      <c r="U579" s="42">
        <f t="shared" ref="U579:U611" si="156">COUNTIF(H:H,"&gt;100")</f>
        <v>89</v>
      </c>
      <c r="V579" s="42">
        <f t="shared" ref="V579:V611" si="157">SUMIF(D:D,"&gt;0.8",H:H)</f>
        <v>3183</v>
      </c>
      <c r="W579" s="42">
        <f t="shared" ref="W579:W611" si="158">STDEV(H:H)</f>
        <v>49.316801509098106</v>
      </c>
      <c r="X579" s="42">
        <f t="shared" ref="X579:X611" si="159">CORREL(C:C,H:H)</f>
        <v>0.18825987366070532</v>
      </c>
    </row>
    <row r="580" spans="1:24" x14ac:dyDescent="0.2">
      <c r="A580" s="49">
        <v>578</v>
      </c>
      <c r="B580" s="49">
        <v>579</v>
      </c>
      <c r="C580" s="49">
        <v>0.21210000000000001</v>
      </c>
      <c r="D580" s="49">
        <v>0.87</v>
      </c>
      <c r="E580" s="49">
        <v>0.29849999999999999</v>
      </c>
      <c r="F580" s="49">
        <v>3</v>
      </c>
      <c r="G580" s="49">
        <v>55</v>
      </c>
      <c r="H580" s="49">
        <v>58</v>
      </c>
      <c r="I580" s="42">
        <f t="shared" si="144"/>
        <v>6.7879000000000032</v>
      </c>
      <c r="J580" s="42">
        <f t="shared" si="145"/>
        <v>0.2121218750000001</v>
      </c>
      <c r="K580" s="42">
        <f t="shared" si="146"/>
        <v>32</v>
      </c>
      <c r="L580" s="42">
        <f t="shared" si="147"/>
        <v>26.3</v>
      </c>
      <c r="M580" s="42">
        <f t="shared" si="148"/>
        <v>0.82187500000000002</v>
      </c>
      <c r="N580" s="42">
        <f t="shared" si="149"/>
        <v>32</v>
      </c>
      <c r="O580" s="42">
        <f t="shared" si="150"/>
        <v>1365</v>
      </c>
      <c r="P580" s="42">
        <f t="shared" si="151"/>
        <v>42.65625</v>
      </c>
      <c r="Q580" s="42">
        <f t="shared" si="152"/>
        <v>32</v>
      </c>
      <c r="R580" s="42" t="str">
        <f t="shared" si="153"/>
        <v>5</v>
      </c>
      <c r="S580" s="42" t="str">
        <f t="shared" si="154"/>
        <v>9</v>
      </c>
      <c r="T580" s="42">
        <f t="shared" si="155"/>
        <v>3</v>
      </c>
      <c r="U580" s="42">
        <f t="shared" si="156"/>
        <v>89</v>
      </c>
      <c r="V580" s="42">
        <f t="shared" si="157"/>
        <v>3183</v>
      </c>
      <c r="W580" s="42">
        <f t="shared" si="158"/>
        <v>49.316801509098106</v>
      </c>
      <c r="X580" s="42">
        <f t="shared" si="159"/>
        <v>0.18825987366070532</v>
      </c>
    </row>
    <row r="581" spans="1:24" x14ac:dyDescent="0.2">
      <c r="A581" s="49">
        <v>579</v>
      </c>
      <c r="B581" s="49">
        <v>580</v>
      </c>
      <c r="C581" s="49">
        <v>0.21210000000000001</v>
      </c>
      <c r="D581" s="49">
        <v>0.93</v>
      </c>
      <c r="E581" s="49">
        <v>0.28360000000000002</v>
      </c>
      <c r="F581" s="49">
        <v>2</v>
      </c>
      <c r="G581" s="49">
        <v>26</v>
      </c>
      <c r="H581" s="49">
        <v>28</v>
      </c>
      <c r="I581" s="42">
        <f t="shared" si="144"/>
        <v>6.5758000000000028</v>
      </c>
      <c r="J581" s="42">
        <f t="shared" si="145"/>
        <v>0.21212258064516137</v>
      </c>
      <c r="K581" s="42">
        <f t="shared" si="146"/>
        <v>31</v>
      </c>
      <c r="L581" s="42">
        <f t="shared" si="147"/>
        <v>25.429999999999996</v>
      </c>
      <c r="M581" s="42">
        <f t="shared" si="148"/>
        <v>0.82032258064516117</v>
      </c>
      <c r="N581" s="42">
        <f t="shared" si="149"/>
        <v>31</v>
      </c>
      <c r="O581" s="42">
        <f t="shared" si="150"/>
        <v>1307</v>
      </c>
      <c r="P581" s="42">
        <f t="shared" si="151"/>
        <v>42.161290322580648</v>
      </c>
      <c r="Q581" s="42">
        <f t="shared" si="152"/>
        <v>31</v>
      </c>
      <c r="R581" s="42" t="str">
        <f t="shared" si="153"/>
        <v>5</v>
      </c>
      <c r="S581" s="42" t="str">
        <f t="shared" si="154"/>
        <v>0</v>
      </c>
      <c r="T581" s="42">
        <f t="shared" si="155"/>
        <v>3</v>
      </c>
      <c r="U581" s="42">
        <f t="shared" si="156"/>
        <v>89</v>
      </c>
      <c r="V581" s="42">
        <f t="shared" si="157"/>
        <v>3183</v>
      </c>
      <c r="W581" s="42">
        <f t="shared" si="158"/>
        <v>49.316801509098106</v>
      </c>
      <c r="X581" s="42">
        <f t="shared" si="159"/>
        <v>0.18825987366070532</v>
      </c>
    </row>
    <row r="582" spans="1:24" x14ac:dyDescent="0.2">
      <c r="A582" s="49">
        <v>580</v>
      </c>
      <c r="B582" s="49">
        <v>581</v>
      </c>
      <c r="C582" s="49">
        <v>0.19700000000000001</v>
      </c>
      <c r="D582" s="49">
        <v>0.93</v>
      </c>
      <c r="E582" s="49">
        <v>0.32840000000000003</v>
      </c>
      <c r="F582" s="49">
        <v>6</v>
      </c>
      <c r="G582" s="49">
        <v>35</v>
      </c>
      <c r="H582" s="49">
        <v>41</v>
      </c>
      <c r="I582" s="42">
        <f t="shared" si="144"/>
        <v>6.3637000000000024</v>
      </c>
      <c r="J582" s="42">
        <f t="shared" si="145"/>
        <v>0.21212333333333341</v>
      </c>
      <c r="K582" s="42">
        <f t="shared" si="146"/>
        <v>30</v>
      </c>
      <c r="L582" s="42">
        <f t="shared" si="147"/>
        <v>24.499999999999996</v>
      </c>
      <c r="M582" s="42">
        <f t="shared" si="148"/>
        <v>0.81666666666666654</v>
      </c>
      <c r="N582" s="42">
        <f t="shared" si="149"/>
        <v>30</v>
      </c>
      <c r="O582" s="42">
        <f t="shared" si="150"/>
        <v>1279</v>
      </c>
      <c r="P582" s="42">
        <f t="shared" si="151"/>
        <v>42.633333333333333</v>
      </c>
      <c r="Q582" s="42">
        <f t="shared" si="152"/>
        <v>30</v>
      </c>
      <c r="R582" s="42" t="str">
        <f t="shared" si="153"/>
        <v>5</v>
      </c>
      <c r="S582" s="42" t="str">
        <f t="shared" si="154"/>
        <v>1</v>
      </c>
      <c r="T582" s="42">
        <f t="shared" si="155"/>
        <v>3</v>
      </c>
      <c r="U582" s="42">
        <f t="shared" si="156"/>
        <v>89</v>
      </c>
      <c r="V582" s="42">
        <f t="shared" si="157"/>
        <v>3183</v>
      </c>
      <c r="W582" s="42">
        <f t="shared" si="158"/>
        <v>49.316801509098106</v>
      </c>
      <c r="X582" s="42">
        <f t="shared" si="159"/>
        <v>0.18825987366070532</v>
      </c>
    </row>
    <row r="583" spans="1:24" x14ac:dyDescent="0.2">
      <c r="A583" s="49">
        <v>581</v>
      </c>
      <c r="B583" s="49">
        <v>582</v>
      </c>
      <c r="C583" s="49">
        <v>0.19700000000000001</v>
      </c>
      <c r="D583" s="49">
        <v>0.93</v>
      </c>
      <c r="E583" s="49">
        <v>0.32840000000000003</v>
      </c>
      <c r="F583" s="49">
        <v>7</v>
      </c>
      <c r="G583" s="49">
        <v>41</v>
      </c>
      <c r="H583" s="49">
        <v>48</v>
      </c>
      <c r="I583" s="42">
        <f t="shared" si="144"/>
        <v>6.1667000000000023</v>
      </c>
      <c r="J583" s="42">
        <f t="shared" si="145"/>
        <v>0.21264482758620698</v>
      </c>
      <c r="K583" s="42">
        <f t="shared" si="146"/>
        <v>29</v>
      </c>
      <c r="L583" s="42">
        <f t="shared" si="147"/>
        <v>23.57</v>
      </c>
      <c r="M583" s="42">
        <f t="shared" si="148"/>
        <v>0.81275862068965521</v>
      </c>
      <c r="N583" s="42">
        <f t="shared" si="149"/>
        <v>29</v>
      </c>
      <c r="O583" s="42">
        <f t="shared" si="150"/>
        <v>1238</v>
      </c>
      <c r="P583" s="42">
        <f t="shared" si="151"/>
        <v>42.689655172413794</v>
      </c>
      <c r="Q583" s="42">
        <f t="shared" si="152"/>
        <v>29</v>
      </c>
      <c r="R583" s="42" t="str">
        <f t="shared" si="153"/>
        <v>5</v>
      </c>
      <c r="S583" s="42" t="str">
        <f t="shared" si="154"/>
        <v>2</v>
      </c>
      <c r="T583" s="42">
        <f t="shared" si="155"/>
        <v>3</v>
      </c>
      <c r="U583" s="42">
        <f t="shared" si="156"/>
        <v>89</v>
      </c>
      <c r="V583" s="42">
        <f t="shared" si="157"/>
        <v>3183</v>
      </c>
      <c r="W583" s="42">
        <f t="shared" si="158"/>
        <v>49.316801509098106</v>
      </c>
      <c r="X583" s="42">
        <f t="shared" si="159"/>
        <v>0.18825987366070532</v>
      </c>
    </row>
    <row r="584" spans="1:24" x14ac:dyDescent="0.2">
      <c r="A584" s="49">
        <v>582</v>
      </c>
      <c r="B584" s="49">
        <v>583</v>
      </c>
      <c r="C584" s="49">
        <v>0.19700000000000001</v>
      </c>
      <c r="D584" s="49">
        <v>0.93</v>
      </c>
      <c r="E584" s="49">
        <v>0.32840000000000003</v>
      </c>
      <c r="F584" s="49">
        <v>4</v>
      </c>
      <c r="G584" s="49">
        <v>43</v>
      </c>
      <c r="H584" s="49">
        <v>47</v>
      </c>
      <c r="I584" s="42">
        <f t="shared" si="144"/>
        <v>5.9697000000000022</v>
      </c>
      <c r="J584" s="42">
        <f t="shared" si="145"/>
        <v>0.21320357142857152</v>
      </c>
      <c r="K584" s="42">
        <f t="shared" si="146"/>
        <v>28</v>
      </c>
      <c r="L584" s="42">
        <f t="shared" si="147"/>
        <v>22.64</v>
      </c>
      <c r="M584" s="42">
        <f t="shared" si="148"/>
        <v>0.80857142857142861</v>
      </c>
      <c r="N584" s="42">
        <f t="shared" si="149"/>
        <v>28</v>
      </c>
      <c r="O584" s="42">
        <f t="shared" si="150"/>
        <v>1190</v>
      </c>
      <c r="P584" s="42">
        <f t="shared" si="151"/>
        <v>42.5</v>
      </c>
      <c r="Q584" s="42">
        <f t="shared" si="152"/>
        <v>28</v>
      </c>
      <c r="R584" s="42" t="str">
        <f t="shared" si="153"/>
        <v>5</v>
      </c>
      <c r="S584" s="42" t="str">
        <f t="shared" si="154"/>
        <v>3</v>
      </c>
      <c r="T584" s="42">
        <f t="shared" si="155"/>
        <v>3</v>
      </c>
      <c r="U584" s="42">
        <f t="shared" si="156"/>
        <v>89</v>
      </c>
      <c r="V584" s="42">
        <f t="shared" si="157"/>
        <v>3183</v>
      </c>
      <c r="W584" s="42">
        <f t="shared" si="158"/>
        <v>49.316801509098106</v>
      </c>
      <c r="X584" s="42">
        <f t="shared" si="159"/>
        <v>0.18825987366070532</v>
      </c>
    </row>
    <row r="585" spans="1:24" x14ac:dyDescent="0.2">
      <c r="A585" s="49">
        <v>583</v>
      </c>
      <c r="B585" s="49">
        <v>584</v>
      </c>
      <c r="C585" s="49">
        <v>0.19700000000000001</v>
      </c>
      <c r="D585" s="49">
        <v>0.93</v>
      </c>
      <c r="E585" s="49">
        <v>0.35820000000000002</v>
      </c>
      <c r="F585" s="49">
        <v>0</v>
      </c>
      <c r="G585" s="49">
        <v>36</v>
      </c>
      <c r="H585" s="49">
        <v>36</v>
      </c>
      <c r="I585" s="42">
        <f t="shared" si="144"/>
        <v>5.7727000000000022</v>
      </c>
      <c r="J585" s="42">
        <f t="shared" si="145"/>
        <v>0.21380370370370377</v>
      </c>
      <c r="K585" s="42">
        <f t="shared" si="146"/>
        <v>27</v>
      </c>
      <c r="L585" s="42">
        <f t="shared" si="147"/>
        <v>21.71</v>
      </c>
      <c r="M585" s="42">
        <f t="shared" si="148"/>
        <v>0.80407407407407405</v>
      </c>
      <c r="N585" s="42">
        <f t="shared" si="149"/>
        <v>27</v>
      </c>
      <c r="O585" s="42">
        <f t="shared" si="150"/>
        <v>1143</v>
      </c>
      <c r="P585" s="42">
        <f t="shared" si="151"/>
        <v>42.333333333333336</v>
      </c>
      <c r="Q585" s="42">
        <f t="shared" si="152"/>
        <v>27</v>
      </c>
      <c r="R585" s="42" t="str">
        <f t="shared" si="153"/>
        <v>5</v>
      </c>
      <c r="S585" s="42" t="str">
        <f t="shared" si="154"/>
        <v>4</v>
      </c>
      <c r="T585" s="42">
        <f t="shared" si="155"/>
        <v>3</v>
      </c>
      <c r="U585" s="42">
        <f t="shared" si="156"/>
        <v>89</v>
      </c>
      <c r="V585" s="42">
        <f t="shared" si="157"/>
        <v>3183</v>
      </c>
      <c r="W585" s="42">
        <f t="shared" si="158"/>
        <v>49.316801509098106</v>
      </c>
      <c r="X585" s="42">
        <f t="shared" si="159"/>
        <v>0.18825987366070532</v>
      </c>
    </row>
    <row r="586" spans="1:24" x14ac:dyDescent="0.2">
      <c r="A586" s="49">
        <v>584</v>
      </c>
      <c r="B586" s="49">
        <v>585</v>
      </c>
      <c r="C586" s="49">
        <v>0.18179999999999999</v>
      </c>
      <c r="D586" s="49">
        <v>0.93</v>
      </c>
      <c r="E586" s="49">
        <v>0.4627</v>
      </c>
      <c r="F586" s="49">
        <v>1</v>
      </c>
      <c r="G586" s="49">
        <v>42</v>
      </c>
      <c r="H586" s="49">
        <v>43</v>
      </c>
      <c r="I586" s="42">
        <f t="shared" si="144"/>
        <v>5.5757000000000021</v>
      </c>
      <c r="J586" s="42">
        <f t="shared" si="145"/>
        <v>0.21445000000000008</v>
      </c>
      <c r="K586" s="42">
        <f t="shared" si="146"/>
        <v>26</v>
      </c>
      <c r="L586" s="42">
        <f t="shared" si="147"/>
        <v>20.78</v>
      </c>
      <c r="M586" s="42">
        <f t="shared" si="148"/>
        <v>0.7992307692307693</v>
      </c>
      <c r="N586" s="42">
        <f t="shared" si="149"/>
        <v>26</v>
      </c>
      <c r="O586" s="42">
        <f t="shared" si="150"/>
        <v>1107</v>
      </c>
      <c r="P586" s="42">
        <f t="shared" si="151"/>
        <v>42.57692307692308</v>
      </c>
      <c r="Q586" s="42">
        <f t="shared" si="152"/>
        <v>26</v>
      </c>
      <c r="R586" s="42" t="str">
        <f t="shared" si="153"/>
        <v>5</v>
      </c>
      <c r="S586" s="42" t="str">
        <f t="shared" si="154"/>
        <v>5</v>
      </c>
      <c r="T586" s="42">
        <f t="shared" si="155"/>
        <v>3</v>
      </c>
      <c r="U586" s="42">
        <f t="shared" si="156"/>
        <v>89</v>
      </c>
      <c r="V586" s="42">
        <f t="shared" si="157"/>
        <v>3183</v>
      </c>
      <c r="W586" s="42">
        <f t="shared" si="158"/>
        <v>49.316801509098106</v>
      </c>
      <c r="X586" s="42">
        <f t="shared" si="159"/>
        <v>0.18825987366070532</v>
      </c>
    </row>
    <row r="587" spans="1:24" x14ac:dyDescent="0.2">
      <c r="A587" s="49">
        <v>585</v>
      </c>
      <c r="B587" s="49">
        <v>586</v>
      </c>
      <c r="C587" s="49">
        <v>0.19700000000000001</v>
      </c>
      <c r="D587" s="49">
        <v>0.93</v>
      </c>
      <c r="E587" s="49">
        <v>0.32840000000000003</v>
      </c>
      <c r="F587" s="49">
        <v>1</v>
      </c>
      <c r="G587" s="49">
        <v>35</v>
      </c>
      <c r="H587" s="49">
        <v>36</v>
      </c>
      <c r="I587" s="42">
        <f t="shared" si="144"/>
        <v>5.3939000000000021</v>
      </c>
      <c r="J587" s="42">
        <f t="shared" si="145"/>
        <v>0.21575600000000009</v>
      </c>
      <c r="K587" s="42">
        <f t="shared" si="146"/>
        <v>25</v>
      </c>
      <c r="L587" s="42">
        <f t="shared" si="147"/>
        <v>19.849999999999998</v>
      </c>
      <c r="M587" s="42">
        <f t="shared" si="148"/>
        <v>0.79399999999999993</v>
      </c>
      <c r="N587" s="42">
        <f t="shared" si="149"/>
        <v>25</v>
      </c>
      <c r="O587" s="42">
        <f t="shared" si="150"/>
        <v>1064</v>
      </c>
      <c r="P587" s="42">
        <f t="shared" si="151"/>
        <v>42.56</v>
      </c>
      <c r="Q587" s="42">
        <f t="shared" si="152"/>
        <v>25</v>
      </c>
      <c r="R587" s="42" t="str">
        <f t="shared" si="153"/>
        <v>5</v>
      </c>
      <c r="S587" s="42" t="str">
        <f t="shared" si="154"/>
        <v>6</v>
      </c>
      <c r="T587" s="42">
        <f t="shared" si="155"/>
        <v>3</v>
      </c>
      <c r="U587" s="42">
        <f t="shared" si="156"/>
        <v>89</v>
      </c>
      <c r="V587" s="42">
        <f t="shared" si="157"/>
        <v>3183</v>
      </c>
      <c r="W587" s="42">
        <f t="shared" si="158"/>
        <v>49.316801509098106</v>
      </c>
      <c r="X587" s="42">
        <f t="shared" si="159"/>
        <v>0.18825987366070532</v>
      </c>
    </row>
    <row r="588" spans="1:24" x14ac:dyDescent="0.2">
      <c r="A588" s="49">
        <v>586</v>
      </c>
      <c r="B588" s="49">
        <v>587</v>
      </c>
      <c r="C588" s="49">
        <v>0.18179999999999999</v>
      </c>
      <c r="D588" s="49">
        <v>0.93</v>
      </c>
      <c r="E588" s="49">
        <v>0.35820000000000002</v>
      </c>
      <c r="F588" s="49">
        <v>0</v>
      </c>
      <c r="G588" s="49">
        <v>26</v>
      </c>
      <c r="H588" s="49">
        <v>26</v>
      </c>
      <c r="I588" s="42">
        <f t="shared" si="144"/>
        <v>5.1969000000000021</v>
      </c>
      <c r="J588" s="42">
        <f t="shared" si="145"/>
        <v>0.21653750000000008</v>
      </c>
      <c r="K588" s="42">
        <f t="shared" si="146"/>
        <v>24</v>
      </c>
      <c r="L588" s="42">
        <f t="shared" si="147"/>
        <v>18.919999999999998</v>
      </c>
      <c r="M588" s="42">
        <f t="shared" si="148"/>
        <v>0.78833333333333322</v>
      </c>
      <c r="N588" s="42">
        <f t="shared" si="149"/>
        <v>24</v>
      </c>
      <c r="O588" s="42">
        <f t="shared" si="150"/>
        <v>1028</v>
      </c>
      <c r="P588" s="42">
        <f t="shared" si="151"/>
        <v>42.833333333333336</v>
      </c>
      <c r="Q588" s="42">
        <f t="shared" si="152"/>
        <v>24</v>
      </c>
      <c r="R588" s="42" t="str">
        <f t="shared" si="153"/>
        <v>5</v>
      </c>
      <c r="S588" s="42" t="str">
        <f t="shared" si="154"/>
        <v>7</v>
      </c>
      <c r="T588" s="42">
        <f t="shared" si="155"/>
        <v>3</v>
      </c>
      <c r="U588" s="42">
        <f t="shared" si="156"/>
        <v>89</v>
      </c>
      <c r="V588" s="42">
        <f t="shared" si="157"/>
        <v>3183</v>
      </c>
      <c r="W588" s="42">
        <f t="shared" si="158"/>
        <v>49.316801509098106</v>
      </c>
      <c r="X588" s="42">
        <f t="shared" si="159"/>
        <v>0.18825987366070532</v>
      </c>
    </row>
    <row r="589" spans="1:24" x14ac:dyDescent="0.2">
      <c r="A589" s="49">
        <v>587</v>
      </c>
      <c r="B589" s="49">
        <v>588</v>
      </c>
      <c r="C589" s="49">
        <v>0.2273</v>
      </c>
      <c r="D589" s="49">
        <v>0.55000000000000004</v>
      </c>
      <c r="E589" s="49">
        <v>0.19400000000000001</v>
      </c>
      <c r="F589" s="49">
        <v>1</v>
      </c>
      <c r="G589" s="49">
        <v>23</v>
      </c>
      <c r="H589" s="49">
        <v>24</v>
      </c>
      <c r="I589" s="42">
        <f t="shared" si="144"/>
        <v>5.0151000000000012</v>
      </c>
      <c r="J589" s="42">
        <f t="shared" si="145"/>
        <v>0.21804782608695658</v>
      </c>
      <c r="K589" s="42">
        <f t="shared" si="146"/>
        <v>23</v>
      </c>
      <c r="L589" s="42">
        <f t="shared" si="147"/>
        <v>17.989999999999998</v>
      </c>
      <c r="M589" s="42">
        <f t="shared" si="148"/>
        <v>0.78217391304347816</v>
      </c>
      <c r="N589" s="42">
        <f t="shared" si="149"/>
        <v>23</v>
      </c>
      <c r="O589" s="42">
        <f t="shared" si="150"/>
        <v>1002</v>
      </c>
      <c r="P589" s="42">
        <f t="shared" si="151"/>
        <v>43.565217391304351</v>
      </c>
      <c r="Q589" s="42">
        <f t="shared" si="152"/>
        <v>23</v>
      </c>
      <c r="R589" s="42" t="str">
        <f t="shared" si="153"/>
        <v>5</v>
      </c>
      <c r="S589" s="42" t="str">
        <f t="shared" si="154"/>
        <v>8</v>
      </c>
      <c r="T589" s="42">
        <f t="shared" si="155"/>
        <v>3</v>
      </c>
      <c r="U589" s="42">
        <f t="shared" si="156"/>
        <v>89</v>
      </c>
      <c r="V589" s="42">
        <f t="shared" si="157"/>
        <v>3183</v>
      </c>
      <c r="W589" s="42">
        <f t="shared" si="158"/>
        <v>49.316801509098106</v>
      </c>
      <c r="X589" s="42">
        <f t="shared" si="159"/>
        <v>0.18825987366070532</v>
      </c>
    </row>
    <row r="590" spans="1:24" x14ac:dyDescent="0.2">
      <c r="A590" s="49">
        <v>588</v>
      </c>
      <c r="B590" s="49">
        <v>589</v>
      </c>
      <c r="C590" s="49">
        <v>0.2424</v>
      </c>
      <c r="D590" s="49">
        <v>0.55000000000000004</v>
      </c>
      <c r="E590" s="49">
        <v>0.1045</v>
      </c>
      <c r="F590" s="49">
        <v>2</v>
      </c>
      <c r="G590" s="49">
        <v>82</v>
      </c>
      <c r="H590" s="49">
        <v>84</v>
      </c>
      <c r="I590" s="42">
        <f t="shared" si="144"/>
        <v>4.7878000000000007</v>
      </c>
      <c r="J590" s="42">
        <f t="shared" si="145"/>
        <v>0.21762727272727275</v>
      </c>
      <c r="K590" s="42">
        <f t="shared" si="146"/>
        <v>22</v>
      </c>
      <c r="L590" s="42">
        <f t="shared" si="147"/>
        <v>17.439999999999998</v>
      </c>
      <c r="M590" s="42">
        <f t="shared" si="148"/>
        <v>0.79272727272727261</v>
      </c>
      <c r="N590" s="42">
        <f t="shared" si="149"/>
        <v>22</v>
      </c>
      <c r="O590" s="42">
        <f t="shared" si="150"/>
        <v>978</v>
      </c>
      <c r="P590" s="42">
        <f t="shared" si="151"/>
        <v>44.454545454545453</v>
      </c>
      <c r="Q590" s="42">
        <f t="shared" si="152"/>
        <v>22</v>
      </c>
      <c r="R590" s="42" t="str">
        <f t="shared" si="153"/>
        <v>5</v>
      </c>
      <c r="S590" s="42" t="str">
        <f t="shared" si="154"/>
        <v>9</v>
      </c>
      <c r="T590" s="42">
        <f t="shared" si="155"/>
        <v>3</v>
      </c>
      <c r="U590" s="42">
        <f t="shared" si="156"/>
        <v>89</v>
      </c>
      <c r="V590" s="42">
        <f t="shared" si="157"/>
        <v>3183</v>
      </c>
      <c r="W590" s="42">
        <f t="shared" si="158"/>
        <v>49.316801509098106</v>
      </c>
      <c r="X590" s="42">
        <f t="shared" si="159"/>
        <v>0.18825987366070532</v>
      </c>
    </row>
    <row r="591" spans="1:24" x14ac:dyDescent="0.2">
      <c r="A591" s="49">
        <v>589</v>
      </c>
      <c r="B591" s="49">
        <v>590</v>
      </c>
      <c r="C591" s="49">
        <v>0.2273</v>
      </c>
      <c r="D591" s="49">
        <v>0.69</v>
      </c>
      <c r="E591" s="49">
        <v>8.9599999999999999E-2</v>
      </c>
      <c r="F591" s="49">
        <v>3</v>
      </c>
      <c r="G591" s="49">
        <v>101</v>
      </c>
      <c r="H591" s="49">
        <v>104</v>
      </c>
      <c r="I591" s="42">
        <f t="shared" si="144"/>
        <v>4.5454000000000008</v>
      </c>
      <c r="J591" s="42">
        <f t="shared" si="145"/>
        <v>0.21644761904761908</v>
      </c>
      <c r="K591" s="42">
        <f t="shared" si="146"/>
        <v>21</v>
      </c>
      <c r="L591" s="42">
        <f t="shared" si="147"/>
        <v>16.889999999999997</v>
      </c>
      <c r="M591" s="42">
        <f t="shared" si="148"/>
        <v>0.80428571428571416</v>
      </c>
      <c r="N591" s="42">
        <f t="shared" si="149"/>
        <v>21</v>
      </c>
      <c r="O591" s="42">
        <f t="shared" si="150"/>
        <v>894</v>
      </c>
      <c r="P591" s="42">
        <f t="shared" si="151"/>
        <v>42.571428571428569</v>
      </c>
      <c r="Q591" s="42">
        <f t="shared" si="152"/>
        <v>21</v>
      </c>
      <c r="R591" s="42" t="str">
        <f t="shared" si="153"/>
        <v>5</v>
      </c>
      <c r="S591" s="42" t="str">
        <f t="shared" si="154"/>
        <v>0</v>
      </c>
      <c r="T591" s="42">
        <f t="shared" si="155"/>
        <v>3</v>
      </c>
      <c r="U591" s="42">
        <f t="shared" si="156"/>
        <v>89</v>
      </c>
      <c r="V591" s="42">
        <f t="shared" si="157"/>
        <v>3183</v>
      </c>
      <c r="W591" s="42">
        <f t="shared" si="158"/>
        <v>49.316801509098106</v>
      </c>
      <c r="X591" s="42">
        <f t="shared" si="159"/>
        <v>0.18825987366070532</v>
      </c>
    </row>
    <row r="592" spans="1:24" x14ac:dyDescent="0.2">
      <c r="A592" s="49">
        <v>590</v>
      </c>
      <c r="B592" s="49">
        <v>591</v>
      </c>
      <c r="C592" s="49">
        <v>0.2273</v>
      </c>
      <c r="D592" s="49">
        <v>0.69</v>
      </c>
      <c r="E592" s="49">
        <v>8.9599999999999999E-2</v>
      </c>
      <c r="F592" s="49">
        <v>3</v>
      </c>
      <c r="G592" s="49">
        <v>76</v>
      </c>
      <c r="H592" s="49">
        <v>79</v>
      </c>
      <c r="I592" s="42">
        <f t="shared" si="144"/>
        <v>4.3181000000000003</v>
      </c>
      <c r="J592" s="42">
        <f t="shared" si="145"/>
        <v>0.21590500000000001</v>
      </c>
      <c r="K592" s="42">
        <f t="shared" si="146"/>
        <v>20</v>
      </c>
      <c r="L592" s="42">
        <f t="shared" si="147"/>
        <v>16.2</v>
      </c>
      <c r="M592" s="42">
        <f t="shared" si="148"/>
        <v>0.80999999999999994</v>
      </c>
      <c r="N592" s="42">
        <f t="shared" si="149"/>
        <v>20</v>
      </c>
      <c r="O592" s="42">
        <f t="shared" si="150"/>
        <v>790</v>
      </c>
      <c r="P592" s="42">
        <f t="shared" si="151"/>
        <v>39.5</v>
      </c>
      <c r="Q592" s="42">
        <f t="shared" si="152"/>
        <v>20</v>
      </c>
      <c r="R592" s="42" t="str">
        <f t="shared" si="153"/>
        <v>5</v>
      </c>
      <c r="S592" s="42" t="str">
        <f t="shared" si="154"/>
        <v>1</v>
      </c>
      <c r="T592" s="42">
        <f t="shared" si="155"/>
        <v>3</v>
      </c>
      <c r="U592" s="42">
        <f t="shared" si="156"/>
        <v>89</v>
      </c>
      <c r="V592" s="42">
        <f t="shared" si="157"/>
        <v>3183</v>
      </c>
      <c r="W592" s="42">
        <f t="shared" si="158"/>
        <v>49.316801509098106</v>
      </c>
      <c r="X592" s="42">
        <f t="shared" si="159"/>
        <v>0.18825987366070532</v>
      </c>
    </row>
    <row r="593" spans="1:24" x14ac:dyDescent="0.2">
      <c r="A593" s="49">
        <v>591</v>
      </c>
      <c r="B593" s="49">
        <v>592</v>
      </c>
      <c r="C593" s="49">
        <v>0.21210000000000001</v>
      </c>
      <c r="D593" s="49">
        <v>0.74</v>
      </c>
      <c r="E593" s="49">
        <v>8.9599999999999999E-2</v>
      </c>
      <c r="F593" s="49">
        <v>4</v>
      </c>
      <c r="G593" s="49">
        <v>55</v>
      </c>
      <c r="H593" s="49">
        <v>59</v>
      </c>
      <c r="I593" s="42">
        <f t="shared" si="144"/>
        <v>4.0907999999999998</v>
      </c>
      <c r="J593" s="42">
        <f t="shared" si="145"/>
        <v>0.21530526315789472</v>
      </c>
      <c r="K593" s="42">
        <f t="shared" si="146"/>
        <v>19</v>
      </c>
      <c r="L593" s="42">
        <f t="shared" si="147"/>
        <v>15.509999999999996</v>
      </c>
      <c r="M593" s="42">
        <f t="shared" si="148"/>
        <v>0.81631578947368399</v>
      </c>
      <c r="N593" s="42">
        <f t="shared" si="149"/>
        <v>19</v>
      </c>
      <c r="O593" s="42">
        <f t="shared" si="150"/>
        <v>711</v>
      </c>
      <c r="P593" s="42">
        <f t="shared" si="151"/>
        <v>37.421052631578945</v>
      </c>
      <c r="Q593" s="42">
        <f t="shared" si="152"/>
        <v>19</v>
      </c>
      <c r="R593" s="42" t="str">
        <f t="shared" si="153"/>
        <v>5</v>
      </c>
      <c r="S593" s="42" t="str">
        <f t="shared" si="154"/>
        <v>2</v>
      </c>
      <c r="T593" s="42">
        <f t="shared" si="155"/>
        <v>3</v>
      </c>
      <c r="U593" s="42">
        <f t="shared" si="156"/>
        <v>89</v>
      </c>
      <c r="V593" s="42">
        <f t="shared" si="157"/>
        <v>3183</v>
      </c>
      <c r="W593" s="42">
        <f t="shared" si="158"/>
        <v>49.316801509098106</v>
      </c>
      <c r="X593" s="42">
        <f t="shared" si="159"/>
        <v>0.18825987366070532</v>
      </c>
    </row>
    <row r="594" spans="1:24" x14ac:dyDescent="0.2">
      <c r="A594" s="49">
        <v>592</v>
      </c>
      <c r="B594" s="49">
        <v>593</v>
      </c>
      <c r="C594" s="49">
        <v>0.21210000000000001</v>
      </c>
      <c r="D594" s="49">
        <v>0.74</v>
      </c>
      <c r="E594" s="49">
        <v>8.9599999999999999E-2</v>
      </c>
      <c r="F594" s="49">
        <v>2</v>
      </c>
      <c r="G594" s="49">
        <v>36</v>
      </c>
      <c r="H594" s="49">
        <v>38</v>
      </c>
      <c r="I594" s="42">
        <f t="shared" si="144"/>
        <v>3.8786999999999998</v>
      </c>
      <c r="J594" s="42">
        <f t="shared" si="145"/>
        <v>0.21548333333333333</v>
      </c>
      <c r="K594" s="42">
        <f t="shared" si="146"/>
        <v>18</v>
      </c>
      <c r="L594" s="42">
        <f t="shared" si="147"/>
        <v>14.769999999999998</v>
      </c>
      <c r="M594" s="42">
        <f t="shared" si="148"/>
        <v>0.82055555555555548</v>
      </c>
      <c r="N594" s="42">
        <f t="shared" si="149"/>
        <v>18</v>
      </c>
      <c r="O594" s="42">
        <f t="shared" si="150"/>
        <v>652</v>
      </c>
      <c r="P594" s="42">
        <f t="shared" si="151"/>
        <v>36.222222222222221</v>
      </c>
      <c r="Q594" s="42">
        <f t="shared" si="152"/>
        <v>18</v>
      </c>
      <c r="R594" s="42" t="str">
        <f t="shared" si="153"/>
        <v>5</v>
      </c>
      <c r="S594" s="42" t="str">
        <f t="shared" si="154"/>
        <v>3</v>
      </c>
      <c r="T594" s="42">
        <f t="shared" si="155"/>
        <v>3</v>
      </c>
      <c r="U594" s="42">
        <f t="shared" si="156"/>
        <v>89</v>
      </c>
      <c r="V594" s="42">
        <f t="shared" si="157"/>
        <v>3183</v>
      </c>
      <c r="W594" s="42">
        <f t="shared" si="158"/>
        <v>49.316801509098106</v>
      </c>
      <c r="X594" s="42">
        <f t="shared" si="159"/>
        <v>0.18825987366070532</v>
      </c>
    </row>
    <row r="595" spans="1:24" x14ac:dyDescent="0.2">
      <c r="A595" s="49">
        <v>593</v>
      </c>
      <c r="B595" s="49">
        <v>594</v>
      </c>
      <c r="C595" s="49">
        <v>0.21210000000000001</v>
      </c>
      <c r="D595" s="49">
        <v>0.74</v>
      </c>
      <c r="E595" s="49">
        <v>8.9599999999999999E-2</v>
      </c>
      <c r="F595" s="49">
        <v>0</v>
      </c>
      <c r="G595" s="49">
        <v>27</v>
      </c>
      <c r="H595" s="49">
        <v>27</v>
      </c>
      <c r="I595" s="42">
        <f t="shared" si="144"/>
        <v>3.6665999999999999</v>
      </c>
      <c r="J595" s="42">
        <f t="shared" si="145"/>
        <v>0.21568235294117646</v>
      </c>
      <c r="K595" s="42">
        <f t="shared" si="146"/>
        <v>17</v>
      </c>
      <c r="L595" s="42">
        <f t="shared" si="147"/>
        <v>14.03</v>
      </c>
      <c r="M595" s="42">
        <f t="shared" si="148"/>
        <v>0.82529411764705873</v>
      </c>
      <c r="N595" s="42">
        <f t="shared" si="149"/>
        <v>17</v>
      </c>
      <c r="O595" s="42">
        <f t="shared" si="150"/>
        <v>614</v>
      </c>
      <c r="P595" s="42">
        <f t="shared" si="151"/>
        <v>36.117647058823529</v>
      </c>
      <c r="Q595" s="42">
        <f t="shared" si="152"/>
        <v>17</v>
      </c>
      <c r="R595" s="42" t="str">
        <f t="shared" si="153"/>
        <v>5</v>
      </c>
      <c r="S595" s="42" t="str">
        <f t="shared" si="154"/>
        <v>4</v>
      </c>
      <c r="T595" s="42">
        <f t="shared" si="155"/>
        <v>3</v>
      </c>
      <c r="U595" s="42">
        <f t="shared" si="156"/>
        <v>89</v>
      </c>
      <c r="V595" s="42">
        <f t="shared" si="157"/>
        <v>3183</v>
      </c>
      <c r="W595" s="42">
        <f t="shared" si="158"/>
        <v>49.316801509098106</v>
      </c>
      <c r="X595" s="42">
        <f t="shared" si="159"/>
        <v>0.18825987366070532</v>
      </c>
    </row>
    <row r="596" spans="1:24" x14ac:dyDescent="0.2">
      <c r="A596" s="49">
        <v>594</v>
      </c>
      <c r="B596" s="49">
        <v>595</v>
      </c>
      <c r="C596" s="49">
        <v>0.19700000000000001</v>
      </c>
      <c r="D596" s="49">
        <v>0.8</v>
      </c>
      <c r="E596" s="49">
        <v>0.16420000000000001</v>
      </c>
      <c r="F596" s="49">
        <v>0</v>
      </c>
      <c r="G596" s="49">
        <v>16</v>
      </c>
      <c r="H596" s="49">
        <v>16</v>
      </c>
      <c r="I596" s="42">
        <f t="shared" si="144"/>
        <v>3.4544999999999999</v>
      </c>
      <c r="J596" s="42">
        <f t="shared" si="145"/>
        <v>0.21590624999999999</v>
      </c>
      <c r="K596" s="42">
        <f t="shared" si="146"/>
        <v>16</v>
      </c>
      <c r="L596" s="42">
        <f t="shared" si="147"/>
        <v>13.29</v>
      </c>
      <c r="M596" s="42">
        <f t="shared" si="148"/>
        <v>0.83062499999999995</v>
      </c>
      <c r="N596" s="42">
        <f t="shared" si="149"/>
        <v>16</v>
      </c>
      <c r="O596" s="42">
        <f t="shared" si="150"/>
        <v>587</v>
      </c>
      <c r="P596" s="42">
        <f t="shared" si="151"/>
        <v>36.6875</v>
      </c>
      <c r="Q596" s="42">
        <f t="shared" si="152"/>
        <v>16</v>
      </c>
      <c r="R596" s="42" t="str">
        <f t="shared" si="153"/>
        <v>5</v>
      </c>
      <c r="S596" s="42" t="str">
        <f t="shared" si="154"/>
        <v>5</v>
      </c>
      <c r="T596" s="42">
        <f t="shared" si="155"/>
        <v>3</v>
      </c>
      <c r="U596" s="42">
        <f t="shared" si="156"/>
        <v>89</v>
      </c>
      <c r="V596" s="42">
        <f t="shared" si="157"/>
        <v>3183</v>
      </c>
      <c r="W596" s="42">
        <f t="shared" si="158"/>
        <v>49.316801509098106</v>
      </c>
      <c r="X596" s="42">
        <f t="shared" si="159"/>
        <v>0.18825987366070532</v>
      </c>
    </row>
    <row r="597" spans="1:24" x14ac:dyDescent="0.2">
      <c r="A597" s="49">
        <v>595</v>
      </c>
      <c r="B597" s="49">
        <v>596</v>
      </c>
      <c r="C597" s="49">
        <v>0.21210000000000001</v>
      </c>
      <c r="D597" s="49">
        <v>0.75</v>
      </c>
      <c r="E597" s="49">
        <v>0.1343</v>
      </c>
      <c r="F597" s="49">
        <v>0</v>
      </c>
      <c r="G597" s="49">
        <v>9</v>
      </c>
      <c r="H597" s="49">
        <v>9</v>
      </c>
      <c r="I597" s="42">
        <f t="shared" si="144"/>
        <v>3.2575000000000003</v>
      </c>
      <c r="J597" s="42">
        <f t="shared" si="145"/>
        <v>0.21716666666666667</v>
      </c>
      <c r="K597" s="42">
        <f t="shared" si="146"/>
        <v>15</v>
      </c>
      <c r="L597" s="42">
        <f t="shared" si="147"/>
        <v>12.49</v>
      </c>
      <c r="M597" s="42">
        <f t="shared" si="148"/>
        <v>0.83266666666666667</v>
      </c>
      <c r="N597" s="42">
        <f t="shared" si="149"/>
        <v>15</v>
      </c>
      <c r="O597" s="42">
        <f t="shared" si="150"/>
        <v>571</v>
      </c>
      <c r="P597" s="42">
        <f t="shared" si="151"/>
        <v>38.06666666666667</v>
      </c>
      <c r="Q597" s="42">
        <f t="shared" si="152"/>
        <v>15</v>
      </c>
      <c r="R597" s="42" t="str">
        <f t="shared" si="153"/>
        <v>5</v>
      </c>
      <c r="S597" s="42" t="str">
        <f t="shared" si="154"/>
        <v>6</v>
      </c>
      <c r="T597" s="42">
        <f t="shared" si="155"/>
        <v>3</v>
      </c>
      <c r="U597" s="42">
        <f t="shared" si="156"/>
        <v>89</v>
      </c>
      <c r="V597" s="42">
        <f t="shared" si="157"/>
        <v>3183</v>
      </c>
      <c r="W597" s="42">
        <f t="shared" si="158"/>
        <v>49.316801509098106</v>
      </c>
      <c r="X597" s="42">
        <f t="shared" si="159"/>
        <v>0.18825987366070532</v>
      </c>
    </row>
    <row r="598" spans="1:24" x14ac:dyDescent="0.2">
      <c r="A598" s="49">
        <v>596</v>
      </c>
      <c r="B598" s="49">
        <v>597</v>
      </c>
      <c r="C598" s="49">
        <v>0.21210000000000001</v>
      </c>
      <c r="D598" s="49">
        <v>0.75</v>
      </c>
      <c r="E598" s="49">
        <v>0.1343</v>
      </c>
      <c r="F598" s="49">
        <v>1</v>
      </c>
      <c r="G598" s="49">
        <v>2</v>
      </c>
      <c r="H598" s="49">
        <v>3</v>
      </c>
      <c r="I598" s="42">
        <f t="shared" si="144"/>
        <v>3.0453999999999999</v>
      </c>
      <c r="J598" s="42">
        <f t="shared" si="145"/>
        <v>0.21752857142857143</v>
      </c>
      <c r="K598" s="42">
        <f t="shared" si="146"/>
        <v>14</v>
      </c>
      <c r="L598" s="42">
        <f t="shared" si="147"/>
        <v>11.74</v>
      </c>
      <c r="M598" s="42">
        <f t="shared" si="148"/>
        <v>0.83857142857142863</v>
      </c>
      <c r="N598" s="42">
        <f t="shared" si="149"/>
        <v>14</v>
      </c>
      <c r="O598" s="42">
        <f t="shared" si="150"/>
        <v>562</v>
      </c>
      <c r="P598" s="42">
        <f t="shared" si="151"/>
        <v>40.142857142857146</v>
      </c>
      <c r="Q598" s="42">
        <f t="shared" si="152"/>
        <v>14</v>
      </c>
      <c r="R598" s="42" t="str">
        <f t="shared" si="153"/>
        <v>5</v>
      </c>
      <c r="S598" s="42" t="str">
        <f t="shared" si="154"/>
        <v>7</v>
      </c>
      <c r="T598" s="42">
        <f t="shared" si="155"/>
        <v>3</v>
      </c>
      <c r="U598" s="42">
        <f t="shared" si="156"/>
        <v>89</v>
      </c>
      <c r="V598" s="42">
        <f t="shared" si="157"/>
        <v>3183</v>
      </c>
      <c r="W598" s="42">
        <f t="shared" si="158"/>
        <v>49.316801509098106</v>
      </c>
      <c r="X598" s="42">
        <f t="shared" si="159"/>
        <v>0.18825987366070532</v>
      </c>
    </row>
    <row r="599" spans="1:24" x14ac:dyDescent="0.2">
      <c r="A599" s="49">
        <v>597</v>
      </c>
      <c r="B599" s="49">
        <v>598</v>
      </c>
      <c r="C599" s="49">
        <v>0.21210000000000001</v>
      </c>
      <c r="D599" s="49">
        <v>0.75</v>
      </c>
      <c r="E599" s="49">
        <v>0.16420000000000001</v>
      </c>
      <c r="F599" s="49">
        <v>0</v>
      </c>
      <c r="G599" s="49">
        <v>2</v>
      </c>
      <c r="H599" s="49">
        <v>2</v>
      </c>
      <c r="I599" s="42">
        <f t="shared" si="144"/>
        <v>2.8332999999999999</v>
      </c>
      <c r="J599" s="42">
        <f t="shared" si="145"/>
        <v>0.21794615384615385</v>
      </c>
      <c r="K599" s="42">
        <f t="shared" si="146"/>
        <v>13</v>
      </c>
      <c r="L599" s="42">
        <f t="shared" si="147"/>
        <v>10.99</v>
      </c>
      <c r="M599" s="42">
        <f t="shared" si="148"/>
        <v>0.8453846153846154</v>
      </c>
      <c r="N599" s="42">
        <f t="shared" si="149"/>
        <v>13</v>
      </c>
      <c r="O599" s="42">
        <f t="shared" si="150"/>
        <v>559</v>
      </c>
      <c r="P599" s="42">
        <f t="shared" si="151"/>
        <v>43</v>
      </c>
      <c r="Q599" s="42">
        <f t="shared" si="152"/>
        <v>13</v>
      </c>
      <c r="R599" s="42" t="str">
        <f t="shared" si="153"/>
        <v>5</v>
      </c>
      <c r="S599" s="42" t="str">
        <f t="shared" si="154"/>
        <v>8</v>
      </c>
      <c r="T599" s="42">
        <f t="shared" si="155"/>
        <v>3</v>
      </c>
      <c r="U599" s="42">
        <f t="shared" si="156"/>
        <v>89</v>
      </c>
      <c r="V599" s="42">
        <f t="shared" si="157"/>
        <v>3183</v>
      </c>
      <c r="W599" s="42">
        <f t="shared" si="158"/>
        <v>49.316801509098106</v>
      </c>
      <c r="X599" s="42">
        <f t="shared" si="159"/>
        <v>0.18825987366070532</v>
      </c>
    </row>
    <row r="600" spans="1:24" x14ac:dyDescent="0.2">
      <c r="A600" s="49">
        <v>598</v>
      </c>
      <c r="B600" s="49">
        <v>599</v>
      </c>
      <c r="C600" s="49">
        <v>0.2273</v>
      </c>
      <c r="D600" s="49">
        <v>0.75</v>
      </c>
      <c r="E600" s="49">
        <v>0.1045</v>
      </c>
      <c r="F600" s="49">
        <v>1</v>
      </c>
      <c r="G600" s="49">
        <v>0</v>
      </c>
      <c r="H600" s="49">
        <v>1</v>
      </c>
      <c r="I600" s="42">
        <f t="shared" si="144"/>
        <v>2.6212</v>
      </c>
      <c r="J600" s="42">
        <f t="shared" si="145"/>
        <v>0.21843333333333334</v>
      </c>
      <c r="K600" s="42">
        <f t="shared" si="146"/>
        <v>12</v>
      </c>
      <c r="L600" s="42">
        <f t="shared" si="147"/>
        <v>10.24</v>
      </c>
      <c r="M600" s="42">
        <f t="shared" si="148"/>
        <v>0.85333333333333339</v>
      </c>
      <c r="N600" s="42">
        <f t="shared" si="149"/>
        <v>12</v>
      </c>
      <c r="O600" s="42">
        <f t="shared" si="150"/>
        <v>557</v>
      </c>
      <c r="P600" s="42">
        <f t="shared" si="151"/>
        <v>46.416666666666664</v>
      </c>
      <c r="Q600" s="42">
        <f t="shared" si="152"/>
        <v>12</v>
      </c>
      <c r="R600" s="42" t="str">
        <f t="shared" si="153"/>
        <v>5</v>
      </c>
      <c r="S600" s="42" t="str">
        <f t="shared" si="154"/>
        <v>9</v>
      </c>
      <c r="T600" s="42">
        <f t="shared" si="155"/>
        <v>3</v>
      </c>
      <c r="U600" s="42">
        <f t="shared" si="156"/>
        <v>89</v>
      </c>
      <c r="V600" s="42">
        <f t="shared" si="157"/>
        <v>3183</v>
      </c>
      <c r="W600" s="42">
        <f t="shared" si="158"/>
        <v>49.316801509098106</v>
      </c>
      <c r="X600" s="42">
        <f t="shared" si="159"/>
        <v>0.18825987366070532</v>
      </c>
    </row>
    <row r="601" spans="1:24" x14ac:dyDescent="0.2">
      <c r="A601" s="49">
        <v>599</v>
      </c>
      <c r="B601" s="49">
        <v>600</v>
      </c>
      <c r="C601" s="49">
        <v>0.21210000000000001</v>
      </c>
      <c r="D601" s="49">
        <v>0.8</v>
      </c>
      <c r="E601" s="49">
        <v>0.1045</v>
      </c>
      <c r="F601" s="49">
        <v>0</v>
      </c>
      <c r="G601" s="49">
        <v>4</v>
      </c>
      <c r="H601" s="49">
        <v>4</v>
      </c>
      <c r="I601" s="42">
        <f t="shared" si="144"/>
        <v>2.3938999999999999</v>
      </c>
      <c r="J601" s="42">
        <f t="shared" si="145"/>
        <v>0.21762727272727272</v>
      </c>
      <c r="K601" s="42">
        <f t="shared" si="146"/>
        <v>11</v>
      </c>
      <c r="L601" s="42">
        <f t="shared" si="147"/>
        <v>9.4899999999999984</v>
      </c>
      <c r="M601" s="42">
        <f t="shared" si="148"/>
        <v>0.86272727272727256</v>
      </c>
      <c r="N601" s="42">
        <f t="shared" si="149"/>
        <v>11</v>
      </c>
      <c r="O601" s="42">
        <f t="shared" si="150"/>
        <v>556</v>
      </c>
      <c r="P601" s="42">
        <f t="shared" si="151"/>
        <v>50.545454545454547</v>
      </c>
      <c r="Q601" s="42">
        <f t="shared" si="152"/>
        <v>11</v>
      </c>
      <c r="R601" s="42" t="str">
        <f t="shared" si="153"/>
        <v>6</v>
      </c>
      <c r="S601" s="42" t="str">
        <f t="shared" si="154"/>
        <v>0</v>
      </c>
      <c r="T601" s="42">
        <f t="shared" si="155"/>
        <v>3</v>
      </c>
      <c r="U601" s="42">
        <f t="shared" si="156"/>
        <v>89</v>
      </c>
      <c r="V601" s="42">
        <f t="shared" si="157"/>
        <v>3183</v>
      </c>
      <c r="W601" s="42">
        <f t="shared" si="158"/>
        <v>49.316801509098106</v>
      </c>
      <c r="X601" s="42">
        <f t="shared" si="159"/>
        <v>0.18825987366070532</v>
      </c>
    </row>
    <row r="602" spans="1:24" x14ac:dyDescent="0.2">
      <c r="A602" s="49">
        <v>600</v>
      </c>
      <c r="B602" s="49">
        <v>601</v>
      </c>
      <c r="C602" s="49">
        <v>0.19700000000000001</v>
      </c>
      <c r="D602" s="49">
        <v>0.8</v>
      </c>
      <c r="E602" s="49">
        <v>0.1343</v>
      </c>
      <c r="F602" s="49">
        <v>0</v>
      </c>
      <c r="G602" s="49">
        <v>16</v>
      </c>
      <c r="H602" s="49">
        <v>16</v>
      </c>
      <c r="I602" s="42">
        <f t="shared" si="144"/>
        <v>2.1817999999999995</v>
      </c>
      <c r="J602" s="42">
        <f t="shared" si="145"/>
        <v>0.21817999999999996</v>
      </c>
      <c r="K602" s="42">
        <f t="shared" si="146"/>
        <v>10</v>
      </c>
      <c r="L602" s="42">
        <f t="shared" si="147"/>
        <v>8.69</v>
      </c>
      <c r="M602" s="42">
        <f t="shared" si="148"/>
        <v>0.86899999999999999</v>
      </c>
      <c r="N602" s="42">
        <f t="shared" si="149"/>
        <v>10</v>
      </c>
      <c r="O602" s="42">
        <f t="shared" si="150"/>
        <v>552</v>
      </c>
      <c r="P602" s="42">
        <f t="shared" si="151"/>
        <v>55.2</v>
      </c>
      <c r="Q602" s="42">
        <f t="shared" si="152"/>
        <v>10</v>
      </c>
      <c r="R602" s="42" t="str">
        <f t="shared" si="153"/>
        <v>6</v>
      </c>
      <c r="S602" s="42" t="str">
        <f t="shared" si="154"/>
        <v>1</v>
      </c>
      <c r="T602" s="42">
        <f t="shared" si="155"/>
        <v>3</v>
      </c>
      <c r="U602" s="42">
        <f t="shared" si="156"/>
        <v>89</v>
      </c>
      <c r="V602" s="42">
        <f t="shared" si="157"/>
        <v>3183</v>
      </c>
      <c r="W602" s="42">
        <f t="shared" si="158"/>
        <v>49.316801509098106</v>
      </c>
      <c r="X602" s="42">
        <f t="shared" si="159"/>
        <v>0.18825987366070532</v>
      </c>
    </row>
    <row r="603" spans="1:24" x14ac:dyDescent="0.2">
      <c r="A603" s="49">
        <v>601</v>
      </c>
      <c r="B603" s="49">
        <v>602</v>
      </c>
      <c r="C603" s="49">
        <v>0.19700000000000001</v>
      </c>
      <c r="D603" s="49">
        <v>0.86</v>
      </c>
      <c r="E603" s="49">
        <v>8.9599999999999999E-2</v>
      </c>
      <c r="F603" s="49">
        <v>2</v>
      </c>
      <c r="G603" s="49">
        <v>58</v>
      </c>
      <c r="H603" s="49">
        <v>60</v>
      </c>
      <c r="I603" s="42">
        <f t="shared" si="144"/>
        <v>1.9847999999999999</v>
      </c>
      <c r="J603" s="42">
        <f t="shared" si="145"/>
        <v>0.22053333333333333</v>
      </c>
      <c r="K603" s="42">
        <f t="shared" si="146"/>
        <v>9</v>
      </c>
      <c r="L603" s="42">
        <f t="shared" si="147"/>
        <v>7.89</v>
      </c>
      <c r="M603" s="42">
        <f t="shared" si="148"/>
        <v>0.87666666666666659</v>
      </c>
      <c r="N603" s="42">
        <f t="shared" si="149"/>
        <v>9</v>
      </c>
      <c r="O603" s="42">
        <f t="shared" si="150"/>
        <v>536</v>
      </c>
      <c r="P603" s="42">
        <f t="shared" si="151"/>
        <v>59.555555555555557</v>
      </c>
      <c r="Q603" s="42">
        <f t="shared" si="152"/>
        <v>9</v>
      </c>
      <c r="R603" s="42" t="str">
        <f t="shared" si="153"/>
        <v>6</v>
      </c>
      <c r="S603" s="42" t="str">
        <f t="shared" si="154"/>
        <v>2</v>
      </c>
      <c r="T603" s="42">
        <f t="shared" si="155"/>
        <v>3</v>
      </c>
      <c r="U603" s="42">
        <f t="shared" si="156"/>
        <v>89</v>
      </c>
      <c r="V603" s="42">
        <f t="shared" si="157"/>
        <v>3183</v>
      </c>
      <c r="W603" s="42">
        <f t="shared" si="158"/>
        <v>49.316801509098106</v>
      </c>
      <c r="X603" s="42">
        <f t="shared" si="159"/>
        <v>0.18825987366070532</v>
      </c>
    </row>
    <row r="604" spans="1:24" x14ac:dyDescent="0.2">
      <c r="A604" s="49">
        <v>602</v>
      </c>
      <c r="B604" s="49">
        <v>603</v>
      </c>
      <c r="C604" s="49">
        <v>0.19700000000000001</v>
      </c>
      <c r="D604" s="49">
        <v>0.86</v>
      </c>
      <c r="E604" s="49">
        <v>8.9599999999999999E-2</v>
      </c>
      <c r="F604" s="49">
        <v>2</v>
      </c>
      <c r="G604" s="49">
        <v>155</v>
      </c>
      <c r="H604" s="49">
        <v>157</v>
      </c>
      <c r="I604" s="42">
        <f t="shared" si="144"/>
        <v>1.7877999999999998</v>
      </c>
      <c r="J604" s="42">
        <f t="shared" si="145"/>
        <v>0.22347499999999998</v>
      </c>
      <c r="K604" s="42">
        <f t="shared" si="146"/>
        <v>8</v>
      </c>
      <c r="L604" s="42">
        <f t="shared" si="147"/>
        <v>7.03</v>
      </c>
      <c r="M604" s="42">
        <f t="shared" si="148"/>
        <v>0.87875000000000003</v>
      </c>
      <c r="N604" s="42">
        <f t="shared" si="149"/>
        <v>8</v>
      </c>
      <c r="O604" s="42">
        <f t="shared" si="150"/>
        <v>476</v>
      </c>
      <c r="P604" s="42">
        <f t="shared" si="151"/>
        <v>59.5</v>
      </c>
      <c r="Q604" s="42">
        <f t="shared" si="152"/>
        <v>8</v>
      </c>
      <c r="R604" s="42" t="str">
        <f t="shared" si="153"/>
        <v>6</v>
      </c>
      <c r="S604" s="42" t="str">
        <f t="shared" si="154"/>
        <v>3</v>
      </c>
      <c r="T604" s="42">
        <f t="shared" si="155"/>
        <v>3</v>
      </c>
      <c r="U604" s="42">
        <f t="shared" si="156"/>
        <v>89</v>
      </c>
      <c r="V604" s="42">
        <f t="shared" si="157"/>
        <v>3183</v>
      </c>
      <c r="W604" s="42">
        <f t="shared" si="158"/>
        <v>49.316801509098106</v>
      </c>
      <c r="X604" s="42">
        <f t="shared" si="159"/>
        <v>0.18825987366070532</v>
      </c>
    </row>
    <row r="605" spans="1:24" x14ac:dyDescent="0.2">
      <c r="A605" s="49">
        <v>603</v>
      </c>
      <c r="B605" s="49">
        <v>604</v>
      </c>
      <c r="C605" s="49">
        <v>0.21210000000000001</v>
      </c>
      <c r="D605" s="49">
        <v>0.86</v>
      </c>
      <c r="E605" s="49">
        <v>8.9599999999999999E-2</v>
      </c>
      <c r="F605" s="49">
        <v>6</v>
      </c>
      <c r="G605" s="49">
        <v>95</v>
      </c>
      <c r="H605" s="49">
        <v>101</v>
      </c>
      <c r="I605" s="42">
        <f t="shared" si="144"/>
        <v>1.5908</v>
      </c>
      <c r="J605" s="42">
        <f t="shared" si="145"/>
        <v>0.22725714285714285</v>
      </c>
      <c r="K605" s="42">
        <f t="shared" si="146"/>
        <v>7</v>
      </c>
      <c r="L605" s="42">
        <f t="shared" si="147"/>
        <v>6.17</v>
      </c>
      <c r="M605" s="42">
        <f t="shared" si="148"/>
        <v>0.88142857142857145</v>
      </c>
      <c r="N605" s="42">
        <f t="shared" si="149"/>
        <v>7</v>
      </c>
      <c r="O605" s="42">
        <f t="shared" si="150"/>
        <v>319</v>
      </c>
      <c r="P605" s="42">
        <f t="shared" si="151"/>
        <v>45.571428571428569</v>
      </c>
      <c r="Q605" s="42">
        <f t="shared" si="152"/>
        <v>7</v>
      </c>
      <c r="R605" s="42" t="str">
        <f t="shared" si="153"/>
        <v>6</v>
      </c>
      <c r="S605" s="42" t="str">
        <f t="shared" si="154"/>
        <v>4</v>
      </c>
      <c r="T605" s="42">
        <f t="shared" si="155"/>
        <v>3</v>
      </c>
      <c r="U605" s="42">
        <f t="shared" si="156"/>
        <v>89</v>
      </c>
      <c r="V605" s="42">
        <f t="shared" si="157"/>
        <v>3183</v>
      </c>
      <c r="W605" s="42">
        <f t="shared" si="158"/>
        <v>49.316801509098106</v>
      </c>
      <c r="X605" s="42">
        <f t="shared" si="159"/>
        <v>0.18825987366070532</v>
      </c>
    </row>
    <row r="606" spans="1:24" x14ac:dyDescent="0.2">
      <c r="A606" s="49">
        <v>604</v>
      </c>
      <c r="B606" s="49">
        <v>605</v>
      </c>
      <c r="C606" s="49">
        <v>0.21210000000000001</v>
      </c>
      <c r="D606" s="49">
        <v>0.86</v>
      </c>
      <c r="E606" s="49">
        <v>0.1045</v>
      </c>
      <c r="F606" s="49">
        <v>0</v>
      </c>
      <c r="G606" s="49">
        <v>49</v>
      </c>
      <c r="H606" s="49">
        <v>49</v>
      </c>
      <c r="I606" s="42">
        <f t="shared" si="144"/>
        <v>1.3787</v>
      </c>
      <c r="J606" s="42">
        <f t="shared" si="145"/>
        <v>0.22978333333333334</v>
      </c>
      <c r="K606" s="42">
        <f t="shared" si="146"/>
        <v>6</v>
      </c>
      <c r="L606" s="42">
        <f t="shared" si="147"/>
        <v>5.3100000000000005</v>
      </c>
      <c r="M606" s="42">
        <f t="shared" si="148"/>
        <v>0.88500000000000012</v>
      </c>
      <c r="N606" s="42">
        <f t="shared" si="149"/>
        <v>6</v>
      </c>
      <c r="O606" s="42">
        <f t="shared" si="150"/>
        <v>218</v>
      </c>
      <c r="P606" s="42">
        <f t="shared" si="151"/>
        <v>36.333333333333336</v>
      </c>
      <c r="Q606" s="42">
        <f t="shared" si="152"/>
        <v>6</v>
      </c>
      <c r="R606" s="42" t="str">
        <f t="shared" si="153"/>
        <v>6</v>
      </c>
      <c r="S606" s="42" t="str">
        <f t="shared" si="154"/>
        <v>5</v>
      </c>
      <c r="T606" s="42">
        <f t="shared" si="155"/>
        <v>3</v>
      </c>
      <c r="U606" s="42">
        <f t="shared" si="156"/>
        <v>89</v>
      </c>
      <c r="V606" s="42">
        <f t="shared" si="157"/>
        <v>3183</v>
      </c>
      <c r="W606" s="42">
        <f t="shared" si="158"/>
        <v>49.316801509098106</v>
      </c>
      <c r="X606" s="42">
        <f t="shared" si="159"/>
        <v>0.18825987366070532</v>
      </c>
    </row>
    <row r="607" spans="1:24" x14ac:dyDescent="0.2">
      <c r="A607" s="49">
        <v>605</v>
      </c>
      <c r="B607" s="49">
        <v>606</v>
      </c>
      <c r="C607" s="49">
        <v>0.21210000000000001</v>
      </c>
      <c r="D607" s="49">
        <v>0.93</v>
      </c>
      <c r="E607" s="49">
        <v>0.1045</v>
      </c>
      <c r="F607" s="49">
        <v>0</v>
      </c>
      <c r="G607" s="49">
        <v>30</v>
      </c>
      <c r="H607" s="49">
        <v>30</v>
      </c>
      <c r="I607" s="42">
        <f t="shared" si="144"/>
        <v>1.1666000000000001</v>
      </c>
      <c r="J607" s="42">
        <f t="shared" si="145"/>
        <v>0.23332000000000003</v>
      </c>
      <c r="K607" s="42">
        <f t="shared" si="146"/>
        <v>5</v>
      </c>
      <c r="L607" s="42">
        <f t="shared" si="147"/>
        <v>4.45</v>
      </c>
      <c r="M607" s="42">
        <f t="shared" si="148"/>
        <v>0.89</v>
      </c>
      <c r="N607" s="42">
        <f t="shared" si="149"/>
        <v>5</v>
      </c>
      <c r="O607" s="42">
        <f t="shared" si="150"/>
        <v>169</v>
      </c>
      <c r="P607" s="42">
        <f t="shared" si="151"/>
        <v>33.799999999999997</v>
      </c>
      <c r="Q607" s="42">
        <f t="shared" si="152"/>
        <v>5</v>
      </c>
      <c r="R607" s="42" t="str">
        <f t="shared" si="153"/>
        <v>6</v>
      </c>
      <c r="S607" s="42" t="str">
        <f t="shared" si="154"/>
        <v>6</v>
      </c>
      <c r="T607" s="42">
        <f t="shared" si="155"/>
        <v>3</v>
      </c>
      <c r="U607" s="42">
        <f t="shared" si="156"/>
        <v>89</v>
      </c>
      <c r="V607" s="42">
        <f t="shared" si="157"/>
        <v>3183</v>
      </c>
      <c r="W607" s="42">
        <f t="shared" si="158"/>
        <v>49.316801509098106</v>
      </c>
      <c r="X607" s="42">
        <f t="shared" si="159"/>
        <v>0.18825987366070532</v>
      </c>
    </row>
    <row r="608" spans="1:24" x14ac:dyDescent="0.2">
      <c r="A608" s="49">
        <v>606</v>
      </c>
      <c r="B608" s="49">
        <v>607</v>
      </c>
      <c r="C608" s="49">
        <v>0.21210000000000001</v>
      </c>
      <c r="D608" s="49">
        <v>0.93</v>
      </c>
      <c r="E608" s="49">
        <v>0.1045</v>
      </c>
      <c r="F608" s="49">
        <v>1</v>
      </c>
      <c r="G608" s="49">
        <v>28</v>
      </c>
      <c r="H608" s="49">
        <v>29</v>
      </c>
      <c r="I608" s="42">
        <f t="shared" si="144"/>
        <v>0.95450000000000013</v>
      </c>
      <c r="J608" s="42">
        <f t="shared" si="145"/>
        <v>0.23862500000000003</v>
      </c>
      <c r="K608" s="42">
        <f t="shared" si="146"/>
        <v>4</v>
      </c>
      <c r="L608" s="42">
        <f t="shared" si="147"/>
        <v>3.52</v>
      </c>
      <c r="M608" s="42">
        <f t="shared" si="148"/>
        <v>0.88</v>
      </c>
      <c r="N608" s="42">
        <f t="shared" si="149"/>
        <v>4</v>
      </c>
      <c r="O608" s="42">
        <f t="shared" si="150"/>
        <v>139</v>
      </c>
      <c r="P608" s="42">
        <f t="shared" si="151"/>
        <v>34.75</v>
      </c>
      <c r="Q608" s="42">
        <f t="shared" si="152"/>
        <v>4</v>
      </c>
      <c r="R608" s="42" t="str">
        <f t="shared" si="153"/>
        <v>6</v>
      </c>
      <c r="S608" s="42" t="str">
        <f t="shared" si="154"/>
        <v>7</v>
      </c>
      <c r="T608" s="42">
        <f t="shared" si="155"/>
        <v>3</v>
      </c>
      <c r="U608" s="42">
        <f t="shared" si="156"/>
        <v>89</v>
      </c>
      <c r="V608" s="42">
        <f t="shared" si="157"/>
        <v>3183</v>
      </c>
      <c r="W608" s="42">
        <f t="shared" si="158"/>
        <v>49.316801509098106</v>
      </c>
      <c r="X608" s="42">
        <f t="shared" si="159"/>
        <v>0.18825987366070532</v>
      </c>
    </row>
    <row r="609" spans="1:24" x14ac:dyDescent="0.2">
      <c r="A609" s="49">
        <v>607</v>
      </c>
      <c r="B609" s="49">
        <v>608</v>
      </c>
      <c r="C609" s="49">
        <v>0.21210000000000001</v>
      </c>
      <c r="D609" s="49">
        <v>0.93</v>
      </c>
      <c r="E609" s="49">
        <v>0.1045</v>
      </c>
      <c r="F609" s="49">
        <v>0</v>
      </c>
      <c r="G609" s="49">
        <v>31</v>
      </c>
      <c r="H609" s="49">
        <v>31</v>
      </c>
      <c r="I609" s="42">
        <f t="shared" si="144"/>
        <v>0.74239999999999995</v>
      </c>
      <c r="J609" s="42">
        <f t="shared" si="145"/>
        <v>0.24746666666666664</v>
      </c>
      <c r="K609" s="42">
        <f t="shared" si="146"/>
        <v>3</v>
      </c>
      <c r="L609" s="42">
        <f t="shared" si="147"/>
        <v>2.59</v>
      </c>
      <c r="M609" s="42">
        <f t="shared" si="148"/>
        <v>0.86333333333333329</v>
      </c>
      <c r="N609" s="42">
        <f t="shared" si="149"/>
        <v>3</v>
      </c>
      <c r="O609" s="42">
        <f t="shared" si="150"/>
        <v>110</v>
      </c>
      <c r="P609" s="42">
        <f t="shared" si="151"/>
        <v>36.666666666666664</v>
      </c>
      <c r="Q609" s="42">
        <f t="shared" si="152"/>
        <v>3</v>
      </c>
      <c r="R609" s="42" t="str">
        <f t="shared" si="153"/>
        <v>6</v>
      </c>
      <c r="S609" s="42" t="str">
        <f t="shared" si="154"/>
        <v>8</v>
      </c>
      <c r="T609" s="42">
        <f t="shared" si="155"/>
        <v>3</v>
      </c>
      <c r="U609" s="42">
        <f t="shared" si="156"/>
        <v>89</v>
      </c>
      <c r="V609" s="42">
        <f t="shared" si="157"/>
        <v>3183</v>
      </c>
      <c r="W609" s="42">
        <f t="shared" si="158"/>
        <v>49.316801509098106</v>
      </c>
      <c r="X609" s="42">
        <f t="shared" si="159"/>
        <v>0.18825987366070532</v>
      </c>
    </row>
    <row r="610" spans="1:24" x14ac:dyDescent="0.2">
      <c r="A610" s="49">
        <v>608</v>
      </c>
      <c r="B610" s="49">
        <v>609</v>
      </c>
      <c r="C610" s="49">
        <v>0.2727</v>
      </c>
      <c r="D610" s="49">
        <v>0.8</v>
      </c>
      <c r="E610" s="49">
        <v>0</v>
      </c>
      <c r="F610" s="49">
        <v>2</v>
      </c>
      <c r="G610" s="49">
        <v>36</v>
      </c>
      <c r="H610" s="49">
        <v>38</v>
      </c>
      <c r="I610" s="42">
        <f t="shared" si="144"/>
        <v>0.53029999999999999</v>
      </c>
      <c r="J610" s="42">
        <f t="shared" si="145"/>
        <v>0.26515</v>
      </c>
      <c r="K610" s="42">
        <f t="shared" si="146"/>
        <v>2</v>
      </c>
      <c r="L610" s="42">
        <f t="shared" si="147"/>
        <v>1.6600000000000001</v>
      </c>
      <c r="M610" s="42">
        <f t="shared" si="148"/>
        <v>0.83000000000000007</v>
      </c>
      <c r="N610" s="42">
        <f t="shared" si="149"/>
        <v>2</v>
      </c>
      <c r="O610" s="42">
        <f t="shared" si="150"/>
        <v>79</v>
      </c>
      <c r="P610" s="42">
        <f t="shared" si="151"/>
        <v>39.5</v>
      </c>
      <c r="Q610" s="42">
        <f t="shared" si="152"/>
        <v>2</v>
      </c>
      <c r="R610" s="42" t="str">
        <f t="shared" si="153"/>
        <v>6</v>
      </c>
      <c r="S610" s="42" t="str">
        <f t="shared" si="154"/>
        <v>9</v>
      </c>
      <c r="T610" s="42">
        <f t="shared" si="155"/>
        <v>3</v>
      </c>
      <c r="U610" s="42">
        <f t="shared" si="156"/>
        <v>89</v>
      </c>
      <c r="V610" s="42">
        <f t="shared" si="157"/>
        <v>3183</v>
      </c>
      <c r="W610" s="42">
        <f t="shared" si="158"/>
        <v>49.316801509098106</v>
      </c>
      <c r="X610" s="42">
        <f t="shared" si="159"/>
        <v>0.18825987366070532</v>
      </c>
    </row>
    <row r="611" spans="1:24" x14ac:dyDescent="0.2">
      <c r="A611" s="49">
        <v>609</v>
      </c>
      <c r="B611" s="49">
        <v>610</v>
      </c>
      <c r="C611" s="49">
        <v>0.2576</v>
      </c>
      <c r="D611" s="49">
        <v>0.86</v>
      </c>
      <c r="E611" s="49">
        <v>0</v>
      </c>
      <c r="F611" s="49">
        <v>1</v>
      </c>
      <c r="G611" s="49">
        <v>40</v>
      </c>
      <c r="H611" s="49">
        <v>41</v>
      </c>
      <c r="I611" s="42">
        <f t="shared" si="144"/>
        <v>0.2576</v>
      </c>
      <c r="J611" s="42">
        <f t="shared" si="145"/>
        <v>0.2576</v>
      </c>
      <c r="K611" s="42">
        <f t="shared" si="146"/>
        <v>1</v>
      </c>
      <c r="L611" s="42">
        <f t="shared" si="147"/>
        <v>0.86</v>
      </c>
      <c r="M611" s="42">
        <f t="shared" si="148"/>
        <v>0.86</v>
      </c>
      <c r="N611" s="42">
        <f t="shared" si="149"/>
        <v>1</v>
      </c>
      <c r="O611" s="42">
        <f t="shared" si="150"/>
        <v>41</v>
      </c>
      <c r="P611" s="42">
        <f t="shared" si="151"/>
        <v>41</v>
      </c>
      <c r="Q611" s="42">
        <f t="shared" si="152"/>
        <v>1</v>
      </c>
      <c r="R611" s="42" t="str">
        <f t="shared" si="153"/>
        <v>6</v>
      </c>
      <c r="S611" s="42" t="str">
        <f t="shared" si="154"/>
        <v>0</v>
      </c>
      <c r="T611" s="42">
        <f t="shared" si="155"/>
        <v>3</v>
      </c>
      <c r="U611" s="42">
        <f t="shared" si="156"/>
        <v>89</v>
      </c>
      <c r="V611" s="42">
        <f t="shared" si="157"/>
        <v>3183</v>
      </c>
      <c r="W611" s="42">
        <f t="shared" si="158"/>
        <v>49.316801509098106</v>
      </c>
      <c r="X611" s="42">
        <f t="shared" si="159"/>
        <v>0.18825987366070532</v>
      </c>
    </row>
    <row r="612" spans="1:24" x14ac:dyDescent="0.2">
      <c r="A612" s="45"/>
      <c r="B612" s="45"/>
      <c r="C612" s="45"/>
      <c r="D612" s="45"/>
      <c r="E612" s="45"/>
      <c r="F612" s="45"/>
    </row>
  </sheetData>
  <conditionalFormatting sqref="I1:I1048576">
    <cfRule type="cellIs" dxfId="28" priority="19" operator="lessThan">
      <formula>118</formula>
    </cfRule>
  </conditionalFormatting>
  <conditionalFormatting sqref="J1:J1048576">
    <cfRule type="cellIs" dxfId="27" priority="18" operator="greaterThan">
      <formula>0</formula>
    </cfRule>
  </conditionalFormatting>
  <conditionalFormatting sqref="K1:K1048576">
    <cfRule type="cellIs" dxfId="26" priority="17" operator="lessThan">
      <formula>600</formula>
    </cfRule>
  </conditionalFormatting>
  <conditionalFormatting sqref="L1:L1048576">
    <cfRule type="cellIs" dxfId="25" priority="16" operator="lessThan">
      <formula>344</formula>
    </cfRule>
  </conditionalFormatting>
  <conditionalFormatting sqref="M1:M1048576">
    <cfRule type="cellIs" dxfId="24" priority="15" operator="greaterThan">
      <formula>0</formula>
    </cfRule>
  </conditionalFormatting>
  <conditionalFormatting sqref="N1:N1048576">
    <cfRule type="cellIs" dxfId="23" priority="14" operator="lessThan">
      <formula>611</formula>
    </cfRule>
  </conditionalFormatting>
  <conditionalFormatting sqref="O1:O1048576">
    <cfRule type="cellIs" dxfId="22" priority="13" operator="lessThan">
      <formula>33899</formula>
    </cfRule>
  </conditionalFormatting>
  <conditionalFormatting sqref="P1:P1048576">
    <cfRule type="cellIs" dxfId="21" priority="12" operator="lessThan">
      <formula>56</formula>
    </cfRule>
  </conditionalFormatting>
  <conditionalFormatting sqref="Q1:Q1048576">
    <cfRule type="cellIs" dxfId="20" priority="11" operator="lessThan">
      <formula>611</formula>
    </cfRule>
  </conditionalFormatting>
  <conditionalFormatting sqref="R1:R1048576">
    <cfRule type="cellIs" dxfId="19" priority="8" operator="greaterThan">
      <formula>1</formula>
    </cfRule>
  </conditionalFormatting>
  <conditionalFormatting sqref="S1:S1048576">
    <cfRule type="cellIs" dxfId="18" priority="5" operator="greaterThan">
      <formula>5</formula>
    </cfRule>
  </conditionalFormatting>
  <conditionalFormatting sqref="T1:T1048576">
    <cfRule type="cellIs" dxfId="17" priority="4" operator="greaterThan">
      <formula>0</formula>
    </cfRule>
  </conditionalFormatting>
  <conditionalFormatting sqref="U1:U1048576">
    <cfRule type="cellIs" dxfId="16" priority="3" operator="lessThan">
      <formula>90</formula>
    </cfRule>
  </conditionalFormatting>
  <conditionalFormatting sqref="V1:V1048576">
    <cfRule type="cellIs" dxfId="15" priority="2" operator="lessThan">
      <formula>3184</formula>
    </cfRule>
  </conditionalFormatting>
  <conditionalFormatting sqref="W1:W1048576">
    <cfRule type="cellIs" dxfId="14" priority="1" operator="lessThan">
      <formula>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3E0B-C485-4762-87E7-98E4429744A2}">
  <dimension ref="A1:U611"/>
  <sheetViews>
    <sheetView topLeftCell="I1" workbookViewId="0">
      <selection activeCell="U2" sqref="U2"/>
    </sheetView>
  </sheetViews>
  <sheetFormatPr defaultRowHeight="15" x14ac:dyDescent="0.2"/>
  <cols>
    <col min="20" max="20" width="14.66015625" customWidth="1"/>
  </cols>
  <sheetData>
    <row r="1" spans="1:21" x14ac:dyDescent="0.2">
      <c r="A1" s="12" t="s">
        <v>71</v>
      </c>
      <c r="B1" s="12" t="s">
        <v>6</v>
      </c>
      <c r="C1" s="12" t="s">
        <v>53</v>
      </c>
      <c r="D1" s="12" t="s">
        <v>48</v>
      </c>
      <c r="E1" s="12" t="s">
        <v>54</v>
      </c>
      <c r="F1" s="12" t="s">
        <v>55</v>
      </c>
      <c r="G1" s="12" t="s">
        <v>56</v>
      </c>
      <c r="H1" s="12" t="s">
        <v>46</v>
      </c>
      <c r="I1" s="13" t="s">
        <v>57</v>
      </c>
      <c r="J1" s="14" t="s">
        <v>58</v>
      </c>
      <c r="K1" s="15" t="s">
        <v>59</v>
      </c>
      <c r="L1" s="16" t="s">
        <v>60</v>
      </c>
      <c r="M1" s="17" t="s">
        <v>61</v>
      </c>
      <c r="N1" s="18" t="s">
        <v>62</v>
      </c>
      <c r="O1" s="19" t="s">
        <v>63</v>
      </c>
      <c r="P1" s="20" t="s">
        <v>64</v>
      </c>
      <c r="Q1" s="21" t="s">
        <v>65</v>
      </c>
      <c r="R1" s="11" t="s">
        <v>66</v>
      </c>
      <c r="S1" s="10" t="s">
        <v>67</v>
      </c>
      <c r="T1" s="9" t="s">
        <v>68</v>
      </c>
      <c r="U1" t="s">
        <v>72</v>
      </c>
    </row>
    <row r="2" spans="1:21" x14ac:dyDescent="0.2">
      <c r="A2" s="12">
        <v>0</v>
      </c>
      <c r="B2" s="12">
        <v>1</v>
      </c>
      <c r="C2" s="12">
        <v>0.28789999999999999</v>
      </c>
      <c r="D2" s="12">
        <v>0.81</v>
      </c>
      <c r="E2" s="12">
        <v>0</v>
      </c>
      <c r="F2" s="12">
        <v>3</v>
      </c>
      <c r="G2" s="12">
        <v>13</v>
      </c>
      <c r="H2" s="12">
        <v>16</v>
      </c>
      <c r="I2" s="22">
        <f>SUM(C2:C611)</f>
        <v>119.76100000000011</v>
      </c>
      <c r="J2" s="23">
        <f>AVERAGE(C2:C611)</f>
        <v>0.19993489148580987</v>
      </c>
      <c r="K2" s="24">
        <f>COUNT(C2:C611)</f>
        <v>599</v>
      </c>
      <c r="L2" s="25">
        <f>SUM(D2:D611)</f>
        <v>343.11000000000087</v>
      </c>
      <c r="M2" s="26">
        <f>AVERAGE(D2:D611)</f>
        <v>0.56247540983606703</v>
      </c>
      <c r="N2" s="27">
        <f>COUNT(D2:D611)</f>
        <v>610</v>
      </c>
      <c r="O2" s="28">
        <f>SUM(H2:H611)</f>
        <v>33898</v>
      </c>
      <c r="P2" s="29">
        <f>AVERAGE(H2:H611)</f>
        <v>55.570491803278685</v>
      </c>
      <c r="Q2" s="30">
        <f>COUNT(H2:H611)</f>
        <v>610</v>
      </c>
      <c r="R2" s="11" t="str">
        <f>LEFT(B2,1)</f>
        <v>1</v>
      </c>
      <c r="S2" s="10" t="str">
        <f>RIGHT(B2,1)</f>
        <v>1</v>
      </c>
      <c r="T2" s="9">
        <f>LEN(B2)</f>
        <v>1</v>
      </c>
      <c r="U2" t="str">
        <f>IF(R2=S2,"Match","Mismatch")</f>
        <v>Match</v>
      </c>
    </row>
    <row r="3" spans="1:21" x14ac:dyDescent="0.2">
      <c r="A3" s="12">
        <v>1</v>
      </c>
      <c r="B3" s="12">
        <v>2</v>
      </c>
      <c r="C3" s="12">
        <v>0.2727</v>
      </c>
      <c r="D3" s="12">
        <v>0.8</v>
      </c>
      <c r="E3" s="12">
        <v>0</v>
      </c>
      <c r="F3" s="12">
        <v>8</v>
      </c>
      <c r="G3" s="12">
        <v>32</v>
      </c>
      <c r="H3" s="12">
        <v>40</v>
      </c>
      <c r="I3" s="22">
        <f t="shared" ref="I3:I66" si="0">SUM(C3:C612)</f>
        <v>119.47310000000012</v>
      </c>
      <c r="J3" s="23">
        <f t="shared" ref="J3:J66" si="1">AVERAGE(C3:C612)</f>
        <v>0.19978779264214067</v>
      </c>
      <c r="K3" s="24">
        <f t="shared" ref="K3:K66" si="2">COUNT(C3:C612)</f>
        <v>598</v>
      </c>
      <c r="L3" s="25">
        <f t="shared" ref="L3:L66" si="3">SUM(D3:D612)</f>
        <v>342.30000000000081</v>
      </c>
      <c r="M3" s="26">
        <f t="shared" ref="M3:M66" si="4">AVERAGE(D3:D612)</f>
        <v>0.56206896551724272</v>
      </c>
      <c r="N3" s="27">
        <f t="shared" ref="N3:N66" si="5">COUNT(D3:D612)</f>
        <v>609</v>
      </c>
      <c r="O3" s="28">
        <f t="shared" ref="O3:O66" si="6">SUM(H3:H612)</f>
        <v>33882</v>
      </c>
      <c r="P3" s="29">
        <f t="shared" ref="P3:P66" si="7">AVERAGE(H3:H612)</f>
        <v>55.635467980295566</v>
      </c>
      <c r="Q3" s="30">
        <f t="shared" ref="Q3:Q66" si="8">COUNT(H3:H612)</f>
        <v>609</v>
      </c>
      <c r="R3" s="11" t="str">
        <f t="shared" ref="R3:R66" si="9">LEFT(B3,1)</f>
        <v>2</v>
      </c>
      <c r="S3" s="10" t="str">
        <f t="shared" ref="S3:S66" si="10">RIGHT(B3,1)</f>
        <v>2</v>
      </c>
      <c r="T3" s="9">
        <f t="shared" ref="T3:T66" si="11">LEN(B3)</f>
        <v>1</v>
      </c>
      <c r="U3" t="str">
        <f t="shared" ref="U3:U66" si="12">IF(R3=S3,"Match","Mismatch")</f>
        <v>Match</v>
      </c>
    </row>
    <row r="4" spans="1:21" x14ac:dyDescent="0.2">
      <c r="A4" s="12">
        <v>2</v>
      </c>
      <c r="B4" s="12">
        <v>3</v>
      </c>
      <c r="C4" s="12">
        <v>0.2727</v>
      </c>
      <c r="D4" s="12">
        <v>0.8</v>
      </c>
      <c r="E4" s="12">
        <v>0</v>
      </c>
      <c r="F4" s="12">
        <v>5</v>
      </c>
      <c r="G4" s="12">
        <v>27</v>
      </c>
      <c r="H4" s="12">
        <v>32</v>
      </c>
      <c r="I4" s="22">
        <f t="shared" si="0"/>
        <v>119.20040000000013</v>
      </c>
      <c r="J4" s="23">
        <f t="shared" si="1"/>
        <v>0.19966566164154126</v>
      </c>
      <c r="K4" s="24">
        <f t="shared" si="2"/>
        <v>597</v>
      </c>
      <c r="L4" s="25">
        <f t="shared" si="3"/>
        <v>341.5000000000008</v>
      </c>
      <c r="M4" s="26">
        <f t="shared" si="4"/>
        <v>0.56167763157894868</v>
      </c>
      <c r="N4" s="27">
        <f t="shared" si="5"/>
        <v>608</v>
      </c>
      <c r="O4" s="28">
        <f t="shared" si="6"/>
        <v>33842</v>
      </c>
      <c r="P4" s="29">
        <f t="shared" si="7"/>
        <v>55.661184210526315</v>
      </c>
      <c r="Q4" s="30">
        <f t="shared" si="8"/>
        <v>608</v>
      </c>
      <c r="R4" s="11" t="str">
        <f t="shared" si="9"/>
        <v>3</v>
      </c>
      <c r="S4" s="10" t="str">
        <f t="shared" si="10"/>
        <v>3</v>
      </c>
      <c r="T4" s="9">
        <f t="shared" si="11"/>
        <v>1</v>
      </c>
      <c r="U4" t="str">
        <f t="shared" si="12"/>
        <v>Match</v>
      </c>
    </row>
    <row r="5" spans="1:21" x14ac:dyDescent="0.2">
      <c r="A5" s="12">
        <v>3</v>
      </c>
      <c r="B5" s="12">
        <v>4</v>
      </c>
      <c r="C5" s="12">
        <v>0.28789999999999999</v>
      </c>
      <c r="D5" s="12">
        <v>0.75</v>
      </c>
      <c r="E5" s="12">
        <v>0</v>
      </c>
      <c r="F5" s="12">
        <v>3</v>
      </c>
      <c r="G5" s="12">
        <v>10</v>
      </c>
      <c r="H5" s="12">
        <v>13</v>
      </c>
      <c r="I5" s="22">
        <f t="shared" si="0"/>
        <v>118.92770000000012</v>
      </c>
      <c r="J5" s="23">
        <f t="shared" si="1"/>
        <v>0.19954312080536932</v>
      </c>
      <c r="K5" s="24">
        <f t="shared" si="2"/>
        <v>596</v>
      </c>
      <c r="L5" s="25">
        <f t="shared" si="3"/>
        <v>340.70000000000078</v>
      </c>
      <c r="M5" s="26">
        <f t="shared" si="4"/>
        <v>0.5612850082372336</v>
      </c>
      <c r="N5" s="27">
        <f t="shared" si="5"/>
        <v>607</v>
      </c>
      <c r="O5" s="28">
        <f t="shared" si="6"/>
        <v>33810</v>
      </c>
      <c r="P5" s="29">
        <f t="shared" si="7"/>
        <v>55.700164744645797</v>
      </c>
      <c r="Q5" s="30">
        <f t="shared" si="8"/>
        <v>607</v>
      </c>
      <c r="R5" s="11" t="str">
        <f t="shared" si="9"/>
        <v>4</v>
      </c>
      <c r="S5" s="10" t="str">
        <f t="shared" si="10"/>
        <v>4</v>
      </c>
      <c r="T5" s="9">
        <f t="shared" si="11"/>
        <v>1</v>
      </c>
      <c r="U5" t="str">
        <f t="shared" si="12"/>
        <v>Match</v>
      </c>
    </row>
    <row r="6" spans="1:21" x14ac:dyDescent="0.2">
      <c r="A6" s="12">
        <v>4</v>
      </c>
      <c r="B6" s="12">
        <v>5</v>
      </c>
      <c r="C6" s="12">
        <v>0.28789999999999999</v>
      </c>
      <c r="D6" s="12">
        <v>0.75</v>
      </c>
      <c r="E6" s="12">
        <v>0</v>
      </c>
      <c r="F6" s="12">
        <v>0</v>
      </c>
      <c r="G6" s="12">
        <v>1</v>
      </c>
      <c r="H6" s="12">
        <v>1</v>
      </c>
      <c r="I6" s="22">
        <f t="shared" si="0"/>
        <v>118.63980000000012</v>
      </c>
      <c r="J6" s="23">
        <f t="shared" si="1"/>
        <v>0.19939462184873971</v>
      </c>
      <c r="K6" s="24">
        <f t="shared" si="2"/>
        <v>595</v>
      </c>
      <c r="L6" s="25">
        <f t="shared" si="3"/>
        <v>339.95000000000078</v>
      </c>
      <c r="M6" s="26">
        <f t="shared" si="4"/>
        <v>0.56097359735973729</v>
      </c>
      <c r="N6" s="27">
        <f t="shared" si="5"/>
        <v>606</v>
      </c>
      <c r="O6" s="28">
        <f t="shared" si="6"/>
        <v>33797</v>
      </c>
      <c r="P6" s="29">
        <f t="shared" si="7"/>
        <v>55.770627062706268</v>
      </c>
      <c r="Q6" s="30">
        <f t="shared" si="8"/>
        <v>606</v>
      </c>
      <c r="R6" s="11" t="str">
        <f t="shared" si="9"/>
        <v>5</v>
      </c>
      <c r="S6" s="10" t="str">
        <f t="shared" si="10"/>
        <v>5</v>
      </c>
      <c r="T6" s="9">
        <f t="shared" si="11"/>
        <v>1</v>
      </c>
      <c r="U6" t="str">
        <f t="shared" si="12"/>
        <v>Match</v>
      </c>
    </row>
    <row r="7" spans="1:21" x14ac:dyDescent="0.2">
      <c r="A7" s="12">
        <v>5</v>
      </c>
      <c r="B7" s="12">
        <v>6</v>
      </c>
      <c r="C7" s="12">
        <v>0.2576</v>
      </c>
      <c r="D7" s="12">
        <v>0.75</v>
      </c>
      <c r="E7" s="12">
        <v>8.9599999999999999E-2</v>
      </c>
      <c r="F7" s="12">
        <v>0</v>
      </c>
      <c r="G7" s="12">
        <v>1</v>
      </c>
      <c r="H7" s="12">
        <v>1</v>
      </c>
      <c r="I7" s="22">
        <f t="shared" si="0"/>
        <v>118.3519000000001</v>
      </c>
      <c r="J7" s="23">
        <f t="shared" si="1"/>
        <v>0.19924562289562306</v>
      </c>
      <c r="K7" s="24">
        <f t="shared" si="2"/>
        <v>594</v>
      </c>
      <c r="L7" s="25">
        <f t="shared" si="3"/>
        <v>339.20000000000084</v>
      </c>
      <c r="M7" s="26">
        <f t="shared" si="4"/>
        <v>0.5606611570247948</v>
      </c>
      <c r="N7" s="27">
        <f t="shared" si="5"/>
        <v>605</v>
      </c>
      <c r="O7" s="28">
        <f t="shared" si="6"/>
        <v>33796</v>
      </c>
      <c r="P7" s="29">
        <f t="shared" si="7"/>
        <v>55.861157024793386</v>
      </c>
      <c r="Q7" s="30">
        <f t="shared" si="8"/>
        <v>605</v>
      </c>
      <c r="R7" s="11" t="str">
        <f t="shared" si="9"/>
        <v>6</v>
      </c>
      <c r="S7" s="10" t="str">
        <f t="shared" si="10"/>
        <v>6</v>
      </c>
      <c r="T7" s="9">
        <f t="shared" si="11"/>
        <v>1</v>
      </c>
      <c r="U7" t="str">
        <f t="shared" si="12"/>
        <v>Match</v>
      </c>
    </row>
    <row r="8" spans="1:21" x14ac:dyDescent="0.2">
      <c r="A8" s="12">
        <v>6</v>
      </c>
      <c r="B8" s="12">
        <v>7</v>
      </c>
      <c r="C8" s="12">
        <v>0.2727</v>
      </c>
      <c r="D8" s="12">
        <v>0.8</v>
      </c>
      <c r="E8" s="12">
        <v>0</v>
      </c>
      <c r="F8" s="12">
        <v>2</v>
      </c>
      <c r="G8" s="12">
        <v>0</v>
      </c>
      <c r="H8" s="12">
        <v>2</v>
      </c>
      <c r="I8" s="22">
        <f t="shared" si="0"/>
        <v>118.0943000000001</v>
      </c>
      <c r="J8" s="23">
        <f t="shared" si="1"/>
        <v>0.19914721753794284</v>
      </c>
      <c r="K8" s="24">
        <f t="shared" si="2"/>
        <v>593</v>
      </c>
      <c r="L8" s="25">
        <f t="shared" si="3"/>
        <v>338.45000000000084</v>
      </c>
      <c r="M8" s="26">
        <f t="shared" si="4"/>
        <v>0.56034768211920671</v>
      </c>
      <c r="N8" s="27">
        <f t="shared" si="5"/>
        <v>604</v>
      </c>
      <c r="O8" s="28">
        <f t="shared" si="6"/>
        <v>33795</v>
      </c>
      <c r="P8" s="29">
        <f t="shared" si="7"/>
        <v>55.951986754966889</v>
      </c>
      <c r="Q8" s="30">
        <f t="shared" si="8"/>
        <v>604</v>
      </c>
      <c r="R8" s="11" t="str">
        <f t="shared" si="9"/>
        <v>7</v>
      </c>
      <c r="S8" s="10" t="str">
        <f t="shared" si="10"/>
        <v>7</v>
      </c>
      <c r="T8" s="9">
        <f t="shared" si="11"/>
        <v>1</v>
      </c>
      <c r="U8" t="str">
        <f t="shared" si="12"/>
        <v>Match</v>
      </c>
    </row>
    <row r="9" spans="1:21" x14ac:dyDescent="0.2">
      <c r="A9" s="12">
        <v>7</v>
      </c>
      <c r="B9" s="12">
        <v>8</v>
      </c>
      <c r="C9" s="12">
        <v>0.2576</v>
      </c>
      <c r="D9" s="12">
        <v>0.86</v>
      </c>
      <c r="E9" s="12">
        <v>0</v>
      </c>
      <c r="F9" s="12">
        <v>1</v>
      </c>
      <c r="G9" s="12">
        <v>2</v>
      </c>
      <c r="H9" s="12">
        <v>3</v>
      </c>
      <c r="I9" s="22">
        <f t="shared" si="0"/>
        <v>117.82160000000009</v>
      </c>
      <c r="J9" s="23">
        <f t="shared" si="1"/>
        <v>0.19902297297297311</v>
      </c>
      <c r="K9" s="24">
        <f t="shared" si="2"/>
        <v>592</v>
      </c>
      <c r="L9" s="25">
        <f t="shared" si="3"/>
        <v>337.65000000000083</v>
      </c>
      <c r="M9" s="26">
        <f t="shared" si="4"/>
        <v>0.55995024875622024</v>
      </c>
      <c r="N9" s="27">
        <f t="shared" si="5"/>
        <v>603</v>
      </c>
      <c r="O9" s="28">
        <f t="shared" si="6"/>
        <v>33793</v>
      </c>
      <c r="P9" s="29">
        <f t="shared" si="7"/>
        <v>56.041459369817581</v>
      </c>
      <c r="Q9" s="30">
        <f t="shared" si="8"/>
        <v>603</v>
      </c>
      <c r="R9" s="11" t="str">
        <f t="shared" si="9"/>
        <v>8</v>
      </c>
      <c r="S9" s="10" t="str">
        <f t="shared" si="10"/>
        <v>8</v>
      </c>
      <c r="T9" s="9">
        <f t="shared" si="11"/>
        <v>1</v>
      </c>
      <c r="U9" t="str">
        <f t="shared" si="12"/>
        <v>Match</v>
      </c>
    </row>
    <row r="10" spans="1:21" x14ac:dyDescent="0.2">
      <c r="A10" s="12">
        <v>8</v>
      </c>
      <c r="B10" s="12">
        <v>9</v>
      </c>
      <c r="C10" s="12"/>
      <c r="D10" s="12">
        <v>0.75</v>
      </c>
      <c r="E10" s="12">
        <v>0</v>
      </c>
      <c r="F10" s="12">
        <v>1</v>
      </c>
      <c r="G10" s="12">
        <v>7</v>
      </c>
      <c r="H10" s="12">
        <v>8</v>
      </c>
      <c r="I10" s="22">
        <f t="shared" si="0"/>
        <v>117.56400000000009</v>
      </c>
      <c r="J10" s="23">
        <f t="shared" si="1"/>
        <v>0.19892385786802047</v>
      </c>
      <c r="K10" s="24">
        <f t="shared" si="2"/>
        <v>591</v>
      </c>
      <c r="L10" s="25">
        <f t="shared" si="3"/>
        <v>336.79000000000076</v>
      </c>
      <c r="M10" s="26">
        <f t="shared" si="4"/>
        <v>0.55945182724252618</v>
      </c>
      <c r="N10" s="27">
        <f t="shared" si="5"/>
        <v>602</v>
      </c>
      <c r="O10" s="28">
        <f t="shared" si="6"/>
        <v>33790</v>
      </c>
      <c r="P10" s="29">
        <f t="shared" si="7"/>
        <v>56.129568106312291</v>
      </c>
      <c r="Q10" s="30">
        <f t="shared" si="8"/>
        <v>602</v>
      </c>
      <c r="R10" s="11" t="str">
        <f t="shared" si="9"/>
        <v>9</v>
      </c>
      <c r="S10" s="10" t="str">
        <f t="shared" si="10"/>
        <v>9</v>
      </c>
      <c r="T10" s="9">
        <f t="shared" si="11"/>
        <v>1</v>
      </c>
      <c r="U10" t="str">
        <f t="shared" si="12"/>
        <v>Match</v>
      </c>
    </row>
    <row r="11" spans="1:21" x14ac:dyDescent="0.2">
      <c r="A11" s="12">
        <v>9</v>
      </c>
      <c r="B11" s="12">
        <v>10</v>
      </c>
      <c r="C11" s="12">
        <v>0.34849999999999998</v>
      </c>
      <c r="D11" s="12">
        <v>0.76</v>
      </c>
      <c r="E11" s="12">
        <v>0</v>
      </c>
      <c r="F11" s="12">
        <v>8</v>
      </c>
      <c r="G11" s="12">
        <v>6</v>
      </c>
      <c r="H11" s="12">
        <v>14</v>
      </c>
      <c r="I11" s="22">
        <f t="shared" si="0"/>
        <v>117.56400000000009</v>
      </c>
      <c r="J11" s="23">
        <f t="shared" si="1"/>
        <v>0.19892385786802047</v>
      </c>
      <c r="K11" s="24">
        <f t="shared" si="2"/>
        <v>591</v>
      </c>
      <c r="L11" s="25">
        <f t="shared" si="3"/>
        <v>336.04000000000076</v>
      </c>
      <c r="M11" s="26">
        <f t="shared" si="4"/>
        <v>0.55913477537437728</v>
      </c>
      <c r="N11" s="27">
        <f t="shared" si="5"/>
        <v>601</v>
      </c>
      <c r="O11" s="28">
        <f t="shared" si="6"/>
        <v>33782</v>
      </c>
      <c r="P11" s="29">
        <f t="shared" si="7"/>
        <v>56.209650582362727</v>
      </c>
      <c r="Q11" s="30">
        <f t="shared" si="8"/>
        <v>601</v>
      </c>
      <c r="R11" s="11" t="str">
        <f t="shared" si="9"/>
        <v>1</v>
      </c>
      <c r="S11" s="10" t="str">
        <f t="shared" si="10"/>
        <v>0</v>
      </c>
      <c r="T11" s="9">
        <f t="shared" si="11"/>
        <v>2</v>
      </c>
      <c r="U11" t="str">
        <f t="shared" si="12"/>
        <v>Mismatch</v>
      </c>
    </row>
    <row r="12" spans="1:21" x14ac:dyDescent="0.2">
      <c r="A12" s="12">
        <v>10</v>
      </c>
      <c r="B12" s="12">
        <v>11</v>
      </c>
      <c r="C12" s="12">
        <v>0.39389999999999997</v>
      </c>
      <c r="D12" s="12">
        <v>0.76</v>
      </c>
      <c r="E12" s="12">
        <v>0.25369999999999998</v>
      </c>
      <c r="F12" s="12">
        <v>12</v>
      </c>
      <c r="G12" s="12">
        <v>24</v>
      </c>
      <c r="H12" s="12">
        <v>36</v>
      </c>
      <c r="I12" s="22">
        <f t="shared" si="0"/>
        <v>117.21550000000012</v>
      </c>
      <c r="J12" s="23">
        <f t="shared" si="1"/>
        <v>0.19867033898305106</v>
      </c>
      <c r="K12" s="24">
        <f t="shared" si="2"/>
        <v>590</v>
      </c>
      <c r="L12" s="25">
        <f t="shared" si="3"/>
        <v>335.28000000000077</v>
      </c>
      <c r="M12" s="26">
        <f t="shared" si="4"/>
        <v>0.5588000000000013</v>
      </c>
      <c r="N12" s="27">
        <f t="shared" si="5"/>
        <v>600</v>
      </c>
      <c r="O12" s="28">
        <f t="shared" si="6"/>
        <v>33768</v>
      </c>
      <c r="P12" s="29">
        <f t="shared" si="7"/>
        <v>56.28</v>
      </c>
      <c r="Q12" s="30">
        <f t="shared" si="8"/>
        <v>600</v>
      </c>
      <c r="R12" s="11" t="str">
        <f t="shared" si="9"/>
        <v>1</v>
      </c>
      <c r="S12" s="10" t="str">
        <f t="shared" si="10"/>
        <v>1</v>
      </c>
      <c r="T12" s="9">
        <f t="shared" si="11"/>
        <v>2</v>
      </c>
      <c r="U12" t="str">
        <f t="shared" si="12"/>
        <v>Match</v>
      </c>
    </row>
    <row r="13" spans="1:21" x14ac:dyDescent="0.2">
      <c r="A13" s="12">
        <v>11</v>
      </c>
      <c r="B13" s="12">
        <v>12</v>
      </c>
      <c r="C13" s="12">
        <v>0.33329999999999999</v>
      </c>
      <c r="D13" s="12">
        <v>0.81</v>
      </c>
      <c r="E13" s="12">
        <v>0.28360000000000002</v>
      </c>
      <c r="F13" s="12">
        <v>26</v>
      </c>
      <c r="G13" s="12">
        <v>30</v>
      </c>
      <c r="H13" s="12">
        <v>56</v>
      </c>
      <c r="I13" s="22">
        <f t="shared" si="0"/>
        <v>116.82160000000012</v>
      </c>
      <c r="J13" s="23">
        <f t="shared" si="1"/>
        <v>0.19833887945670647</v>
      </c>
      <c r="K13" s="24">
        <f t="shared" si="2"/>
        <v>589</v>
      </c>
      <c r="L13" s="25">
        <f t="shared" si="3"/>
        <v>334.52000000000078</v>
      </c>
      <c r="M13" s="26">
        <f t="shared" si="4"/>
        <v>0.55846410684474257</v>
      </c>
      <c r="N13" s="27">
        <f t="shared" si="5"/>
        <v>599</v>
      </c>
      <c r="O13" s="28">
        <f t="shared" si="6"/>
        <v>33732</v>
      </c>
      <c r="P13" s="29">
        <f t="shared" si="7"/>
        <v>56.313856427378965</v>
      </c>
      <c r="Q13" s="30">
        <f t="shared" si="8"/>
        <v>599</v>
      </c>
      <c r="R13" s="11" t="str">
        <f t="shared" si="9"/>
        <v>1</v>
      </c>
      <c r="S13" s="10" t="str">
        <f t="shared" si="10"/>
        <v>2</v>
      </c>
      <c r="T13" s="9">
        <f t="shared" si="11"/>
        <v>2</v>
      </c>
      <c r="U13" t="str">
        <f t="shared" si="12"/>
        <v>Mismatch</v>
      </c>
    </row>
    <row r="14" spans="1:21" x14ac:dyDescent="0.2">
      <c r="A14" s="12">
        <v>12</v>
      </c>
      <c r="B14" s="12">
        <v>13</v>
      </c>
      <c r="C14" s="12">
        <v>0.42420000000000002</v>
      </c>
      <c r="D14" s="12">
        <v>0.77</v>
      </c>
      <c r="E14" s="12">
        <v>0.28360000000000002</v>
      </c>
      <c r="F14" s="12">
        <v>29</v>
      </c>
      <c r="G14" s="12">
        <v>55</v>
      </c>
      <c r="H14" s="12">
        <v>84</v>
      </c>
      <c r="I14" s="22">
        <f t="shared" si="0"/>
        <v>116.48830000000011</v>
      </c>
      <c r="J14" s="23">
        <f t="shared" si="1"/>
        <v>0.1981093537414968</v>
      </c>
      <c r="K14" s="24">
        <f t="shared" si="2"/>
        <v>588</v>
      </c>
      <c r="L14" s="25">
        <f t="shared" si="3"/>
        <v>333.71000000000078</v>
      </c>
      <c r="M14" s="26">
        <f t="shared" si="4"/>
        <v>0.55804347826087086</v>
      </c>
      <c r="N14" s="27">
        <f t="shared" si="5"/>
        <v>598</v>
      </c>
      <c r="O14" s="28">
        <f t="shared" si="6"/>
        <v>33676</v>
      </c>
      <c r="P14" s="29">
        <f t="shared" si="7"/>
        <v>56.314381270903013</v>
      </c>
      <c r="Q14" s="30">
        <f t="shared" si="8"/>
        <v>598</v>
      </c>
      <c r="R14" s="11" t="str">
        <f t="shared" si="9"/>
        <v>1</v>
      </c>
      <c r="S14" s="10" t="str">
        <f t="shared" si="10"/>
        <v>3</v>
      </c>
      <c r="T14" s="9">
        <f t="shared" si="11"/>
        <v>2</v>
      </c>
      <c r="U14" t="str">
        <f t="shared" si="12"/>
        <v>Mismatch</v>
      </c>
    </row>
    <row r="15" spans="1:21" x14ac:dyDescent="0.2">
      <c r="A15" s="12">
        <v>13</v>
      </c>
      <c r="B15" s="12">
        <v>14</v>
      </c>
      <c r="C15" s="12">
        <v>0.45450000000000002</v>
      </c>
      <c r="D15" s="12">
        <v>0.72</v>
      </c>
      <c r="E15" s="12">
        <v>0.29849999999999999</v>
      </c>
      <c r="F15" s="12">
        <v>47</v>
      </c>
      <c r="G15" s="12">
        <v>47</v>
      </c>
      <c r="H15" s="12">
        <v>94</v>
      </c>
      <c r="I15" s="22">
        <f t="shared" si="0"/>
        <v>116.0641000000001</v>
      </c>
      <c r="J15" s="23">
        <f t="shared" si="1"/>
        <v>0.1977241908006816</v>
      </c>
      <c r="K15" s="24">
        <f t="shared" si="2"/>
        <v>587</v>
      </c>
      <c r="L15" s="25">
        <f t="shared" si="3"/>
        <v>332.94000000000079</v>
      </c>
      <c r="M15" s="26">
        <f t="shared" si="4"/>
        <v>0.55768844221105662</v>
      </c>
      <c r="N15" s="27">
        <f t="shared" si="5"/>
        <v>597</v>
      </c>
      <c r="O15" s="28">
        <f t="shared" si="6"/>
        <v>33592</v>
      </c>
      <c r="P15" s="29">
        <f t="shared" si="7"/>
        <v>56.268006700167504</v>
      </c>
      <c r="Q15" s="30">
        <f t="shared" si="8"/>
        <v>597</v>
      </c>
      <c r="R15" s="11" t="str">
        <f t="shared" si="9"/>
        <v>1</v>
      </c>
      <c r="S15" s="10" t="str">
        <f t="shared" si="10"/>
        <v>4</v>
      </c>
      <c r="T15" s="9">
        <f t="shared" si="11"/>
        <v>2</v>
      </c>
      <c r="U15" t="str">
        <f t="shared" si="12"/>
        <v>Mismatch</v>
      </c>
    </row>
    <row r="16" spans="1:21" x14ac:dyDescent="0.2">
      <c r="A16" s="12">
        <v>14</v>
      </c>
      <c r="B16" s="12">
        <v>15</v>
      </c>
      <c r="C16" s="12">
        <v>0.45450000000000002</v>
      </c>
      <c r="D16" s="12">
        <v>0.72</v>
      </c>
      <c r="E16" s="12">
        <v>0.28360000000000002</v>
      </c>
      <c r="F16" s="12">
        <v>35</v>
      </c>
      <c r="G16" s="12">
        <v>71</v>
      </c>
      <c r="H16" s="12">
        <v>106</v>
      </c>
      <c r="I16" s="22">
        <f t="shared" si="0"/>
        <v>115.6096000000001</v>
      </c>
      <c r="J16" s="23">
        <f t="shared" si="1"/>
        <v>0.19728600682593875</v>
      </c>
      <c r="K16" s="24">
        <f t="shared" si="2"/>
        <v>586</v>
      </c>
      <c r="L16" s="25">
        <f t="shared" si="3"/>
        <v>332.22000000000082</v>
      </c>
      <c r="M16" s="26">
        <f t="shared" si="4"/>
        <v>0.55741610738255176</v>
      </c>
      <c r="N16" s="27">
        <f t="shared" si="5"/>
        <v>596</v>
      </c>
      <c r="O16" s="28">
        <f t="shared" si="6"/>
        <v>33498</v>
      </c>
      <c r="P16" s="29">
        <f t="shared" si="7"/>
        <v>56.20469798657718</v>
      </c>
      <c r="Q16" s="30">
        <f t="shared" si="8"/>
        <v>596</v>
      </c>
      <c r="R16" s="11" t="str">
        <f t="shared" si="9"/>
        <v>1</v>
      </c>
      <c r="S16" s="10" t="str">
        <f t="shared" si="10"/>
        <v>5</v>
      </c>
      <c r="T16" s="9">
        <f t="shared" si="11"/>
        <v>2</v>
      </c>
      <c r="U16" t="str">
        <f t="shared" si="12"/>
        <v>Mismatch</v>
      </c>
    </row>
    <row r="17" spans="1:21" x14ac:dyDescent="0.2">
      <c r="A17" s="12">
        <v>15</v>
      </c>
      <c r="B17" s="12">
        <v>16</v>
      </c>
      <c r="C17" s="12">
        <v>0.43940000000000001</v>
      </c>
      <c r="D17" s="12">
        <v>0.77</v>
      </c>
      <c r="E17" s="12">
        <v>0.29849999999999999</v>
      </c>
      <c r="F17" s="12">
        <v>40</v>
      </c>
      <c r="G17" s="12">
        <v>70</v>
      </c>
      <c r="H17" s="12">
        <v>110</v>
      </c>
      <c r="I17" s="22">
        <f t="shared" si="0"/>
        <v>115.15510000000012</v>
      </c>
      <c r="J17" s="23">
        <f t="shared" si="1"/>
        <v>0.19684632478632499</v>
      </c>
      <c r="K17" s="24">
        <f t="shared" si="2"/>
        <v>585</v>
      </c>
      <c r="L17" s="25">
        <f t="shared" si="3"/>
        <v>331.50000000000074</v>
      </c>
      <c r="M17" s="26">
        <f t="shared" si="4"/>
        <v>0.55714285714285838</v>
      </c>
      <c r="N17" s="27">
        <f t="shared" si="5"/>
        <v>595</v>
      </c>
      <c r="O17" s="28">
        <f t="shared" si="6"/>
        <v>33392</v>
      </c>
      <c r="P17" s="29">
        <f t="shared" si="7"/>
        <v>56.121008403361344</v>
      </c>
      <c r="Q17" s="30">
        <f t="shared" si="8"/>
        <v>595</v>
      </c>
      <c r="R17" s="11" t="str">
        <f t="shared" si="9"/>
        <v>1</v>
      </c>
      <c r="S17" s="10" t="str">
        <f t="shared" si="10"/>
        <v>6</v>
      </c>
      <c r="T17" s="9">
        <f t="shared" si="11"/>
        <v>2</v>
      </c>
      <c r="U17" t="str">
        <f t="shared" si="12"/>
        <v>Mismatch</v>
      </c>
    </row>
    <row r="18" spans="1:21" x14ac:dyDescent="0.2">
      <c r="A18" s="12">
        <v>16</v>
      </c>
      <c r="B18" s="12">
        <v>17</v>
      </c>
      <c r="C18" s="12">
        <v>0.42420000000000002</v>
      </c>
      <c r="D18" s="12">
        <v>0.82</v>
      </c>
      <c r="E18" s="12">
        <v>0.29849999999999999</v>
      </c>
      <c r="F18" s="12">
        <v>41</v>
      </c>
      <c r="G18" s="12">
        <v>52</v>
      </c>
      <c r="H18" s="12">
        <v>93</v>
      </c>
      <c r="I18" s="22">
        <f t="shared" si="0"/>
        <v>114.71570000000011</v>
      </c>
      <c r="J18" s="23">
        <f t="shared" si="1"/>
        <v>0.19643099315068513</v>
      </c>
      <c r="K18" s="24">
        <f t="shared" si="2"/>
        <v>584</v>
      </c>
      <c r="L18" s="25">
        <f t="shared" si="3"/>
        <v>330.7300000000007</v>
      </c>
      <c r="M18" s="26">
        <f t="shared" si="4"/>
        <v>0.55678451178451294</v>
      </c>
      <c r="N18" s="27">
        <f t="shared" si="5"/>
        <v>594</v>
      </c>
      <c r="O18" s="28">
        <f t="shared" si="6"/>
        <v>33282</v>
      </c>
      <c r="P18" s="29">
        <f t="shared" si="7"/>
        <v>56.030303030303031</v>
      </c>
      <c r="Q18" s="30">
        <f t="shared" si="8"/>
        <v>594</v>
      </c>
      <c r="R18" s="11" t="str">
        <f t="shared" si="9"/>
        <v>1</v>
      </c>
      <c r="S18" s="10" t="str">
        <f t="shared" si="10"/>
        <v>7</v>
      </c>
      <c r="T18" s="9">
        <f t="shared" si="11"/>
        <v>2</v>
      </c>
      <c r="U18" t="str">
        <f t="shared" si="12"/>
        <v>Mismatch</v>
      </c>
    </row>
    <row r="19" spans="1:21" x14ac:dyDescent="0.2">
      <c r="A19" s="12">
        <v>17</v>
      </c>
      <c r="B19" s="12">
        <v>18</v>
      </c>
      <c r="C19" s="12"/>
      <c r="D19" s="12">
        <v>0.82</v>
      </c>
      <c r="E19" s="12">
        <v>0.28360000000000002</v>
      </c>
      <c r="F19" s="12">
        <v>15</v>
      </c>
      <c r="G19" s="12">
        <v>52</v>
      </c>
      <c r="H19" s="12">
        <v>67</v>
      </c>
      <c r="I19" s="22">
        <f t="shared" si="0"/>
        <v>114.2915000000001</v>
      </c>
      <c r="J19" s="23">
        <f t="shared" si="1"/>
        <v>0.19604030874785608</v>
      </c>
      <c r="K19" s="24">
        <f t="shared" si="2"/>
        <v>583</v>
      </c>
      <c r="L19" s="25">
        <f t="shared" si="3"/>
        <v>329.91000000000071</v>
      </c>
      <c r="M19" s="26">
        <f t="shared" si="4"/>
        <v>0.55634064080944468</v>
      </c>
      <c r="N19" s="27">
        <f t="shared" si="5"/>
        <v>593</v>
      </c>
      <c r="O19" s="28">
        <f t="shared" si="6"/>
        <v>33189</v>
      </c>
      <c r="P19" s="29">
        <f t="shared" si="7"/>
        <v>55.967959527824618</v>
      </c>
      <c r="Q19" s="30">
        <f t="shared" si="8"/>
        <v>593</v>
      </c>
      <c r="R19" s="11" t="str">
        <f t="shared" si="9"/>
        <v>1</v>
      </c>
      <c r="S19" s="10" t="str">
        <f t="shared" si="10"/>
        <v>8</v>
      </c>
      <c r="T19" s="9">
        <f t="shared" si="11"/>
        <v>2</v>
      </c>
      <c r="U19" t="str">
        <f t="shared" si="12"/>
        <v>Mismatch</v>
      </c>
    </row>
    <row r="20" spans="1:21" x14ac:dyDescent="0.2">
      <c r="A20" s="12">
        <v>18</v>
      </c>
      <c r="B20" s="12">
        <v>19</v>
      </c>
      <c r="C20" s="12">
        <v>0.42420000000000002</v>
      </c>
      <c r="D20" s="12">
        <v>0.88</v>
      </c>
      <c r="E20" s="12">
        <v>0.25369999999999998</v>
      </c>
      <c r="F20" s="12">
        <v>9</v>
      </c>
      <c r="G20" s="12">
        <v>26</v>
      </c>
      <c r="H20" s="12">
        <v>35</v>
      </c>
      <c r="I20" s="22">
        <f t="shared" si="0"/>
        <v>114.2915000000001</v>
      </c>
      <c r="J20" s="23">
        <f t="shared" si="1"/>
        <v>0.19604030874785608</v>
      </c>
      <c r="K20" s="24">
        <f t="shared" si="2"/>
        <v>583</v>
      </c>
      <c r="L20" s="25">
        <f t="shared" si="3"/>
        <v>329.09000000000071</v>
      </c>
      <c r="M20" s="26">
        <f t="shared" si="4"/>
        <v>0.55589527027027152</v>
      </c>
      <c r="N20" s="27">
        <f t="shared" si="5"/>
        <v>592</v>
      </c>
      <c r="O20" s="28">
        <f t="shared" si="6"/>
        <v>33122</v>
      </c>
      <c r="P20" s="29">
        <f t="shared" si="7"/>
        <v>55.949324324324323</v>
      </c>
      <c r="Q20" s="30">
        <f t="shared" si="8"/>
        <v>592</v>
      </c>
      <c r="R20" s="11" t="str">
        <f t="shared" si="9"/>
        <v>1</v>
      </c>
      <c r="S20" s="10" t="str">
        <f t="shared" si="10"/>
        <v>9</v>
      </c>
      <c r="T20" s="9">
        <f t="shared" si="11"/>
        <v>2</v>
      </c>
      <c r="U20" t="str">
        <f t="shared" si="12"/>
        <v>Mismatch</v>
      </c>
    </row>
    <row r="21" spans="1:21" x14ac:dyDescent="0.2">
      <c r="A21" s="12">
        <v>19</v>
      </c>
      <c r="B21" s="12">
        <v>20</v>
      </c>
      <c r="C21" s="12">
        <v>0.42420000000000002</v>
      </c>
      <c r="D21" s="12">
        <v>0.88</v>
      </c>
      <c r="E21" s="12">
        <v>0.25369999999999998</v>
      </c>
      <c r="F21" s="12">
        <v>6</v>
      </c>
      <c r="G21" s="12">
        <v>31</v>
      </c>
      <c r="H21" s="12">
        <v>37</v>
      </c>
      <c r="I21" s="22">
        <f t="shared" si="0"/>
        <v>113.8673000000001</v>
      </c>
      <c r="J21" s="23">
        <f t="shared" si="1"/>
        <v>0.19564828178694174</v>
      </c>
      <c r="K21" s="24">
        <f t="shared" si="2"/>
        <v>582</v>
      </c>
      <c r="L21" s="25">
        <f t="shared" si="3"/>
        <v>328.2100000000006</v>
      </c>
      <c r="M21" s="26">
        <f t="shared" si="4"/>
        <v>0.55534686971235292</v>
      </c>
      <c r="N21" s="27">
        <f t="shared" si="5"/>
        <v>591</v>
      </c>
      <c r="O21" s="28">
        <f t="shared" si="6"/>
        <v>33087</v>
      </c>
      <c r="P21" s="29">
        <f t="shared" si="7"/>
        <v>55.984771573604064</v>
      </c>
      <c r="Q21" s="30">
        <f t="shared" si="8"/>
        <v>591</v>
      </c>
      <c r="R21" s="11" t="str">
        <f t="shared" si="9"/>
        <v>2</v>
      </c>
      <c r="S21" s="10" t="str">
        <f t="shared" si="10"/>
        <v>0</v>
      </c>
      <c r="T21" s="9">
        <f t="shared" si="11"/>
        <v>2</v>
      </c>
      <c r="U21" t="str">
        <f t="shared" si="12"/>
        <v>Mismatch</v>
      </c>
    </row>
    <row r="22" spans="1:21" x14ac:dyDescent="0.2">
      <c r="A22" s="12">
        <v>20</v>
      </c>
      <c r="B22" s="12">
        <v>21</v>
      </c>
      <c r="C22" s="12">
        <v>0.40910000000000002</v>
      </c>
      <c r="D22" s="12">
        <v>0.87</v>
      </c>
      <c r="E22" s="12">
        <v>0.25369999999999998</v>
      </c>
      <c r="F22" s="12">
        <v>11</v>
      </c>
      <c r="G22" s="12">
        <v>25</v>
      </c>
      <c r="H22" s="12">
        <v>36</v>
      </c>
      <c r="I22" s="22">
        <f t="shared" si="0"/>
        <v>113.4431000000001</v>
      </c>
      <c r="J22" s="23">
        <f t="shared" si="1"/>
        <v>0.19525490533562839</v>
      </c>
      <c r="K22" s="24">
        <f t="shared" si="2"/>
        <v>581</v>
      </c>
      <c r="L22" s="25">
        <f t="shared" si="3"/>
        <v>327.33000000000055</v>
      </c>
      <c r="M22" s="26">
        <f t="shared" si="4"/>
        <v>0.55479661016949244</v>
      </c>
      <c r="N22" s="27">
        <f t="shared" si="5"/>
        <v>590</v>
      </c>
      <c r="O22" s="28">
        <f t="shared" si="6"/>
        <v>33050</v>
      </c>
      <c r="P22" s="29">
        <f t="shared" si="7"/>
        <v>56.016949152542374</v>
      </c>
      <c r="Q22" s="30">
        <f t="shared" si="8"/>
        <v>590</v>
      </c>
      <c r="R22" s="11" t="str">
        <f t="shared" si="9"/>
        <v>2</v>
      </c>
      <c r="S22" s="10" t="str">
        <f t="shared" si="10"/>
        <v>1</v>
      </c>
      <c r="T22" s="9">
        <f t="shared" si="11"/>
        <v>2</v>
      </c>
      <c r="U22" t="str">
        <f t="shared" si="12"/>
        <v>Mismatch</v>
      </c>
    </row>
    <row r="23" spans="1:21" x14ac:dyDescent="0.2">
      <c r="A23" s="12">
        <v>21</v>
      </c>
      <c r="B23" s="12">
        <v>22</v>
      </c>
      <c r="C23" s="12">
        <v>0.40910000000000002</v>
      </c>
      <c r="D23" s="12">
        <v>0.87</v>
      </c>
      <c r="E23" s="12">
        <v>0.19400000000000001</v>
      </c>
      <c r="F23" s="12">
        <v>3</v>
      </c>
      <c r="G23" s="12">
        <v>31</v>
      </c>
      <c r="H23" s="12">
        <v>34</v>
      </c>
      <c r="I23" s="22">
        <f t="shared" si="0"/>
        <v>113.03400000000009</v>
      </c>
      <c r="J23" s="23">
        <f t="shared" si="1"/>
        <v>0.19488620689655189</v>
      </c>
      <c r="K23" s="24">
        <f t="shared" si="2"/>
        <v>580</v>
      </c>
      <c r="L23" s="25">
        <f t="shared" si="3"/>
        <v>326.4600000000006</v>
      </c>
      <c r="M23" s="26">
        <f t="shared" si="4"/>
        <v>0.55426146010186861</v>
      </c>
      <c r="N23" s="27">
        <f t="shared" si="5"/>
        <v>589</v>
      </c>
      <c r="O23" s="28">
        <f t="shared" si="6"/>
        <v>33014</v>
      </c>
      <c r="P23" s="29">
        <f t="shared" si="7"/>
        <v>56.050933786078097</v>
      </c>
      <c r="Q23" s="30">
        <f t="shared" si="8"/>
        <v>589</v>
      </c>
      <c r="R23" s="11" t="str">
        <f t="shared" si="9"/>
        <v>2</v>
      </c>
      <c r="S23" s="10" t="str">
        <f t="shared" si="10"/>
        <v>2</v>
      </c>
      <c r="T23" s="9">
        <f t="shared" si="11"/>
        <v>2</v>
      </c>
      <c r="U23" t="str">
        <f t="shared" si="12"/>
        <v>Match</v>
      </c>
    </row>
    <row r="24" spans="1:21" x14ac:dyDescent="0.2">
      <c r="A24" s="12">
        <v>22</v>
      </c>
      <c r="B24" s="12">
        <v>23</v>
      </c>
      <c r="C24" s="12">
        <v>0.40910000000000002</v>
      </c>
      <c r="D24" s="12">
        <v>0.94</v>
      </c>
      <c r="E24" s="12">
        <v>0.22389999999999999</v>
      </c>
      <c r="F24" s="12">
        <v>11</v>
      </c>
      <c r="G24" s="12">
        <v>17</v>
      </c>
      <c r="H24" s="12">
        <v>28</v>
      </c>
      <c r="I24" s="22">
        <f t="shared" si="0"/>
        <v>112.6249000000001</v>
      </c>
      <c r="J24" s="23">
        <f t="shared" si="1"/>
        <v>0.19451623488773764</v>
      </c>
      <c r="K24" s="24">
        <f t="shared" si="2"/>
        <v>579</v>
      </c>
      <c r="L24" s="25">
        <f t="shared" si="3"/>
        <v>325.5900000000006</v>
      </c>
      <c r="M24" s="26">
        <f t="shared" si="4"/>
        <v>0.55372448979591937</v>
      </c>
      <c r="N24" s="27">
        <f t="shared" si="5"/>
        <v>588</v>
      </c>
      <c r="O24" s="28">
        <f t="shared" si="6"/>
        <v>32980</v>
      </c>
      <c r="P24" s="29">
        <f t="shared" si="7"/>
        <v>56.088435374149661</v>
      </c>
      <c r="Q24" s="30">
        <f t="shared" si="8"/>
        <v>588</v>
      </c>
      <c r="R24" s="11" t="str">
        <f t="shared" si="9"/>
        <v>2</v>
      </c>
      <c r="S24" s="10" t="str">
        <f t="shared" si="10"/>
        <v>3</v>
      </c>
      <c r="T24" s="9">
        <f t="shared" si="11"/>
        <v>2</v>
      </c>
      <c r="U24" t="str">
        <f t="shared" si="12"/>
        <v>Mismatch</v>
      </c>
    </row>
    <row r="25" spans="1:21" x14ac:dyDescent="0.2">
      <c r="A25" s="12">
        <v>23</v>
      </c>
      <c r="B25" s="12">
        <v>24</v>
      </c>
      <c r="C25" s="12"/>
      <c r="D25" s="12">
        <v>0.88</v>
      </c>
      <c r="E25" s="12">
        <v>0.29849999999999999</v>
      </c>
      <c r="F25" s="12">
        <v>15</v>
      </c>
      <c r="G25" s="12">
        <v>24</v>
      </c>
      <c r="H25" s="12">
        <v>39</v>
      </c>
      <c r="I25" s="22">
        <f t="shared" si="0"/>
        <v>112.21580000000009</v>
      </c>
      <c r="J25" s="23">
        <f t="shared" si="1"/>
        <v>0.19414498269896208</v>
      </c>
      <c r="K25" s="24">
        <f t="shared" si="2"/>
        <v>578</v>
      </c>
      <c r="L25" s="25">
        <f t="shared" si="3"/>
        <v>324.65000000000055</v>
      </c>
      <c r="M25" s="26">
        <f t="shared" si="4"/>
        <v>0.55306643952299928</v>
      </c>
      <c r="N25" s="27">
        <f t="shared" si="5"/>
        <v>587</v>
      </c>
      <c r="O25" s="28">
        <f t="shared" si="6"/>
        <v>32952</v>
      </c>
      <c r="P25" s="29">
        <f t="shared" si="7"/>
        <v>56.136286201022145</v>
      </c>
      <c r="Q25" s="30">
        <f t="shared" si="8"/>
        <v>587</v>
      </c>
      <c r="R25" s="11" t="str">
        <f t="shared" si="9"/>
        <v>2</v>
      </c>
      <c r="S25" s="10" t="str">
        <f t="shared" si="10"/>
        <v>4</v>
      </c>
      <c r="T25" s="9">
        <f t="shared" si="11"/>
        <v>2</v>
      </c>
      <c r="U25" t="str">
        <f t="shared" si="12"/>
        <v>Mismatch</v>
      </c>
    </row>
    <row r="26" spans="1:21" x14ac:dyDescent="0.2">
      <c r="A26" s="12">
        <v>24</v>
      </c>
      <c r="B26" s="12">
        <v>25</v>
      </c>
      <c r="C26" s="12">
        <v>0.45450000000000002</v>
      </c>
      <c r="D26" s="12">
        <v>0.88</v>
      </c>
      <c r="E26" s="12">
        <v>0.29849999999999999</v>
      </c>
      <c r="F26" s="12">
        <v>4</v>
      </c>
      <c r="G26" s="12">
        <v>13</v>
      </c>
      <c r="H26" s="12">
        <v>17</v>
      </c>
      <c r="I26" s="22">
        <f t="shared" si="0"/>
        <v>112.21580000000009</v>
      </c>
      <c r="J26" s="23">
        <f t="shared" si="1"/>
        <v>0.19414498269896208</v>
      </c>
      <c r="K26" s="24">
        <f t="shared" si="2"/>
        <v>578</v>
      </c>
      <c r="L26" s="25">
        <f t="shared" si="3"/>
        <v>323.77000000000055</v>
      </c>
      <c r="M26" s="26">
        <f t="shared" si="4"/>
        <v>0.55250853242320908</v>
      </c>
      <c r="N26" s="27">
        <f t="shared" si="5"/>
        <v>586</v>
      </c>
      <c r="O26" s="28">
        <f t="shared" si="6"/>
        <v>32913</v>
      </c>
      <c r="P26" s="29">
        <f t="shared" si="7"/>
        <v>56.165529010238906</v>
      </c>
      <c r="Q26" s="30">
        <f t="shared" si="8"/>
        <v>586</v>
      </c>
      <c r="R26" s="11" t="str">
        <f t="shared" si="9"/>
        <v>2</v>
      </c>
      <c r="S26" s="10" t="str">
        <f t="shared" si="10"/>
        <v>5</v>
      </c>
      <c r="T26" s="9">
        <f t="shared" si="11"/>
        <v>2</v>
      </c>
      <c r="U26" t="str">
        <f t="shared" si="12"/>
        <v>Mismatch</v>
      </c>
    </row>
    <row r="27" spans="1:21" x14ac:dyDescent="0.2">
      <c r="A27" s="12">
        <v>25</v>
      </c>
      <c r="B27" s="12">
        <v>26</v>
      </c>
      <c r="C27" s="12">
        <v>0.43940000000000001</v>
      </c>
      <c r="D27" s="12">
        <v>0.94</v>
      </c>
      <c r="E27" s="12">
        <v>0.25369999999999998</v>
      </c>
      <c r="F27" s="12">
        <v>1</v>
      </c>
      <c r="G27" s="12">
        <v>16</v>
      </c>
      <c r="H27" s="12">
        <v>17</v>
      </c>
      <c r="I27" s="22">
        <f t="shared" si="0"/>
        <v>111.76130000000008</v>
      </c>
      <c r="J27" s="23">
        <f t="shared" si="1"/>
        <v>0.19369376083188922</v>
      </c>
      <c r="K27" s="24">
        <f t="shared" si="2"/>
        <v>577</v>
      </c>
      <c r="L27" s="25">
        <f t="shared" si="3"/>
        <v>322.89000000000055</v>
      </c>
      <c r="M27" s="26">
        <f t="shared" si="4"/>
        <v>0.55194871794871891</v>
      </c>
      <c r="N27" s="27">
        <f t="shared" si="5"/>
        <v>585</v>
      </c>
      <c r="O27" s="28">
        <f t="shared" si="6"/>
        <v>32896</v>
      </c>
      <c r="P27" s="29">
        <f t="shared" si="7"/>
        <v>56.232478632478632</v>
      </c>
      <c r="Q27" s="30">
        <f t="shared" si="8"/>
        <v>585</v>
      </c>
      <c r="R27" s="11" t="str">
        <f t="shared" si="9"/>
        <v>2</v>
      </c>
      <c r="S27" s="10" t="str">
        <f t="shared" si="10"/>
        <v>6</v>
      </c>
      <c r="T27" s="9">
        <f t="shared" si="11"/>
        <v>2</v>
      </c>
      <c r="U27" t="str">
        <f t="shared" si="12"/>
        <v>Mismatch</v>
      </c>
    </row>
    <row r="28" spans="1:21" x14ac:dyDescent="0.2">
      <c r="A28" s="12">
        <v>26</v>
      </c>
      <c r="B28" s="12">
        <v>27</v>
      </c>
      <c r="C28" s="12">
        <v>0.42420000000000002</v>
      </c>
      <c r="D28" s="12">
        <v>1</v>
      </c>
      <c r="E28" s="12">
        <v>0.28360000000000002</v>
      </c>
      <c r="F28" s="12">
        <v>1</v>
      </c>
      <c r="G28" s="12">
        <v>8</v>
      </c>
      <c r="H28" s="12">
        <v>9</v>
      </c>
      <c r="I28" s="22">
        <f t="shared" si="0"/>
        <v>111.32190000000004</v>
      </c>
      <c r="J28" s="23">
        <f t="shared" si="1"/>
        <v>0.19326718750000008</v>
      </c>
      <c r="K28" s="24">
        <f t="shared" si="2"/>
        <v>576</v>
      </c>
      <c r="L28" s="25">
        <f t="shared" si="3"/>
        <v>321.9500000000005</v>
      </c>
      <c r="M28" s="26">
        <f t="shared" si="4"/>
        <v>0.55128424657534336</v>
      </c>
      <c r="N28" s="27">
        <f t="shared" si="5"/>
        <v>584</v>
      </c>
      <c r="O28" s="28">
        <f t="shared" si="6"/>
        <v>32879</v>
      </c>
      <c r="P28" s="29">
        <f t="shared" si="7"/>
        <v>56.299657534246577</v>
      </c>
      <c r="Q28" s="30">
        <f t="shared" si="8"/>
        <v>584</v>
      </c>
      <c r="R28" s="11" t="str">
        <f t="shared" si="9"/>
        <v>2</v>
      </c>
      <c r="S28" s="10" t="str">
        <f t="shared" si="10"/>
        <v>7</v>
      </c>
      <c r="T28" s="9">
        <f t="shared" si="11"/>
        <v>2</v>
      </c>
      <c r="U28" t="str">
        <f t="shared" si="12"/>
        <v>Mismatch</v>
      </c>
    </row>
    <row r="29" spans="1:21" x14ac:dyDescent="0.2">
      <c r="A29" s="12">
        <v>27</v>
      </c>
      <c r="B29" s="12">
        <v>28</v>
      </c>
      <c r="C29" s="12">
        <v>0.45450000000000002</v>
      </c>
      <c r="D29" s="12">
        <v>0.94</v>
      </c>
      <c r="E29" s="12">
        <v>0.19400000000000001</v>
      </c>
      <c r="F29" s="12">
        <v>2</v>
      </c>
      <c r="G29" s="12">
        <v>4</v>
      </c>
      <c r="H29" s="12">
        <v>6</v>
      </c>
      <c r="I29" s="22">
        <f t="shared" si="0"/>
        <v>110.89770000000004</v>
      </c>
      <c r="J29" s="23">
        <f t="shared" si="1"/>
        <v>0.19286556521739137</v>
      </c>
      <c r="K29" s="24">
        <f t="shared" si="2"/>
        <v>575</v>
      </c>
      <c r="L29" s="25">
        <f t="shared" si="3"/>
        <v>320.9500000000005</v>
      </c>
      <c r="M29" s="26">
        <f t="shared" si="4"/>
        <v>0.55051457975986362</v>
      </c>
      <c r="N29" s="27">
        <f t="shared" si="5"/>
        <v>583</v>
      </c>
      <c r="O29" s="28">
        <f t="shared" si="6"/>
        <v>32870</v>
      </c>
      <c r="P29" s="29">
        <f t="shared" si="7"/>
        <v>56.380789022298458</v>
      </c>
      <c r="Q29" s="30">
        <f t="shared" si="8"/>
        <v>583</v>
      </c>
      <c r="R29" s="11" t="str">
        <f t="shared" si="9"/>
        <v>2</v>
      </c>
      <c r="S29" s="10" t="str">
        <f t="shared" si="10"/>
        <v>8</v>
      </c>
      <c r="T29" s="9">
        <f t="shared" si="11"/>
        <v>2</v>
      </c>
      <c r="U29" t="str">
        <f t="shared" si="12"/>
        <v>Mismatch</v>
      </c>
    </row>
    <row r="30" spans="1:21" x14ac:dyDescent="0.2">
      <c r="A30" s="12">
        <v>28</v>
      </c>
      <c r="B30" s="12">
        <v>29</v>
      </c>
      <c r="C30" s="12"/>
      <c r="D30" s="12">
        <v>0.94</v>
      </c>
      <c r="E30" s="12">
        <v>0.19400000000000001</v>
      </c>
      <c r="F30" s="12">
        <v>2</v>
      </c>
      <c r="G30" s="12">
        <v>1</v>
      </c>
      <c r="H30" s="12">
        <v>3</v>
      </c>
      <c r="I30" s="22">
        <f t="shared" si="0"/>
        <v>110.44320000000002</v>
      </c>
      <c r="J30" s="23">
        <f t="shared" si="1"/>
        <v>0.192409756097561</v>
      </c>
      <c r="K30" s="24">
        <f t="shared" si="2"/>
        <v>574</v>
      </c>
      <c r="L30" s="25">
        <f t="shared" si="3"/>
        <v>320.0100000000005</v>
      </c>
      <c r="M30" s="26">
        <f t="shared" si="4"/>
        <v>0.54984536082474311</v>
      </c>
      <c r="N30" s="27">
        <f t="shared" si="5"/>
        <v>582</v>
      </c>
      <c r="O30" s="28">
        <f t="shared" si="6"/>
        <v>32864</v>
      </c>
      <c r="P30" s="29">
        <f t="shared" si="7"/>
        <v>56.467353951890033</v>
      </c>
      <c r="Q30" s="30">
        <f t="shared" si="8"/>
        <v>582</v>
      </c>
      <c r="R30" s="11" t="str">
        <f t="shared" si="9"/>
        <v>2</v>
      </c>
      <c r="S30" s="10" t="str">
        <f t="shared" si="10"/>
        <v>9</v>
      </c>
      <c r="T30" s="9">
        <f t="shared" si="11"/>
        <v>2</v>
      </c>
      <c r="U30" t="str">
        <f t="shared" si="12"/>
        <v>Mismatch</v>
      </c>
    </row>
    <row r="31" spans="1:21" x14ac:dyDescent="0.2">
      <c r="A31" s="12">
        <v>29</v>
      </c>
      <c r="B31" s="12">
        <v>30</v>
      </c>
      <c r="C31" s="12">
        <v>0.42420000000000002</v>
      </c>
      <c r="D31" s="12">
        <v>0.77</v>
      </c>
      <c r="E31" s="12">
        <v>0.29849999999999999</v>
      </c>
      <c r="F31" s="12">
        <v>0</v>
      </c>
      <c r="G31" s="12">
        <v>2</v>
      </c>
      <c r="H31" s="12">
        <v>2</v>
      </c>
      <c r="I31" s="22">
        <f t="shared" si="0"/>
        <v>110.44320000000002</v>
      </c>
      <c r="J31" s="23">
        <f t="shared" si="1"/>
        <v>0.192409756097561</v>
      </c>
      <c r="K31" s="24">
        <f t="shared" si="2"/>
        <v>574</v>
      </c>
      <c r="L31" s="25">
        <f t="shared" si="3"/>
        <v>319.0700000000005</v>
      </c>
      <c r="M31" s="26">
        <f t="shared" si="4"/>
        <v>0.54917383820998367</v>
      </c>
      <c r="N31" s="27">
        <f t="shared" si="5"/>
        <v>581</v>
      </c>
      <c r="O31" s="28">
        <f t="shared" si="6"/>
        <v>32861</v>
      </c>
      <c r="P31" s="29">
        <f t="shared" si="7"/>
        <v>56.559380378657487</v>
      </c>
      <c r="Q31" s="30">
        <f t="shared" si="8"/>
        <v>581</v>
      </c>
      <c r="R31" s="11" t="str">
        <f t="shared" si="9"/>
        <v>3</v>
      </c>
      <c r="S31" s="10" t="str">
        <f t="shared" si="10"/>
        <v>0</v>
      </c>
      <c r="T31" s="9">
        <f t="shared" si="11"/>
        <v>2</v>
      </c>
      <c r="U31" t="str">
        <f t="shared" si="12"/>
        <v>Mismatch</v>
      </c>
    </row>
    <row r="32" spans="1:21" x14ac:dyDescent="0.2">
      <c r="A32" s="12">
        <v>30</v>
      </c>
      <c r="B32" s="12">
        <v>31</v>
      </c>
      <c r="C32" s="12">
        <v>0.40910000000000002</v>
      </c>
      <c r="D32" s="12">
        <v>0.76</v>
      </c>
      <c r="E32" s="12">
        <v>0.19400000000000001</v>
      </c>
      <c r="F32" s="12">
        <v>0</v>
      </c>
      <c r="G32" s="12">
        <v>1</v>
      </c>
      <c r="H32" s="12">
        <v>1</v>
      </c>
      <c r="I32" s="22">
        <f t="shared" si="0"/>
        <v>110.01900000000003</v>
      </c>
      <c r="J32" s="23">
        <f t="shared" si="1"/>
        <v>0.19200523560209429</v>
      </c>
      <c r="K32" s="24">
        <f t="shared" si="2"/>
        <v>573</v>
      </c>
      <c r="L32" s="25">
        <f t="shared" si="3"/>
        <v>318.30000000000052</v>
      </c>
      <c r="M32" s="26">
        <f t="shared" si="4"/>
        <v>0.54879310344827681</v>
      </c>
      <c r="N32" s="27">
        <f t="shared" si="5"/>
        <v>580</v>
      </c>
      <c r="O32" s="28">
        <f t="shared" si="6"/>
        <v>32859</v>
      </c>
      <c r="P32" s="29">
        <f t="shared" si="7"/>
        <v>56.653448275862068</v>
      </c>
      <c r="Q32" s="30">
        <f t="shared" si="8"/>
        <v>580</v>
      </c>
      <c r="R32" s="11" t="str">
        <f t="shared" si="9"/>
        <v>3</v>
      </c>
      <c r="S32" s="10" t="str">
        <f t="shared" si="10"/>
        <v>1</v>
      </c>
      <c r="T32" s="9">
        <f t="shared" si="11"/>
        <v>2</v>
      </c>
      <c r="U32" t="str">
        <f t="shared" si="12"/>
        <v>Mismatch</v>
      </c>
    </row>
    <row r="33" spans="1:21" x14ac:dyDescent="0.2">
      <c r="A33" s="12">
        <v>31</v>
      </c>
      <c r="B33" s="12">
        <v>32</v>
      </c>
      <c r="C33" s="12">
        <v>0.40910000000000002</v>
      </c>
      <c r="D33" s="12">
        <v>0.71</v>
      </c>
      <c r="E33" s="12">
        <v>0.22389999999999999</v>
      </c>
      <c r="F33" s="12">
        <v>0</v>
      </c>
      <c r="G33" s="12">
        <v>8</v>
      </c>
      <c r="H33" s="12">
        <v>8</v>
      </c>
      <c r="I33" s="22">
        <f t="shared" si="0"/>
        <v>109.60990000000004</v>
      </c>
      <c r="J33" s="23">
        <f t="shared" si="1"/>
        <v>0.19162569930069936</v>
      </c>
      <c r="K33" s="24">
        <f t="shared" si="2"/>
        <v>572</v>
      </c>
      <c r="L33" s="25">
        <f t="shared" si="3"/>
        <v>317.54000000000048</v>
      </c>
      <c r="M33" s="26">
        <f t="shared" si="4"/>
        <v>0.5484283246977556</v>
      </c>
      <c r="N33" s="27">
        <f t="shared" si="5"/>
        <v>579</v>
      </c>
      <c r="O33" s="28">
        <f t="shared" si="6"/>
        <v>32858</v>
      </c>
      <c r="P33" s="29">
        <f t="shared" si="7"/>
        <v>56.74956822107081</v>
      </c>
      <c r="Q33" s="30">
        <f t="shared" si="8"/>
        <v>579</v>
      </c>
      <c r="R33" s="11" t="str">
        <f t="shared" si="9"/>
        <v>3</v>
      </c>
      <c r="S33" s="10" t="str">
        <f t="shared" si="10"/>
        <v>2</v>
      </c>
      <c r="T33" s="9">
        <f t="shared" si="11"/>
        <v>2</v>
      </c>
      <c r="U33" t="str">
        <f t="shared" si="12"/>
        <v>Mismatch</v>
      </c>
    </row>
    <row r="34" spans="1:21" x14ac:dyDescent="0.2">
      <c r="A34" s="12">
        <v>32</v>
      </c>
      <c r="B34" s="12">
        <v>33</v>
      </c>
      <c r="C34" s="12"/>
      <c r="D34" s="12">
        <v>0.76</v>
      </c>
      <c r="E34" s="12">
        <v>0.22389999999999999</v>
      </c>
      <c r="F34" s="12">
        <v>1</v>
      </c>
      <c r="G34" s="12">
        <v>19</v>
      </c>
      <c r="H34" s="12">
        <v>20</v>
      </c>
      <c r="I34" s="22">
        <f t="shared" si="0"/>
        <v>109.20080000000003</v>
      </c>
      <c r="J34" s="23">
        <f t="shared" si="1"/>
        <v>0.19124483362521896</v>
      </c>
      <c r="K34" s="24">
        <f t="shared" si="2"/>
        <v>571</v>
      </c>
      <c r="L34" s="25">
        <f t="shared" si="3"/>
        <v>316.8300000000005</v>
      </c>
      <c r="M34" s="26">
        <f t="shared" si="4"/>
        <v>0.54814878892733654</v>
      </c>
      <c r="N34" s="27">
        <f t="shared" si="5"/>
        <v>578</v>
      </c>
      <c r="O34" s="28">
        <f t="shared" si="6"/>
        <v>32850</v>
      </c>
      <c r="P34" s="29">
        <f t="shared" si="7"/>
        <v>56.833910034602077</v>
      </c>
      <c r="Q34" s="30">
        <f t="shared" si="8"/>
        <v>578</v>
      </c>
      <c r="R34" s="11" t="str">
        <f t="shared" si="9"/>
        <v>3</v>
      </c>
      <c r="S34" s="10" t="str">
        <f t="shared" si="10"/>
        <v>3</v>
      </c>
      <c r="T34" s="9">
        <f t="shared" si="11"/>
        <v>2</v>
      </c>
      <c r="U34" t="str">
        <f t="shared" si="12"/>
        <v>Match</v>
      </c>
    </row>
    <row r="35" spans="1:21" x14ac:dyDescent="0.2">
      <c r="A35" s="12">
        <v>33</v>
      </c>
      <c r="B35" s="12">
        <v>34</v>
      </c>
      <c r="C35" s="12">
        <v>0.34849999999999998</v>
      </c>
      <c r="D35" s="12">
        <v>0.81</v>
      </c>
      <c r="E35" s="12">
        <v>0.22389999999999999</v>
      </c>
      <c r="F35" s="12">
        <v>7</v>
      </c>
      <c r="G35" s="12">
        <v>46</v>
      </c>
      <c r="H35" s="12">
        <v>53</v>
      </c>
      <c r="I35" s="22">
        <f t="shared" si="0"/>
        <v>109.20080000000003</v>
      </c>
      <c r="J35" s="23">
        <f t="shared" si="1"/>
        <v>0.19124483362521896</v>
      </c>
      <c r="K35" s="24">
        <f t="shared" si="2"/>
        <v>571</v>
      </c>
      <c r="L35" s="25">
        <f t="shared" si="3"/>
        <v>316.07000000000056</v>
      </c>
      <c r="M35" s="26">
        <f t="shared" si="4"/>
        <v>0.54778162911611883</v>
      </c>
      <c r="N35" s="27">
        <f t="shared" si="5"/>
        <v>577</v>
      </c>
      <c r="O35" s="28">
        <f t="shared" si="6"/>
        <v>32830</v>
      </c>
      <c r="P35" s="29">
        <f t="shared" si="7"/>
        <v>56.897746967071058</v>
      </c>
      <c r="Q35" s="30">
        <f t="shared" si="8"/>
        <v>577</v>
      </c>
      <c r="R35" s="11" t="str">
        <f t="shared" si="9"/>
        <v>3</v>
      </c>
      <c r="S35" s="10" t="str">
        <f t="shared" si="10"/>
        <v>4</v>
      </c>
      <c r="T35" s="9">
        <f t="shared" si="11"/>
        <v>2</v>
      </c>
      <c r="U35" t="str">
        <f t="shared" si="12"/>
        <v>Mismatch</v>
      </c>
    </row>
    <row r="36" spans="1:21" x14ac:dyDescent="0.2">
      <c r="A36" s="12">
        <v>34</v>
      </c>
      <c r="B36" s="12">
        <v>35</v>
      </c>
      <c r="C36" s="12">
        <v>0.33329999999999999</v>
      </c>
      <c r="D36" s="12">
        <v>0.71</v>
      </c>
      <c r="E36" s="12">
        <v>0.25369999999999998</v>
      </c>
      <c r="F36" s="12">
        <v>16</v>
      </c>
      <c r="G36" s="12">
        <v>54</v>
      </c>
      <c r="H36" s="12">
        <v>70</v>
      </c>
      <c r="I36" s="22">
        <f t="shared" si="0"/>
        <v>108.85230000000004</v>
      </c>
      <c r="J36" s="23">
        <f t="shared" si="1"/>
        <v>0.19096894736842113</v>
      </c>
      <c r="K36" s="24">
        <f t="shared" si="2"/>
        <v>570</v>
      </c>
      <c r="L36" s="25">
        <f t="shared" si="3"/>
        <v>315.26000000000056</v>
      </c>
      <c r="M36" s="26">
        <f t="shared" si="4"/>
        <v>0.54732638888888985</v>
      </c>
      <c r="N36" s="27">
        <f t="shared" si="5"/>
        <v>576</v>
      </c>
      <c r="O36" s="28">
        <f t="shared" si="6"/>
        <v>32777</v>
      </c>
      <c r="P36" s="29">
        <f t="shared" si="7"/>
        <v>56.904513888888886</v>
      </c>
      <c r="Q36" s="30">
        <f t="shared" si="8"/>
        <v>576</v>
      </c>
      <c r="R36" s="11" t="str">
        <f t="shared" si="9"/>
        <v>3</v>
      </c>
      <c r="S36" s="10" t="str">
        <f t="shared" si="10"/>
        <v>5</v>
      </c>
      <c r="T36" s="9">
        <f t="shared" si="11"/>
        <v>2</v>
      </c>
      <c r="U36" t="str">
        <f t="shared" si="12"/>
        <v>Mismatch</v>
      </c>
    </row>
    <row r="37" spans="1:21" x14ac:dyDescent="0.2">
      <c r="A37" s="12">
        <v>35</v>
      </c>
      <c r="B37" s="12">
        <v>36</v>
      </c>
      <c r="C37" s="12">
        <v>0.33329999999999999</v>
      </c>
      <c r="D37" s="12">
        <v>0.66</v>
      </c>
      <c r="E37" s="12">
        <v>0.29849999999999999</v>
      </c>
      <c r="F37" s="12">
        <v>20</v>
      </c>
      <c r="G37" s="12">
        <v>73</v>
      </c>
      <c r="H37" s="12">
        <v>93</v>
      </c>
      <c r="I37" s="22">
        <f t="shared" si="0"/>
        <v>108.51900000000003</v>
      </c>
      <c r="J37" s="23">
        <f t="shared" si="1"/>
        <v>0.19071880492091395</v>
      </c>
      <c r="K37" s="24">
        <f t="shared" si="2"/>
        <v>569</v>
      </c>
      <c r="L37" s="25">
        <f t="shared" si="3"/>
        <v>314.55000000000052</v>
      </c>
      <c r="M37" s="26">
        <f t="shared" si="4"/>
        <v>0.54704347826087052</v>
      </c>
      <c r="N37" s="27">
        <f t="shared" si="5"/>
        <v>575</v>
      </c>
      <c r="O37" s="28">
        <f t="shared" si="6"/>
        <v>32707</v>
      </c>
      <c r="P37" s="29">
        <f t="shared" si="7"/>
        <v>56.881739130434781</v>
      </c>
      <c r="Q37" s="30">
        <f t="shared" si="8"/>
        <v>575</v>
      </c>
      <c r="R37" s="11" t="str">
        <f t="shared" si="9"/>
        <v>3</v>
      </c>
      <c r="S37" s="10" t="str">
        <f t="shared" si="10"/>
        <v>6</v>
      </c>
      <c r="T37" s="9">
        <f t="shared" si="11"/>
        <v>2</v>
      </c>
      <c r="U37" t="str">
        <f t="shared" si="12"/>
        <v>Mismatch</v>
      </c>
    </row>
    <row r="38" spans="1:21" x14ac:dyDescent="0.2">
      <c r="A38" s="12">
        <v>36</v>
      </c>
      <c r="B38" s="12">
        <v>37</v>
      </c>
      <c r="C38" s="12">
        <v>0.34849999999999998</v>
      </c>
      <c r="D38" s="12">
        <v>0.66</v>
      </c>
      <c r="E38" s="12">
        <v>0.1343</v>
      </c>
      <c r="F38" s="12">
        <v>11</v>
      </c>
      <c r="G38" s="12">
        <v>64</v>
      </c>
      <c r="H38" s="12">
        <v>75</v>
      </c>
      <c r="I38" s="22">
        <f t="shared" si="0"/>
        <v>108.18570000000003</v>
      </c>
      <c r="J38" s="23">
        <f t="shared" si="1"/>
        <v>0.19046778169014089</v>
      </c>
      <c r="K38" s="24">
        <f t="shared" si="2"/>
        <v>568</v>
      </c>
      <c r="L38" s="25">
        <f t="shared" si="3"/>
        <v>313.89000000000055</v>
      </c>
      <c r="M38" s="26">
        <f t="shared" si="4"/>
        <v>0.54684668989547136</v>
      </c>
      <c r="N38" s="27">
        <f t="shared" si="5"/>
        <v>574</v>
      </c>
      <c r="O38" s="28">
        <f t="shared" si="6"/>
        <v>32614</v>
      </c>
      <c r="P38" s="29">
        <f t="shared" si="7"/>
        <v>56.818815331010455</v>
      </c>
      <c r="Q38" s="30">
        <f t="shared" si="8"/>
        <v>574</v>
      </c>
      <c r="R38" s="11" t="str">
        <f t="shared" si="9"/>
        <v>3</v>
      </c>
      <c r="S38" s="10" t="str">
        <f t="shared" si="10"/>
        <v>7</v>
      </c>
      <c r="T38" s="9">
        <f t="shared" si="11"/>
        <v>2</v>
      </c>
      <c r="U38" t="str">
        <f t="shared" si="12"/>
        <v>Mismatch</v>
      </c>
    </row>
    <row r="39" spans="1:21" x14ac:dyDescent="0.2">
      <c r="A39" s="12">
        <v>37</v>
      </c>
      <c r="B39" s="12">
        <v>38</v>
      </c>
      <c r="C39" s="12"/>
      <c r="D39" s="12">
        <v>0.76</v>
      </c>
      <c r="E39" s="12">
        <v>0.19400000000000001</v>
      </c>
      <c r="F39" s="12">
        <v>4</v>
      </c>
      <c r="G39" s="12">
        <v>55</v>
      </c>
      <c r="H39" s="12">
        <v>59</v>
      </c>
      <c r="I39" s="22">
        <f t="shared" si="0"/>
        <v>107.83720000000002</v>
      </c>
      <c r="J39" s="23">
        <f t="shared" si="1"/>
        <v>0.19018906525573195</v>
      </c>
      <c r="K39" s="24">
        <f t="shared" si="2"/>
        <v>567</v>
      </c>
      <c r="L39" s="25">
        <f t="shared" si="3"/>
        <v>313.23000000000047</v>
      </c>
      <c r="M39" s="26">
        <f t="shared" si="4"/>
        <v>0.54664921465968674</v>
      </c>
      <c r="N39" s="27">
        <f t="shared" si="5"/>
        <v>573</v>
      </c>
      <c r="O39" s="28">
        <f t="shared" si="6"/>
        <v>32539</v>
      </c>
      <c r="P39" s="29">
        <f t="shared" si="7"/>
        <v>56.787085514834203</v>
      </c>
      <c r="Q39" s="30">
        <f t="shared" si="8"/>
        <v>573</v>
      </c>
      <c r="R39" s="11" t="str">
        <f t="shared" si="9"/>
        <v>3</v>
      </c>
      <c r="S39" s="10" t="str">
        <f t="shared" si="10"/>
        <v>8</v>
      </c>
      <c r="T39" s="9">
        <f t="shared" si="11"/>
        <v>2</v>
      </c>
      <c r="U39" t="str">
        <f t="shared" si="12"/>
        <v>Mismatch</v>
      </c>
    </row>
    <row r="40" spans="1:21" x14ac:dyDescent="0.2">
      <c r="A40" s="12">
        <v>38</v>
      </c>
      <c r="B40" s="12">
        <v>39</v>
      </c>
      <c r="C40" s="12">
        <v>0.33329999999999999</v>
      </c>
      <c r="D40" s="12">
        <v>0.81</v>
      </c>
      <c r="E40" s="12">
        <v>0.16420000000000001</v>
      </c>
      <c r="F40" s="12">
        <v>19</v>
      </c>
      <c r="G40" s="12">
        <v>55</v>
      </c>
      <c r="H40" s="12">
        <v>74</v>
      </c>
      <c r="I40" s="22">
        <f t="shared" si="0"/>
        <v>107.83720000000002</v>
      </c>
      <c r="J40" s="23">
        <f t="shared" si="1"/>
        <v>0.19018906525573195</v>
      </c>
      <c r="K40" s="24">
        <f t="shared" si="2"/>
        <v>567</v>
      </c>
      <c r="L40" s="25">
        <f t="shared" si="3"/>
        <v>312.47000000000048</v>
      </c>
      <c r="M40" s="26">
        <f t="shared" si="4"/>
        <v>0.54627622377622465</v>
      </c>
      <c r="N40" s="27">
        <f t="shared" si="5"/>
        <v>572</v>
      </c>
      <c r="O40" s="28">
        <f t="shared" si="6"/>
        <v>32480</v>
      </c>
      <c r="P40" s="29">
        <f t="shared" si="7"/>
        <v>56.78321678321678</v>
      </c>
      <c r="Q40" s="30">
        <f t="shared" si="8"/>
        <v>572</v>
      </c>
      <c r="R40" s="11" t="str">
        <f t="shared" si="9"/>
        <v>3</v>
      </c>
      <c r="S40" s="10" t="str">
        <f t="shared" si="10"/>
        <v>9</v>
      </c>
      <c r="T40" s="9">
        <f t="shared" si="11"/>
        <v>2</v>
      </c>
      <c r="U40" t="str">
        <f t="shared" si="12"/>
        <v>Mismatch</v>
      </c>
    </row>
    <row r="41" spans="1:21" x14ac:dyDescent="0.2">
      <c r="A41" s="12">
        <v>39</v>
      </c>
      <c r="B41" s="12">
        <v>40</v>
      </c>
      <c r="C41" s="12">
        <v>0.33329999999999999</v>
      </c>
      <c r="D41" s="12">
        <v>0.71</v>
      </c>
      <c r="E41" s="12">
        <v>0.16420000000000001</v>
      </c>
      <c r="F41" s="12">
        <v>9</v>
      </c>
      <c r="G41" s="12">
        <v>67</v>
      </c>
      <c r="H41" s="12">
        <v>76</v>
      </c>
      <c r="I41" s="22">
        <f t="shared" si="0"/>
        <v>107.50390000000002</v>
      </c>
      <c r="J41" s="23">
        <f t="shared" si="1"/>
        <v>0.18993621908127212</v>
      </c>
      <c r="K41" s="24">
        <f t="shared" si="2"/>
        <v>566</v>
      </c>
      <c r="L41" s="25">
        <f t="shared" si="3"/>
        <v>311.66000000000054</v>
      </c>
      <c r="M41" s="26">
        <f t="shared" si="4"/>
        <v>0.54581436077057888</v>
      </c>
      <c r="N41" s="27">
        <f t="shared" si="5"/>
        <v>571</v>
      </c>
      <c r="O41" s="28">
        <f t="shared" si="6"/>
        <v>32406</v>
      </c>
      <c r="P41" s="29">
        <f t="shared" si="7"/>
        <v>56.753064798598949</v>
      </c>
      <c r="Q41" s="30">
        <f t="shared" si="8"/>
        <v>571</v>
      </c>
      <c r="R41" s="11" t="str">
        <f t="shared" si="9"/>
        <v>4</v>
      </c>
      <c r="S41" s="10" t="str">
        <f t="shared" si="10"/>
        <v>0</v>
      </c>
      <c r="T41" s="9">
        <f t="shared" si="11"/>
        <v>2</v>
      </c>
      <c r="U41" t="str">
        <f t="shared" si="12"/>
        <v>Mismatch</v>
      </c>
    </row>
    <row r="42" spans="1:21" x14ac:dyDescent="0.2">
      <c r="A42" s="12">
        <v>40</v>
      </c>
      <c r="B42" s="12">
        <v>41</v>
      </c>
      <c r="C42" s="12">
        <v>0.33329999999999999</v>
      </c>
      <c r="D42" s="12">
        <v>0.56999999999999995</v>
      </c>
      <c r="E42" s="12">
        <v>0.19400000000000001</v>
      </c>
      <c r="F42" s="12">
        <v>7</v>
      </c>
      <c r="G42" s="12">
        <v>58</v>
      </c>
      <c r="H42" s="12">
        <v>65</v>
      </c>
      <c r="I42" s="22">
        <f t="shared" si="0"/>
        <v>107.17060000000002</v>
      </c>
      <c r="J42" s="23">
        <f t="shared" si="1"/>
        <v>0.18968247787610623</v>
      </c>
      <c r="K42" s="24">
        <f t="shared" si="2"/>
        <v>565</v>
      </c>
      <c r="L42" s="25">
        <f t="shared" si="3"/>
        <v>310.95000000000044</v>
      </c>
      <c r="M42" s="26">
        <f t="shared" si="4"/>
        <v>0.54552631578947441</v>
      </c>
      <c r="N42" s="27">
        <f t="shared" si="5"/>
        <v>570</v>
      </c>
      <c r="O42" s="28">
        <f t="shared" si="6"/>
        <v>32330</v>
      </c>
      <c r="P42" s="29">
        <f t="shared" si="7"/>
        <v>56.719298245614034</v>
      </c>
      <c r="Q42" s="30">
        <f t="shared" si="8"/>
        <v>570</v>
      </c>
      <c r="R42" s="11" t="str">
        <f t="shared" si="9"/>
        <v>4</v>
      </c>
      <c r="S42" s="10" t="str">
        <f t="shared" si="10"/>
        <v>1</v>
      </c>
      <c r="T42" s="9">
        <f t="shared" si="11"/>
        <v>2</v>
      </c>
      <c r="U42" t="str">
        <f t="shared" si="12"/>
        <v>Mismatch</v>
      </c>
    </row>
    <row r="43" spans="1:21" x14ac:dyDescent="0.2">
      <c r="A43" s="12">
        <v>41</v>
      </c>
      <c r="B43" s="12">
        <v>42</v>
      </c>
      <c r="C43" s="12">
        <v>0.33329999999999999</v>
      </c>
      <c r="D43" s="12">
        <v>0.46</v>
      </c>
      <c r="E43" s="12">
        <v>0.32840000000000003</v>
      </c>
      <c r="F43" s="12">
        <v>10</v>
      </c>
      <c r="G43" s="12">
        <v>43</v>
      </c>
      <c r="H43" s="12">
        <v>53</v>
      </c>
      <c r="I43" s="22">
        <f t="shared" si="0"/>
        <v>106.83730000000003</v>
      </c>
      <c r="J43" s="23">
        <f t="shared" si="1"/>
        <v>0.18942783687943268</v>
      </c>
      <c r="K43" s="24">
        <f t="shared" si="2"/>
        <v>564</v>
      </c>
      <c r="L43" s="25">
        <f t="shared" si="3"/>
        <v>310.38000000000045</v>
      </c>
      <c r="M43" s="26">
        <f t="shared" si="4"/>
        <v>0.54548330404218004</v>
      </c>
      <c r="N43" s="27">
        <f t="shared" si="5"/>
        <v>569</v>
      </c>
      <c r="O43" s="28">
        <f t="shared" si="6"/>
        <v>32265</v>
      </c>
      <c r="P43" s="29">
        <f t="shared" si="7"/>
        <v>56.704745166959576</v>
      </c>
      <c r="Q43" s="30">
        <f t="shared" si="8"/>
        <v>569</v>
      </c>
      <c r="R43" s="11" t="str">
        <f t="shared" si="9"/>
        <v>4</v>
      </c>
      <c r="S43" s="10" t="str">
        <f t="shared" si="10"/>
        <v>2</v>
      </c>
      <c r="T43" s="9">
        <f t="shared" si="11"/>
        <v>2</v>
      </c>
      <c r="U43" t="str">
        <f t="shared" si="12"/>
        <v>Mismatch</v>
      </c>
    </row>
    <row r="44" spans="1:21" x14ac:dyDescent="0.2">
      <c r="A44" s="12">
        <v>42</v>
      </c>
      <c r="B44" s="12">
        <v>43</v>
      </c>
      <c r="C44" s="12">
        <v>0.28789999999999999</v>
      </c>
      <c r="D44" s="12">
        <v>0.42</v>
      </c>
      <c r="E44" s="12">
        <v>0.44779999999999998</v>
      </c>
      <c r="F44" s="12">
        <v>1</v>
      </c>
      <c r="G44" s="12">
        <v>29</v>
      </c>
      <c r="H44" s="12">
        <v>30</v>
      </c>
      <c r="I44" s="22">
        <f t="shared" si="0"/>
        <v>106.50400000000005</v>
      </c>
      <c r="J44" s="23">
        <f t="shared" si="1"/>
        <v>0.1891722912966253</v>
      </c>
      <c r="K44" s="24">
        <f t="shared" si="2"/>
        <v>563</v>
      </c>
      <c r="L44" s="25">
        <f t="shared" si="3"/>
        <v>309.92000000000041</v>
      </c>
      <c r="M44" s="26">
        <f t="shared" si="4"/>
        <v>0.5456338028169021</v>
      </c>
      <c r="N44" s="27">
        <f t="shared" si="5"/>
        <v>568</v>
      </c>
      <c r="O44" s="28">
        <f t="shared" si="6"/>
        <v>32212</v>
      </c>
      <c r="P44" s="29">
        <f t="shared" si="7"/>
        <v>56.7112676056338</v>
      </c>
      <c r="Q44" s="30">
        <f t="shared" si="8"/>
        <v>568</v>
      </c>
      <c r="R44" s="11" t="str">
        <f t="shared" si="9"/>
        <v>4</v>
      </c>
      <c r="S44" s="10" t="str">
        <f t="shared" si="10"/>
        <v>3</v>
      </c>
      <c r="T44" s="9">
        <f t="shared" si="11"/>
        <v>2</v>
      </c>
      <c r="U44" t="str">
        <f t="shared" si="12"/>
        <v>Mismatch</v>
      </c>
    </row>
    <row r="45" spans="1:21" x14ac:dyDescent="0.2">
      <c r="A45" s="12">
        <v>43</v>
      </c>
      <c r="B45" s="12">
        <v>44</v>
      </c>
      <c r="C45" s="12"/>
      <c r="D45" s="12">
        <v>0.39</v>
      </c>
      <c r="E45" s="12">
        <v>0.35820000000000002</v>
      </c>
      <c r="F45" s="12">
        <v>5</v>
      </c>
      <c r="G45" s="12">
        <v>17</v>
      </c>
      <c r="H45" s="12">
        <v>22</v>
      </c>
      <c r="I45" s="22">
        <f t="shared" si="0"/>
        <v>106.21610000000004</v>
      </c>
      <c r="J45" s="23">
        <f t="shared" si="1"/>
        <v>0.18899661921708191</v>
      </c>
      <c r="K45" s="24">
        <f t="shared" si="2"/>
        <v>562</v>
      </c>
      <c r="L45" s="25">
        <f t="shared" si="3"/>
        <v>309.5000000000004</v>
      </c>
      <c r="M45" s="26">
        <f t="shared" si="4"/>
        <v>0.54585537918871319</v>
      </c>
      <c r="N45" s="27">
        <f t="shared" si="5"/>
        <v>567</v>
      </c>
      <c r="O45" s="28">
        <f t="shared" si="6"/>
        <v>32182</v>
      </c>
      <c r="P45" s="29">
        <f t="shared" si="7"/>
        <v>56.758377425044088</v>
      </c>
      <c r="Q45" s="30">
        <f t="shared" si="8"/>
        <v>567</v>
      </c>
      <c r="R45" s="11" t="str">
        <f t="shared" si="9"/>
        <v>4</v>
      </c>
      <c r="S45" s="10" t="str">
        <f t="shared" si="10"/>
        <v>4</v>
      </c>
      <c r="T45" s="9">
        <f t="shared" si="11"/>
        <v>2</v>
      </c>
      <c r="U45" t="str">
        <f t="shared" si="12"/>
        <v>Match</v>
      </c>
    </row>
    <row r="46" spans="1:21" x14ac:dyDescent="0.2">
      <c r="A46" s="12">
        <v>44</v>
      </c>
      <c r="B46" s="12">
        <v>45</v>
      </c>
      <c r="C46" s="12">
        <v>0.2273</v>
      </c>
      <c r="D46" s="12">
        <v>0.44</v>
      </c>
      <c r="E46" s="12">
        <v>0.32840000000000003</v>
      </c>
      <c r="F46" s="12">
        <v>11</v>
      </c>
      <c r="G46" s="12">
        <v>20</v>
      </c>
      <c r="H46" s="12">
        <v>31</v>
      </c>
      <c r="I46" s="22">
        <f t="shared" si="0"/>
        <v>106.21610000000004</v>
      </c>
      <c r="J46" s="23">
        <f t="shared" si="1"/>
        <v>0.18899661921708191</v>
      </c>
      <c r="K46" s="24">
        <f t="shared" si="2"/>
        <v>562</v>
      </c>
      <c r="L46" s="25">
        <f t="shared" si="3"/>
        <v>309.11000000000035</v>
      </c>
      <c r="M46" s="26">
        <f t="shared" si="4"/>
        <v>0.54613074204947054</v>
      </c>
      <c r="N46" s="27">
        <f t="shared" si="5"/>
        <v>566</v>
      </c>
      <c r="O46" s="28">
        <f t="shared" si="6"/>
        <v>32160</v>
      </c>
      <c r="P46" s="29">
        <f t="shared" si="7"/>
        <v>56.819787985865723</v>
      </c>
      <c r="Q46" s="30">
        <f t="shared" si="8"/>
        <v>566</v>
      </c>
      <c r="R46" s="11" t="str">
        <f t="shared" si="9"/>
        <v>4</v>
      </c>
      <c r="S46" s="10" t="str">
        <f t="shared" si="10"/>
        <v>5</v>
      </c>
      <c r="T46" s="9">
        <f t="shared" si="11"/>
        <v>2</v>
      </c>
      <c r="U46" t="str">
        <f t="shared" si="12"/>
        <v>Mismatch</v>
      </c>
    </row>
    <row r="47" spans="1:21" x14ac:dyDescent="0.2">
      <c r="A47" s="12">
        <v>45</v>
      </c>
      <c r="B47" s="12">
        <v>46</v>
      </c>
      <c r="C47" s="12">
        <v>0.21210000000000001</v>
      </c>
      <c r="D47" s="12">
        <v>0.44</v>
      </c>
      <c r="E47" s="12">
        <v>0.29849999999999999</v>
      </c>
      <c r="F47" s="12">
        <v>0</v>
      </c>
      <c r="G47" s="12">
        <v>9</v>
      </c>
      <c r="H47" s="12">
        <v>9</v>
      </c>
      <c r="I47" s="22">
        <f t="shared" si="0"/>
        <v>105.98880000000003</v>
      </c>
      <c r="J47" s="23">
        <f t="shared" si="1"/>
        <v>0.18892834224598934</v>
      </c>
      <c r="K47" s="24">
        <f t="shared" si="2"/>
        <v>561</v>
      </c>
      <c r="L47" s="25">
        <f t="shared" si="3"/>
        <v>308.67000000000036</v>
      </c>
      <c r="M47" s="26">
        <f t="shared" si="4"/>
        <v>0.54631858407079714</v>
      </c>
      <c r="N47" s="27">
        <f t="shared" si="5"/>
        <v>565</v>
      </c>
      <c r="O47" s="28">
        <f t="shared" si="6"/>
        <v>32129</v>
      </c>
      <c r="P47" s="29">
        <f t="shared" si="7"/>
        <v>56.865486725663715</v>
      </c>
      <c r="Q47" s="30">
        <f t="shared" si="8"/>
        <v>565</v>
      </c>
      <c r="R47" s="11" t="str">
        <f t="shared" si="9"/>
        <v>4</v>
      </c>
      <c r="S47" s="10" t="str">
        <f t="shared" si="10"/>
        <v>6</v>
      </c>
      <c r="T47" s="9">
        <f t="shared" si="11"/>
        <v>2</v>
      </c>
      <c r="U47" t="str">
        <f t="shared" si="12"/>
        <v>Mismatch</v>
      </c>
    </row>
    <row r="48" spans="1:21" x14ac:dyDescent="0.2">
      <c r="A48" s="12">
        <v>46</v>
      </c>
      <c r="B48" s="12">
        <v>47</v>
      </c>
      <c r="C48" s="12">
        <v>0.2273</v>
      </c>
      <c r="D48" s="12">
        <v>0.47</v>
      </c>
      <c r="E48" s="12">
        <v>0.16420000000000001</v>
      </c>
      <c r="F48" s="12">
        <v>0</v>
      </c>
      <c r="G48" s="12">
        <v>8</v>
      </c>
      <c r="H48" s="12">
        <v>8</v>
      </c>
      <c r="I48" s="22">
        <f t="shared" si="0"/>
        <v>105.77670000000003</v>
      </c>
      <c r="J48" s="23">
        <f t="shared" si="1"/>
        <v>0.18888696428571436</v>
      </c>
      <c r="K48" s="24">
        <f t="shared" si="2"/>
        <v>560</v>
      </c>
      <c r="L48" s="25">
        <f t="shared" si="3"/>
        <v>308.23000000000036</v>
      </c>
      <c r="M48" s="26">
        <f t="shared" si="4"/>
        <v>0.54650709219858218</v>
      </c>
      <c r="N48" s="27">
        <f t="shared" si="5"/>
        <v>564</v>
      </c>
      <c r="O48" s="28">
        <f t="shared" si="6"/>
        <v>32120</v>
      </c>
      <c r="P48" s="29">
        <f t="shared" si="7"/>
        <v>56.950354609929079</v>
      </c>
      <c r="Q48" s="30">
        <f t="shared" si="8"/>
        <v>564</v>
      </c>
      <c r="R48" s="11" t="str">
        <f t="shared" si="9"/>
        <v>4</v>
      </c>
      <c r="S48" s="10" t="str">
        <f t="shared" si="10"/>
        <v>7</v>
      </c>
      <c r="T48" s="9">
        <f t="shared" si="11"/>
        <v>2</v>
      </c>
      <c r="U48" t="str">
        <f t="shared" si="12"/>
        <v>Mismatch</v>
      </c>
    </row>
    <row r="49" spans="1:21" x14ac:dyDescent="0.2">
      <c r="A49" s="12">
        <v>47</v>
      </c>
      <c r="B49" s="12">
        <v>48</v>
      </c>
      <c r="C49" s="12">
        <v>0.19700000000000001</v>
      </c>
      <c r="D49" s="12">
        <v>0.44</v>
      </c>
      <c r="E49" s="12">
        <v>0.35820000000000002</v>
      </c>
      <c r="F49" s="12">
        <v>0</v>
      </c>
      <c r="G49" s="12">
        <v>5</v>
      </c>
      <c r="H49" s="12">
        <v>5</v>
      </c>
      <c r="I49" s="22">
        <f t="shared" si="0"/>
        <v>105.54940000000002</v>
      </c>
      <c r="J49" s="23">
        <f t="shared" si="1"/>
        <v>0.18881824686940971</v>
      </c>
      <c r="K49" s="24">
        <f t="shared" si="2"/>
        <v>559</v>
      </c>
      <c r="L49" s="25">
        <f t="shared" si="3"/>
        <v>307.76000000000033</v>
      </c>
      <c r="M49" s="26">
        <f t="shared" si="4"/>
        <v>0.54664298401421019</v>
      </c>
      <c r="N49" s="27">
        <f t="shared" si="5"/>
        <v>563</v>
      </c>
      <c r="O49" s="28">
        <f t="shared" si="6"/>
        <v>32112</v>
      </c>
      <c r="P49" s="29">
        <f t="shared" si="7"/>
        <v>57.03730017761989</v>
      </c>
      <c r="Q49" s="30">
        <f t="shared" si="8"/>
        <v>563</v>
      </c>
      <c r="R49" s="11" t="str">
        <f t="shared" si="9"/>
        <v>4</v>
      </c>
      <c r="S49" s="10" t="str">
        <f t="shared" si="10"/>
        <v>8</v>
      </c>
      <c r="T49" s="9">
        <f t="shared" si="11"/>
        <v>2</v>
      </c>
      <c r="U49" t="str">
        <f t="shared" si="12"/>
        <v>Mismatch</v>
      </c>
    </row>
    <row r="50" spans="1:21" x14ac:dyDescent="0.2">
      <c r="A50" s="12">
        <v>48</v>
      </c>
      <c r="B50" s="12">
        <v>49</v>
      </c>
      <c r="C50" s="12"/>
      <c r="D50" s="12">
        <v>0.44</v>
      </c>
      <c r="E50" s="12">
        <v>0.41789999999999999</v>
      </c>
      <c r="F50" s="12">
        <v>0</v>
      </c>
      <c r="G50" s="12">
        <v>2</v>
      </c>
      <c r="H50" s="12">
        <v>2</v>
      </c>
      <c r="I50" s="22">
        <f t="shared" si="0"/>
        <v>105.35240000000002</v>
      </c>
      <c r="J50" s="23">
        <f t="shared" si="1"/>
        <v>0.18880358422939073</v>
      </c>
      <c r="K50" s="24">
        <f t="shared" si="2"/>
        <v>558</v>
      </c>
      <c r="L50" s="25">
        <f t="shared" si="3"/>
        <v>307.32000000000033</v>
      </c>
      <c r="M50" s="26">
        <f t="shared" si="4"/>
        <v>0.54683274021352368</v>
      </c>
      <c r="N50" s="27">
        <f t="shared" si="5"/>
        <v>562</v>
      </c>
      <c r="O50" s="28">
        <f t="shared" si="6"/>
        <v>32107</v>
      </c>
      <c r="P50" s="29">
        <f t="shared" si="7"/>
        <v>57.129893238434164</v>
      </c>
      <c r="Q50" s="30">
        <f t="shared" si="8"/>
        <v>562</v>
      </c>
      <c r="R50" s="11" t="str">
        <f t="shared" si="9"/>
        <v>4</v>
      </c>
      <c r="S50" s="10" t="str">
        <f t="shared" si="10"/>
        <v>9</v>
      </c>
      <c r="T50" s="9">
        <f t="shared" si="11"/>
        <v>2</v>
      </c>
      <c r="U50" t="str">
        <f t="shared" si="12"/>
        <v>Mismatch</v>
      </c>
    </row>
    <row r="51" spans="1:21" x14ac:dyDescent="0.2">
      <c r="A51" s="12">
        <v>49</v>
      </c>
      <c r="B51" s="12">
        <v>50</v>
      </c>
      <c r="C51" s="12">
        <v>0.13639999999999999</v>
      </c>
      <c r="D51" s="12">
        <v>0.47</v>
      </c>
      <c r="E51" s="12">
        <v>0.3881</v>
      </c>
      <c r="F51" s="12">
        <v>0</v>
      </c>
      <c r="G51" s="12">
        <v>1</v>
      </c>
      <c r="H51" s="12">
        <v>1</v>
      </c>
      <c r="I51" s="22">
        <f t="shared" si="0"/>
        <v>105.35240000000002</v>
      </c>
      <c r="J51" s="23">
        <f t="shared" si="1"/>
        <v>0.18880358422939073</v>
      </c>
      <c r="K51" s="24">
        <f t="shared" si="2"/>
        <v>558</v>
      </c>
      <c r="L51" s="25">
        <f t="shared" si="3"/>
        <v>306.88000000000039</v>
      </c>
      <c r="M51" s="26">
        <f t="shared" si="4"/>
        <v>0.5470231729055266</v>
      </c>
      <c r="N51" s="27">
        <f t="shared" si="5"/>
        <v>561</v>
      </c>
      <c r="O51" s="28">
        <f t="shared" si="6"/>
        <v>32105</v>
      </c>
      <c r="P51" s="29">
        <f t="shared" si="7"/>
        <v>57.228163992869874</v>
      </c>
      <c r="Q51" s="30">
        <f t="shared" si="8"/>
        <v>561</v>
      </c>
      <c r="R51" s="11" t="str">
        <f t="shared" si="9"/>
        <v>5</v>
      </c>
      <c r="S51" s="10" t="str">
        <f t="shared" si="10"/>
        <v>0</v>
      </c>
      <c r="T51" s="9">
        <f t="shared" si="11"/>
        <v>2</v>
      </c>
      <c r="U51" t="str">
        <f t="shared" si="12"/>
        <v>Mismatch</v>
      </c>
    </row>
    <row r="52" spans="1:21" x14ac:dyDescent="0.2">
      <c r="A52" s="12">
        <v>50</v>
      </c>
      <c r="B52" s="12">
        <v>51</v>
      </c>
      <c r="C52" s="12">
        <v>0.13639999999999999</v>
      </c>
      <c r="D52" s="12">
        <v>0.47</v>
      </c>
      <c r="E52" s="12">
        <v>0.28360000000000002</v>
      </c>
      <c r="F52" s="12">
        <v>0</v>
      </c>
      <c r="G52" s="12">
        <v>3</v>
      </c>
      <c r="H52" s="12">
        <v>3</v>
      </c>
      <c r="I52" s="22">
        <f t="shared" si="0"/>
        <v>105.21600000000001</v>
      </c>
      <c r="J52" s="23">
        <f t="shared" si="1"/>
        <v>0.18889766606822264</v>
      </c>
      <c r="K52" s="24">
        <f t="shared" si="2"/>
        <v>557</v>
      </c>
      <c r="L52" s="25">
        <f t="shared" si="3"/>
        <v>306.41000000000042</v>
      </c>
      <c r="M52" s="26">
        <f t="shared" si="4"/>
        <v>0.547160714285715</v>
      </c>
      <c r="N52" s="27">
        <f t="shared" si="5"/>
        <v>560</v>
      </c>
      <c r="O52" s="28">
        <f t="shared" si="6"/>
        <v>32104</v>
      </c>
      <c r="P52" s="29">
        <f t="shared" si="7"/>
        <v>57.328571428571429</v>
      </c>
      <c r="Q52" s="30">
        <f t="shared" si="8"/>
        <v>560</v>
      </c>
      <c r="R52" s="11" t="str">
        <f t="shared" si="9"/>
        <v>5</v>
      </c>
      <c r="S52" s="10" t="str">
        <f t="shared" si="10"/>
        <v>1</v>
      </c>
      <c r="T52" s="9">
        <f t="shared" si="11"/>
        <v>2</v>
      </c>
      <c r="U52" t="str">
        <f t="shared" si="12"/>
        <v>Mismatch</v>
      </c>
    </row>
    <row r="53" spans="1:21" x14ac:dyDescent="0.2">
      <c r="A53" s="12">
        <v>51</v>
      </c>
      <c r="B53" s="12">
        <v>52</v>
      </c>
      <c r="C53" s="12">
        <v>0.1061</v>
      </c>
      <c r="D53" s="12">
        <v>0.5</v>
      </c>
      <c r="E53" s="12">
        <v>0.3881</v>
      </c>
      <c r="F53" s="12">
        <v>0</v>
      </c>
      <c r="G53" s="12">
        <v>30</v>
      </c>
      <c r="H53" s="12">
        <v>30</v>
      </c>
      <c r="I53" s="22">
        <f t="shared" si="0"/>
        <v>105.0796</v>
      </c>
      <c r="J53" s="23">
        <f t="shared" si="1"/>
        <v>0.18899208633093526</v>
      </c>
      <c r="K53" s="24">
        <f t="shared" si="2"/>
        <v>556</v>
      </c>
      <c r="L53" s="25">
        <f t="shared" si="3"/>
        <v>305.94000000000034</v>
      </c>
      <c r="M53" s="26">
        <f t="shared" si="4"/>
        <v>0.54729874776386467</v>
      </c>
      <c r="N53" s="27">
        <f t="shared" si="5"/>
        <v>559</v>
      </c>
      <c r="O53" s="28">
        <f t="shared" si="6"/>
        <v>32101</v>
      </c>
      <c r="P53" s="29">
        <f t="shared" si="7"/>
        <v>57.425760286225405</v>
      </c>
      <c r="Q53" s="30">
        <f t="shared" si="8"/>
        <v>559</v>
      </c>
      <c r="R53" s="11" t="str">
        <f t="shared" si="9"/>
        <v>5</v>
      </c>
      <c r="S53" s="10" t="str">
        <f t="shared" si="10"/>
        <v>2</v>
      </c>
      <c r="T53" s="9">
        <f t="shared" si="11"/>
        <v>2</v>
      </c>
      <c r="U53" t="str">
        <f t="shared" si="12"/>
        <v>Mismatch</v>
      </c>
    </row>
    <row r="54" spans="1:21" x14ac:dyDescent="0.2">
      <c r="A54" s="12">
        <v>52</v>
      </c>
      <c r="B54" s="12">
        <v>53</v>
      </c>
      <c r="C54" s="12">
        <v>0.13639999999999999</v>
      </c>
      <c r="D54" s="12">
        <v>0.5</v>
      </c>
      <c r="E54" s="12">
        <v>0.19400000000000001</v>
      </c>
      <c r="F54" s="12">
        <v>1</v>
      </c>
      <c r="G54" s="12">
        <v>63</v>
      </c>
      <c r="H54" s="12">
        <v>64</v>
      </c>
      <c r="I54" s="22">
        <f t="shared" si="0"/>
        <v>104.9735</v>
      </c>
      <c r="J54" s="23">
        <f t="shared" si="1"/>
        <v>0.18914144144144143</v>
      </c>
      <c r="K54" s="24">
        <f t="shared" si="2"/>
        <v>555</v>
      </c>
      <c r="L54" s="25">
        <f t="shared" si="3"/>
        <v>305.4400000000004</v>
      </c>
      <c r="M54" s="26">
        <f t="shared" si="4"/>
        <v>0.54738351254480355</v>
      </c>
      <c r="N54" s="27">
        <f t="shared" si="5"/>
        <v>558</v>
      </c>
      <c r="O54" s="28">
        <f t="shared" si="6"/>
        <v>32071</v>
      </c>
      <c r="P54" s="29">
        <f t="shared" si="7"/>
        <v>57.47491039426523</v>
      </c>
      <c r="Q54" s="30">
        <f t="shared" si="8"/>
        <v>558</v>
      </c>
      <c r="R54" s="11" t="str">
        <f t="shared" si="9"/>
        <v>5</v>
      </c>
      <c r="S54" s="10" t="str">
        <f t="shared" si="10"/>
        <v>3</v>
      </c>
      <c r="T54" s="9">
        <f t="shared" si="11"/>
        <v>2</v>
      </c>
      <c r="U54" t="str">
        <f t="shared" si="12"/>
        <v>Mismatch</v>
      </c>
    </row>
    <row r="55" spans="1:21" x14ac:dyDescent="0.2">
      <c r="A55" s="12">
        <v>53</v>
      </c>
      <c r="B55" s="12">
        <v>54</v>
      </c>
      <c r="C55" s="12">
        <v>0.1212</v>
      </c>
      <c r="D55" s="12">
        <v>0.5</v>
      </c>
      <c r="E55" s="12">
        <v>0.28360000000000002</v>
      </c>
      <c r="F55" s="12">
        <v>1</v>
      </c>
      <c r="G55" s="12">
        <v>153</v>
      </c>
      <c r="H55" s="12">
        <v>154</v>
      </c>
      <c r="I55" s="22">
        <f t="shared" si="0"/>
        <v>104.83709999999999</v>
      </c>
      <c r="J55" s="23">
        <f t="shared" si="1"/>
        <v>0.18923664259927797</v>
      </c>
      <c r="K55" s="24">
        <f t="shared" si="2"/>
        <v>554</v>
      </c>
      <c r="L55" s="25">
        <f t="shared" si="3"/>
        <v>304.9400000000004</v>
      </c>
      <c r="M55" s="26">
        <f t="shared" si="4"/>
        <v>0.54746858168761292</v>
      </c>
      <c r="N55" s="27">
        <f t="shared" si="5"/>
        <v>557</v>
      </c>
      <c r="O55" s="28">
        <f t="shared" si="6"/>
        <v>32007</v>
      </c>
      <c r="P55" s="29">
        <f t="shared" si="7"/>
        <v>57.46319569120287</v>
      </c>
      <c r="Q55" s="30">
        <f t="shared" si="8"/>
        <v>557</v>
      </c>
      <c r="R55" s="11" t="str">
        <f t="shared" si="9"/>
        <v>5</v>
      </c>
      <c r="S55" s="10" t="str">
        <f t="shared" si="10"/>
        <v>4</v>
      </c>
      <c r="T55" s="9">
        <f t="shared" si="11"/>
        <v>2</v>
      </c>
      <c r="U55" t="str">
        <f t="shared" si="12"/>
        <v>Mismatch</v>
      </c>
    </row>
    <row r="56" spans="1:21" x14ac:dyDescent="0.2">
      <c r="A56" s="12">
        <v>54</v>
      </c>
      <c r="B56" s="12">
        <v>55</v>
      </c>
      <c r="C56" s="12">
        <v>0.13639999999999999</v>
      </c>
      <c r="D56" s="12">
        <v>0.43</v>
      </c>
      <c r="E56" s="12">
        <v>0.3881</v>
      </c>
      <c r="F56" s="12">
        <v>7</v>
      </c>
      <c r="G56" s="12">
        <v>81</v>
      </c>
      <c r="H56" s="12">
        <v>88</v>
      </c>
      <c r="I56" s="22">
        <f t="shared" si="0"/>
        <v>104.71589999999999</v>
      </c>
      <c r="J56" s="23">
        <f t="shared" si="1"/>
        <v>0.18935967450271246</v>
      </c>
      <c r="K56" s="24">
        <f t="shared" si="2"/>
        <v>553</v>
      </c>
      <c r="L56" s="25">
        <f t="shared" si="3"/>
        <v>304.4400000000004</v>
      </c>
      <c r="M56" s="26">
        <f t="shared" si="4"/>
        <v>0.54755395683453312</v>
      </c>
      <c r="N56" s="27">
        <f t="shared" si="5"/>
        <v>556</v>
      </c>
      <c r="O56" s="28">
        <f t="shared" si="6"/>
        <v>31853</v>
      </c>
      <c r="P56" s="29">
        <f t="shared" si="7"/>
        <v>57.289568345323744</v>
      </c>
      <c r="Q56" s="30">
        <f t="shared" si="8"/>
        <v>556</v>
      </c>
      <c r="R56" s="11" t="str">
        <f t="shared" si="9"/>
        <v>5</v>
      </c>
      <c r="S56" s="10" t="str">
        <f t="shared" si="10"/>
        <v>5</v>
      </c>
      <c r="T56" s="9">
        <f t="shared" si="11"/>
        <v>2</v>
      </c>
      <c r="U56" t="str">
        <f t="shared" si="12"/>
        <v>Match</v>
      </c>
    </row>
    <row r="57" spans="1:21" x14ac:dyDescent="0.2">
      <c r="A57" s="12">
        <v>55</v>
      </c>
      <c r="B57" s="12">
        <v>56</v>
      </c>
      <c r="C57" s="12">
        <v>0.16669999999999999</v>
      </c>
      <c r="D57" s="12">
        <v>0.43</v>
      </c>
      <c r="E57" s="12">
        <v>0.25369999999999998</v>
      </c>
      <c r="F57" s="12">
        <v>11</v>
      </c>
      <c r="G57" s="12">
        <v>33</v>
      </c>
      <c r="H57" s="12">
        <v>44</v>
      </c>
      <c r="I57" s="22">
        <f t="shared" si="0"/>
        <v>104.57950000000001</v>
      </c>
      <c r="J57" s="23">
        <f t="shared" si="1"/>
        <v>0.189455615942029</v>
      </c>
      <c r="K57" s="24">
        <f t="shared" si="2"/>
        <v>552</v>
      </c>
      <c r="L57" s="25">
        <f t="shared" si="3"/>
        <v>304.01000000000039</v>
      </c>
      <c r="M57" s="26">
        <f t="shared" si="4"/>
        <v>0.54776576576576652</v>
      </c>
      <c r="N57" s="27">
        <f t="shared" si="5"/>
        <v>555</v>
      </c>
      <c r="O57" s="28">
        <f t="shared" si="6"/>
        <v>31765</v>
      </c>
      <c r="P57" s="29">
        <f t="shared" si="7"/>
        <v>57.234234234234236</v>
      </c>
      <c r="Q57" s="30">
        <f t="shared" si="8"/>
        <v>555</v>
      </c>
      <c r="R57" s="11" t="str">
        <f t="shared" si="9"/>
        <v>5</v>
      </c>
      <c r="S57" s="10" t="str">
        <f t="shared" si="10"/>
        <v>6</v>
      </c>
      <c r="T57" s="9">
        <f t="shared" si="11"/>
        <v>2</v>
      </c>
      <c r="U57" t="str">
        <f t="shared" si="12"/>
        <v>Mismatch</v>
      </c>
    </row>
    <row r="58" spans="1:21" x14ac:dyDescent="0.2">
      <c r="A58" s="12">
        <v>56</v>
      </c>
      <c r="B58" s="12">
        <v>57</v>
      </c>
      <c r="C58" s="12">
        <v>0.18179999999999999</v>
      </c>
      <c r="D58" s="12">
        <v>0.4</v>
      </c>
      <c r="E58" s="12">
        <v>0.32840000000000003</v>
      </c>
      <c r="F58" s="12">
        <v>10</v>
      </c>
      <c r="G58" s="12">
        <v>41</v>
      </c>
      <c r="H58" s="12">
        <v>51</v>
      </c>
      <c r="I58" s="22">
        <f t="shared" si="0"/>
        <v>104.4128</v>
      </c>
      <c r="J58" s="23">
        <f t="shared" si="1"/>
        <v>0.18949691470054447</v>
      </c>
      <c r="K58" s="24">
        <f t="shared" si="2"/>
        <v>551</v>
      </c>
      <c r="L58" s="25">
        <f t="shared" si="3"/>
        <v>303.58000000000044</v>
      </c>
      <c r="M58" s="26">
        <f t="shared" si="4"/>
        <v>0.54797833935018125</v>
      </c>
      <c r="N58" s="27">
        <f t="shared" si="5"/>
        <v>554</v>
      </c>
      <c r="O58" s="28">
        <f t="shared" si="6"/>
        <v>31721</v>
      </c>
      <c r="P58" s="29">
        <f t="shared" si="7"/>
        <v>57.258122743682307</v>
      </c>
      <c r="Q58" s="30">
        <f t="shared" si="8"/>
        <v>554</v>
      </c>
      <c r="R58" s="11" t="str">
        <f t="shared" si="9"/>
        <v>5</v>
      </c>
      <c r="S58" s="10" t="str">
        <f t="shared" si="10"/>
        <v>7</v>
      </c>
      <c r="T58" s="9">
        <f t="shared" si="11"/>
        <v>2</v>
      </c>
      <c r="U58" t="str">
        <f t="shared" si="12"/>
        <v>Mismatch</v>
      </c>
    </row>
    <row r="59" spans="1:21" x14ac:dyDescent="0.2">
      <c r="A59" s="12">
        <v>57</v>
      </c>
      <c r="B59" s="12">
        <v>58</v>
      </c>
      <c r="C59" s="12">
        <v>0.21210000000000001</v>
      </c>
      <c r="D59" s="12">
        <v>0.35</v>
      </c>
      <c r="E59" s="12">
        <v>0.29849999999999999</v>
      </c>
      <c r="F59" s="12">
        <v>13</v>
      </c>
      <c r="G59" s="12">
        <v>48</v>
      </c>
      <c r="H59" s="12">
        <v>61</v>
      </c>
      <c r="I59" s="22">
        <f t="shared" si="0"/>
        <v>104.23099999999999</v>
      </c>
      <c r="J59" s="23">
        <f t="shared" si="1"/>
        <v>0.18951090909090909</v>
      </c>
      <c r="K59" s="24">
        <f t="shared" si="2"/>
        <v>550</v>
      </c>
      <c r="L59" s="25">
        <f t="shared" si="3"/>
        <v>303.1800000000004</v>
      </c>
      <c r="M59" s="26">
        <f t="shared" si="4"/>
        <v>0.54824593128390675</v>
      </c>
      <c r="N59" s="27">
        <f t="shared" si="5"/>
        <v>553</v>
      </c>
      <c r="O59" s="28">
        <f t="shared" si="6"/>
        <v>31670</v>
      </c>
      <c r="P59" s="29">
        <f t="shared" si="7"/>
        <v>57.269439421338156</v>
      </c>
      <c r="Q59" s="30">
        <f t="shared" si="8"/>
        <v>553</v>
      </c>
      <c r="R59" s="11" t="str">
        <f t="shared" si="9"/>
        <v>5</v>
      </c>
      <c r="S59" s="10" t="str">
        <f t="shared" si="10"/>
        <v>8</v>
      </c>
      <c r="T59" s="9">
        <f t="shared" si="11"/>
        <v>2</v>
      </c>
      <c r="U59" t="str">
        <f t="shared" si="12"/>
        <v>Mismatch</v>
      </c>
    </row>
    <row r="60" spans="1:21" x14ac:dyDescent="0.2">
      <c r="A60" s="12">
        <v>58</v>
      </c>
      <c r="B60" s="12">
        <v>59</v>
      </c>
      <c r="C60" s="12"/>
      <c r="D60" s="12">
        <v>0.35</v>
      </c>
      <c r="E60" s="12">
        <v>0.28360000000000002</v>
      </c>
      <c r="F60" s="12">
        <v>8</v>
      </c>
      <c r="G60" s="12">
        <v>53</v>
      </c>
      <c r="H60" s="12">
        <v>61</v>
      </c>
      <c r="I60" s="22">
        <f t="shared" si="0"/>
        <v>104.01890000000002</v>
      </c>
      <c r="J60" s="23">
        <f t="shared" si="1"/>
        <v>0.18946976320582881</v>
      </c>
      <c r="K60" s="24">
        <f t="shared" si="2"/>
        <v>549</v>
      </c>
      <c r="L60" s="25">
        <f t="shared" si="3"/>
        <v>302.83000000000044</v>
      </c>
      <c r="M60" s="26">
        <f t="shared" si="4"/>
        <v>0.54860507246376888</v>
      </c>
      <c r="N60" s="27">
        <f t="shared" si="5"/>
        <v>552</v>
      </c>
      <c r="O60" s="28">
        <f t="shared" si="6"/>
        <v>31609</v>
      </c>
      <c r="P60" s="29">
        <f t="shared" si="7"/>
        <v>57.262681159420289</v>
      </c>
      <c r="Q60" s="30">
        <f t="shared" si="8"/>
        <v>552</v>
      </c>
      <c r="R60" s="11" t="str">
        <f t="shared" si="9"/>
        <v>5</v>
      </c>
      <c r="S60" s="10" t="str">
        <f t="shared" si="10"/>
        <v>9</v>
      </c>
      <c r="T60" s="9">
        <f t="shared" si="11"/>
        <v>2</v>
      </c>
      <c r="U60" t="str">
        <f t="shared" si="12"/>
        <v>Mismatch</v>
      </c>
    </row>
    <row r="61" spans="1:21" x14ac:dyDescent="0.2">
      <c r="A61" s="12">
        <v>59</v>
      </c>
      <c r="B61" s="12">
        <v>60</v>
      </c>
      <c r="C61" s="12">
        <v>0.2424</v>
      </c>
      <c r="D61" s="12">
        <v>0.3</v>
      </c>
      <c r="E61" s="12">
        <v>0.28360000000000002</v>
      </c>
      <c r="F61" s="12">
        <v>11</v>
      </c>
      <c r="G61" s="12">
        <v>66</v>
      </c>
      <c r="H61" s="12">
        <v>77</v>
      </c>
      <c r="I61" s="22">
        <f t="shared" si="0"/>
        <v>104.01890000000002</v>
      </c>
      <c r="J61" s="23">
        <f t="shared" si="1"/>
        <v>0.18946976320582881</v>
      </c>
      <c r="K61" s="24">
        <f t="shared" si="2"/>
        <v>549</v>
      </c>
      <c r="L61" s="25">
        <f t="shared" si="3"/>
        <v>302.48000000000042</v>
      </c>
      <c r="M61" s="26">
        <f t="shared" si="4"/>
        <v>0.5489655172413801</v>
      </c>
      <c r="N61" s="27">
        <f t="shared" si="5"/>
        <v>551</v>
      </c>
      <c r="O61" s="28">
        <f t="shared" si="6"/>
        <v>31548</v>
      </c>
      <c r="P61" s="29">
        <f t="shared" si="7"/>
        <v>57.255898366606168</v>
      </c>
      <c r="Q61" s="30">
        <f t="shared" si="8"/>
        <v>551</v>
      </c>
      <c r="R61" s="11" t="str">
        <f t="shared" si="9"/>
        <v>6</v>
      </c>
      <c r="S61" s="10" t="str">
        <f t="shared" si="10"/>
        <v>0</v>
      </c>
      <c r="T61" s="9">
        <f t="shared" si="11"/>
        <v>2</v>
      </c>
      <c r="U61" t="str">
        <f t="shared" si="12"/>
        <v>Mismatch</v>
      </c>
    </row>
    <row r="62" spans="1:21" x14ac:dyDescent="0.2">
      <c r="A62" s="12">
        <v>60</v>
      </c>
      <c r="B62" s="12">
        <v>61</v>
      </c>
      <c r="C62" s="12">
        <v>0.2424</v>
      </c>
      <c r="D62" s="12">
        <v>0.3</v>
      </c>
      <c r="E62" s="12">
        <v>0.25369999999999998</v>
      </c>
      <c r="F62" s="12">
        <v>14</v>
      </c>
      <c r="G62" s="12">
        <v>58</v>
      </c>
      <c r="H62" s="12">
        <v>72</v>
      </c>
      <c r="I62" s="22">
        <f t="shared" si="0"/>
        <v>103.7765</v>
      </c>
      <c r="J62" s="23">
        <f t="shared" si="1"/>
        <v>0.18937317518248176</v>
      </c>
      <c r="K62" s="24">
        <f t="shared" si="2"/>
        <v>548</v>
      </c>
      <c r="L62" s="25">
        <f t="shared" si="3"/>
        <v>302.18000000000046</v>
      </c>
      <c r="M62" s="26">
        <f t="shared" si="4"/>
        <v>0.54941818181818269</v>
      </c>
      <c r="N62" s="27">
        <f t="shared" si="5"/>
        <v>550</v>
      </c>
      <c r="O62" s="28">
        <f t="shared" si="6"/>
        <v>31471</v>
      </c>
      <c r="P62" s="29">
        <f t="shared" si="7"/>
        <v>57.22</v>
      </c>
      <c r="Q62" s="30">
        <f t="shared" si="8"/>
        <v>550</v>
      </c>
      <c r="R62" s="11" t="str">
        <f t="shared" si="9"/>
        <v>6</v>
      </c>
      <c r="S62" s="10" t="str">
        <f t="shared" si="10"/>
        <v>1</v>
      </c>
      <c r="T62" s="9">
        <f t="shared" si="11"/>
        <v>2</v>
      </c>
      <c r="U62" t="str">
        <f t="shared" si="12"/>
        <v>Mismatch</v>
      </c>
    </row>
    <row r="63" spans="1:21" x14ac:dyDescent="0.2">
      <c r="A63" s="12">
        <v>61</v>
      </c>
      <c r="B63" s="12">
        <v>62</v>
      </c>
      <c r="C63" s="12">
        <v>0.2424</v>
      </c>
      <c r="D63" s="12">
        <v>0.3</v>
      </c>
      <c r="E63" s="12">
        <v>0.25369999999999998</v>
      </c>
      <c r="F63" s="12">
        <v>9</v>
      </c>
      <c r="G63" s="12">
        <v>67</v>
      </c>
      <c r="H63" s="12">
        <v>76</v>
      </c>
      <c r="I63" s="22">
        <f t="shared" si="0"/>
        <v>103.53410000000001</v>
      </c>
      <c r="J63" s="23">
        <f t="shared" si="1"/>
        <v>0.18927623400365631</v>
      </c>
      <c r="K63" s="24">
        <f t="shared" si="2"/>
        <v>547</v>
      </c>
      <c r="L63" s="25">
        <f t="shared" si="3"/>
        <v>301.88000000000045</v>
      </c>
      <c r="M63" s="26">
        <f t="shared" si="4"/>
        <v>0.54987249544626671</v>
      </c>
      <c r="N63" s="27">
        <f t="shared" si="5"/>
        <v>549</v>
      </c>
      <c r="O63" s="28">
        <f t="shared" si="6"/>
        <v>31399</v>
      </c>
      <c r="P63" s="29">
        <f t="shared" si="7"/>
        <v>57.193078324225866</v>
      </c>
      <c r="Q63" s="30">
        <f t="shared" si="8"/>
        <v>549</v>
      </c>
      <c r="R63" s="11" t="str">
        <f t="shared" si="9"/>
        <v>6</v>
      </c>
      <c r="S63" s="10" t="str">
        <f t="shared" si="10"/>
        <v>2</v>
      </c>
      <c r="T63" s="9">
        <f t="shared" si="11"/>
        <v>2</v>
      </c>
      <c r="U63" t="str">
        <f t="shared" si="12"/>
        <v>Mismatch</v>
      </c>
    </row>
    <row r="64" spans="1:21" x14ac:dyDescent="0.2">
      <c r="A64" s="12">
        <v>62</v>
      </c>
      <c r="B64" s="12">
        <v>63</v>
      </c>
      <c r="C64" s="12">
        <v>0.2273</v>
      </c>
      <c r="D64" s="12">
        <v>0.3</v>
      </c>
      <c r="E64" s="12">
        <v>0.22389999999999999</v>
      </c>
      <c r="F64" s="12">
        <v>11</v>
      </c>
      <c r="G64" s="12">
        <v>146</v>
      </c>
      <c r="H64" s="12">
        <v>157</v>
      </c>
      <c r="I64" s="22">
        <f t="shared" si="0"/>
        <v>103.29170000000002</v>
      </c>
      <c r="J64" s="23">
        <f t="shared" si="1"/>
        <v>0.18917893772893776</v>
      </c>
      <c r="K64" s="24">
        <f t="shared" si="2"/>
        <v>546</v>
      </c>
      <c r="L64" s="25">
        <f t="shared" si="3"/>
        <v>301.58000000000044</v>
      </c>
      <c r="M64" s="26">
        <f t="shared" si="4"/>
        <v>0.55032846715328543</v>
      </c>
      <c r="N64" s="27">
        <f t="shared" si="5"/>
        <v>548</v>
      </c>
      <c r="O64" s="28">
        <f t="shared" si="6"/>
        <v>31323</v>
      </c>
      <c r="P64" s="29">
        <f t="shared" si="7"/>
        <v>57.158759124087588</v>
      </c>
      <c r="Q64" s="30">
        <f t="shared" si="8"/>
        <v>548</v>
      </c>
      <c r="R64" s="11" t="str">
        <f t="shared" si="9"/>
        <v>6</v>
      </c>
      <c r="S64" s="10" t="str">
        <f t="shared" si="10"/>
        <v>3</v>
      </c>
      <c r="T64" s="9">
        <f t="shared" si="11"/>
        <v>2</v>
      </c>
      <c r="U64" t="str">
        <f t="shared" si="12"/>
        <v>Mismatch</v>
      </c>
    </row>
    <row r="65" spans="1:21" x14ac:dyDescent="0.2">
      <c r="A65" s="12">
        <v>63</v>
      </c>
      <c r="B65" s="12">
        <v>64</v>
      </c>
      <c r="C65" s="12">
        <v>0.2576</v>
      </c>
      <c r="D65" s="12">
        <v>0.32</v>
      </c>
      <c r="E65" s="12">
        <v>0.1045</v>
      </c>
      <c r="F65" s="12">
        <v>9</v>
      </c>
      <c r="G65" s="12">
        <v>148</v>
      </c>
      <c r="H65" s="12">
        <v>157</v>
      </c>
      <c r="I65" s="22">
        <f t="shared" si="0"/>
        <v>103.06440000000001</v>
      </c>
      <c r="J65" s="23">
        <f t="shared" si="1"/>
        <v>0.18910899082568808</v>
      </c>
      <c r="K65" s="24">
        <f t="shared" si="2"/>
        <v>545</v>
      </c>
      <c r="L65" s="25">
        <f t="shared" si="3"/>
        <v>301.28000000000048</v>
      </c>
      <c r="M65" s="26">
        <f t="shared" si="4"/>
        <v>0.55078610603290767</v>
      </c>
      <c r="N65" s="27">
        <f t="shared" si="5"/>
        <v>547</v>
      </c>
      <c r="O65" s="28">
        <f t="shared" si="6"/>
        <v>31166</v>
      </c>
      <c r="P65" s="29">
        <f t="shared" si="7"/>
        <v>56.976234003656309</v>
      </c>
      <c r="Q65" s="30">
        <f t="shared" si="8"/>
        <v>547</v>
      </c>
      <c r="R65" s="11" t="str">
        <f t="shared" si="9"/>
        <v>6</v>
      </c>
      <c r="S65" s="10" t="str">
        <f t="shared" si="10"/>
        <v>4</v>
      </c>
      <c r="T65" s="9">
        <f t="shared" si="11"/>
        <v>2</v>
      </c>
      <c r="U65" t="str">
        <f t="shared" si="12"/>
        <v>Mismatch</v>
      </c>
    </row>
    <row r="66" spans="1:21" x14ac:dyDescent="0.2">
      <c r="A66" s="12">
        <v>64</v>
      </c>
      <c r="B66" s="12">
        <v>65</v>
      </c>
      <c r="C66" s="12">
        <v>0.2576</v>
      </c>
      <c r="D66" s="12">
        <v>0.47</v>
      </c>
      <c r="E66" s="12">
        <v>0</v>
      </c>
      <c r="F66" s="12">
        <v>8</v>
      </c>
      <c r="G66" s="12">
        <v>102</v>
      </c>
      <c r="H66" s="12">
        <v>110</v>
      </c>
      <c r="I66" s="22">
        <f t="shared" si="0"/>
        <v>102.80680000000001</v>
      </c>
      <c r="J66" s="23">
        <f t="shared" si="1"/>
        <v>0.18898308823529414</v>
      </c>
      <c r="K66" s="24">
        <f t="shared" si="2"/>
        <v>544</v>
      </c>
      <c r="L66" s="25">
        <f t="shared" si="3"/>
        <v>300.96000000000049</v>
      </c>
      <c r="M66" s="26">
        <f t="shared" si="4"/>
        <v>0.55120879120879207</v>
      </c>
      <c r="N66" s="27">
        <f t="shared" si="5"/>
        <v>546</v>
      </c>
      <c r="O66" s="28">
        <f t="shared" si="6"/>
        <v>31009</v>
      </c>
      <c r="P66" s="29">
        <f t="shared" si="7"/>
        <v>56.793040293040292</v>
      </c>
      <c r="Q66" s="30">
        <f t="shared" si="8"/>
        <v>546</v>
      </c>
      <c r="R66" s="11" t="str">
        <f t="shared" si="9"/>
        <v>6</v>
      </c>
      <c r="S66" s="10" t="str">
        <f t="shared" si="10"/>
        <v>5</v>
      </c>
      <c r="T66" s="9">
        <f t="shared" si="11"/>
        <v>2</v>
      </c>
      <c r="U66" t="str">
        <f t="shared" si="12"/>
        <v>Mismatch</v>
      </c>
    </row>
    <row r="67" spans="1:21" x14ac:dyDescent="0.2">
      <c r="A67" s="12">
        <v>65</v>
      </c>
      <c r="B67" s="12">
        <v>66</v>
      </c>
      <c r="C67" s="12"/>
      <c r="D67" s="12">
        <v>0.47</v>
      </c>
      <c r="E67" s="12">
        <v>0.1045</v>
      </c>
      <c r="F67" s="12">
        <v>3</v>
      </c>
      <c r="G67" s="12">
        <v>49</v>
      </c>
      <c r="H67" s="12">
        <v>52</v>
      </c>
      <c r="I67" s="22">
        <f t="shared" ref="I67:I130" si="13">SUM(C67:C676)</f>
        <v>102.5492</v>
      </c>
      <c r="J67" s="23">
        <f t="shared" ref="J67:J130" si="14">AVERAGE(C67:C676)</f>
        <v>0.18885672191528544</v>
      </c>
      <c r="K67" s="24">
        <f t="shared" ref="K67:K130" si="15">COUNT(C67:C676)</f>
        <v>543</v>
      </c>
      <c r="L67" s="25">
        <f t="shared" ref="L67:L130" si="16">SUM(D67:D676)</f>
        <v>300.49000000000046</v>
      </c>
      <c r="M67" s="26">
        <f t="shared" ref="M67:M130" si="17">AVERAGE(D67:D676)</f>
        <v>0.55135779816513841</v>
      </c>
      <c r="N67" s="27">
        <f t="shared" ref="N67:N130" si="18">COUNT(D67:D676)</f>
        <v>545</v>
      </c>
      <c r="O67" s="28">
        <f t="shared" ref="O67:O130" si="19">SUM(H67:H676)</f>
        <v>30899</v>
      </c>
      <c r="P67" s="29">
        <f t="shared" ref="P67:P130" si="20">AVERAGE(H67:H676)</f>
        <v>56.695412844036696</v>
      </c>
      <c r="Q67" s="30">
        <f t="shared" ref="Q67:Q130" si="21">COUNT(H67:H676)</f>
        <v>545</v>
      </c>
      <c r="R67" s="11" t="str">
        <f t="shared" ref="R67:R130" si="22">LEFT(B67,1)</f>
        <v>6</v>
      </c>
      <c r="S67" s="10" t="str">
        <f t="shared" ref="S67:S130" si="23">RIGHT(B67,1)</f>
        <v>6</v>
      </c>
      <c r="T67" s="9">
        <f t="shared" ref="T67:T130" si="24">LEN(B67)</f>
        <v>2</v>
      </c>
      <c r="U67" t="str">
        <f t="shared" ref="U67:U130" si="25">IF(R67=S67,"Match","Mismatch")</f>
        <v>Match</v>
      </c>
    </row>
    <row r="68" spans="1:21" x14ac:dyDescent="0.2">
      <c r="A68" s="12">
        <v>66</v>
      </c>
      <c r="B68" s="12">
        <v>67</v>
      </c>
      <c r="C68" s="12">
        <v>0.19700000000000001</v>
      </c>
      <c r="D68" s="12">
        <v>0.64</v>
      </c>
      <c r="E68" s="12">
        <v>0.1343</v>
      </c>
      <c r="F68" s="12">
        <v>3</v>
      </c>
      <c r="G68" s="12">
        <v>49</v>
      </c>
      <c r="H68" s="12">
        <v>52</v>
      </c>
      <c r="I68" s="22">
        <f t="shared" si="13"/>
        <v>102.5492</v>
      </c>
      <c r="J68" s="23">
        <f t="shared" si="14"/>
        <v>0.18885672191528544</v>
      </c>
      <c r="K68" s="24">
        <f t="shared" si="15"/>
        <v>543</v>
      </c>
      <c r="L68" s="25">
        <f t="shared" si="16"/>
        <v>300.02000000000049</v>
      </c>
      <c r="M68" s="26">
        <f t="shared" si="17"/>
        <v>0.55150735294117736</v>
      </c>
      <c r="N68" s="27">
        <f t="shared" si="18"/>
        <v>544</v>
      </c>
      <c r="O68" s="28">
        <f t="shared" si="19"/>
        <v>30847</v>
      </c>
      <c r="P68" s="29">
        <f t="shared" si="20"/>
        <v>56.704044117647058</v>
      </c>
      <c r="Q68" s="30">
        <f t="shared" si="21"/>
        <v>544</v>
      </c>
      <c r="R68" s="11" t="str">
        <f t="shared" si="22"/>
        <v>6</v>
      </c>
      <c r="S68" s="10" t="str">
        <f t="shared" si="23"/>
        <v>7</v>
      </c>
      <c r="T68" s="9">
        <f t="shared" si="24"/>
        <v>2</v>
      </c>
      <c r="U68" t="str">
        <f t="shared" si="25"/>
        <v>Mismatch</v>
      </c>
    </row>
    <row r="69" spans="1:21" x14ac:dyDescent="0.2">
      <c r="A69" s="12">
        <v>67</v>
      </c>
      <c r="B69" s="12">
        <v>68</v>
      </c>
      <c r="C69" s="12">
        <v>0.1515</v>
      </c>
      <c r="D69" s="12">
        <v>0.69</v>
      </c>
      <c r="E69" s="12">
        <v>0.1343</v>
      </c>
      <c r="F69" s="12">
        <v>0</v>
      </c>
      <c r="G69" s="12">
        <v>20</v>
      </c>
      <c r="H69" s="12">
        <v>20</v>
      </c>
      <c r="I69" s="22">
        <f t="shared" si="13"/>
        <v>102.35220000000001</v>
      </c>
      <c r="J69" s="23">
        <f t="shared" si="14"/>
        <v>0.18884169741697418</v>
      </c>
      <c r="K69" s="24">
        <f t="shared" si="15"/>
        <v>542</v>
      </c>
      <c r="L69" s="25">
        <f t="shared" si="16"/>
        <v>299.38000000000045</v>
      </c>
      <c r="M69" s="26">
        <f t="shared" si="17"/>
        <v>0.5513443830570911</v>
      </c>
      <c r="N69" s="27">
        <f t="shared" si="18"/>
        <v>543</v>
      </c>
      <c r="O69" s="28">
        <f t="shared" si="19"/>
        <v>30795</v>
      </c>
      <c r="P69" s="29">
        <f t="shared" si="20"/>
        <v>56.712707182320443</v>
      </c>
      <c r="Q69" s="30">
        <f t="shared" si="21"/>
        <v>543</v>
      </c>
      <c r="R69" s="11" t="str">
        <f t="shared" si="22"/>
        <v>6</v>
      </c>
      <c r="S69" s="10" t="str">
        <f t="shared" si="23"/>
        <v>8</v>
      </c>
      <c r="T69" s="9">
        <f t="shared" si="24"/>
        <v>2</v>
      </c>
      <c r="U69" t="str">
        <f t="shared" si="25"/>
        <v>Mismatch</v>
      </c>
    </row>
    <row r="70" spans="1:21" x14ac:dyDescent="0.2">
      <c r="A70" s="12">
        <v>68</v>
      </c>
      <c r="B70" s="12">
        <v>69</v>
      </c>
      <c r="C70" s="12">
        <v>0.21210000000000001</v>
      </c>
      <c r="D70" s="12">
        <v>0.55000000000000004</v>
      </c>
      <c r="E70" s="12">
        <v>0.1045</v>
      </c>
      <c r="F70" s="12">
        <v>1</v>
      </c>
      <c r="G70" s="12">
        <v>11</v>
      </c>
      <c r="H70" s="12">
        <v>12</v>
      </c>
      <c r="I70" s="22">
        <f t="shared" si="13"/>
        <v>102.2007</v>
      </c>
      <c r="J70" s="23">
        <f t="shared" si="14"/>
        <v>0.18891072088724584</v>
      </c>
      <c r="K70" s="24">
        <f t="shared" si="15"/>
        <v>541</v>
      </c>
      <c r="L70" s="25">
        <f t="shared" si="16"/>
        <v>298.69000000000045</v>
      </c>
      <c r="M70" s="26">
        <f t="shared" si="17"/>
        <v>0.55108856088560965</v>
      </c>
      <c r="N70" s="27">
        <f t="shared" si="18"/>
        <v>542</v>
      </c>
      <c r="O70" s="28">
        <f t="shared" si="19"/>
        <v>30775</v>
      </c>
      <c r="P70" s="29">
        <f t="shared" si="20"/>
        <v>56.780442804428041</v>
      </c>
      <c r="Q70" s="30">
        <f t="shared" si="21"/>
        <v>542</v>
      </c>
      <c r="R70" s="11" t="str">
        <f t="shared" si="22"/>
        <v>6</v>
      </c>
      <c r="S70" s="10" t="str">
        <f t="shared" si="23"/>
        <v>9</v>
      </c>
      <c r="T70" s="9">
        <f t="shared" si="24"/>
        <v>2</v>
      </c>
      <c r="U70" t="str">
        <f t="shared" si="25"/>
        <v>Mismatch</v>
      </c>
    </row>
    <row r="71" spans="1:21" x14ac:dyDescent="0.2">
      <c r="A71" s="12">
        <v>69</v>
      </c>
      <c r="B71" s="12">
        <v>70</v>
      </c>
      <c r="C71" s="12"/>
      <c r="D71" s="12">
        <v>0.55000000000000004</v>
      </c>
      <c r="E71" s="12">
        <v>0.1045</v>
      </c>
      <c r="F71" s="12">
        <v>0</v>
      </c>
      <c r="G71" s="12">
        <v>5</v>
      </c>
      <c r="H71" s="12">
        <v>5</v>
      </c>
      <c r="I71" s="22">
        <f t="shared" si="13"/>
        <v>101.98859999999999</v>
      </c>
      <c r="J71" s="23">
        <f t="shared" si="14"/>
        <v>0.18886777777777777</v>
      </c>
      <c r="K71" s="24">
        <f t="shared" si="15"/>
        <v>540</v>
      </c>
      <c r="L71" s="25">
        <f t="shared" si="16"/>
        <v>298.14000000000044</v>
      </c>
      <c r="M71" s="26">
        <f t="shared" si="17"/>
        <v>0.55109057301293984</v>
      </c>
      <c r="N71" s="27">
        <f t="shared" si="18"/>
        <v>541</v>
      </c>
      <c r="O71" s="28">
        <f t="shared" si="19"/>
        <v>30763</v>
      </c>
      <c r="P71" s="29">
        <f t="shared" si="20"/>
        <v>56.863216266173751</v>
      </c>
      <c r="Q71" s="30">
        <f t="shared" si="21"/>
        <v>541</v>
      </c>
      <c r="R71" s="11" t="str">
        <f t="shared" si="22"/>
        <v>7</v>
      </c>
      <c r="S71" s="10" t="str">
        <f t="shared" si="23"/>
        <v>0</v>
      </c>
      <c r="T71" s="9">
        <f t="shared" si="24"/>
        <v>2</v>
      </c>
      <c r="U71" t="str">
        <f t="shared" si="25"/>
        <v>Mismatch</v>
      </c>
    </row>
    <row r="72" spans="1:21" x14ac:dyDescent="0.2">
      <c r="A72" s="12">
        <v>70</v>
      </c>
      <c r="B72" s="12">
        <v>71</v>
      </c>
      <c r="C72" s="12">
        <v>0.18179999999999999</v>
      </c>
      <c r="D72" s="12">
        <v>0.59</v>
      </c>
      <c r="E72" s="12">
        <v>0.1045</v>
      </c>
      <c r="F72" s="12">
        <v>0</v>
      </c>
      <c r="G72" s="12">
        <v>2</v>
      </c>
      <c r="H72" s="12">
        <v>2</v>
      </c>
      <c r="I72" s="22">
        <f t="shared" si="13"/>
        <v>101.98859999999999</v>
      </c>
      <c r="J72" s="23">
        <f t="shared" si="14"/>
        <v>0.18886777777777777</v>
      </c>
      <c r="K72" s="24">
        <f t="shared" si="15"/>
        <v>540</v>
      </c>
      <c r="L72" s="25">
        <f t="shared" si="16"/>
        <v>297.59000000000043</v>
      </c>
      <c r="M72" s="26">
        <f t="shared" si="17"/>
        <v>0.55109259259259336</v>
      </c>
      <c r="N72" s="27">
        <f t="shared" si="18"/>
        <v>540</v>
      </c>
      <c r="O72" s="28">
        <f t="shared" si="19"/>
        <v>30758</v>
      </c>
      <c r="P72" s="29">
        <f t="shared" si="20"/>
        <v>56.959259259259262</v>
      </c>
      <c r="Q72" s="30">
        <f t="shared" si="21"/>
        <v>540</v>
      </c>
      <c r="R72" s="11" t="str">
        <f t="shared" si="22"/>
        <v>7</v>
      </c>
      <c r="S72" s="10" t="str">
        <f t="shared" si="23"/>
        <v>1</v>
      </c>
      <c r="T72" s="9">
        <f t="shared" si="24"/>
        <v>2</v>
      </c>
      <c r="U72" t="str">
        <f t="shared" si="25"/>
        <v>Mismatch</v>
      </c>
    </row>
    <row r="73" spans="1:21" x14ac:dyDescent="0.2">
      <c r="A73" s="12">
        <v>71</v>
      </c>
      <c r="B73" s="12">
        <v>72</v>
      </c>
      <c r="C73" s="12">
        <v>0.1515</v>
      </c>
      <c r="D73" s="12">
        <v>0.63</v>
      </c>
      <c r="E73" s="12">
        <v>0.1343</v>
      </c>
      <c r="F73" s="12">
        <v>0</v>
      </c>
      <c r="G73" s="12">
        <v>1</v>
      </c>
      <c r="H73" s="12">
        <v>1</v>
      </c>
      <c r="I73" s="22">
        <f t="shared" si="13"/>
        <v>101.8068</v>
      </c>
      <c r="J73" s="23">
        <f t="shared" si="14"/>
        <v>0.18888089053803339</v>
      </c>
      <c r="K73" s="24">
        <f t="shared" si="15"/>
        <v>539</v>
      </c>
      <c r="L73" s="25">
        <f t="shared" si="16"/>
        <v>297.00000000000045</v>
      </c>
      <c r="M73" s="26">
        <f t="shared" si="17"/>
        <v>0.55102040816326614</v>
      </c>
      <c r="N73" s="27">
        <f t="shared" si="18"/>
        <v>539</v>
      </c>
      <c r="O73" s="28">
        <f t="shared" si="19"/>
        <v>30756</v>
      </c>
      <c r="P73" s="29">
        <f t="shared" si="20"/>
        <v>57.061224489795919</v>
      </c>
      <c r="Q73" s="30">
        <f t="shared" si="21"/>
        <v>539</v>
      </c>
      <c r="R73" s="11" t="str">
        <f t="shared" si="22"/>
        <v>7</v>
      </c>
      <c r="S73" s="10" t="str">
        <f t="shared" si="23"/>
        <v>2</v>
      </c>
      <c r="T73" s="9">
        <f t="shared" si="24"/>
        <v>2</v>
      </c>
      <c r="U73" t="str">
        <f t="shared" si="25"/>
        <v>Mismatch</v>
      </c>
    </row>
    <row r="74" spans="1:21" x14ac:dyDescent="0.2">
      <c r="A74" s="12">
        <v>72</v>
      </c>
      <c r="B74" s="12">
        <v>73</v>
      </c>
      <c r="C74" s="12">
        <v>0.18179999999999999</v>
      </c>
      <c r="D74" s="12">
        <v>0.63</v>
      </c>
      <c r="E74" s="12">
        <v>8.9599999999999999E-2</v>
      </c>
      <c r="F74" s="12">
        <v>0</v>
      </c>
      <c r="G74" s="12">
        <v>2</v>
      </c>
      <c r="H74" s="12">
        <v>2</v>
      </c>
      <c r="I74" s="22">
        <f t="shared" si="13"/>
        <v>101.6553</v>
      </c>
      <c r="J74" s="23">
        <f t="shared" si="14"/>
        <v>0.18895037174721188</v>
      </c>
      <c r="K74" s="24">
        <f t="shared" si="15"/>
        <v>538</v>
      </c>
      <c r="L74" s="25">
        <f t="shared" si="16"/>
        <v>296.37000000000046</v>
      </c>
      <c r="M74" s="26">
        <f t="shared" si="17"/>
        <v>0.5508736059479562</v>
      </c>
      <c r="N74" s="27">
        <f t="shared" si="18"/>
        <v>538</v>
      </c>
      <c r="O74" s="28">
        <f t="shared" si="19"/>
        <v>30755</v>
      </c>
      <c r="P74" s="29">
        <f t="shared" si="20"/>
        <v>57.165427509293679</v>
      </c>
      <c r="Q74" s="30">
        <f t="shared" si="21"/>
        <v>538</v>
      </c>
      <c r="R74" s="11" t="str">
        <f t="shared" si="22"/>
        <v>7</v>
      </c>
      <c r="S74" s="10" t="str">
        <f t="shared" si="23"/>
        <v>3</v>
      </c>
      <c r="T74" s="9">
        <f t="shared" si="24"/>
        <v>2</v>
      </c>
      <c r="U74" t="str">
        <f t="shared" si="25"/>
        <v>Mismatch</v>
      </c>
    </row>
    <row r="75" spans="1:21" x14ac:dyDescent="0.2">
      <c r="A75" s="12">
        <v>73</v>
      </c>
      <c r="B75" s="12">
        <v>74</v>
      </c>
      <c r="C75" s="12">
        <v>0.1515</v>
      </c>
      <c r="D75" s="12">
        <v>0.68</v>
      </c>
      <c r="E75" s="12">
        <v>0.1045</v>
      </c>
      <c r="F75" s="12">
        <v>0</v>
      </c>
      <c r="G75" s="12">
        <v>4</v>
      </c>
      <c r="H75" s="12">
        <v>4</v>
      </c>
      <c r="I75" s="22">
        <f t="shared" si="13"/>
        <v>101.47349999999999</v>
      </c>
      <c r="J75" s="23">
        <f t="shared" si="14"/>
        <v>0.18896368715083797</v>
      </c>
      <c r="K75" s="24">
        <f t="shared" si="15"/>
        <v>537</v>
      </c>
      <c r="L75" s="25">
        <f t="shared" si="16"/>
        <v>295.74000000000052</v>
      </c>
      <c r="M75" s="26">
        <f t="shared" si="17"/>
        <v>0.55072625698324118</v>
      </c>
      <c r="N75" s="27">
        <f t="shared" si="18"/>
        <v>537</v>
      </c>
      <c r="O75" s="28">
        <f t="shared" si="19"/>
        <v>30753</v>
      </c>
      <c r="P75" s="29">
        <f t="shared" si="20"/>
        <v>57.268156424581008</v>
      </c>
      <c r="Q75" s="30">
        <f t="shared" si="21"/>
        <v>537</v>
      </c>
      <c r="R75" s="11" t="str">
        <f t="shared" si="22"/>
        <v>7</v>
      </c>
      <c r="S75" s="10" t="str">
        <f t="shared" si="23"/>
        <v>4</v>
      </c>
      <c r="T75" s="9">
        <f t="shared" si="24"/>
        <v>2</v>
      </c>
      <c r="U75" t="str">
        <f t="shared" si="25"/>
        <v>Mismatch</v>
      </c>
    </row>
    <row r="76" spans="1:21" x14ac:dyDescent="0.2">
      <c r="A76" s="12">
        <v>74</v>
      </c>
      <c r="B76" s="12">
        <v>75</v>
      </c>
      <c r="C76" s="12">
        <v>0.1515</v>
      </c>
      <c r="D76" s="12">
        <v>0.74</v>
      </c>
      <c r="E76" s="12">
        <v>0.1045</v>
      </c>
      <c r="F76" s="12">
        <v>0</v>
      </c>
      <c r="G76" s="12">
        <v>36</v>
      </c>
      <c r="H76" s="12">
        <v>36</v>
      </c>
      <c r="I76" s="22">
        <f t="shared" si="13"/>
        <v>101.32199999999999</v>
      </c>
      <c r="J76" s="23">
        <f t="shared" si="14"/>
        <v>0.1890335820895522</v>
      </c>
      <c r="K76" s="24">
        <f t="shared" si="15"/>
        <v>536</v>
      </c>
      <c r="L76" s="25">
        <f t="shared" si="16"/>
        <v>295.06000000000046</v>
      </c>
      <c r="M76" s="26">
        <f t="shared" si="17"/>
        <v>0.55048507462686658</v>
      </c>
      <c r="N76" s="27">
        <f t="shared" si="18"/>
        <v>536</v>
      </c>
      <c r="O76" s="28">
        <f t="shared" si="19"/>
        <v>30749</v>
      </c>
      <c r="P76" s="29">
        <f t="shared" si="20"/>
        <v>57.367537313432834</v>
      </c>
      <c r="Q76" s="30">
        <f t="shared" si="21"/>
        <v>536</v>
      </c>
      <c r="R76" s="11" t="str">
        <f t="shared" si="22"/>
        <v>7</v>
      </c>
      <c r="S76" s="10" t="str">
        <f t="shared" si="23"/>
        <v>5</v>
      </c>
      <c r="T76" s="9">
        <f t="shared" si="24"/>
        <v>2</v>
      </c>
      <c r="U76" t="str">
        <f t="shared" si="25"/>
        <v>Mismatch</v>
      </c>
    </row>
    <row r="77" spans="1:21" x14ac:dyDescent="0.2">
      <c r="A77" s="12">
        <v>75</v>
      </c>
      <c r="B77" s="12">
        <v>76</v>
      </c>
      <c r="C77" s="12">
        <v>0.1515</v>
      </c>
      <c r="D77" s="12">
        <v>0.74</v>
      </c>
      <c r="E77" s="12">
        <v>0.1343</v>
      </c>
      <c r="F77" s="12">
        <v>2</v>
      </c>
      <c r="G77" s="12">
        <v>92</v>
      </c>
      <c r="H77" s="12">
        <v>94</v>
      </c>
      <c r="I77" s="22">
        <f t="shared" si="13"/>
        <v>101.17049999999999</v>
      </c>
      <c r="J77" s="23">
        <f t="shared" si="14"/>
        <v>0.18910373831775698</v>
      </c>
      <c r="K77" s="24">
        <f t="shared" si="15"/>
        <v>535</v>
      </c>
      <c r="L77" s="25">
        <f t="shared" si="16"/>
        <v>294.32000000000039</v>
      </c>
      <c r="M77" s="26">
        <f t="shared" si="17"/>
        <v>0.55013084112149602</v>
      </c>
      <c r="N77" s="27">
        <f t="shared" si="18"/>
        <v>535</v>
      </c>
      <c r="O77" s="28">
        <f t="shared" si="19"/>
        <v>30713</v>
      </c>
      <c r="P77" s="29">
        <f t="shared" si="20"/>
        <v>57.407476635514016</v>
      </c>
      <c r="Q77" s="30">
        <f t="shared" si="21"/>
        <v>535</v>
      </c>
      <c r="R77" s="11" t="str">
        <f t="shared" si="22"/>
        <v>7</v>
      </c>
      <c r="S77" s="10" t="str">
        <f t="shared" si="23"/>
        <v>6</v>
      </c>
      <c r="T77" s="9">
        <f t="shared" si="24"/>
        <v>2</v>
      </c>
      <c r="U77" t="str">
        <f t="shared" si="25"/>
        <v>Mismatch</v>
      </c>
    </row>
    <row r="78" spans="1:21" x14ac:dyDescent="0.2">
      <c r="A78" s="12">
        <v>76</v>
      </c>
      <c r="B78" s="12">
        <v>77</v>
      </c>
      <c r="C78" s="12">
        <v>0.1515</v>
      </c>
      <c r="D78" s="12">
        <v>0.69</v>
      </c>
      <c r="E78" s="12">
        <v>0.16420000000000001</v>
      </c>
      <c r="F78" s="12">
        <v>2</v>
      </c>
      <c r="G78" s="12">
        <v>177</v>
      </c>
      <c r="H78" s="12">
        <v>179</v>
      </c>
      <c r="I78" s="22">
        <f t="shared" si="13"/>
        <v>101.01899999999999</v>
      </c>
      <c r="J78" s="23">
        <f t="shared" si="14"/>
        <v>0.18917415730337078</v>
      </c>
      <c r="K78" s="24">
        <f t="shared" si="15"/>
        <v>534</v>
      </c>
      <c r="L78" s="25">
        <f t="shared" si="16"/>
        <v>293.58000000000038</v>
      </c>
      <c r="M78" s="26">
        <f t="shared" si="17"/>
        <v>0.54977528089887717</v>
      </c>
      <c r="N78" s="27">
        <f t="shared" si="18"/>
        <v>534</v>
      </c>
      <c r="O78" s="28">
        <f t="shared" si="19"/>
        <v>30619</v>
      </c>
      <c r="P78" s="29">
        <f t="shared" si="20"/>
        <v>57.338951310861425</v>
      </c>
      <c r="Q78" s="30">
        <f t="shared" si="21"/>
        <v>534</v>
      </c>
      <c r="R78" s="11" t="str">
        <f t="shared" si="22"/>
        <v>7</v>
      </c>
      <c r="S78" s="10" t="str">
        <f t="shared" si="23"/>
        <v>7</v>
      </c>
      <c r="T78" s="9">
        <f t="shared" si="24"/>
        <v>2</v>
      </c>
      <c r="U78" t="str">
        <f t="shared" si="25"/>
        <v>Match</v>
      </c>
    </row>
    <row r="79" spans="1:21" x14ac:dyDescent="0.2">
      <c r="A79" s="12">
        <v>77</v>
      </c>
      <c r="B79" s="12">
        <v>78</v>
      </c>
      <c r="C79" s="12">
        <v>0.1515</v>
      </c>
      <c r="D79" s="12">
        <v>0.64</v>
      </c>
      <c r="E79" s="12">
        <v>0.22389999999999999</v>
      </c>
      <c r="F79" s="12">
        <v>2</v>
      </c>
      <c r="G79" s="12">
        <v>98</v>
      </c>
      <c r="H79" s="12">
        <v>100</v>
      </c>
      <c r="I79" s="22">
        <f t="shared" si="13"/>
        <v>100.86749999999999</v>
      </c>
      <c r="J79" s="23">
        <f t="shared" si="14"/>
        <v>0.18924484052532831</v>
      </c>
      <c r="K79" s="24">
        <f t="shared" si="15"/>
        <v>533</v>
      </c>
      <c r="L79" s="25">
        <f t="shared" si="16"/>
        <v>292.89000000000044</v>
      </c>
      <c r="M79" s="26">
        <f t="shared" si="17"/>
        <v>0.54951219512195204</v>
      </c>
      <c r="N79" s="27">
        <f t="shared" si="18"/>
        <v>533</v>
      </c>
      <c r="O79" s="28">
        <f t="shared" si="19"/>
        <v>30440</v>
      </c>
      <c r="P79" s="29">
        <f t="shared" si="20"/>
        <v>57.110694183864915</v>
      </c>
      <c r="Q79" s="30">
        <f t="shared" si="21"/>
        <v>533</v>
      </c>
      <c r="R79" s="11" t="str">
        <f t="shared" si="22"/>
        <v>7</v>
      </c>
      <c r="S79" s="10" t="str">
        <f t="shared" si="23"/>
        <v>8</v>
      </c>
      <c r="T79" s="9">
        <f t="shared" si="24"/>
        <v>2</v>
      </c>
      <c r="U79" t="str">
        <f t="shared" si="25"/>
        <v>Mismatch</v>
      </c>
    </row>
    <row r="80" spans="1:21" x14ac:dyDescent="0.2">
      <c r="A80" s="12">
        <v>78</v>
      </c>
      <c r="B80" s="12">
        <v>79</v>
      </c>
      <c r="C80" s="12">
        <v>0.13639999999999999</v>
      </c>
      <c r="D80" s="12">
        <v>0.69</v>
      </c>
      <c r="E80" s="12">
        <v>0.32840000000000003</v>
      </c>
      <c r="F80" s="12">
        <v>5</v>
      </c>
      <c r="G80" s="12">
        <v>37</v>
      </c>
      <c r="H80" s="12">
        <v>42</v>
      </c>
      <c r="I80" s="22">
        <f t="shared" si="13"/>
        <v>100.71599999999999</v>
      </c>
      <c r="J80" s="23">
        <f t="shared" si="14"/>
        <v>0.18931578947368419</v>
      </c>
      <c r="K80" s="24">
        <f t="shared" si="15"/>
        <v>532</v>
      </c>
      <c r="L80" s="25">
        <f t="shared" si="16"/>
        <v>292.2500000000004</v>
      </c>
      <c r="M80" s="26">
        <f t="shared" si="17"/>
        <v>0.54934210526315863</v>
      </c>
      <c r="N80" s="27">
        <f t="shared" si="18"/>
        <v>532</v>
      </c>
      <c r="O80" s="28">
        <f t="shared" si="19"/>
        <v>30340</v>
      </c>
      <c r="P80" s="29">
        <f t="shared" si="20"/>
        <v>57.030075187969928</v>
      </c>
      <c r="Q80" s="30">
        <f t="shared" si="21"/>
        <v>532</v>
      </c>
      <c r="R80" s="11" t="str">
        <f t="shared" si="22"/>
        <v>7</v>
      </c>
      <c r="S80" s="10" t="str">
        <f t="shared" si="23"/>
        <v>9</v>
      </c>
      <c r="T80" s="9">
        <f t="shared" si="24"/>
        <v>2</v>
      </c>
      <c r="U80" t="str">
        <f t="shared" si="25"/>
        <v>Mismatch</v>
      </c>
    </row>
    <row r="81" spans="1:21" x14ac:dyDescent="0.2">
      <c r="A81" s="12">
        <v>79</v>
      </c>
      <c r="B81" s="12">
        <v>80</v>
      </c>
      <c r="C81" s="12">
        <v>0.21210000000000001</v>
      </c>
      <c r="D81" s="12">
        <v>0.51</v>
      </c>
      <c r="E81" s="12">
        <v>0.29849999999999999</v>
      </c>
      <c r="F81" s="12">
        <v>7</v>
      </c>
      <c r="G81" s="12">
        <v>50</v>
      </c>
      <c r="H81" s="12">
        <v>57</v>
      </c>
      <c r="I81" s="22">
        <f t="shared" si="13"/>
        <v>100.5796</v>
      </c>
      <c r="J81" s="23">
        <f t="shared" si="14"/>
        <v>0.18941544256120527</v>
      </c>
      <c r="K81" s="24">
        <f t="shared" si="15"/>
        <v>531</v>
      </c>
      <c r="L81" s="25">
        <f t="shared" si="16"/>
        <v>291.56000000000034</v>
      </c>
      <c r="M81" s="26">
        <f t="shared" si="17"/>
        <v>0.54907721280602706</v>
      </c>
      <c r="N81" s="27">
        <f t="shared" si="18"/>
        <v>531</v>
      </c>
      <c r="O81" s="28">
        <f t="shared" si="19"/>
        <v>30298</v>
      </c>
      <c r="P81" s="29">
        <f t="shared" si="20"/>
        <v>57.058380414312616</v>
      </c>
      <c r="Q81" s="30">
        <f t="shared" si="21"/>
        <v>531</v>
      </c>
      <c r="R81" s="11" t="str">
        <f t="shared" si="22"/>
        <v>8</v>
      </c>
      <c r="S81" s="10" t="str">
        <f t="shared" si="23"/>
        <v>0</v>
      </c>
      <c r="T81" s="9">
        <f t="shared" si="24"/>
        <v>2</v>
      </c>
      <c r="U81" t="str">
        <f t="shared" si="25"/>
        <v>Mismatch</v>
      </c>
    </row>
    <row r="82" spans="1:21" x14ac:dyDescent="0.2">
      <c r="A82" s="12">
        <v>80</v>
      </c>
      <c r="B82" s="12">
        <v>81</v>
      </c>
      <c r="C82" s="12">
        <v>0.2273</v>
      </c>
      <c r="D82" s="12">
        <v>0.51</v>
      </c>
      <c r="E82" s="12">
        <v>0.16420000000000001</v>
      </c>
      <c r="F82" s="12">
        <v>12</v>
      </c>
      <c r="G82" s="12">
        <v>66</v>
      </c>
      <c r="H82" s="12">
        <v>78</v>
      </c>
      <c r="I82" s="22">
        <f t="shared" si="13"/>
        <v>100.36749999999999</v>
      </c>
      <c r="J82" s="23">
        <f t="shared" si="14"/>
        <v>0.18937264150943395</v>
      </c>
      <c r="K82" s="24">
        <f t="shared" si="15"/>
        <v>530</v>
      </c>
      <c r="L82" s="25">
        <f t="shared" si="16"/>
        <v>291.05000000000035</v>
      </c>
      <c r="M82" s="26">
        <f t="shared" si="17"/>
        <v>0.54915094339622705</v>
      </c>
      <c r="N82" s="27">
        <f t="shared" si="18"/>
        <v>530</v>
      </c>
      <c r="O82" s="28">
        <f t="shared" si="19"/>
        <v>30241</v>
      </c>
      <c r="P82" s="29">
        <f t="shared" si="20"/>
        <v>57.058490566037733</v>
      </c>
      <c r="Q82" s="30">
        <f t="shared" si="21"/>
        <v>530</v>
      </c>
      <c r="R82" s="11" t="str">
        <f t="shared" si="22"/>
        <v>8</v>
      </c>
      <c r="S82" s="10" t="str">
        <f t="shared" si="23"/>
        <v>1</v>
      </c>
      <c r="T82" s="9">
        <f t="shared" si="24"/>
        <v>2</v>
      </c>
      <c r="U82" t="str">
        <f t="shared" si="25"/>
        <v>Mismatch</v>
      </c>
    </row>
    <row r="83" spans="1:21" x14ac:dyDescent="0.2">
      <c r="A83" s="12">
        <v>81</v>
      </c>
      <c r="B83" s="12">
        <v>82</v>
      </c>
      <c r="C83" s="12">
        <v>0.2273</v>
      </c>
      <c r="D83" s="12">
        <v>0.56000000000000005</v>
      </c>
      <c r="E83" s="12">
        <v>0.19400000000000001</v>
      </c>
      <c r="F83" s="12">
        <v>18</v>
      </c>
      <c r="G83" s="12">
        <v>79</v>
      </c>
      <c r="H83" s="12">
        <v>97</v>
      </c>
      <c r="I83" s="22">
        <f t="shared" si="13"/>
        <v>100.14019999999999</v>
      </c>
      <c r="J83" s="23">
        <f t="shared" si="14"/>
        <v>0.1893009451795841</v>
      </c>
      <c r="K83" s="24">
        <f t="shared" si="15"/>
        <v>529</v>
      </c>
      <c r="L83" s="25">
        <f t="shared" si="16"/>
        <v>290.54000000000036</v>
      </c>
      <c r="M83" s="26">
        <f t="shared" si="17"/>
        <v>0.54922495274102145</v>
      </c>
      <c r="N83" s="27">
        <f t="shared" si="18"/>
        <v>529</v>
      </c>
      <c r="O83" s="28">
        <f t="shared" si="19"/>
        <v>30163</v>
      </c>
      <c r="P83" s="29">
        <f t="shared" si="20"/>
        <v>57.018903591682417</v>
      </c>
      <c r="Q83" s="30">
        <f t="shared" si="21"/>
        <v>529</v>
      </c>
      <c r="R83" s="11" t="str">
        <f t="shared" si="22"/>
        <v>8</v>
      </c>
      <c r="S83" s="10" t="str">
        <f t="shared" si="23"/>
        <v>2</v>
      </c>
      <c r="T83" s="9">
        <f t="shared" si="24"/>
        <v>2</v>
      </c>
      <c r="U83" t="str">
        <f t="shared" si="25"/>
        <v>Mismatch</v>
      </c>
    </row>
    <row r="84" spans="1:21" x14ac:dyDescent="0.2">
      <c r="A84" s="12">
        <v>82</v>
      </c>
      <c r="B84" s="12">
        <v>83</v>
      </c>
      <c r="C84" s="12">
        <v>0.2576</v>
      </c>
      <c r="D84" s="12">
        <v>0.52</v>
      </c>
      <c r="E84" s="12">
        <v>0.22389999999999999</v>
      </c>
      <c r="F84" s="12">
        <v>9</v>
      </c>
      <c r="G84" s="12">
        <v>54</v>
      </c>
      <c r="H84" s="12">
        <v>63</v>
      </c>
      <c r="I84" s="22">
        <f t="shared" si="13"/>
        <v>99.912900000000008</v>
      </c>
      <c r="J84" s="23">
        <f t="shared" si="14"/>
        <v>0.18922897727272728</v>
      </c>
      <c r="K84" s="24">
        <f t="shared" si="15"/>
        <v>528</v>
      </c>
      <c r="L84" s="25">
        <f t="shared" si="16"/>
        <v>289.98000000000042</v>
      </c>
      <c r="M84" s="26">
        <f t="shared" si="17"/>
        <v>0.54920454545454622</v>
      </c>
      <c r="N84" s="27">
        <f t="shared" si="18"/>
        <v>528</v>
      </c>
      <c r="O84" s="28">
        <f t="shared" si="19"/>
        <v>30066</v>
      </c>
      <c r="P84" s="29">
        <f t="shared" si="20"/>
        <v>56.94318181818182</v>
      </c>
      <c r="Q84" s="30">
        <f t="shared" si="21"/>
        <v>528</v>
      </c>
      <c r="R84" s="11" t="str">
        <f t="shared" si="22"/>
        <v>8</v>
      </c>
      <c r="S84" s="10" t="str">
        <f t="shared" si="23"/>
        <v>3</v>
      </c>
      <c r="T84" s="9">
        <f t="shared" si="24"/>
        <v>2</v>
      </c>
      <c r="U84" t="str">
        <f t="shared" si="25"/>
        <v>Mismatch</v>
      </c>
    </row>
    <row r="85" spans="1:21" x14ac:dyDescent="0.2">
      <c r="A85" s="12">
        <v>83</v>
      </c>
      <c r="B85" s="12">
        <v>84</v>
      </c>
      <c r="C85" s="12">
        <v>0.2727</v>
      </c>
      <c r="D85" s="12">
        <v>0.52</v>
      </c>
      <c r="E85" s="12">
        <v>0.25369999999999998</v>
      </c>
      <c r="F85" s="12">
        <v>17</v>
      </c>
      <c r="G85" s="12">
        <v>48</v>
      </c>
      <c r="H85" s="12">
        <v>65</v>
      </c>
      <c r="I85" s="22">
        <f t="shared" si="13"/>
        <v>99.655299999999997</v>
      </c>
      <c r="J85" s="23">
        <f t="shared" si="14"/>
        <v>0.18909924098671727</v>
      </c>
      <c r="K85" s="24">
        <f t="shared" si="15"/>
        <v>527</v>
      </c>
      <c r="L85" s="25">
        <f t="shared" si="16"/>
        <v>289.46000000000043</v>
      </c>
      <c r="M85" s="26">
        <f t="shared" si="17"/>
        <v>0.54925996204933669</v>
      </c>
      <c r="N85" s="27">
        <f t="shared" si="18"/>
        <v>527</v>
      </c>
      <c r="O85" s="28">
        <f t="shared" si="19"/>
        <v>30003</v>
      </c>
      <c r="P85" s="29">
        <f t="shared" si="20"/>
        <v>56.931688804554078</v>
      </c>
      <c r="Q85" s="30">
        <f t="shared" si="21"/>
        <v>527</v>
      </c>
      <c r="R85" s="11" t="str">
        <f t="shared" si="22"/>
        <v>8</v>
      </c>
      <c r="S85" s="10" t="str">
        <f t="shared" si="23"/>
        <v>4</v>
      </c>
      <c r="T85" s="9">
        <f t="shared" si="24"/>
        <v>2</v>
      </c>
      <c r="U85" t="str">
        <f t="shared" si="25"/>
        <v>Mismatch</v>
      </c>
    </row>
    <row r="86" spans="1:21" x14ac:dyDescent="0.2">
      <c r="A86" s="12">
        <v>84</v>
      </c>
      <c r="B86" s="12">
        <v>85</v>
      </c>
      <c r="C86" s="12">
        <v>0.28789999999999999</v>
      </c>
      <c r="D86" s="12">
        <v>0.49</v>
      </c>
      <c r="E86" s="12">
        <v>0.25369999999999998</v>
      </c>
      <c r="F86" s="12">
        <v>15</v>
      </c>
      <c r="G86" s="12">
        <v>68</v>
      </c>
      <c r="H86" s="12">
        <v>83</v>
      </c>
      <c r="I86" s="22">
        <f t="shared" si="13"/>
        <v>99.382599999999996</v>
      </c>
      <c r="J86" s="23">
        <f t="shared" si="14"/>
        <v>0.18894030418250951</v>
      </c>
      <c r="K86" s="24">
        <f t="shared" si="15"/>
        <v>526</v>
      </c>
      <c r="L86" s="25">
        <f t="shared" si="16"/>
        <v>288.94000000000045</v>
      </c>
      <c r="M86" s="26">
        <f t="shared" si="17"/>
        <v>0.54931558935361302</v>
      </c>
      <c r="N86" s="27">
        <f t="shared" si="18"/>
        <v>526</v>
      </c>
      <c r="O86" s="28">
        <f t="shared" si="19"/>
        <v>29938</v>
      </c>
      <c r="P86" s="29">
        <f t="shared" si="20"/>
        <v>56.916349809885929</v>
      </c>
      <c r="Q86" s="30">
        <f t="shared" si="21"/>
        <v>526</v>
      </c>
      <c r="R86" s="11" t="str">
        <f t="shared" si="22"/>
        <v>8</v>
      </c>
      <c r="S86" s="10" t="str">
        <f t="shared" si="23"/>
        <v>5</v>
      </c>
      <c r="T86" s="9">
        <f t="shared" si="24"/>
        <v>2</v>
      </c>
      <c r="U86" t="str">
        <f t="shared" si="25"/>
        <v>Mismatch</v>
      </c>
    </row>
    <row r="87" spans="1:21" x14ac:dyDescent="0.2">
      <c r="A87" s="12">
        <v>85</v>
      </c>
      <c r="B87" s="12">
        <v>86</v>
      </c>
      <c r="C87" s="12">
        <v>0.2727</v>
      </c>
      <c r="D87" s="12">
        <v>0.48</v>
      </c>
      <c r="E87" s="12">
        <v>0.22389999999999999</v>
      </c>
      <c r="F87" s="12">
        <v>10</v>
      </c>
      <c r="G87" s="12">
        <v>202</v>
      </c>
      <c r="H87" s="12">
        <v>212</v>
      </c>
      <c r="I87" s="22">
        <f t="shared" si="13"/>
        <v>99.094699999999989</v>
      </c>
      <c r="J87" s="23">
        <f t="shared" si="14"/>
        <v>0.18875180952380952</v>
      </c>
      <c r="K87" s="24">
        <f t="shared" si="15"/>
        <v>525</v>
      </c>
      <c r="L87" s="25">
        <f t="shared" si="16"/>
        <v>288.45000000000044</v>
      </c>
      <c r="M87" s="26">
        <f t="shared" si="17"/>
        <v>0.54942857142857227</v>
      </c>
      <c r="N87" s="27">
        <f t="shared" si="18"/>
        <v>525</v>
      </c>
      <c r="O87" s="28">
        <f t="shared" si="19"/>
        <v>29855</v>
      </c>
      <c r="P87" s="29">
        <f t="shared" si="20"/>
        <v>56.866666666666667</v>
      </c>
      <c r="Q87" s="30">
        <f t="shared" si="21"/>
        <v>525</v>
      </c>
      <c r="R87" s="11" t="str">
        <f t="shared" si="22"/>
        <v>8</v>
      </c>
      <c r="S87" s="10" t="str">
        <f t="shared" si="23"/>
        <v>6</v>
      </c>
      <c r="T87" s="9">
        <f t="shared" si="24"/>
        <v>2</v>
      </c>
      <c r="U87" t="str">
        <f t="shared" si="25"/>
        <v>Mismatch</v>
      </c>
    </row>
    <row r="88" spans="1:21" x14ac:dyDescent="0.2">
      <c r="A88" s="12">
        <v>86</v>
      </c>
      <c r="B88" s="12">
        <v>87</v>
      </c>
      <c r="C88" s="12">
        <v>0.2576</v>
      </c>
      <c r="D88" s="12">
        <v>0.48</v>
      </c>
      <c r="E88" s="12">
        <v>0.19400000000000001</v>
      </c>
      <c r="F88" s="12">
        <v>3</v>
      </c>
      <c r="G88" s="12">
        <v>179</v>
      </c>
      <c r="H88" s="12">
        <v>182</v>
      </c>
      <c r="I88" s="22">
        <f t="shared" si="13"/>
        <v>98.821999999999974</v>
      </c>
      <c r="J88" s="23">
        <f t="shared" si="14"/>
        <v>0.18859160305343506</v>
      </c>
      <c r="K88" s="24">
        <f t="shared" si="15"/>
        <v>524</v>
      </c>
      <c r="L88" s="25">
        <f t="shared" si="16"/>
        <v>287.97000000000048</v>
      </c>
      <c r="M88" s="26">
        <f t="shared" si="17"/>
        <v>0.54956106870229104</v>
      </c>
      <c r="N88" s="27">
        <f t="shared" si="18"/>
        <v>524</v>
      </c>
      <c r="O88" s="28">
        <f t="shared" si="19"/>
        <v>29643</v>
      </c>
      <c r="P88" s="29">
        <f t="shared" si="20"/>
        <v>56.570610687022899</v>
      </c>
      <c r="Q88" s="30">
        <f t="shared" si="21"/>
        <v>524</v>
      </c>
      <c r="R88" s="11" t="str">
        <f t="shared" si="22"/>
        <v>8</v>
      </c>
      <c r="S88" s="10" t="str">
        <f t="shared" si="23"/>
        <v>7</v>
      </c>
      <c r="T88" s="9">
        <f t="shared" si="24"/>
        <v>2</v>
      </c>
      <c r="U88" t="str">
        <f t="shared" si="25"/>
        <v>Mismatch</v>
      </c>
    </row>
    <row r="89" spans="1:21" x14ac:dyDescent="0.2">
      <c r="A89" s="12">
        <v>87</v>
      </c>
      <c r="B89" s="12">
        <v>88</v>
      </c>
      <c r="C89" s="12">
        <v>0.2576</v>
      </c>
      <c r="D89" s="12">
        <v>0.48</v>
      </c>
      <c r="E89" s="12">
        <v>0.1045</v>
      </c>
      <c r="F89" s="12">
        <v>2</v>
      </c>
      <c r="G89" s="12">
        <v>110</v>
      </c>
      <c r="H89" s="12">
        <v>112</v>
      </c>
      <c r="I89" s="22">
        <f t="shared" si="13"/>
        <v>98.564399999999978</v>
      </c>
      <c r="J89" s="23">
        <f t="shared" si="14"/>
        <v>0.18845965583173993</v>
      </c>
      <c r="K89" s="24">
        <f t="shared" si="15"/>
        <v>523</v>
      </c>
      <c r="L89" s="25">
        <f t="shared" si="16"/>
        <v>287.49000000000046</v>
      </c>
      <c r="M89" s="26">
        <f t="shared" si="17"/>
        <v>0.54969407265774473</v>
      </c>
      <c r="N89" s="27">
        <f t="shared" si="18"/>
        <v>523</v>
      </c>
      <c r="O89" s="28">
        <f t="shared" si="19"/>
        <v>29461</v>
      </c>
      <c r="P89" s="29">
        <f t="shared" si="20"/>
        <v>56.330783938814534</v>
      </c>
      <c r="Q89" s="30">
        <f t="shared" si="21"/>
        <v>523</v>
      </c>
      <c r="R89" s="11" t="str">
        <f t="shared" si="22"/>
        <v>8</v>
      </c>
      <c r="S89" s="10" t="str">
        <f t="shared" si="23"/>
        <v>8</v>
      </c>
      <c r="T89" s="9">
        <f t="shared" si="24"/>
        <v>2</v>
      </c>
      <c r="U89" t="str">
        <f t="shared" si="25"/>
        <v>Match</v>
      </c>
    </row>
    <row r="90" spans="1:21" x14ac:dyDescent="0.2">
      <c r="A90" s="12">
        <v>88</v>
      </c>
      <c r="B90" s="12">
        <v>89</v>
      </c>
      <c r="C90" s="12">
        <v>0.2576</v>
      </c>
      <c r="D90" s="12">
        <v>0.48</v>
      </c>
      <c r="E90" s="12">
        <v>0.1045</v>
      </c>
      <c r="F90" s="12">
        <v>1</v>
      </c>
      <c r="G90" s="12">
        <v>53</v>
      </c>
      <c r="H90" s="12">
        <v>54</v>
      </c>
      <c r="I90" s="22">
        <f t="shared" si="13"/>
        <v>98.306799999999981</v>
      </c>
      <c r="J90" s="23">
        <f t="shared" si="14"/>
        <v>0.18832720306513406</v>
      </c>
      <c r="K90" s="24">
        <f t="shared" si="15"/>
        <v>522</v>
      </c>
      <c r="L90" s="25">
        <f t="shared" si="16"/>
        <v>287.01000000000045</v>
      </c>
      <c r="M90" s="26">
        <f t="shared" si="17"/>
        <v>0.54982758620689742</v>
      </c>
      <c r="N90" s="27">
        <f t="shared" si="18"/>
        <v>522</v>
      </c>
      <c r="O90" s="28">
        <f t="shared" si="19"/>
        <v>29349</v>
      </c>
      <c r="P90" s="29">
        <f t="shared" si="20"/>
        <v>56.224137931034484</v>
      </c>
      <c r="Q90" s="30">
        <f t="shared" si="21"/>
        <v>522</v>
      </c>
      <c r="R90" s="11" t="str">
        <f t="shared" si="22"/>
        <v>8</v>
      </c>
      <c r="S90" s="10" t="str">
        <f t="shared" si="23"/>
        <v>9</v>
      </c>
      <c r="T90" s="9">
        <f t="shared" si="24"/>
        <v>2</v>
      </c>
      <c r="U90" t="str">
        <f t="shared" si="25"/>
        <v>Mismatch</v>
      </c>
    </row>
    <row r="91" spans="1:21" x14ac:dyDescent="0.2">
      <c r="A91" s="12">
        <v>89</v>
      </c>
      <c r="B91" s="12">
        <v>90</v>
      </c>
      <c r="C91" s="12">
        <v>0.2727</v>
      </c>
      <c r="D91" s="12">
        <v>0.64</v>
      </c>
      <c r="E91" s="12">
        <v>0</v>
      </c>
      <c r="F91" s="12">
        <v>0</v>
      </c>
      <c r="G91" s="12">
        <v>48</v>
      </c>
      <c r="H91" s="12">
        <v>48</v>
      </c>
      <c r="I91" s="22">
        <f t="shared" si="13"/>
        <v>98.049199999999971</v>
      </c>
      <c r="J91" s="23">
        <f t="shared" si="14"/>
        <v>0.1881942418426103</v>
      </c>
      <c r="K91" s="24">
        <f t="shared" si="15"/>
        <v>521</v>
      </c>
      <c r="L91" s="25">
        <f t="shared" si="16"/>
        <v>286.53000000000048</v>
      </c>
      <c r="M91" s="26">
        <f t="shared" si="17"/>
        <v>0.54996161228407003</v>
      </c>
      <c r="N91" s="27">
        <f t="shared" si="18"/>
        <v>521</v>
      </c>
      <c r="O91" s="28">
        <f t="shared" si="19"/>
        <v>29295</v>
      </c>
      <c r="P91" s="29">
        <f t="shared" si="20"/>
        <v>56.228406909788866</v>
      </c>
      <c r="Q91" s="30">
        <f t="shared" si="21"/>
        <v>521</v>
      </c>
      <c r="R91" s="11" t="str">
        <f t="shared" si="22"/>
        <v>9</v>
      </c>
      <c r="S91" s="10" t="str">
        <f t="shared" si="23"/>
        <v>0</v>
      </c>
      <c r="T91" s="9">
        <f t="shared" si="24"/>
        <v>2</v>
      </c>
      <c r="U91" t="str">
        <f t="shared" si="25"/>
        <v>Mismatch</v>
      </c>
    </row>
    <row r="92" spans="1:21" x14ac:dyDescent="0.2">
      <c r="A92" s="12">
        <v>90</v>
      </c>
      <c r="B92" s="12">
        <v>91</v>
      </c>
      <c r="C92" s="12">
        <v>0.2576</v>
      </c>
      <c r="D92" s="12">
        <v>0.64</v>
      </c>
      <c r="E92" s="12">
        <v>8.9599999999999999E-2</v>
      </c>
      <c r="F92" s="12">
        <v>1</v>
      </c>
      <c r="G92" s="12">
        <v>34</v>
      </c>
      <c r="H92" s="12">
        <v>35</v>
      </c>
      <c r="I92" s="22">
        <f t="shared" si="13"/>
        <v>97.77649999999997</v>
      </c>
      <c r="J92" s="23">
        <f t="shared" si="14"/>
        <v>0.18803173076923071</v>
      </c>
      <c r="K92" s="24">
        <f t="shared" si="15"/>
        <v>520</v>
      </c>
      <c r="L92" s="25">
        <f t="shared" si="16"/>
        <v>285.8900000000005</v>
      </c>
      <c r="M92" s="26">
        <f t="shared" si="17"/>
        <v>0.5497884615384625</v>
      </c>
      <c r="N92" s="27">
        <f t="shared" si="18"/>
        <v>520</v>
      </c>
      <c r="O92" s="28">
        <f t="shared" si="19"/>
        <v>29247</v>
      </c>
      <c r="P92" s="29">
        <f t="shared" si="20"/>
        <v>56.244230769230768</v>
      </c>
      <c r="Q92" s="30">
        <f t="shared" si="21"/>
        <v>520</v>
      </c>
      <c r="R92" s="11" t="str">
        <f t="shared" si="22"/>
        <v>9</v>
      </c>
      <c r="S92" s="10" t="str">
        <f t="shared" si="23"/>
        <v>1</v>
      </c>
      <c r="T92" s="9">
        <f t="shared" si="24"/>
        <v>2</v>
      </c>
      <c r="U92" t="str">
        <f t="shared" si="25"/>
        <v>Mismatch</v>
      </c>
    </row>
    <row r="93" spans="1:21" x14ac:dyDescent="0.2">
      <c r="A93" s="12">
        <v>91</v>
      </c>
      <c r="B93" s="12">
        <v>92</v>
      </c>
      <c r="C93" s="12">
        <v>0.2273</v>
      </c>
      <c r="D93" s="12">
        <v>0.69</v>
      </c>
      <c r="E93" s="12">
        <v>8.9599999999999999E-2</v>
      </c>
      <c r="F93" s="12">
        <v>2</v>
      </c>
      <c r="G93" s="12">
        <v>9</v>
      </c>
      <c r="H93" s="12">
        <v>11</v>
      </c>
      <c r="I93" s="22">
        <f t="shared" si="13"/>
        <v>97.518899999999974</v>
      </c>
      <c r="J93" s="23">
        <f t="shared" si="14"/>
        <v>0.18789768786127162</v>
      </c>
      <c r="K93" s="24">
        <f t="shared" si="15"/>
        <v>519</v>
      </c>
      <c r="L93" s="25">
        <f t="shared" si="16"/>
        <v>285.25000000000045</v>
      </c>
      <c r="M93" s="26">
        <f t="shared" si="17"/>
        <v>0.54961464354528022</v>
      </c>
      <c r="N93" s="27">
        <f t="shared" si="18"/>
        <v>519</v>
      </c>
      <c r="O93" s="28">
        <f t="shared" si="19"/>
        <v>29212</v>
      </c>
      <c r="P93" s="29">
        <f t="shared" si="20"/>
        <v>56.285163776493256</v>
      </c>
      <c r="Q93" s="30">
        <f t="shared" si="21"/>
        <v>519</v>
      </c>
      <c r="R93" s="11" t="str">
        <f t="shared" si="22"/>
        <v>9</v>
      </c>
      <c r="S93" s="10" t="str">
        <f t="shared" si="23"/>
        <v>2</v>
      </c>
      <c r="T93" s="9">
        <f t="shared" si="24"/>
        <v>2</v>
      </c>
      <c r="U93" t="str">
        <f t="shared" si="25"/>
        <v>Mismatch</v>
      </c>
    </row>
    <row r="94" spans="1:21" x14ac:dyDescent="0.2">
      <c r="A94" s="12">
        <v>92</v>
      </c>
      <c r="B94" s="12">
        <v>93</v>
      </c>
      <c r="C94" s="12">
        <v>0.2576</v>
      </c>
      <c r="D94" s="12">
        <v>0.64</v>
      </c>
      <c r="E94" s="12">
        <v>0</v>
      </c>
      <c r="F94" s="12">
        <v>0</v>
      </c>
      <c r="G94" s="12">
        <v>6</v>
      </c>
      <c r="H94" s="12">
        <v>6</v>
      </c>
      <c r="I94" s="22">
        <f t="shared" si="13"/>
        <v>97.29159999999996</v>
      </c>
      <c r="J94" s="23">
        <f t="shared" si="14"/>
        <v>0.18782162162162155</v>
      </c>
      <c r="K94" s="24">
        <f t="shared" si="15"/>
        <v>518</v>
      </c>
      <c r="L94" s="25">
        <f t="shared" si="16"/>
        <v>284.56000000000046</v>
      </c>
      <c r="M94" s="26">
        <f t="shared" si="17"/>
        <v>0.54934362934363024</v>
      </c>
      <c r="N94" s="27">
        <f t="shared" si="18"/>
        <v>518</v>
      </c>
      <c r="O94" s="28">
        <f t="shared" si="19"/>
        <v>29201</v>
      </c>
      <c r="P94" s="29">
        <f t="shared" si="20"/>
        <v>56.372586872586872</v>
      </c>
      <c r="Q94" s="30">
        <f t="shared" si="21"/>
        <v>518</v>
      </c>
      <c r="R94" s="11" t="str">
        <f t="shared" si="22"/>
        <v>9</v>
      </c>
      <c r="S94" s="10" t="str">
        <f t="shared" si="23"/>
        <v>3</v>
      </c>
      <c r="T94" s="9">
        <f t="shared" si="24"/>
        <v>2</v>
      </c>
      <c r="U94" t="str">
        <f t="shared" si="25"/>
        <v>Mismatch</v>
      </c>
    </row>
    <row r="95" spans="1:21" x14ac:dyDescent="0.2">
      <c r="A95" s="12">
        <v>93</v>
      </c>
      <c r="B95" s="12">
        <v>94</v>
      </c>
      <c r="C95" s="12">
        <v>0.19700000000000001</v>
      </c>
      <c r="D95" s="12">
        <v>0.74</v>
      </c>
      <c r="E95" s="12">
        <v>8.9599999999999999E-2</v>
      </c>
      <c r="F95" s="12">
        <v>0</v>
      </c>
      <c r="G95" s="12">
        <v>6</v>
      </c>
      <c r="H95" s="12">
        <v>6</v>
      </c>
      <c r="I95" s="22">
        <f t="shared" si="13"/>
        <v>97.033999999999978</v>
      </c>
      <c r="J95" s="23">
        <f t="shared" si="14"/>
        <v>0.18768665377176011</v>
      </c>
      <c r="K95" s="24">
        <f t="shared" si="15"/>
        <v>517</v>
      </c>
      <c r="L95" s="25">
        <f t="shared" si="16"/>
        <v>283.92000000000047</v>
      </c>
      <c r="M95" s="26">
        <f t="shared" si="17"/>
        <v>0.54916827852998151</v>
      </c>
      <c r="N95" s="27">
        <f t="shared" si="18"/>
        <v>517</v>
      </c>
      <c r="O95" s="28">
        <f t="shared" si="19"/>
        <v>29195</v>
      </c>
      <c r="P95" s="29">
        <f t="shared" si="20"/>
        <v>56.47001934235977</v>
      </c>
      <c r="Q95" s="30">
        <f t="shared" si="21"/>
        <v>517</v>
      </c>
      <c r="R95" s="11" t="str">
        <f t="shared" si="22"/>
        <v>9</v>
      </c>
      <c r="S95" s="10" t="str">
        <f t="shared" si="23"/>
        <v>4</v>
      </c>
      <c r="T95" s="9">
        <f t="shared" si="24"/>
        <v>2</v>
      </c>
      <c r="U95" t="str">
        <f t="shared" si="25"/>
        <v>Mismatch</v>
      </c>
    </row>
    <row r="96" spans="1:21" x14ac:dyDescent="0.2">
      <c r="A96" s="12">
        <v>94</v>
      </c>
      <c r="B96" s="12">
        <v>95</v>
      </c>
      <c r="C96" s="12">
        <v>0.19700000000000001</v>
      </c>
      <c r="D96" s="12">
        <v>0.74</v>
      </c>
      <c r="E96" s="12">
        <v>8.9599999999999999E-2</v>
      </c>
      <c r="F96" s="12">
        <v>0</v>
      </c>
      <c r="G96" s="12">
        <v>2</v>
      </c>
      <c r="H96" s="12">
        <v>2</v>
      </c>
      <c r="I96" s="22">
        <f t="shared" si="13"/>
        <v>96.836999999999975</v>
      </c>
      <c r="J96" s="23">
        <f t="shared" si="14"/>
        <v>0.18766860465116275</v>
      </c>
      <c r="K96" s="24">
        <f t="shared" si="15"/>
        <v>516</v>
      </c>
      <c r="L96" s="25">
        <f t="shared" si="16"/>
        <v>283.18000000000046</v>
      </c>
      <c r="M96" s="26">
        <f t="shared" si="17"/>
        <v>0.54879844961240398</v>
      </c>
      <c r="N96" s="27">
        <f t="shared" si="18"/>
        <v>516</v>
      </c>
      <c r="O96" s="28">
        <f t="shared" si="19"/>
        <v>29189</v>
      </c>
      <c r="P96" s="29">
        <f t="shared" si="20"/>
        <v>56.56782945736434</v>
      </c>
      <c r="Q96" s="30">
        <f t="shared" si="21"/>
        <v>516</v>
      </c>
      <c r="R96" s="11" t="str">
        <f t="shared" si="22"/>
        <v>9</v>
      </c>
      <c r="S96" s="10" t="str">
        <f t="shared" si="23"/>
        <v>5</v>
      </c>
      <c r="T96" s="9">
        <f t="shared" si="24"/>
        <v>2</v>
      </c>
      <c r="U96" t="str">
        <f t="shared" si="25"/>
        <v>Mismatch</v>
      </c>
    </row>
    <row r="97" spans="1:21" x14ac:dyDescent="0.2">
      <c r="A97" s="12">
        <v>95</v>
      </c>
      <c r="B97" s="12">
        <v>96</v>
      </c>
      <c r="C97" s="12">
        <v>0.2273</v>
      </c>
      <c r="D97" s="12">
        <v>0.48</v>
      </c>
      <c r="E97" s="12">
        <v>0.22389999999999999</v>
      </c>
      <c r="F97" s="12">
        <v>0</v>
      </c>
      <c r="G97" s="12">
        <v>2</v>
      </c>
      <c r="H97" s="12">
        <v>2</v>
      </c>
      <c r="I97" s="22">
        <f t="shared" si="13"/>
        <v>96.639999999999958</v>
      </c>
      <c r="J97" s="23">
        <f t="shared" si="14"/>
        <v>0.18765048543689311</v>
      </c>
      <c r="K97" s="24">
        <f t="shared" si="15"/>
        <v>515</v>
      </c>
      <c r="L97" s="25">
        <f t="shared" si="16"/>
        <v>282.44000000000045</v>
      </c>
      <c r="M97" s="26">
        <f t="shared" si="17"/>
        <v>0.54842718446602035</v>
      </c>
      <c r="N97" s="27">
        <f t="shared" si="18"/>
        <v>515</v>
      </c>
      <c r="O97" s="28">
        <f t="shared" si="19"/>
        <v>29187</v>
      </c>
      <c r="P97" s="29">
        <f t="shared" si="20"/>
        <v>56.67378640776699</v>
      </c>
      <c r="Q97" s="30">
        <f t="shared" si="21"/>
        <v>515</v>
      </c>
      <c r="R97" s="11" t="str">
        <f t="shared" si="22"/>
        <v>9</v>
      </c>
      <c r="S97" s="10" t="str">
        <f t="shared" si="23"/>
        <v>6</v>
      </c>
      <c r="T97" s="9">
        <f t="shared" si="24"/>
        <v>2</v>
      </c>
      <c r="U97" t="str">
        <f t="shared" si="25"/>
        <v>Mismatch</v>
      </c>
    </row>
    <row r="98" spans="1:21" x14ac:dyDescent="0.2">
      <c r="A98" s="12">
        <v>96</v>
      </c>
      <c r="B98" s="12">
        <v>97</v>
      </c>
      <c r="C98" s="12">
        <v>0.2273</v>
      </c>
      <c r="D98" s="12">
        <v>0.47</v>
      </c>
      <c r="E98" s="12">
        <v>0.16420000000000001</v>
      </c>
      <c r="F98" s="12">
        <v>0</v>
      </c>
      <c r="G98" s="12">
        <v>3</v>
      </c>
      <c r="H98" s="12">
        <v>3</v>
      </c>
      <c r="I98" s="22">
        <f t="shared" si="13"/>
        <v>96.412699999999973</v>
      </c>
      <c r="J98" s="23">
        <f t="shared" si="14"/>
        <v>0.18757334630350189</v>
      </c>
      <c r="K98" s="24">
        <f t="shared" si="15"/>
        <v>514</v>
      </c>
      <c r="L98" s="25">
        <f t="shared" si="16"/>
        <v>281.96000000000049</v>
      </c>
      <c r="M98" s="26">
        <f t="shared" si="17"/>
        <v>0.5485603112840477</v>
      </c>
      <c r="N98" s="27">
        <f t="shared" si="18"/>
        <v>514</v>
      </c>
      <c r="O98" s="28">
        <f t="shared" si="19"/>
        <v>29185</v>
      </c>
      <c r="P98" s="29">
        <f t="shared" si="20"/>
        <v>56.780155642023345</v>
      </c>
      <c r="Q98" s="30">
        <f t="shared" si="21"/>
        <v>514</v>
      </c>
      <c r="R98" s="11" t="str">
        <f t="shared" si="22"/>
        <v>9</v>
      </c>
      <c r="S98" s="10" t="str">
        <f t="shared" si="23"/>
        <v>7</v>
      </c>
      <c r="T98" s="9">
        <f t="shared" si="24"/>
        <v>2</v>
      </c>
      <c r="U98" t="str">
        <f t="shared" si="25"/>
        <v>Mismatch</v>
      </c>
    </row>
    <row r="99" spans="1:21" x14ac:dyDescent="0.2">
      <c r="A99" s="12">
        <v>97</v>
      </c>
      <c r="B99" s="12">
        <v>98</v>
      </c>
      <c r="C99" s="12">
        <v>0.19700000000000001</v>
      </c>
      <c r="D99" s="12">
        <v>0.47</v>
      </c>
      <c r="E99" s="12">
        <v>0.22389999999999999</v>
      </c>
      <c r="F99" s="12">
        <v>0</v>
      </c>
      <c r="G99" s="12">
        <v>33</v>
      </c>
      <c r="H99" s="12">
        <v>33</v>
      </c>
      <c r="I99" s="22">
        <f t="shared" si="13"/>
        <v>96.185399999999973</v>
      </c>
      <c r="J99" s="23">
        <f t="shared" si="14"/>
        <v>0.18749590643274849</v>
      </c>
      <c r="K99" s="24">
        <f t="shared" si="15"/>
        <v>513</v>
      </c>
      <c r="L99" s="25">
        <f t="shared" si="16"/>
        <v>281.49000000000046</v>
      </c>
      <c r="M99" s="26">
        <f t="shared" si="17"/>
        <v>0.5487134502923986</v>
      </c>
      <c r="N99" s="27">
        <f t="shared" si="18"/>
        <v>513</v>
      </c>
      <c r="O99" s="28">
        <f t="shared" si="19"/>
        <v>29182</v>
      </c>
      <c r="P99" s="29">
        <f t="shared" si="20"/>
        <v>56.884990253411303</v>
      </c>
      <c r="Q99" s="30">
        <f t="shared" si="21"/>
        <v>513</v>
      </c>
      <c r="R99" s="11" t="str">
        <f t="shared" si="22"/>
        <v>9</v>
      </c>
      <c r="S99" s="10" t="str">
        <f t="shared" si="23"/>
        <v>8</v>
      </c>
      <c r="T99" s="9">
        <f t="shared" si="24"/>
        <v>2</v>
      </c>
      <c r="U99" t="str">
        <f t="shared" si="25"/>
        <v>Mismatch</v>
      </c>
    </row>
    <row r="100" spans="1:21" x14ac:dyDescent="0.2">
      <c r="A100" s="12">
        <v>98</v>
      </c>
      <c r="B100" s="12">
        <v>99</v>
      </c>
      <c r="C100" s="12">
        <v>0.18179999999999999</v>
      </c>
      <c r="D100" s="12">
        <v>0.43</v>
      </c>
      <c r="E100" s="12">
        <v>0.19400000000000001</v>
      </c>
      <c r="F100" s="12">
        <v>1</v>
      </c>
      <c r="G100" s="12">
        <v>87</v>
      </c>
      <c r="H100" s="12">
        <v>88</v>
      </c>
      <c r="I100" s="22">
        <f t="shared" si="13"/>
        <v>95.98839999999997</v>
      </c>
      <c r="J100" s="23">
        <f t="shared" si="14"/>
        <v>0.18747734374999994</v>
      </c>
      <c r="K100" s="24">
        <f t="shared" si="15"/>
        <v>512</v>
      </c>
      <c r="L100" s="25">
        <f t="shared" si="16"/>
        <v>281.02000000000049</v>
      </c>
      <c r="M100" s="26">
        <f t="shared" si="17"/>
        <v>0.54886718750000096</v>
      </c>
      <c r="N100" s="27">
        <f t="shared" si="18"/>
        <v>512</v>
      </c>
      <c r="O100" s="28">
        <f t="shared" si="19"/>
        <v>29149</v>
      </c>
      <c r="P100" s="29">
        <f t="shared" si="20"/>
        <v>56.931640625</v>
      </c>
      <c r="Q100" s="30">
        <f t="shared" si="21"/>
        <v>512</v>
      </c>
      <c r="R100" s="11" t="str">
        <f t="shared" si="22"/>
        <v>9</v>
      </c>
      <c r="S100" s="10" t="str">
        <f t="shared" si="23"/>
        <v>9</v>
      </c>
      <c r="T100" s="9">
        <f t="shared" si="24"/>
        <v>2</v>
      </c>
      <c r="U100" t="str">
        <f t="shared" si="25"/>
        <v>Match</v>
      </c>
    </row>
    <row r="101" spans="1:21" x14ac:dyDescent="0.2">
      <c r="A101" s="12">
        <v>99</v>
      </c>
      <c r="B101" s="12">
        <v>100</v>
      </c>
      <c r="C101" s="12">
        <v>0.18179999999999999</v>
      </c>
      <c r="D101" s="12">
        <v>0.4</v>
      </c>
      <c r="E101" s="12">
        <v>0.29849999999999999</v>
      </c>
      <c r="F101" s="12">
        <v>3</v>
      </c>
      <c r="G101" s="12">
        <v>192</v>
      </c>
      <c r="H101" s="12">
        <v>195</v>
      </c>
      <c r="I101" s="22">
        <f t="shared" si="13"/>
        <v>95.806599999999975</v>
      </c>
      <c r="J101" s="23">
        <f t="shared" si="14"/>
        <v>0.18748845401174163</v>
      </c>
      <c r="K101" s="24">
        <f t="shared" si="15"/>
        <v>511</v>
      </c>
      <c r="L101" s="25">
        <f t="shared" si="16"/>
        <v>280.59000000000049</v>
      </c>
      <c r="M101" s="26">
        <f t="shared" si="17"/>
        <v>0.54909980430528471</v>
      </c>
      <c r="N101" s="27">
        <f t="shared" si="18"/>
        <v>511</v>
      </c>
      <c r="O101" s="28">
        <f t="shared" si="19"/>
        <v>29061</v>
      </c>
      <c r="P101" s="29">
        <f t="shared" si="20"/>
        <v>56.87084148727984</v>
      </c>
      <c r="Q101" s="30">
        <f t="shared" si="21"/>
        <v>511</v>
      </c>
      <c r="R101" s="11" t="str">
        <f t="shared" si="22"/>
        <v>1</v>
      </c>
      <c r="S101" s="10" t="str">
        <f t="shared" si="23"/>
        <v>0</v>
      </c>
      <c r="T101" s="9">
        <f t="shared" si="24"/>
        <v>3</v>
      </c>
      <c r="U101" t="str">
        <f t="shared" si="25"/>
        <v>Mismatch</v>
      </c>
    </row>
    <row r="102" spans="1:21" x14ac:dyDescent="0.2">
      <c r="A102" s="12">
        <v>100</v>
      </c>
      <c r="B102" s="12">
        <v>101</v>
      </c>
      <c r="C102" s="12">
        <v>0.19700000000000001</v>
      </c>
      <c r="D102" s="12">
        <v>0.37</v>
      </c>
      <c r="E102" s="12">
        <v>0.32840000000000003</v>
      </c>
      <c r="F102" s="12">
        <v>6</v>
      </c>
      <c r="G102" s="12">
        <v>109</v>
      </c>
      <c r="H102" s="12">
        <v>115</v>
      </c>
      <c r="I102" s="22">
        <f t="shared" si="13"/>
        <v>95.624799999999979</v>
      </c>
      <c r="J102" s="23">
        <f t="shared" si="14"/>
        <v>0.18749960784313721</v>
      </c>
      <c r="K102" s="24">
        <f t="shared" si="15"/>
        <v>510</v>
      </c>
      <c r="L102" s="25">
        <f t="shared" si="16"/>
        <v>280.19000000000051</v>
      </c>
      <c r="M102" s="26">
        <f t="shared" si="17"/>
        <v>0.54939215686274612</v>
      </c>
      <c r="N102" s="27">
        <f t="shared" si="18"/>
        <v>510</v>
      </c>
      <c r="O102" s="28">
        <f t="shared" si="19"/>
        <v>28866</v>
      </c>
      <c r="P102" s="29">
        <f t="shared" si="20"/>
        <v>56.6</v>
      </c>
      <c r="Q102" s="30">
        <f t="shared" si="21"/>
        <v>510</v>
      </c>
      <c r="R102" s="11" t="str">
        <f t="shared" si="22"/>
        <v>1</v>
      </c>
      <c r="S102" s="10" t="str">
        <f t="shared" si="23"/>
        <v>1</v>
      </c>
      <c r="T102" s="9">
        <f t="shared" si="24"/>
        <v>3</v>
      </c>
      <c r="U102" t="str">
        <f t="shared" si="25"/>
        <v>Match</v>
      </c>
    </row>
    <row r="103" spans="1:21" x14ac:dyDescent="0.2">
      <c r="A103" s="12">
        <v>101</v>
      </c>
      <c r="B103" s="12">
        <v>102</v>
      </c>
      <c r="C103" s="12">
        <v>0.19700000000000001</v>
      </c>
      <c r="D103" s="12">
        <v>0.37</v>
      </c>
      <c r="E103" s="12">
        <v>0.32840000000000003</v>
      </c>
      <c r="F103" s="12">
        <v>4</v>
      </c>
      <c r="G103" s="12">
        <v>53</v>
      </c>
      <c r="H103" s="12">
        <v>57</v>
      </c>
      <c r="I103" s="22">
        <f t="shared" si="13"/>
        <v>95.427799999999991</v>
      </c>
      <c r="J103" s="23">
        <f t="shared" si="14"/>
        <v>0.18748094302554025</v>
      </c>
      <c r="K103" s="24">
        <f t="shared" si="15"/>
        <v>509</v>
      </c>
      <c r="L103" s="25">
        <f t="shared" si="16"/>
        <v>279.8200000000005</v>
      </c>
      <c r="M103" s="26">
        <f t="shared" si="17"/>
        <v>0.54974459724950986</v>
      </c>
      <c r="N103" s="27">
        <f t="shared" si="18"/>
        <v>509</v>
      </c>
      <c r="O103" s="28">
        <f t="shared" si="19"/>
        <v>28751</v>
      </c>
      <c r="P103" s="29">
        <f t="shared" si="20"/>
        <v>56.485265225933205</v>
      </c>
      <c r="Q103" s="30">
        <f t="shared" si="21"/>
        <v>509</v>
      </c>
      <c r="R103" s="11" t="str">
        <f t="shared" si="22"/>
        <v>1</v>
      </c>
      <c r="S103" s="10" t="str">
        <f t="shared" si="23"/>
        <v>2</v>
      </c>
      <c r="T103" s="9">
        <f t="shared" si="24"/>
        <v>3</v>
      </c>
      <c r="U103" t="str">
        <f t="shared" si="25"/>
        <v>Mismatch</v>
      </c>
    </row>
    <row r="104" spans="1:21" x14ac:dyDescent="0.2">
      <c r="A104" s="12">
        <v>102</v>
      </c>
      <c r="B104" s="12">
        <v>103</v>
      </c>
      <c r="C104" s="12">
        <v>0.2273</v>
      </c>
      <c r="D104" s="12">
        <v>0.33</v>
      </c>
      <c r="E104" s="12">
        <v>0.32840000000000003</v>
      </c>
      <c r="F104" s="12">
        <v>12</v>
      </c>
      <c r="G104" s="12">
        <v>34</v>
      </c>
      <c r="H104" s="12">
        <v>46</v>
      </c>
      <c r="I104" s="22">
        <f t="shared" si="13"/>
        <v>95.230799999999988</v>
      </c>
      <c r="J104" s="23">
        <f t="shared" si="14"/>
        <v>0.18746220472440941</v>
      </c>
      <c r="K104" s="24">
        <f t="shared" si="15"/>
        <v>508</v>
      </c>
      <c r="L104" s="25">
        <f t="shared" si="16"/>
        <v>279.4500000000005</v>
      </c>
      <c r="M104" s="26">
        <f t="shared" si="17"/>
        <v>0.55009842519685137</v>
      </c>
      <c r="N104" s="27">
        <f t="shared" si="18"/>
        <v>508</v>
      </c>
      <c r="O104" s="28">
        <f t="shared" si="19"/>
        <v>28694</v>
      </c>
      <c r="P104" s="29">
        <f t="shared" si="20"/>
        <v>56.484251968503933</v>
      </c>
      <c r="Q104" s="30">
        <f t="shared" si="21"/>
        <v>508</v>
      </c>
      <c r="R104" s="11" t="str">
        <f t="shared" si="22"/>
        <v>1</v>
      </c>
      <c r="S104" s="10" t="str">
        <f t="shared" si="23"/>
        <v>3</v>
      </c>
      <c r="T104" s="9">
        <f t="shared" si="24"/>
        <v>3</v>
      </c>
      <c r="U104" t="str">
        <f t="shared" si="25"/>
        <v>Mismatch</v>
      </c>
    </row>
    <row r="105" spans="1:21" x14ac:dyDescent="0.2">
      <c r="A105" s="12">
        <v>103</v>
      </c>
      <c r="B105" s="12">
        <v>104</v>
      </c>
      <c r="C105" s="12">
        <v>0.2273</v>
      </c>
      <c r="D105" s="12">
        <v>0.33</v>
      </c>
      <c r="E105" s="12">
        <v>0.32840000000000003</v>
      </c>
      <c r="F105" s="12">
        <v>5</v>
      </c>
      <c r="G105" s="12">
        <v>74</v>
      </c>
      <c r="H105" s="12">
        <v>79</v>
      </c>
      <c r="I105" s="22">
        <f t="shared" si="13"/>
        <v>95.003499999999988</v>
      </c>
      <c r="J105" s="23">
        <f t="shared" si="14"/>
        <v>0.18738362919132148</v>
      </c>
      <c r="K105" s="24">
        <f t="shared" si="15"/>
        <v>507</v>
      </c>
      <c r="L105" s="25">
        <f t="shared" si="16"/>
        <v>279.12000000000052</v>
      </c>
      <c r="M105" s="26">
        <f t="shared" si="17"/>
        <v>0.55053254437869925</v>
      </c>
      <c r="N105" s="27">
        <f t="shared" si="18"/>
        <v>507</v>
      </c>
      <c r="O105" s="28">
        <f t="shared" si="19"/>
        <v>28648</v>
      </c>
      <c r="P105" s="29">
        <f t="shared" si="20"/>
        <v>56.504930966469431</v>
      </c>
      <c r="Q105" s="30">
        <f t="shared" si="21"/>
        <v>507</v>
      </c>
      <c r="R105" s="11" t="str">
        <f t="shared" si="22"/>
        <v>1</v>
      </c>
      <c r="S105" s="10" t="str">
        <f t="shared" si="23"/>
        <v>4</v>
      </c>
      <c r="T105" s="9">
        <f t="shared" si="24"/>
        <v>3</v>
      </c>
      <c r="U105" t="str">
        <f t="shared" si="25"/>
        <v>Mismatch</v>
      </c>
    </row>
    <row r="106" spans="1:21" x14ac:dyDescent="0.2">
      <c r="A106" s="12">
        <v>104</v>
      </c>
      <c r="B106" s="12">
        <v>105</v>
      </c>
      <c r="C106" s="12">
        <v>0.2576</v>
      </c>
      <c r="D106" s="12">
        <v>0.3</v>
      </c>
      <c r="E106" s="12">
        <v>0.29849999999999999</v>
      </c>
      <c r="F106" s="12">
        <v>6</v>
      </c>
      <c r="G106" s="12">
        <v>65</v>
      </c>
      <c r="H106" s="12">
        <v>71</v>
      </c>
      <c r="I106" s="22">
        <f t="shared" si="13"/>
        <v>94.776200000000003</v>
      </c>
      <c r="J106" s="23">
        <f t="shared" si="14"/>
        <v>0.18730474308300396</v>
      </c>
      <c r="K106" s="24">
        <f t="shared" si="15"/>
        <v>506</v>
      </c>
      <c r="L106" s="25">
        <f t="shared" si="16"/>
        <v>278.79000000000053</v>
      </c>
      <c r="M106" s="26">
        <f t="shared" si="17"/>
        <v>0.55096837944664134</v>
      </c>
      <c r="N106" s="27">
        <f t="shared" si="18"/>
        <v>506</v>
      </c>
      <c r="O106" s="28">
        <f t="shared" si="19"/>
        <v>28569</v>
      </c>
      <c r="P106" s="29">
        <f t="shared" si="20"/>
        <v>56.460474308300398</v>
      </c>
      <c r="Q106" s="30">
        <f t="shared" si="21"/>
        <v>506</v>
      </c>
      <c r="R106" s="11" t="str">
        <f t="shared" si="22"/>
        <v>1</v>
      </c>
      <c r="S106" s="10" t="str">
        <f t="shared" si="23"/>
        <v>5</v>
      </c>
      <c r="T106" s="9">
        <f t="shared" si="24"/>
        <v>3</v>
      </c>
      <c r="U106" t="str">
        <f t="shared" si="25"/>
        <v>Mismatch</v>
      </c>
    </row>
    <row r="107" spans="1:21" x14ac:dyDescent="0.2">
      <c r="A107" s="12">
        <v>105</v>
      </c>
      <c r="B107" s="12">
        <v>106</v>
      </c>
      <c r="C107" s="12">
        <v>0.28789999999999999</v>
      </c>
      <c r="D107" s="12">
        <v>0.28000000000000003</v>
      </c>
      <c r="E107" s="12">
        <v>0.19400000000000001</v>
      </c>
      <c r="F107" s="12">
        <v>10</v>
      </c>
      <c r="G107" s="12">
        <v>52</v>
      </c>
      <c r="H107" s="12">
        <v>62</v>
      </c>
      <c r="I107" s="22">
        <f t="shared" si="13"/>
        <v>94.518599999999992</v>
      </c>
      <c r="J107" s="23">
        <f t="shared" si="14"/>
        <v>0.18716554455445544</v>
      </c>
      <c r="K107" s="24">
        <f t="shared" si="15"/>
        <v>505</v>
      </c>
      <c r="L107" s="25">
        <f t="shared" si="16"/>
        <v>278.49000000000052</v>
      </c>
      <c r="M107" s="26">
        <f t="shared" si="17"/>
        <v>0.55146534653465451</v>
      </c>
      <c r="N107" s="27">
        <f t="shared" si="18"/>
        <v>505</v>
      </c>
      <c r="O107" s="28">
        <f t="shared" si="19"/>
        <v>28498</v>
      </c>
      <c r="P107" s="29">
        <f t="shared" si="20"/>
        <v>56.43168316831683</v>
      </c>
      <c r="Q107" s="30">
        <f t="shared" si="21"/>
        <v>505</v>
      </c>
      <c r="R107" s="11" t="str">
        <f t="shared" si="22"/>
        <v>1</v>
      </c>
      <c r="S107" s="10" t="str">
        <f t="shared" si="23"/>
        <v>6</v>
      </c>
      <c r="T107" s="9">
        <f t="shared" si="24"/>
        <v>3</v>
      </c>
      <c r="U107" t="str">
        <f t="shared" si="25"/>
        <v>Mismatch</v>
      </c>
    </row>
    <row r="108" spans="1:21" x14ac:dyDescent="0.2">
      <c r="A108" s="12">
        <v>106</v>
      </c>
      <c r="B108" s="12">
        <v>107</v>
      </c>
      <c r="C108" s="12">
        <v>0.28789999999999999</v>
      </c>
      <c r="D108" s="12">
        <v>0.28000000000000003</v>
      </c>
      <c r="E108" s="12">
        <v>0.19400000000000001</v>
      </c>
      <c r="F108" s="12">
        <v>7</v>
      </c>
      <c r="G108" s="12">
        <v>55</v>
      </c>
      <c r="H108" s="12">
        <v>62</v>
      </c>
      <c r="I108" s="22">
        <f t="shared" si="13"/>
        <v>94.230699999999999</v>
      </c>
      <c r="J108" s="23">
        <f t="shared" si="14"/>
        <v>0.18696567460317459</v>
      </c>
      <c r="K108" s="24">
        <f t="shared" si="15"/>
        <v>504</v>
      </c>
      <c r="L108" s="25">
        <f t="shared" si="16"/>
        <v>278.21000000000055</v>
      </c>
      <c r="M108" s="26">
        <f t="shared" si="17"/>
        <v>0.55200396825396936</v>
      </c>
      <c r="N108" s="27">
        <f t="shared" si="18"/>
        <v>504</v>
      </c>
      <c r="O108" s="28">
        <f t="shared" si="19"/>
        <v>28436</v>
      </c>
      <c r="P108" s="29">
        <f t="shared" si="20"/>
        <v>56.420634920634917</v>
      </c>
      <c r="Q108" s="30">
        <f t="shared" si="21"/>
        <v>504</v>
      </c>
      <c r="R108" s="11" t="str">
        <f t="shared" si="22"/>
        <v>1</v>
      </c>
      <c r="S108" s="10" t="str">
        <f t="shared" si="23"/>
        <v>7</v>
      </c>
      <c r="T108" s="9">
        <f t="shared" si="24"/>
        <v>3</v>
      </c>
      <c r="U108" t="str">
        <f t="shared" si="25"/>
        <v>Mismatch</v>
      </c>
    </row>
    <row r="109" spans="1:21" x14ac:dyDescent="0.2">
      <c r="A109" s="12">
        <v>107</v>
      </c>
      <c r="B109" s="12">
        <v>108</v>
      </c>
      <c r="C109" s="12">
        <v>0.31819999999999998</v>
      </c>
      <c r="D109" s="12">
        <v>0.28000000000000003</v>
      </c>
      <c r="E109" s="12">
        <v>8.9599999999999999E-2</v>
      </c>
      <c r="F109" s="12">
        <v>4</v>
      </c>
      <c r="G109" s="12">
        <v>85</v>
      </c>
      <c r="H109" s="12">
        <v>89</v>
      </c>
      <c r="I109" s="22">
        <f t="shared" si="13"/>
        <v>93.942799999999977</v>
      </c>
      <c r="J109" s="23">
        <f t="shared" si="14"/>
        <v>0.1867650099403578</v>
      </c>
      <c r="K109" s="24">
        <f t="shared" si="15"/>
        <v>503</v>
      </c>
      <c r="L109" s="25">
        <f t="shared" si="16"/>
        <v>277.93000000000052</v>
      </c>
      <c r="M109" s="26">
        <f t="shared" si="17"/>
        <v>0.55254473161033901</v>
      </c>
      <c r="N109" s="27">
        <f t="shared" si="18"/>
        <v>503</v>
      </c>
      <c r="O109" s="28">
        <f t="shared" si="19"/>
        <v>28374</v>
      </c>
      <c r="P109" s="29">
        <f t="shared" si="20"/>
        <v>56.409542743538765</v>
      </c>
      <c r="Q109" s="30">
        <f t="shared" si="21"/>
        <v>503</v>
      </c>
      <c r="R109" s="11" t="str">
        <f t="shared" si="22"/>
        <v>1</v>
      </c>
      <c r="S109" s="10" t="str">
        <f t="shared" si="23"/>
        <v>8</v>
      </c>
      <c r="T109" s="9">
        <f t="shared" si="24"/>
        <v>3</v>
      </c>
      <c r="U109" t="str">
        <f t="shared" si="25"/>
        <v>Mismatch</v>
      </c>
    </row>
    <row r="110" spans="1:21" x14ac:dyDescent="0.2">
      <c r="A110" s="12">
        <v>108</v>
      </c>
      <c r="B110" s="12">
        <v>109</v>
      </c>
      <c r="C110" s="12">
        <v>0.2273</v>
      </c>
      <c r="D110" s="12">
        <v>0.38</v>
      </c>
      <c r="E110" s="12">
        <v>0.19400000000000001</v>
      </c>
      <c r="F110" s="12">
        <v>4</v>
      </c>
      <c r="G110" s="12">
        <v>186</v>
      </c>
      <c r="H110" s="12">
        <v>190</v>
      </c>
      <c r="I110" s="22">
        <f t="shared" si="13"/>
        <v>93.624599999999973</v>
      </c>
      <c r="J110" s="23">
        <f t="shared" si="14"/>
        <v>0.18650318725099596</v>
      </c>
      <c r="K110" s="24">
        <f t="shared" si="15"/>
        <v>502</v>
      </c>
      <c r="L110" s="25">
        <f t="shared" si="16"/>
        <v>277.65000000000049</v>
      </c>
      <c r="M110" s="26">
        <f t="shared" si="17"/>
        <v>0.55308764940239141</v>
      </c>
      <c r="N110" s="27">
        <f t="shared" si="18"/>
        <v>502</v>
      </c>
      <c r="O110" s="28">
        <f t="shared" si="19"/>
        <v>28285</v>
      </c>
      <c r="P110" s="29">
        <f t="shared" si="20"/>
        <v>56.344621513944226</v>
      </c>
      <c r="Q110" s="30">
        <f t="shared" si="21"/>
        <v>502</v>
      </c>
      <c r="R110" s="11" t="str">
        <f t="shared" si="22"/>
        <v>1</v>
      </c>
      <c r="S110" s="10" t="str">
        <f t="shared" si="23"/>
        <v>9</v>
      </c>
      <c r="T110" s="9">
        <f t="shared" si="24"/>
        <v>3</v>
      </c>
      <c r="U110" t="str">
        <f t="shared" si="25"/>
        <v>Mismatch</v>
      </c>
    </row>
    <row r="111" spans="1:21" x14ac:dyDescent="0.2">
      <c r="A111" s="12">
        <v>109</v>
      </c>
      <c r="B111" s="12">
        <v>110</v>
      </c>
      <c r="C111" s="12">
        <v>0.2424</v>
      </c>
      <c r="D111" s="12">
        <v>0.38</v>
      </c>
      <c r="E111" s="12">
        <v>0.1343</v>
      </c>
      <c r="F111" s="12">
        <v>3</v>
      </c>
      <c r="G111" s="12">
        <v>166</v>
      </c>
      <c r="H111" s="12">
        <v>169</v>
      </c>
      <c r="I111" s="22">
        <f t="shared" si="13"/>
        <v>93.397299999999973</v>
      </c>
      <c r="J111" s="23">
        <f t="shared" si="14"/>
        <v>0.18642175648702589</v>
      </c>
      <c r="K111" s="24">
        <f t="shared" si="15"/>
        <v>501</v>
      </c>
      <c r="L111" s="25">
        <f t="shared" si="16"/>
        <v>277.27000000000049</v>
      </c>
      <c r="M111" s="26">
        <f t="shared" si="17"/>
        <v>0.55343313373253589</v>
      </c>
      <c r="N111" s="27">
        <f t="shared" si="18"/>
        <v>501</v>
      </c>
      <c r="O111" s="28">
        <f t="shared" si="19"/>
        <v>28095</v>
      </c>
      <c r="P111" s="29">
        <f t="shared" si="20"/>
        <v>56.077844311377248</v>
      </c>
      <c r="Q111" s="30">
        <f t="shared" si="21"/>
        <v>501</v>
      </c>
      <c r="R111" s="11" t="str">
        <f t="shared" si="22"/>
        <v>1</v>
      </c>
      <c r="S111" s="10" t="str">
        <f t="shared" si="23"/>
        <v>0</v>
      </c>
      <c r="T111" s="9">
        <f t="shared" si="24"/>
        <v>3</v>
      </c>
      <c r="U111" t="str">
        <f t="shared" si="25"/>
        <v>Mismatch</v>
      </c>
    </row>
    <row r="112" spans="1:21" x14ac:dyDescent="0.2">
      <c r="A112" s="12">
        <v>110</v>
      </c>
      <c r="B112" s="12">
        <v>111</v>
      </c>
      <c r="C112" s="12">
        <v>0.2576</v>
      </c>
      <c r="D112" s="12">
        <v>0.38</v>
      </c>
      <c r="E112" s="12">
        <v>0.1045</v>
      </c>
      <c r="F112" s="12">
        <v>5</v>
      </c>
      <c r="G112" s="12">
        <v>127</v>
      </c>
      <c r="H112" s="12">
        <v>132</v>
      </c>
      <c r="I112" s="22">
        <f t="shared" si="13"/>
        <v>93.154899999999969</v>
      </c>
      <c r="J112" s="23">
        <f t="shared" si="14"/>
        <v>0.18630979999999994</v>
      </c>
      <c r="K112" s="24">
        <f t="shared" si="15"/>
        <v>500</v>
      </c>
      <c r="L112" s="25">
        <f t="shared" si="16"/>
        <v>276.8900000000005</v>
      </c>
      <c r="M112" s="26">
        <f t="shared" si="17"/>
        <v>0.55378000000000105</v>
      </c>
      <c r="N112" s="27">
        <f t="shared" si="18"/>
        <v>500</v>
      </c>
      <c r="O112" s="28">
        <f t="shared" si="19"/>
        <v>27926</v>
      </c>
      <c r="P112" s="29">
        <f t="shared" si="20"/>
        <v>55.851999999999997</v>
      </c>
      <c r="Q112" s="30">
        <f t="shared" si="21"/>
        <v>500</v>
      </c>
      <c r="R112" s="11" t="str">
        <f t="shared" si="22"/>
        <v>1</v>
      </c>
      <c r="S112" s="10" t="str">
        <f t="shared" si="23"/>
        <v>1</v>
      </c>
      <c r="T112" s="9">
        <f t="shared" si="24"/>
        <v>3</v>
      </c>
      <c r="U112" t="str">
        <f t="shared" si="25"/>
        <v>Match</v>
      </c>
    </row>
    <row r="113" spans="1:21" x14ac:dyDescent="0.2">
      <c r="A113" s="12">
        <v>111</v>
      </c>
      <c r="B113" s="12">
        <v>112</v>
      </c>
      <c r="C113" s="12">
        <v>0.2273</v>
      </c>
      <c r="D113" s="12">
        <v>0.47</v>
      </c>
      <c r="E113" s="12">
        <v>0.16420000000000001</v>
      </c>
      <c r="F113" s="12">
        <v>7</v>
      </c>
      <c r="G113" s="12">
        <v>82</v>
      </c>
      <c r="H113" s="12">
        <v>89</v>
      </c>
      <c r="I113" s="22">
        <f t="shared" si="13"/>
        <v>92.897299999999959</v>
      </c>
      <c r="J113" s="23">
        <f t="shared" si="14"/>
        <v>0.18616693386773539</v>
      </c>
      <c r="K113" s="24">
        <f t="shared" si="15"/>
        <v>499</v>
      </c>
      <c r="L113" s="25">
        <f t="shared" si="16"/>
        <v>276.5100000000005</v>
      </c>
      <c r="M113" s="26">
        <f t="shared" si="17"/>
        <v>0.55412825651302711</v>
      </c>
      <c r="N113" s="27">
        <f t="shared" si="18"/>
        <v>499</v>
      </c>
      <c r="O113" s="28">
        <f t="shared" si="19"/>
        <v>27794</v>
      </c>
      <c r="P113" s="29">
        <f t="shared" si="20"/>
        <v>55.699398797595194</v>
      </c>
      <c r="Q113" s="30">
        <f t="shared" si="21"/>
        <v>499</v>
      </c>
      <c r="R113" s="11" t="str">
        <f t="shared" si="22"/>
        <v>1</v>
      </c>
      <c r="S113" s="10" t="str">
        <f t="shared" si="23"/>
        <v>2</v>
      </c>
      <c r="T113" s="9">
        <f t="shared" si="24"/>
        <v>3</v>
      </c>
      <c r="U113" t="str">
        <f t="shared" si="25"/>
        <v>Mismatch</v>
      </c>
    </row>
    <row r="114" spans="1:21" x14ac:dyDescent="0.2">
      <c r="A114" s="12">
        <v>112</v>
      </c>
      <c r="B114" s="12">
        <v>113</v>
      </c>
      <c r="C114" s="12">
        <v>0.19700000000000001</v>
      </c>
      <c r="D114" s="12">
        <v>0.51</v>
      </c>
      <c r="E114" s="12">
        <v>0.19400000000000001</v>
      </c>
      <c r="F114" s="12">
        <v>3</v>
      </c>
      <c r="G114" s="12">
        <v>40</v>
      </c>
      <c r="H114" s="12">
        <v>43</v>
      </c>
      <c r="I114" s="22">
        <f t="shared" si="13"/>
        <v>92.669999999999959</v>
      </c>
      <c r="J114" s="23">
        <f t="shared" si="14"/>
        <v>0.1860843373493975</v>
      </c>
      <c r="K114" s="24">
        <f t="shared" si="15"/>
        <v>498</v>
      </c>
      <c r="L114" s="25">
        <f t="shared" si="16"/>
        <v>276.04000000000048</v>
      </c>
      <c r="M114" s="26">
        <f t="shared" si="17"/>
        <v>0.55429718875502099</v>
      </c>
      <c r="N114" s="27">
        <f t="shared" si="18"/>
        <v>498</v>
      </c>
      <c r="O114" s="28">
        <f t="shared" si="19"/>
        <v>27705</v>
      </c>
      <c r="P114" s="29">
        <f t="shared" si="20"/>
        <v>55.632530120481931</v>
      </c>
      <c r="Q114" s="30">
        <f t="shared" si="21"/>
        <v>498</v>
      </c>
      <c r="R114" s="11" t="str">
        <f t="shared" si="22"/>
        <v>1</v>
      </c>
      <c r="S114" s="10" t="str">
        <f t="shared" si="23"/>
        <v>3</v>
      </c>
      <c r="T114" s="9">
        <f t="shared" si="24"/>
        <v>3</v>
      </c>
      <c r="U114" t="str">
        <f t="shared" si="25"/>
        <v>Mismatch</v>
      </c>
    </row>
    <row r="115" spans="1:21" x14ac:dyDescent="0.2">
      <c r="A115" s="12">
        <v>113</v>
      </c>
      <c r="B115" s="12">
        <v>114</v>
      </c>
      <c r="C115" s="12">
        <v>0.19700000000000001</v>
      </c>
      <c r="D115" s="12">
        <v>0.55000000000000004</v>
      </c>
      <c r="E115" s="12">
        <v>0.1343</v>
      </c>
      <c r="F115" s="12">
        <v>1</v>
      </c>
      <c r="G115" s="12">
        <v>41</v>
      </c>
      <c r="H115" s="12">
        <v>42</v>
      </c>
      <c r="I115" s="22">
        <f t="shared" si="13"/>
        <v>92.472999999999956</v>
      </c>
      <c r="J115" s="23">
        <f t="shared" si="14"/>
        <v>0.18606237424547276</v>
      </c>
      <c r="K115" s="24">
        <f t="shared" si="15"/>
        <v>497</v>
      </c>
      <c r="L115" s="25">
        <f t="shared" si="16"/>
        <v>275.53000000000048</v>
      </c>
      <c r="M115" s="26">
        <f t="shared" si="17"/>
        <v>0.55438631790744564</v>
      </c>
      <c r="N115" s="27">
        <f t="shared" si="18"/>
        <v>497</v>
      </c>
      <c r="O115" s="28">
        <f t="shared" si="19"/>
        <v>27662</v>
      </c>
      <c r="P115" s="29">
        <f t="shared" si="20"/>
        <v>55.6579476861167</v>
      </c>
      <c r="Q115" s="30">
        <f t="shared" si="21"/>
        <v>497</v>
      </c>
      <c r="R115" s="11" t="str">
        <f t="shared" si="22"/>
        <v>1</v>
      </c>
      <c r="S115" s="10" t="str">
        <f t="shared" si="23"/>
        <v>4</v>
      </c>
      <c r="T115" s="9">
        <f t="shared" si="24"/>
        <v>3</v>
      </c>
      <c r="U115" t="str">
        <f t="shared" si="25"/>
        <v>Mismatch</v>
      </c>
    </row>
    <row r="116" spans="1:21" x14ac:dyDescent="0.2">
      <c r="A116" s="12">
        <v>114</v>
      </c>
      <c r="B116" s="12">
        <v>115</v>
      </c>
      <c r="C116" s="12">
        <v>0.2576</v>
      </c>
      <c r="D116" s="12">
        <v>0.47</v>
      </c>
      <c r="E116" s="12">
        <v>0</v>
      </c>
      <c r="F116" s="12">
        <v>1</v>
      </c>
      <c r="G116" s="12">
        <v>18</v>
      </c>
      <c r="H116" s="12">
        <v>19</v>
      </c>
      <c r="I116" s="22">
        <f t="shared" si="13"/>
        <v>92.275999999999939</v>
      </c>
      <c r="J116" s="23">
        <f t="shared" si="14"/>
        <v>0.18604032258064504</v>
      </c>
      <c r="K116" s="24">
        <f t="shared" si="15"/>
        <v>496</v>
      </c>
      <c r="L116" s="25">
        <f t="shared" si="16"/>
        <v>274.98000000000047</v>
      </c>
      <c r="M116" s="26">
        <f t="shared" si="17"/>
        <v>0.55439516129032351</v>
      </c>
      <c r="N116" s="27">
        <f t="shared" si="18"/>
        <v>496</v>
      </c>
      <c r="O116" s="28">
        <f t="shared" si="19"/>
        <v>27620</v>
      </c>
      <c r="P116" s="29">
        <f t="shared" si="20"/>
        <v>55.685483870967744</v>
      </c>
      <c r="Q116" s="30">
        <f t="shared" si="21"/>
        <v>496</v>
      </c>
      <c r="R116" s="11" t="str">
        <f t="shared" si="22"/>
        <v>1</v>
      </c>
      <c r="S116" s="10" t="str">
        <f t="shared" si="23"/>
        <v>5</v>
      </c>
      <c r="T116" s="9">
        <f t="shared" si="24"/>
        <v>3</v>
      </c>
      <c r="U116" t="str">
        <f t="shared" si="25"/>
        <v>Mismatch</v>
      </c>
    </row>
    <row r="117" spans="1:21" x14ac:dyDescent="0.2">
      <c r="A117" s="12">
        <v>115</v>
      </c>
      <c r="B117" s="12">
        <v>116</v>
      </c>
      <c r="C117" s="12">
        <v>0.2424</v>
      </c>
      <c r="D117" s="12">
        <v>0.55000000000000004</v>
      </c>
      <c r="E117" s="12">
        <v>0</v>
      </c>
      <c r="F117" s="12">
        <v>0</v>
      </c>
      <c r="G117" s="12">
        <v>11</v>
      </c>
      <c r="H117" s="12">
        <v>11</v>
      </c>
      <c r="I117" s="22">
        <f t="shared" si="13"/>
        <v>92.018399999999943</v>
      </c>
      <c r="J117" s="23">
        <f t="shared" si="14"/>
        <v>0.18589575757575746</v>
      </c>
      <c r="K117" s="24">
        <f t="shared" si="15"/>
        <v>495</v>
      </c>
      <c r="L117" s="25">
        <f t="shared" si="16"/>
        <v>274.5100000000005</v>
      </c>
      <c r="M117" s="26">
        <f t="shared" si="17"/>
        <v>0.55456565656565759</v>
      </c>
      <c r="N117" s="27">
        <f t="shared" si="18"/>
        <v>495</v>
      </c>
      <c r="O117" s="28">
        <f t="shared" si="19"/>
        <v>27601</v>
      </c>
      <c r="P117" s="29">
        <f t="shared" si="20"/>
        <v>55.759595959595963</v>
      </c>
      <c r="Q117" s="30">
        <f t="shared" si="21"/>
        <v>495</v>
      </c>
      <c r="R117" s="11" t="str">
        <f t="shared" si="22"/>
        <v>1</v>
      </c>
      <c r="S117" s="10" t="str">
        <f t="shared" si="23"/>
        <v>6</v>
      </c>
      <c r="T117" s="9">
        <f t="shared" si="24"/>
        <v>3</v>
      </c>
      <c r="U117" t="str">
        <f t="shared" si="25"/>
        <v>Mismatch</v>
      </c>
    </row>
    <row r="118" spans="1:21" x14ac:dyDescent="0.2">
      <c r="A118" s="12">
        <v>116</v>
      </c>
      <c r="B118" s="12">
        <v>117</v>
      </c>
      <c r="C118" s="12">
        <v>0.2273</v>
      </c>
      <c r="D118" s="12">
        <v>0.64</v>
      </c>
      <c r="E118" s="12">
        <v>0</v>
      </c>
      <c r="F118" s="12">
        <v>0</v>
      </c>
      <c r="G118" s="12">
        <v>4</v>
      </c>
      <c r="H118" s="12">
        <v>4</v>
      </c>
      <c r="I118" s="22">
        <f t="shared" si="13"/>
        <v>91.775999999999939</v>
      </c>
      <c r="J118" s="23">
        <f t="shared" si="14"/>
        <v>0.18578137651821849</v>
      </c>
      <c r="K118" s="24">
        <f t="shared" si="15"/>
        <v>494</v>
      </c>
      <c r="L118" s="25">
        <f t="shared" si="16"/>
        <v>273.96000000000049</v>
      </c>
      <c r="M118" s="26">
        <f t="shared" si="17"/>
        <v>0.5545748987854261</v>
      </c>
      <c r="N118" s="27">
        <f t="shared" si="18"/>
        <v>494</v>
      </c>
      <c r="O118" s="28">
        <f t="shared" si="19"/>
        <v>27590</v>
      </c>
      <c r="P118" s="29">
        <f t="shared" si="20"/>
        <v>55.850202429149796</v>
      </c>
      <c r="Q118" s="30">
        <f t="shared" si="21"/>
        <v>494</v>
      </c>
      <c r="R118" s="11" t="str">
        <f t="shared" si="22"/>
        <v>1</v>
      </c>
      <c r="S118" s="10" t="str">
        <f t="shared" si="23"/>
        <v>7</v>
      </c>
      <c r="T118" s="9">
        <f t="shared" si="24"/>
        <v>3</v>
      </c>
      <c r="U118" t="str">
        <f t="shared" si="25"/>
        <v>Mismatch</v>
      </c>
    </row>
    <row r="119" spans="1:21" x14ac:dyDescent="0.2">
      <c r="A119" s="12">
        <v>117</v>
      </c>
      <c r="B119" s="12">
        <v>118</v>
      </c>
      <c r="C119" s="12">
        <v>0.2273</v>
      </c>
      <c r="D119" s="12">
        <v>0.64</v>
      </c>
      <c r="E119" s="12">
        <v>0</v>
      </c>
      <c r="F119" s="12">
        <v>0</v>
      </c>
      <c r="G119" s="12">
        <v>2</v>
      </c>
      <c r="H119" s="12">
        <v>2</v>
      </c>
      <c r="I119" s="22">
        <f t="shared" si="13"/>
        <v>91.54869999999994</v>
      </c>
      <c r="J119" s="23">
        <f t="shared" si="14"/>
        <v>0.1856971602434076</v>
      </c>
      <c r="K119" s="24">
        <f t="shared" si="15"/>
        <v>493</v>
      </c>
      <c r="L119" s="25">
        <f t="shared" si="16"/>
        <v>273.3200000000005</v>
      </c>
      <c r="M119" s="26">
        <f t="shared" si="17"/>
        <v>0.55440162271805371</v>
      </c>
      <c r="N119" s="27">
        <f t="shared" si="18"/>
        <v>493</v>
      </c>
      <c r="O119" s="28">
        <f t="shared" si="19"/>
        <v>27586</v>
      </c>
      <c r="P119" s="29">
        <f t="shared" si="20"/>
        <v>55.955375253549697</v>
      </c>
      <c r="Q119" s="30">
        <f t="shared" si="21"/>
        <v>493</v>
      </c>
      <c r="R119" s="11" t="str">
        <f t="shared" si="22"/>
        <v>1</v>
      </c>
      <c r="S119" s="10" t="str">
        <f t="shared" si="23"/>
        <v>8</v>
      </c>
      <c r="T119" s="9">
        <f t="shared" si="24"/>
        <v>3</v>
      </c>
      <c r="U119" t="str">
        <f t="shared" si="25"/>
        <v>Mismatch</v>
      </c>
    </row>
    <row r="120" spans="1:21" x14ac:dyDescent="0.2">
      <c r="A120" s="12">
        <v>118</v>
      </c>
      <c r="B120" s="12">
        <v>119</v>
      </c>
      <c r="C120" s="12">
        <v>0.19700000000000001</v>
      </c>
      <c r="D120" s="12">
        <v>0.64</v>
      </c>
      <c r="E120" s="12">
        <v>8.9599999999999999E-2</v>
      </c>
      <c r="F120" s="12">
        <v>0</v>
      </c>
      <c r="G120" s="12">
        <v>1</v>
      </c>
      <c r="H120" s="12">
        <v>1</v>
      </c>
      <c r="I120" s="22">
        <f t="shared" si="13"/>
        <v>91.321399999999926</v>
      </c>
      <c r="J120" s="23">
        <f t="shared" si="14"/>
        <v>0.18561260162601612</v>
      </c>
      <c r="K120" s="24">
        <f t="shared" si="15"/>
        <v>492</v>
      </c>
      <c r="L120" s="25">
        <f t="shared" si="16"/>
        <v>272.68000000000052</v>
      </c>
      <c r="M120" s="26">
        <f t="shared" si="17"/>
        <v>0.55422764227642385</v>
      </c>
      <c r="N120" s="27">
        <f t="shared" si="18"/>
        <v>492</v>
      </c>
      <c r="O120" s="28">
        <f t="shared" si="19"/>
        <v>27584</v>
      </c>
      <c r="P120" s="29">
        <f t="shared" si="20"/>
        <v>56.065040650406502</v>
      </c>
      <c r="Q120" s="30">
        <f t="shared" si="21"/>
        <v>492</v>
      </c>
      <c r="R120" s="11" t="str">
        <f t="shared" si="22"/>
        <v>1</v>
      </c>
      <c r="S120" s="10" t="str">
        <f t="shared" si="23"/>
        <v>9</v>
      </c>
      <c r="T120" s="9">
        <f t="shared" si="24"/>
        <v>3</v>
      </c>
      <c r="U120" t="str">
        <f t="shared" si="25"/>
        <v>Mismatch</v>
      </c>
    </row>
    <row r="121" spans="1:21" x14ac:dyDescent="0.2">
      <c r="A121" s="12">
        <v>119</v>
      </c>
      <c r="B121" s="12">
        <v>120</v>
      </c>
      <c r="C121" s="12">
        <v>0.18179999999999999</v>
      </c>
      <c r="D121" s="12">
        <v>0.69</v>
      </c>
      <c r="E121" s="12">
        <v>8.9599999999999999E-2</v>
      </c>
      <c r="F121" s="12">
        <v>0</v>
      </c>
      <c r="G121" s="12">
        <v>4</v>
      </c>
      <c r="H121" s="12">
        <v>4</v>
      </c>
      <c r="I121" s="22">
        <f t="shared" si="13"/>
        <v>91.124399999999937</v>
      </c>
      <c r="J121" s="23">
        <f t="shared" si="14"/>
        <v>0.1855894093686353</v>
      </c>
      <c r="K121" s="24">
        <f t="shared" si="15"/>
        <v>491</v>
      </c>
      <c r="L121" s="25">
        <f t="shared" si="16"/>
        <v>272.04000000000053</v>
      </c>
      <c r="M121" s="26">
        <f t="shared" si="17"/>
        <v>0.5540529531568239</v>
      </c>
      <c r="N121" s="27">
        <f t="shared" si="18"/>
        <v>491</v>
      </c>
      <c r="O121" s="28">
        <f t="shared" si="19"/>
        <v>27583</v>
      </c>
      <c r="P121" s="29">
        <f t="shared" si="20"/>
        <v>56.177189409368637</v>
      </c>
      <c r="Q121" s="30">
        <f t="shared" si="21"/>
        <v>491</v>
      </c>
      <c r="R121" s="11" t="str">
        <f t="shared" si="22"/>
        <v>1</v>
      </c>
      <c r="S121" s="10" t="str">
        <f t="shared" si="23"/>
        <v>0</v>
      </c>
      <c r="T121" s="9">
        <f t="shared" si="24"/>
        <v>3</v>
      </c>
      <c r="U121" t="str">
        <f t="shared" si="25"/>
        <v>Mismatch</v>
      </c>
    </row>
    <row r="122" spans="1:21" x14ac:dyDescent="0.2">
      <c r="A122" s="12">
        <v>120</v>
      </c>
      <c r="B122" s="12">
        <v>121</v>
      </c>
      <c r="C122" s="12">
        <v>0.16669999999999999</v>
      </c>
      <c r="D122" s="12">
        <v>0.63</v>
      </c>
      <c r="E122" s="12">
        <v>0.1045</v>
      </c>
      <c r="F122" s="12">
        <v>0</v>
      </c>
      <c r="G122" s="12">
        <v>36</v>
      </c>
      <c r="H122" s="12">
        <v>36</v>
      </c>
      <c r="I122" s="22">
        <f t="shared" si="13"/>
        <v>90.942599999999942</v>
      </c>
      <c r="J122" s="23">
        <f t="shared" si="14"/>
        <v>0.18559714285714274</v>
      </c>
      <c r="K122" s="24">
        <f t="shared" si="15"/>
        <v>490</v>
      </c>
      <c r="L122" s="25">
        <f t="shared" si="16"/>
        <v>271.35000000000048</v>
      </c>
      <c r="M122" s="26">
        <f t="shared" si="17"/>
        <v>0.55377551020408255</v>
      </c>
      <c r="N122" s="27">
        <f t="shared" si="18"/>
        <v>490</v>
      </c>
      <c r="O122" s="28">
        <f t="shared" si="19"/>
        <v>27579</v>
      </c>
      <c r="P122" s="29">
        <f t="shared" si="20"/>
        <v>56.283673469387757</v>
      </c>
      <c r="Q122" s="30">
        <f t="shared" si="21"/>
        <v>490</v>
      </c>
      <c r="R122" s="11" t="str">
        <f t="shared" si="22"/>
        <v>1</v>
      </c>
      <c r="S122" s="10" t="str">
        <f t="shared" si="23"/>
        <v>1</v>
      </c>
      <c r="T122" s="9">
        <f t="shared" si="24"/>
        <v>3</v>
      </c>
      <c r="U122" t="str">
        <f t="shared" si="25"/>
        <v>Match</v>
      </c>
    </row>
    <row r="123" spans="1:21" x14ac:dyDescent="0.2">
      <c r="A123" s="12">
        <v>121</v>
      </c>
      <c r="B123" s="12">
        <v>122</v>
      </c>
      <c r="C123" s="12">
        <v>0.2273</v>
      </c>
      <c r="D123" s="12">
        <v>0.59</v>
      </c>
      <c r="E123" s="12">
        <v>0</v>
      </c>
      <c r="F123" s="12">
        <v>0</v>
      </c>
      <c r="G123" s="12">
        <v>95</v>
      </c>
      <c r="H123" s="12">
        <v>95</v>
      </c>
      <c r="I123" s="22">
        <f t="shared" si="13"/>
        <v>90.775899999999936</v>
      </c>
      <c r="J123" s="23">
        <f t="shared" si="14"/>
        <v>0.18563578732106326</v>
      </c>
      <c r="K123" s="24">
        <f t="shared" si="15"/>
        <v>489</v>
      </c>
      <c r="L123" s="25">
        <f t="shared" si="16"/>
        <v>270.72000000000048</v>
      </c>
      <c r="M123" s="26">
        <f t="shared" si="17"/>
        <v>0.55361963190184149</v>
      </c>
      <c r="N123" s="27">
        <f t="shared" si="18"/>
        <v>489</v>
      </c>
      <c r="O123" s="28">
        <f t="shared" si="19"/>
        <v>27543</v>
      </c>
      <c r="P123" s="29">
        <f t="shared" si="20"/>
        <v>56.325153374233132</v>
      </c>
      <c r="Q123" s="30">
        <f t="shared" si="21"/>
        <v>489</v>
      </c>
      <c r="R123" s="11" t="str">
        <f t="shared" si="22"/>
        <v>1</v>
      </c>
      <c r="S123" s="10" t="str">
        <f t="shared" si="23"/>
        <v>2</v>
      </c>
      <c r="T123" s="9">
        <f t="shared" si="24"/>
        <v>3</v>
      </c>
      <c r="U123" t="str">
        <f t="shared" si="25"/>
        <v>Mismatch</v>
      </c>
    </row>
    <row r="124" spans="1:21" x14ac:dyDescent="0.2">
      <c r="A124" s="12">
        <v>122</v>
      </c>
      <c r="B124" s="12">
        <v>123</v>
      </c>
      <c r="C124" s="12">
        <v>0.2273</v>
      </c>
      <c r="D124" s="12">
        <v>0.59</v>
      </c>
      <c r="E124" s="12">
        <v>0</v>
      </c>
      <c r="F124" s="12">
        <v>3</v>
      </c>
      <c r="G124" s="12">
        <v>216</v>
      </c>
      <c r="H124" s="12">
        <v>219</v>
      </c>
      <c r="I124" s="22">
        <f t="shared" si="13"/>
        <v>90.548599999999922</v>
      </c>
      <c r="J124" s="23">
        <f t="shared" si="14"/>
        <v>0.18555040983606541</v>
      </c>
      <c r="K124" s="24">
        <f t="shared" si="15"/>
        <v>488</v>
      </c>
      <c r="L124" s="25">
        <f t="shared" si="16"/>
        <v>270.13000000000051</v>
      </c>
      <c r="M124" s="26">
        <f t="shared" si="17"/>
        <v>0.55354508196721419</v>
      </c>
      <c r="N124" s="27">
        <f t="shared" si="18"/>
        <v>488</v>
      </c>
      <c r="O124" s="28">
        <f t="shared" si="19"/>
        <v>27448</v>
      </c>
      <c r="P124" s="29">
        <f t="shared" si="20"/>
        <v>56.245901639344261</v>
      </c>
      <c r="Q124" s="30">
        <f t="shared" si="21"/>
        <v>488</v>
      </c>
      <c r="R124" s="11" t="str">
        <f t="shared" si="22"/>
        <v>1</v>
      </c>
      <c r="S124" s="10" t="str">
        <f t="shared" si="23"/>
        <v>3</v>
      </c>
      <c r="T124" s="9">
        <f t="shared" si="24"/>
        <v>3</v>
      </c>
      <c r="U124" t="str">
        <f t="shared" si="25"/>
        <v>Mismatch</v>
      </c>
    </row>
    <row r="125" spans="1:21" x14ac:dyDescent="0.2">
      <c r="A125" s="12">
        <v>123</v>
      </c>
      <c r="B125" s="12">
        <v>124</v>
      </c>
      <c r="C125" s="12">
        <v>0.2424</v>
      </c>
      <c r="D125" s="12">
        <v>0.51</v>
      </c>
      <c r="E125" s="12">
        <v>0</v>
      </c>
      <c r="F125" s="12">
        <v>6</v>
      </c>
      <c r="G125" s="12">
        <v>116</v>
      </c>
      <c r="H125" s="12">
        <v>122</v>
      </c>
      <c r="I125" s="22">
        <f t="shared" si="13"/>
        <v>90.321299999999923</v>
      </c>
      <c r="J125" s="23">
        <f t="shared" si="14"/>
        <v>0.18546468172484584</v>
      </c>
      <c r="K125" s="24">
        <f t="shared" si="15"/>
        <v>487</v>
      </c>
      <c r="L125" s="25">
        <f t="shared" si="16"/>
        <v>269.54000000000048</v>
      </c>
      <c r="M125" s="26">
        <f t="shared" si="17"/>
        <v>0.5534702258726909</v>
      </c>
      <c r="N125" s="27">
        <f t="shared" si="18"/>
        <v>487</v>
      </c>
      <c r="O125" s="28">
        <f t="shared" si="19"/>
        <v>27229</v>
      </c>
      <c r="P125" s="29">
        <f t="shared" si="20"/>
        <v>55.911704312114992</v>
      </c>
      <c r="Q125" s="30">
        <f t="shared" si="21"/>
        <v>487</v>
      </c>
      <c r="R125" s="11" t="str">
        <f t="shared" si="22"/>
        <v>1</v>
      </c>
      <c r="S125" s="10" t="str">
        <f t="shared" si="23"/>
        <v>4</v>
      </c>
      <c r="T125" s="9">
        <f t="shared" si="24"/>
        <v>3</v>
      </c>
      <c r="U125" t="str">
        <f t="shared" si="25"/>
        <v>Mismatch</v>
      </c>
    </row>
    <row r="126" spans="1:21" x14ac:dyDescent="0.2">
      <c r="A126" s="12">
        <v>124</v>
      </c>
      <c r="B126" s="12">
        <v>125</v>
      </c>
      <c r="C126" s="12">
        <v>0.2576</v>
      </c>
      <c r="D126" s="12">
        <v>0.47</v>
      </c>
      <c r="E126" s="12">
        <v>0</v>
      </c>
      <c r="F126" s="12">
        <v>3</v>
      </c>
      <c r="G126" s="12">
        <v>42</v>
      </c>
      <c r="H126" s="12">
        <v>45</v>
      </c>
      <c r="I126" s="22">
        <f t="shared" si="13"/>
        <v>90.078899999999919</v>
      </c>
      <c r="J126" s="23">
        <f t="shared" si="14"/>
        <v>0.18534753086419736</v>
      </c>
      <c r="K126" s="24">
        <f t="shared" si="15"/>
        <v>486</v>
      </c>
      <c r="L126" s="25">
        <f t="shared" si="16"/>
        <v>269.03000000000048</v>
      </c>
      <c r="M126" s="26">
        <f t="shared" si="17"/>
        <v>0.55355967078189405</v>
      </c>
      <c r="N126" s="27">
        <f t="shared" si="18"/>
        <v>486</v>
      </c>
      <c r="O126" s="28">
        <f t="shared" si="19"/>
        <v>27107</v>
      </c>
      <c r="P126" s="29">
        <f t="shared" si="20"/>
        <v>55.775720164609055</v>
      </c>
      <c r="Q126" s="30">
        <f t="shared" si="21"/>
        <v>486</v>
      </c>
      <c r="R126" s="11" t="str">
        <f t="shared" si="22"/>
        <v>1</v>
      </c>
      <c r="S126" s="10" t="str">
        <f t="shared" si="23"/>
        <v>5</v>
      </c>
      <c r="T126" s="9">
        <f t="shared" si="24"/>
        <v>3</v>
      </c>
      <c r="U126" t="str">
        <f t="shared" si="25"/>
        <v>Mismatch</v>
      </c>
    </row>
    <row r="127" spans="1:21" x14ac:dyDescent="0.2">
      <c r="A127" s="12">
        <v>125</v>
      </c>
      <c r="B127" s="12">
        <v>126</v>
      </c>
      <c r="C127" s="12">
        <v>0.2576</v>
      </c>
      <c r="D127" s="12">
        <v>0.44</v>
      </c>
      <c r="E127" s="12">
        <v>8.9599999999999999E-2</v>
      </c>
      <c r="F127" s="12">
        <v>2</v>
      </c>
      <c r="G127" s="12">
        <v>57</v>
      </c>
      <c r="H127" s="12">
        <v>59</v>
      </c>
      <c r="I127" s="22">
        <f t="shared" si="13"/>
        <v>89.821299999999908</v>
      </c>
      <c r="J127" s="23">
        <f t="shared" si="14"/>
        <v>0.18519855670103075</v>
      </c>
      <c r="K127" s="24">
        <f t="shared" si="15"/>
        <v>485</v>
      </c>
      <c r="L127" s="25">
        <f t="shared" si="16"/>
        <v>268.56000000000046</v>
      </c>
      <c r="M127" s="26">
        <f t="shared" si="17"/>
        <v>0.5537319587628875</v>
      </c>
      <c r="N127" s="27">
        <f t="shared" si="18"/>
        <v>485</v>
      </c>
      <c r="O127" s="28">
        <f t="shared" si="19"/>
        <v>27062</v>
      </c>
      <c r="P127" s="29">
        <f t="shared" si="20"/>
        <v>55.797938144329898</v>
      </c>
      <c r="Q127" s="30">
        <f t="shared" si="21"/>
        <v>485</v>
      </c>
      <c r="R127" s="11" t="str">
        <f t="shared" si="22"/>
        <v>1</v>
      </c>
      <c r="S127" s="10" t="str">
        <f t="shared" si="23"/>
        <v>6</v>
      </c>
      <c r="T127" s="9">
        <f t="shared" si="24"/>
        <v>3</v>
      </c>
      <c r="U127" t="str">
        <f t="shared" si="25"/>
        <v>Mismatch</v>
      </c>
    </row>
    <row r="128" spans="1:21" x14ac:dyDescent="0.2">
      <c r="A128" s="12">
        <v>126</v>
      </c>
      <c r="B128" s="12">
        <v>127</v>
      </c>
      <c r="C128" s="12">
        <v>0.28789999999999999</v>
      </c>
      <c r="D128" s="12">
        <v>0.35</v>
      </c>
      <c r="E128" s="12">
        <v>0</v>
      </c>
      <c r="F128" s="12">
        <v>6</v>
      </c>
      <c r="G128" s="12">
        <v>78</v>
      </c>
      <c r="H128" s="12">
        <v>84</v>
      </c>
      <c r="I128" s="22">
        <f t="shared" si="13"/>
        <v>89.563699999999898</v>
      </c>
      <c r="J128" s="23">
        <f t="shared" si="14"/>
        <v>0.18504896694214856</v>
      </c>
      <c r="K128" s="24">
        <f t="shared" si="15"/>
        <v>484</v>
      </c>
      <c r="L128" s="25">
        <f t="shared" si="16"/>
        <v>268.12000000000046</v>
      </c>
      <c r="M128" s="26">
        <f t="shared" si="17"/>
        <v>0.5539669421487613</v>
      </c>
      <c r="N128" s="27">
        <f t="shared" si="18"/>
        <v>484</v>
      </c>
      <c r="O128" s="28">
        <f t="shared" si="19"/>
        <v>27003</v>
      </c>
      <c r="P128" s="29">
        <f t="shared" si="20"/>
        <v>55.791322314049587</v>
      </c>
      <c r="Q128" s="30">
        <f t="shared" si="21"/>
        <v>484</v>
      </c>
      <c r="R128" s="11" t="str">
        <f t="shared" si="22"/>
        <v>1</v>
      </c>
      <c r="S128" s="10" t="str">
        <f t="shared" si="23"/>
        <v>7</v>
      </c>
      <c r="T128" s="9">
        <f t="shared" si="24"/>
        <v>3</v>
      </c>
      <c r="U128" t="str">
        <f t="shared" si="25"/>
        <v>Mismatch</v>
      </c>
    </row>
    <row r="129" spans="1:21" x14ac:dyDescent="0.2">
      <c r="A129" s="12">
        <v>127</v>
      </c>
      <c r="B129" s="12">
        <v>128</v>
      </c>
      <c r="C129" s="12">
        <v>0.2727</v>
      </c>
      <c r="D129" s="12">
        <v>0.35</v>
      </c>
      <c r="E129" s="12">
        <v>0.1045</v>
      </c>
      <c r="F129" s="12">
        <v>12</v>
      </c>
      <c r="G129" s="12">
        <v>55</v>
      </c>
      <c r="H129" s="12">
        <v>67</v>
      </c>
      <c r="I129" s="22">
        <f t="shared" si="13"/>
        <v>89.275799999999904</v>
      </c>
      <c r="J129" s="23">
        <f t="shared" si="14"/>
        <v>0.18483602484472031</v>
      </c>
      <c r="K129" s="24">
        <f t="shared" si="15"/>
        <v>483</v>
      </c>
      <c r="L129" s="25">
        <f t="shared" si="16"/>
        <v>267.77000000000044</v>
      </c>
      <c r="M129" s="26">
        <f t="shared" si="17"/>
        <v>0.55438923395445228</v>
      </c>
      <c r="N129" s="27">
        <f t="shared" si="18"/>
        <v>483</v>
      </c>
      <c r="O129" s="28">
        <f t="shared" si="19"/>
        <v>26919</v>
      </c>
      <c r="P129" s="29">
        <f t="shared" si="20"/>
        <v>55.732919254658384</v>
      </c>
      <c r="Q129" s="30">
        <f t="shared" si="21"/>
        <v>483</v>
      </c>
      <c r="R129" s="11" t="str">
        <f t="shared" si="22"/>
        <v>1</v>
      </c>
      <c r="S129" s="10" t="str">
        <f t="shared" si="23"/>
        <v>8</v>
      </c>
      <c r="T129" s="9">
        <f t="shared" si="24"/>
        <v>3</v>
      </c>
      <c r="U129" t="str">
        <f t="shared" si="25"/>
        <v>Mismatch</v>
      </c>
    </row>
    <row r="130" spans="1:21" x14ac:dyDescent="0.2">
      <c r="A130" s="12">
        <v>128</v>
      </c>
      <c r="B130" s="12">
        <v>129</v>
      </c>
      <c r="C130" s="12">
        <v>0.2727</v>
      </c>
      <c r="D130" s="12">
        <v>0.36</v>
      </c>
      <c r="E130" s="12">
        <v>0.16420000000000001</v>
      </c>
      <c r="F130" s="12">
        <v>11</v>
      </c>
      <c r="G130" s="12">
        <v>59</v>
      </c>
      <c r="H130" s="12">
        <v>70</v>
      </c>
      <c r="I130" s="22">
        <f t="shared" si="13"/>
        <v>89.003099999999904</v>
      </c>
      <c r="J130" s="23">
        <f t="shared" si="14"/>
        <v>0.18465373443983382</v>
      </c>
      <c r="K130" s="24">
        <f t="shared" si="15"/>
        <v>482</v>
      </c>
      <c r="L130" s="25">
        <f t="shared" si="16"/>
        <v>267.42000000000047</v>
      </c>
      <c r="M130" s="26">
        <f t="shared" si="17"/>
        <v>0.55481327800829972</v>
      </c>
      <c r="N130" s="27">
        <f t="shared" si="18"/>
        <v>482</v>
      </c>
      <c r="O130" s="28">
        <f t="shared" si="19"/>
        <v>26852</v>
      </c>
      <c r="P130" s="29">
        <f t="shared" si="20"/>
        <v>55.709543568464731</v>
      </c>
      <c r="Q130" s="30">
        <f t="shared" si="21"/>
        <v>482</v>
      </c>
      <c r="R130" s="11" t="str">
        <f t="shared" si="22"/>
        <v>1</v>
      </c>
      <c r="S130" s="10" t="str">
        <f t="shared" si="23"/>
        <v>9</v>
      </c>
      <c r="T130" s="9">
        <f t="shared" si="24"/>
        <v>3</v>
      </c>
      <c r="U130" t="str">
        <f t="shared" si="25"/>
        <v>Mismatch</v>
      </c>
    </row>
    <row r="131" spans="1:21" x14ac:dyDescent="0.2">
      <c r="A131" s="12">
        <v>129</v>
      </c>
      <c r="B131" s="12">
        <v>130</v>
      </c>
      <c r="C131" s="12">
        <v>0.2727</v>
      </c>
      <c r="D131" s="12">
        <v>0.36</v>
      </c>
      <c r="E131" s="12">
        <v>0</v>
      </c>
      <c r="F131" s="12">
        <v>8</v>
      </c>
      <c r="G131" s="12">
        <v>54</v>
      </c>
      <c r="H131" s="12">
        <v>62</v>
      </c>
      <c r="I131" s="22">
        <f t="shared" ref="I131:I194" si="26">SUM(C131:C740)</f>
        <v>88.730399999999904</v>
      </c>
      <c r="J131" s="23">
        <f t="shared" ref="J131:J194" si="27">AVERAGE(C131:C740)</f>
        <v>0.18447068607068587</v>
      </c>
      <c r="K131" s="24">
        <f t="shared" ref="K131:K194" si="28">COUNT(C131:C740)</f>
        <v>481</v>
      </c>
      <c r="L131" s="25">
        <f t="shared" ref="L131:L194" si="29">SUM(D131:D740)</f>
        <v>267.06000000000046</v>
      </c>
      <c r="M131" s="26">
        <f t="shared" ref="M131:M194" si="30">AVERAGE(D131:D740)</f>
        <v>0.55521829521829613</v>
      </c>
      <c r="N131" s="27">
        <f t="shared" ref="N131:N194" si="31">COUNT(D131:D740)</f>
        <v>481</v>
      </c>
      <c r="O131" s="28">
        <f t="shared" ref="O131:O194" si="32">SUM(H131:H740)</f>
        <v>26782</v>
      </c>
      <c r="P131" s="29">
        <f t="shared" ref="P131:P194" si="33">AVERAGE(H131:H740)</f>
        <v>55.679833679833678</v>
      </c>
      <c r="Q131" s="30">
        <f t="shared" ref="Q131:Q194" si="34">COUNT(H131:H740)</f>
        <v>481</v>
      </c>
      <c r="R131" s="11" t="str">
        <f t="shared" ref="R131:R194" si="35">LEFT(B131,1)</f>
        <v>1</v>
      </c>
      <c r="S131" s="10" t="str">
        <f t="shared" ref="S131:S194" si="36">RIGHT(B131,1)</f>
        <v>0</v>
      </c>
      <c r="T131" s="9">
        <f t="shared" ref="T131:T194" si="37">LEN(B131)</f>
        <v>3</v>
      </c>
      <c r="U131" t="str">
        <f t="shared" ref="U131:U194" si="38">IF(R131=S131,"Match","Mismatch")</f>
        <v>Mismatch</v>
      </c>
    </row>
    <row r="132" spans="1:21" x14ac:dyDescent="0.2">
      <c r="A132" s="12">
        <v>130</v>
      </c>
      <c r="B132" s="12">
        <v>131</v>
      </c>
      <c r="C132" s="12">
        <v>0.2576</v>
      </c>
      <c r="D132" s="12">
        <v>0.38</v>
      </c>
      <c r="E132" s="12">
        <v>0.16420000000000001</v>
      </c>
      <c r="F132" s="12">
        <v>12</v>
      </c>
      <c r="G132" s="12">
        <v>74</v>
      </c>
      <c r="H132" s="12">
        <v>86</v>
      </c>
      <c r="I132" s="22">
        <f t="shared" si="26"/>
        <v>88.457699999999889</v>
      </c>
      <c r="J132" s="23">
        <f t="shared" si="27"/>
        <v>0.18428687499999977</v>
      </c>
      <c r="K132" s="24">
        <f t="shared" si="28"/>
        <v>480</v>
      </c>
      <c r="L132" s="25">
        <f t="shared" si="29"/>
        <v>266.70000000000044</v>
      </c>
      <c r="M132" s="26">
        <f t="shared" si="30"/>
        <v>0.55562500000000092</v>
      </c>
      <c r="N132" s="27">
        <f t="shared" si="31"/>
        <v>480</v>
      </c>
      <c r="O132" s="28">
        <f t="shared" si="32"/>
        <v>26720</v>
      </c>
      <c r="P132" s="29">
        <f t="shared" si="33"/>
        <v>55.666666666666664</v>
      </c>
      <c r="Q132" s="30">
        <f t="shared" si="34"/>
        <v>480</v>
      </c>
      <c r="R132" s="11" t="str">
        <f t="shared" si="35"/>
        <v>1</v>
      </c>
      <c r="S132" s="10" t="str">
        <f t="shared" si="36"/>
        <v>1</v>
      </c>
      <c r="T132" s="9">
        <f t="shared" si="37"/>
        <v>3</v>
      </c>
      <c r="U132" t="str">
        <f t="shared" si="38"/>
        <v>Match</v>
      </c>
    </row>
    <row r="133" spans="1:21" x14ac:dyDescent="0.2">
      <c r="A133" s="12">
        <v>131</v>
      </c>
      <c r="B133" s="12">
        <v>132</v>
      </c>
      <c r="C133" s="12">
        <v>0.2273</v>
      </c>
      <c r="D133" s="12">
        <v>0.51</v>
      </c>
      <c r="E133" s="12">
        <v>0.16420000000000001</v>
      </c>
      <c r="F133" s="12">
        <v>9</v>
      </c>
      <c r="G133" s="12">
        <v>163</v>
      </c>
      <c r="H133" s="12">
        <v>172</v>
      </c>
      <c r="I133" s="22">
        <f t="shared" si="26"/>
        <v>88.200099999999892</v>
      </c>
      <c r="J133" s="23">
        <f t="shared" si="27"/>
        <v>0.18413382045928997</v>
      </c>
      <c r="K133" s="24">
        <f t="shared" si="28"/>
        <v>479</v>
      </c>
      <c r="L133" s="25">
        <f t="shared" si="29"/>
        <v>266.32000000000045</v>
      </c>
      <c r="M133" s="26">
        <f t="shared" si="30"/>
        <v>0.55599164926931199</v>
      </c>
      <c r="N133" s="27">
        <f t="shared" si="31"/>
        <v>479</v>
      </c>
      <c r="O133" s="28">
        <f t="shared" si="32"/>
        <v>26634</v>
      </c>
      <c r="P133" s="29">
        <f t="shared" si="33"/>
        <v>55.603340292275576</v>
      </c>
      <c r="Q133" s="30">
        <f t="shared" si="34"/>
        <v>479</v>
      </c>
      <c r="R133" s="11" t="str">
        <f t="shared" si="35"/>
        <v>1</v>
      </c>
      <c r="S133" s="10" t="str">
        <f t="shared" si="36"/>
        <v>2</v>
      </c>
      <c r="T133" s="9">
        <f t="shared" si="37"/>
        <v>3</v>
      </c>
      <c r="U133" t="str">
        <f t="shared" si="38"/>
        <v>Mismatch</v>
      </c>
    </row>
    <row r="134" spans="1:21" x14ac:dyDescent="0.2">
      <c r="A134" s="12">
        <v>132</v>
      </c>
      <c r="B134" s="12">
        <v>133</v>
      </c>
      <c r="C134" s="12">
        <v>0.2273</v>
      </c>
      <c r="D134" s="12">
        <v>0.51</v>
      </c>
      <c r="E134" s="12">
        <v>0.1343</v>
      </c>
      <c r="F134" s="12">
        <v>5</v>
      </c>
      <c r="G134" s="12">
        <v>158</v>
      </c>
      <c r="H134" s="12">
        <v>163</v>
      </c>
      <c r="I134" s="22">
        <f t="shared" si="26"/>
        <v>87.972799999999893</v>
      </c>
      <c r="J134" s="23">
        <f t="shared" si="27"/>
        <v>0.18404351464435123</v>
      </c>
      <c r="K134" s="24">
        <f t="shared" si="28"/>
        <v>478</v>
      </c>
      <c r="L134" s="25">
        <f t="shared" si="29"/>
        <v>265.81000000000046</v>
      </c>
      <c r="M134" s="26">
        <f t="shared" si="30"/>
        <v>0.55608786610878758</v>
      </c>
      <c r="N134" s="27">
        <f t="shared" si="31"/>
        <v>478</v>
      </c>
      <c r="O134" s="28">
        <f t="shared" si="32"/>
        <v>26462</v>
      </c>
      <c r="P134" s="29">
        <f t="shared" si="33"/>
        <v>55.359832635983267</v>
      </c>
      <c r="Q134" s="30">
        <f t="shared" si="34"/>
        <v>478</v>
      </c>
      <c r="R134" s="11" t="str">
        <f t="shared" si="35"/>
        <v>1</v>
      </c>
      <c r="S134" s="10" t="str">
        <f t="shared" si="36"/>
        <v>3</v>
      </c>
      <c r="T134" s="9">
        <f t="shared" si="37"/>
        <v>3</v>
      </c>
      <c r="U134" t="str">
        <f t="shared" si="38"/>
        <v>Mismatch</v>
      </c>
    </row>
    <row r="135" spans="1:21" x14ac:dyDescent="0.2">
      <c r="A135" s="12">
        <v>133</v>
      </c>
      <c r="B135" s="12">
        <v>134</v>
      </c>
      <c r="C135" s="12">
        <v>0.2576</v>
      </c>
      <c r="D135" s="12">
        <v>0.55000000000000004</v>
      </c>
      <c r="E135" s="12">
        <v>8.9599999999999999E-2</v>
      </c>
      <c r="F135" s="12">
        <v>3</v>
      </c>
      <c r="G135" s="12">
        <v>109</v>
      </c>
      <c r="H135" s="12">
        <v>112</v>
      </c>
      <c r="I135" s="22">
        <f t="shared" si="26"/>
        <v>87.745499999999879</v>
      </c>
      <c r="J135" s="23">
        <f t="shared" si="27"/>
        <v>0.183952830188679</v>
      </c>
      <c r="K135" s="24">
        <f t="shared" si="28"/>
        <v>477</v>
      </c>
      <c r="L135" s="25">
        <f t="shared" si="29"/>
        <v>265.30000000000041</v>
      </c>
      <c r="M135" s="26">
        <f t="shared" si="30"/>
        <v>0.55618448637316653</v>
      </c>
      <c r="N135" s="27">
        <f t="shared" si="31"/>
        <v>477</v>
      </c>
      <c r="O135" s="28">
        <f t="shared" si="32"/>
        <v>26299</v>
      </c>
      <c r="P135" s="29">
        <f t="shared" si="33"/>
        <v>55.134171907756816</v>
      </c>
      <c r="Q135" s="30">
        <f t="shared" si="34"/>
        <v>477</v>
      </c>
      <c r="R135" s="11" t="str">
        <f t="shared" si="35"/>
        <v>1</v>
      </c>
      <c r="S135" s="10" t="str">
        <f t="shared" si="36"/>
        <v>4</v>
      </c>
      <c r="T135" s="9">
        <f t="shared" si="37"/>
        <v>3</v>
      </c>
      <c r="U135" t="str">
        <f t="shared" si="38"/>
        <v>Mismatch</v>
      </c>
    </row>
    <row r="136" spans="1:21" x14ac:dyDescent="0.2">
      <c r="A136" s="12">
        <v>134</v>
      </c>
      <c r="B136" s="12">
        <v>135</v>
      </c>
      <c r="C136" s="12">
        <v>0.21210000000000001</v>
      </c>
      <c r="D136" s="12">
        <v>0.51</v>
      </c>
      <c r="E136" s="12">
        <v>0.16420000000000001</v>
      </c>
      <c r="F136" s="12">
        <v>3</v>
      </c>
      <c r="G136" s="12">
        <v>66</v>
      </c>
      <c r="H136" s="12">
        <v>69</v>
      </c>
      <c r="I136" s="22">
        <f t="shared" si="26"/>
        <v>87.487899999999883</v>
      </c>
      <c r="J136" s="23">
        <f t="shared" si="27"/>
        <v>0.18379810924369724</v>
      </c>
      <c r="K136" s="24">
        <f t="shared" si="28"/>
        <v>476</v>
      </c>
      <c r="L136" s="25">
        <f t="shared" si="29"/>
        <v>264.75000000000045</v>
      </c>
      <c r="M136" s="26">
        <f t="shared" si="30"/>
        <v>0.55619747899159755</v>
      </c>
      <c r="N136" s="27">
        <f t="shared" si="31"/>
        <v>476</v>
      </c>
      <c r="O136" s="28">
        <f t="shared" si="32"/>
        <v>26187</v>
      </c>
      <c r="P136" s="29">
        <f t="shared" si="33"/>
        <v>55.014705882352942</v>
      </c>
      <c r="Q136" s="30">
        <f t="shared" si="34"/>
        <v>476</v>
      </c>
      <c r="R136" s="11" t="str">
        <f t="shared" si="35"/>
        <v>1</v>
      </c>
      <c r="S136" s="10" t="str">
        <f t="shared" si="36"/>
        <v>5</v>
      </c>
      <c r="T136" s="9">
        <f t="shared" si="37"/>
        <v>3</v>
      </c>
      <c r="U136" t="str">
        <f t="shared" si="38"/>
        <v>Mismatch</v>
      </c>
    </row>
    <row r="137" spans="1:21" x14ac:dyDescent="0.2">
      <c r="A137" s="12">
        <v>135</v>
      </c>
      <c r="B137" s="12">
        <v>136</v>
      </c>
      <c r="C137" s="12">
        <v>0.21210000000000001</v>
      </c>
      <c r="D137" s="12">
        <v>0.55000000000000004</v>
      </c>
      <c r="E137" s="12">
        <v>0.22389999999999999</v>
      </c>
      <c r="F137" s="12">
        <v>0</v>
      </c>
      <c r="G137" s="12">
        <v>48</v>
      </c>
      <c r="H137" s="12">
        <v>48</v>
      </c>
      <c r="I137" s="22">
        <f t="shared" si="26"/>
        <v>87.275799999999876</v>
      </c>
      <c r="J137" s="23">
        <f t="shared" si="27"/>
        <v>0.18373852631578921</v>
      </c>
      <c r="K137" s="24">
        <f t="shared" si="28"/>
        <v>475</v>
      </c>
      <c r="L137" s="25">
        <f t="shared" si="29"/>
        <v>264.24000000000046</v>
      </c>
      <c r="M137" s="26">
        <f t="shared" si="30"/>
        <v>0.55629473684210629</v>
      </c>
      <c r="N137" s="27">
        <f t="shared" si="31"/>
        <v>475</v>
      </c>
      <c r="O137" s="28">
        <f t="shared" si="32"/>
        <v>26118</v>
      </c>
      <c r="P137" s="29">
        <f t="shared" si="33"/>
        <v>54.985263157894735</v>
      </c>
      <c r="Q137" s="30">
        <f t="shared" si="34"/>
        <v>475</v>
      </c>
      <c r="R137" s="11" t="str">
        <f t="shared" si="35"/>
        <v>1</v>
      </c>
      <c r="S137" s="10" t="str">
        <f t="shared" si="36"/>
        <v>6</v>
      </c>
      <c r="T137" s="9">
        <f t="shared" si="37"/>
        <v>3</v>
      </c>
      <c r="U137" t="str">
        <f t="shared" si="38"/>
        <v>Mismatch</v>
      </c>
    </row>
    <row r="138" spans="1:21" x14ac:dyDescent="0.2">
      <c r="A138" s="12">
        <v>136</v>
      </c>
      <c r="B138" s="12">
        <v>137</v>
      </c>
      <c r="C138" s="12">
        <v>0.21210000000000001</v>
      </c>
      <c r="D138" s="12">
        <v>0.51</v>
      </c>
      <c r="E138" s="12">
        <v>0.28360000000000002</v>
      </c>
      <c r="F138" s="12">
        <v>1</v>
      </c>
      <c r="G138" s="12">
        <v>51</v>
      </c>
      <c r="H138" s="12">
        <v>52</v>
      </c>
      <c r="I138" s="22">
        <f t="shared" si="26"/>
        <v>87.063699999999869</v>
      </c>
      <c r="J138" s="23">
        <f t="shared" si="27"/>
        <v>0.18367869198312209</v>
      </c>
      <c r="K138" s="24">
        <f t="shared" si="28"/>
        <v>474</v>
      </c>
      <c r="L138" s="25">
        <f t="shared" si="29"/>
        <v>263.69000000000045</v>
      </c>
      <c r="M138" s="26">
        <f t="shared" si="30"/>
        <v>0.55630801687763809</v>
      </c>
      <c r="N138" s="27">
        <f t="shared" si="31"/>
        <v>474</v>
      </c>
      <c r="O138" s="28">
        <f t="shared" si="32"/>
        <v>26070</v>
      </c>
      <c r="P138" s="29">
        <f t="shared" si="33"/>
        <v>55</v>
      </c>
      <c r="Q138" s="30">
        <f t="shared" si="34"/>
        <v>474</v>
      </c>
      <c r="R138" s="11" t="str">
        <f t="shared" si="35"/>
        <v>1</v>
      </c>
      <c r="S138" s="10" t="str">
        <f t="shared" si="36"/>
        <v>7</v>
      </c>
      <c r="T138" s="9">
        <f t="shared" si="37"/>
        <v>3</v>
      </c>
      <c r="U138" t="str">
        <f t="shared" si="38"/>
        <v>Mismatch</v>
      </c>
    </row>
    <row r="139" spans="1:21" x14ac:dyDescent="0.2">
      <c r="A139" s="12">
        <v>137</v>
      </c>
      <c r="B139" s="12">
        <v>138</v>
      </c>
      <c r="C139" s="12">
        <v>0.19700000000000001</v>
      </c>
      <c r="D139" s="12">
        <v>0.59</v>
      </c>
      <c r="E139" s="12">
        <v>0.19400000000000001</v>
      </c>
      <c r="F139" s="12">
        <v>4</v>
      </c>
      <c r="G139" s="12">
        <v>19</v>
      </c>
      <c r="H139" s="12">
        <v>23</v>
      </c>
      <c r="I139" s="22">
        <f t="shared" si="26"/>
        <v>86.851599999999877</v>
      </c>
      <c r="J139" s="23">
        <f t="shared" si="27"/>
        <v>0.18361860465116253</v>
      </c>
      <c r="K139" s="24">
        <f t="shared" si="28"/>
        <v>473</v>
      </c>
      <c r="L139" s="25">
        <f t="shared" si="29"/>
        <v>263.18000000000046</v>
      </c>
      <c r="M139" s="26">
        <f t="shared" si="30"/>
        <v>0.55640591966173458</v>
      </c>
      <c r="N139" s="27">
        <f t="shared" si="31"/>
        <v>473</v>
      </c>
      <c r="O139" s="28">
        <f t="shared" si="32"/>
        <v>26018</v>
      </c>
      <c r="P139" s="29">
        <f t="shared" si="33"/>
        <v>55.006342494714588</v>
      </c>
      <c r="Q139" s="30">
        <f t="shared" si="34"/>
        <v>473</v>
      </c>
      <c r="R139" s="11" t="str">
        <f t="shared" si="35"/>
        <v>1</v>
      </c>
      <c r="S139" s="10" t="str">
        <f t="shared" si="36"/>
        <v>8</v>
      </c>
      <c r="T139" s="9">
        <f t="shared" si="37"/>
        <v>3</v>
      </c>
      <c r="U139" t="str">
        <f t="shared" si="38"/>
        <v>Mismatch</v>
      </c>
    </row>
    <row r="140" spans="1:21" x14ac:dyDescent="0.2">
      <c r="A140" s="12">
        <v>138</v>
      </c>
      <c r="B140" s="12">
        <v>139</v>
      </c>
      <c r="C140" s="12">
        <v>0.19700000000000001</v>
      </c>
      <c r="D140" s="12">
        <v>0.64</v>
      </c>
      <c r="E140" s="12">
        <v>0.19400000000000001</v>
      </c>
      <c r="F140" s="12">
        <v>4</v>
      </c>
      <c r="G140" s="12">
        <v>13</v>
      </c>
      <c r="H140" s="12">
        <v>17</v>
      </c>
      <c r="I140" s="22">
        <f t="shared" si="26"/>
        <v>86.654599999999874</v>
      </c>
      <c r="J140" s="23">
        <f t="shared" si="27"/>
        <v>0.18359025423728786</v>
      </c>
      <c r="K140" s="24">
        <f t="shared" si="28"/>
        <v>472</v>
      </c>
      <c r="L140" s="25">
        <f t="shared" si="29"/>
        <v>262.59000000000043</v>
      </c>
      <c r="M140" s="26">
        <f t="shared" si="30"/>
        <v>0.5563347457627128</v>
      </c>
      <c r="N140" s="27">
        <f t="shared" si="31"/>
        <v>472</v>
      </c>
      <c r="O140" s="28">
        <f t="shared" si="32"/>
        <v>25995</v>
      </c>
      <c r="P140" s="29">
        <f t="shared" si="33"/>
        <v>55.074152542372879</v>
      </c>
      <c r="Q140" s="30">
        <f t="shared" si="34"/>
        <v>472</v>
      </c>
      <c r="R140" s="11" t="str">
        <f t="shared" si="35"/>
        <v>1</v>
      </c>
      <c r="S140" s="10" t="str">
        <f t="shared" si="36"/>
        <v>9</v>
      </c>
      <c r="T140" s="9">
        <f t="shared" si="37"/>
        <v>3</v>
      </c>
      <c r="U140" t="str">
        <f t="shared" si="38"/>
        <v>Mismatch</v>
      </c>
    </row>
    <row r="141" spans="1:21" x14ac:dyDescent="0.2">
      <c r="A141" s="12">
        <v>139</v>
      </c>
      <c r="B141" s="12">
        <v>140</v>
      </c>
      <c r="C141" s="12">
        <v>0.19700000000000001</v>
      </c>
      <c r="D141" s="12">
        <v>0.69</v>
      </c>
      <c r="E141" s="12">
        <v>0.22389999999999999</v>
      </c>
      <c r="F141" s="12">
        <v>2</v>
      </c>
      <c r="G141" s="12">
        <v>5</v>
      </c>
      <c r="H141" s="12">
        <v>7</v>
      </c>
      <c r="I141" s="22">
        <f t="shared" si="26"/>
        <v>86.457599999999886</v>
      </c>
      <c r="J141" s="23">
        <f t="shared" si="27"/>
        <v>0.1835617834394902</v>
      </c>
      <c r="K141" s="24">
        <f t="shared" si="28"/>
        <v>471</v>
      </c>
      <c r="L141" s="25">
        <f t="shared" si="29"/>
        <v>261.95000000000044</v>
      </c>
      <c r="M141" s="26">
        <f t="shared" si="30"/>
        <v>0.55615711252654021</v>
      </c>
      <c r="N141" s="27">
        <f t="shared" si="31"/>
        <v>471</v>
      </c>
      <c r="O141" s="28">
        <f t="shared" si="32"/>
        <v>25978</v>
      </c>
      <c r="P141" s="29">
        <f t="shared" si="33"/>
        <v>55.154989384288747</v>
      </c>
      <c r="Q141" s="30">
        <f t="shared" si="34"/>
        <v>471</v>
      </c>
      <c r="R141" s="11" t="str">
        <f t="shared" si="35"/>
        <v>1</v>
      </c>
      <c r="S141" s="10" t="str">
        <f t="shared" si="36"/>
        <v>0</v>
      </c>
      <c r="T141" s="9">
        <f t="shared" si="37"/>
        <v>3</v>
      </c>
      <c r="U141" t="str">
        <f t="shared" si="38"/>
        <v>Mismatch</v>
      </c>
    </row>
    <row r="142" spans="1:21" x14ac:dyDescent="0.2">
      <c r="A142" s="12">
        <v>140</v>
      </c>
      <c r="B142" s="12">
        <v>141</v>
      </c>
      <c r="C142" s="12">
        <v>0.19700000000000001</v>
      </c>
      <c r="D142" s="12">
        <v>0.69</v>
      </c>
      <c r="E142" s="12">
        <v>0.22389999999999999</v>
      </c>
      <c r="F142" s="12">
        <v>0</v>
      </c>
      <c r="G142" s="12">
        <v>1</v>
      </c>
      <c r="H142" s="12">
        <v>1</v>
      </c>
      <c r="I142" s="22">
        <f t="shared" si="26"/>
        <v>86.260599999999883</v>
      </c>
      <c r="J142" s="23">
        <f t="shared" si="27"/>
        <v>0.18353319148936145</v>
      </c>
      <c r="K142" s="24">
        <f t="shared" si="28"/>
        <v>470</v>
      </c>
      <c r="L142" s="25">
        <f t="shared" si="29"/>
        <v>261.26000000000045</v>
      </c>
      <c r="M142" s="26">
        <f t="shared" si="30"/>
        <v>0.55587234042553291</v>
      </c>
      <c r="N142" s="27">
        <f t="shared" si="31"/>
        <v>470</v>
      </c>
      <c r="O142" s="28">
        <f t="shared" si="32"/>
        <v>25971</v>
      </c>
      <c r="P142" s="29">
        <f t="shared" si="33"/>
        <v>55.257446808510636</v>
      </c>
      <c r="Q142" s="30">
        <f t="shared" si="34"/>
        <v>470</v>
      </c>
      <c r="R142" s="11" t="str">
        <f t="shared" si="35"/>
        <v>1</v>
      </c>
      <c r="S142" s="10" t="str">
        <f t="shared" si="36"/>
        <v>1</v>
      </c>
      <c r="T142" s="9">
        <f t="shared" si="37"/>
        <v>3</v>
      </c>
      <c r="U142" t="str">
        <f t="shared" si="38"/>
        <v>Match</v>
      </c>
    </row>
    <row r="143" spans="1:21" x14ac:dyDescent="0.2">
      <c r="A143" s="12">
        <v>141</v>
      </c>
      <c r="B143" s="12">
        <v>142</v>
      </c>
      <c r="C143" s="12">
        <v>0.21210000000000001</v>
      </c>
      <c r="D143" s="12">
        <v>0.69</v>
      </c>
      <c r="E143" s="12">
        <v>0.1343</v>
      </c>
      <c r="F143" s="12">
        <v>0</v>
      </c>
      <c r="G143" s="12">
        <v>1</v>
      </c>
      <c r="H143" s="12">
        <v>1</v>
      </c>
      <c r="I143" s="22">
        <f t="shared" si="26"/>
        <v>86.06359999999988</v>
      </c>
      <c r="J143" s="23">
        <f t="shared" si="27"/>
        <v>0.18350447761194005</v>
      </c>
      <c r="K143" s="24">
        <f t="shared" si="28"/>
        <v>469</v>
      </c>
      <c r="L143" s="25">
        <f t="shared" si="29"/>
        <v>260.57000000000045</v>
      </c>
      <c r="M143" s="26">
        <f t="shared" si="30"/>
        <v>0.5555863539445639</v>
      </c>
      <c r="N143" s="27">
        <f t="shared" si="31"/>
        <v>469</v>
      </c>
      <c r="O143" s="28">
        <f t="shared" si="32"/>
        <v>25970</v>
      </c>
      <c r="P143" s="29">
        <f t="shared" si="33"/>
        <v>55.373134328358212</v>
      </c>
      <c r="Q143" s="30">
        <f t="shared" si="34"/>
        <v>469</v>
      </c>
      <c r="R143" s="11" t="str">
        <f t="shared" si="35"/>
        <v>1</v>
      </c>
      <c r="S143" s="10" t="str">
        <f t="shared" si="36"/>
        <v>2</v>
      </c>
      <c r="T143" s="9">
        <f t="shared" si="37"/>
        <v>3</v>
      </c>
      <c r="U143" t="str">
        <f t="shared" si="38"/>
        <v>Mismatch</v>
      </c>
    </row>
    <row r="144" spans="1:21" x14ac:dyDescent="0.2">
      <c r="A144" s="12">
        <v>142</v>
      </c>
      <c r="B144" s="12">
        <v>143</v>
      </c>
      <c r="C144" s="12">
        <v>0.2727</v>
      </c>
      <c r="D144" s="12">
        <v>0.55000000000000004</v>
      </c>
      <c r="E144" s="12">
        <v>0</v>
      </c>
      <c r="F144" s="12">
        <v>0</v>
      </c>
      <c r="G144" s="12">
        <v>5</v>
      </c>
      <c r="H144" s="12">
        <v>5</v>
      </c>
      <c r="I144" s="22">
        <f t="shared" si="26"/>
        <v>85.851499999999888</v>
      </c>
      <c r="J144" s="23">
        <f t="shared" si="27"/>
        <v>0.18344337606837582</v>
      </c>
      <c r="K144" s="24">
        <f t="shared" si="28"/>
        <v>468</v>
      </c>
      <c r="L144" s="25">
        <f t="shared" si="29"/>
        <v>259.88000000000045</v>
      </c>
      <c r="M144" s="26">
        <f t="shared" si="30"/>
        <v>0.55529914529914626</v>
      </c>
      <c r="N144" s="27">
        <f t="shared" si="31"/>
        <v>468</v>
      </c>
      <c r="O144" s="28">
        <f t="shared" si="32"/>
        <v>25969</v>
      </c>
      <c r="P144" s="29">
        <f t="shared" si="33"/>
        <v>55.489316239316238</v>
      </c>
      <c r="Q144" s="30">
        <f t="shared" si="34"/>
        <v>468</v>
      </c>
      <c r="R144" s="11" t="str">
        <f t="shared" si="35"/>
        <v>1</v>
      </c>
      <c r="S144" s="10" t="str">
        <f t="shared" si="36"/>
        <v>3</v>
      </c>
      <c r="T144" s="9">
        <f t="shared" si="37"/>
        <v>3</v>
      </c>
      <c r="U144" t="str">
        <f t="shared" si="38"/>
        <v>Mismatch</v>
      </c>
    </row>
    <row r="145" spans="1:21" x14ac:dyDescent="0.2">
      <c r="A145" s="12">
        <v>143</v>
      </c>
      <c r="B145" s="12">
        <v>144</v>
      </c>
      <c r="C145" s="12">
        <v>0.2576</v>
      </c>
      <c r="D145" s="12">
        <v>0.69</v>
      </c>
      <c r="E145" s="12">
        <v>0</v>
      </c>
      <c r="F145" s="12">
        <v>8</v>
      </c>
      <c r="G145" s="12">
        <v>26</v>
      </c>
      <c r="H145" s="12">
        <v>34</v>
      </c>
      <c r="I145" s="22">
        <f t="shared" si="26"/>
        <v>85.578799999999887</v>
      </c>
      <c r="J145" s="23">
        <f t="shared" si="27"/>
        <v>0.18325224839400403</v>
      </c>
      <c r="K145" s="24">
        <f t="shared" si="28"/>
        <v>467</v>
      </c>
      <c r="L145" s="25">
        <f t="shared" si="29"/>
        <v>259.33000000000044</v>
      </c>
      <c r="M145" s="26">
        <f t="shared" si="30"/>
        <v>0.55531049250535425</v>
      </c>
      <c r="N145" s="27">
        <f t="shared" si="31"/>
        <v>467</v>
      </c>
      <c r="O145" s="28">
        <f t="shared" si="32"/>
        <v>25964</v>
      </c>
      <c r="P145" s="29">
        <f t="shared" si="33"/>
        <v>55.597430406852247</v>
      </c>
      <c r="Q145" s="30">
        <f t="shared" si="34"/>
        <v>467</v>
      </c>
      <c r="R145" s="11" t="str">
        <f t="shared" si="35"/>
        <v>1</v>
      </c>
      <c r="S145" s="10" t="str">
        <f t="shared" si="36"/>
        <v>4</v>
      </c>
      <c r="T145" s="9">
        <f t="shared" si="37"/>
        <v>3</v>
      </c>
      <c r="U145" t="str">
        <f t="shared" si="38"/>
        <v>Mismatch</v>
      </c>
    </row>
    <row r="146" spans="1:21" x14ac:dyDescent="0.2">
      <c r="A146" s="12">
        <v>144</v>
      </c>
      <c r="B146" s="12">
        <v>145</v>
      </c>
      <c r="C146" s="12">
        <v>0.21210000000000001</v>
      </c>
      <c r="D146" s="12">
        <v>0.69</v>
      </c>
      <c r="E146" s="12">
        <v>0.1343</v>
      </c>
      <c r="F146" s="12">
        <v>8</v>
      </c>
      <c r="G146" s="12">
        <v>76</v>
      </c>
      <c r="H146" s="12">
        <v>84</v>
      </c>
      <c r="I146" s="22">
        <f t="shared" si="26"/>
        <v>85.321199999999891</v>
      </c>
      <c r="J146" s="23">
        <f t="shared" si="27"/>
        <v>0.18309270386266072</v>
      </c>
      <c r="K146" s="24">
        <f t="shared" si="28"/>
        <v>466</v>
      </c>
      <c r="L146" s="25">
        <f t="shared" si="29"/>
        <v>258.64000000000044</v>
      </c>
      <c r="M146" s="26">
        <f t="shared" si="30"/>
        <v>0.55502145922746871</v>
      </c>
      <c r="N146" s="27">
        <f t="shared" si="31"/>
        <v>466</v>
      </c>
      <c r="O146" s="28">
        <f t="shared" si="32"/>
        <v>25930</v>
      </c>
      <c r="P146" s="29">
        <f t="shared" si="33"/>
        <v>55.643776824034333</v>
      </c>
      <c r="Q146" s="30">
        <f t="shared" si="34"/>
        <v>466</v>
      </c>
      <c r="R146" s="11" t="str">
        <f t="shared" si="35"/>
        <v>1</v>
      </c>
      <c r="S146" s="10" t="str">
        <f t="shared" si="36"/>
        <v>5</v>
      </c>
      <c r="T146" s="9">
        <f t="shared" si="37"/>
        <v>3</v>
      </c>
      <c r="U146" t="str">
        <f t="shared" si="38"/>
        <v>Mismatch</v>
      </c>
    </row>
    <row r="147" spans="1:21" x14ac:dyDescent="0.2">
      <c r="A147" s="12">
        <v>145</v>
      </c>
      <c r="B147" s="12">
        <v>146</v>
      </c>
      <c r="C147" s="12">
        <v>0.19700000000000001</v>
      </c>
      <c r="D147" s="12">
        <v>0.51</v>
      </c>
      <c r="E147" s="12">
        <v>0.25369999999999998</v>
      </c>
      <c r="F147" s="12">
        <v>20</v>
      </c>
      <c r="G147" s="12">
        <v>190</v>
      </c>
      <c r="H147" s="12">
        <v>210</v>
      </c>
      <c r="I147" s="22">
        <f t="shared" si="26"/>
        <v>85.109099999999899</v>
      </c>
      <c r="J147" s="23">
        <f t="shared" si="27"/>
        <v>0.18303032258064494</v>
      </c>
      <c r="K147" s="24">
        <f t="shared" si="28"/>
        <v>465</v>
      </c>
      <c r="L147" s="25">
        <f t="shared" si="29"/>
        <v>257.95000000000039</v>
      </c>
      <c r="M147" s="26">
        <f t="shared" si="30"/>
        <v>0.55473118279569977</v>
      </c>
      <c r="N147" s="27">
        <f t="shared" si="31"/>
        <v>465</v>
      </c>
      <c r="O147" s="28">
        <f t="shared" si="32"/>
        <v>25846</v>
      </c>
      <c r="P147" s="29">
        <f t="shared" si="33"/>
        <v>55.582795698924734</v>
      </c>
      <c r="Q147" s="30">
        <f t="shared" si="34"/>
        <v>465</v>
      </c>
      <c r="R147" s="11" t="str">
        <f t="shared" si="35"/>
        <v>1</v>
      </c>
      <c r="S147" s="10" t="str">
        <f t="shared" si="36"/>
        <v>6</v>
      </c>
      <c r="T147" s="9">
        <f t="shared" si="37"/>
        <v>3</v>
      </c>
      <c r="U147" t="str">
        <f t="shared" si="38"/>
        <v>Mismatch</v>
      </c>
    </row>
    <row r="148" spans="1:21" x14ac:dyDescent="0.2">
      <c r="A148" s="12">
        <v>146</v>
      </c>
      <c r="B148" s="12">
        <v>147</v>
      </c>
      <c r="C148" s="12">
        <v>0.18179999999999999</v>
      </c>
      <c r="D148" s="12">
        <v>0.47</v>
      </c>
      <c r="E148" s="12">
        <v>0.29849999999999999</v>
      </c>
      <c r="F148" s="12">
        <v>9</v>
      </c>
      <c r="G148" s="12">
        <v>125</v>
      </c>
      <c r="H148" s="12">
        <v>134</v>
      </c>
      <c r="I148" s="22">
        <f t="shared" si="26"/>
        <v>84.912099999999896</v>
      </c>
      <c r="J148" s="23">
        <f t="shared" si="27"/>
        <v>0.18300021551724116</v>
      </c>
      <c r="K148" s="24">
        <f t="shared" si="28"/>
        <v>464</v>
      </c>
      <c r="L148" s="25">
        <f t="shared" si="29"/>
        <v>257.4400000000004</v>
      </c>
      <c r="M148" s="26">
        <f t="shared" si="30"/>
        <v>0.55482758620689743</v>
      </c>
      <c r="N148" s="27">
        <f t="shared" si="31"/>
        <v>464</v>
      </c>
      <c r="O148" s="28">
        <f t="shared" si="32"/>
        <v>25636</v>
      </c>
      <c r="P148" s="29">
        <f t="shared" si="33"/>
        <v>55.25</v>
      </c>
      <c r="Q148" s="30">
        <f t="shared" si="34"/>
        <v>464</v>
      </c>
      <c r="R148" s="11" t="str">
        <f t="shared" si="35"/>
        <v>1</v>
      </c>
      <c r="S148" s="10" t="str">
        <f t="shared" si="36"/>
        <v>7</v>
      </c>
      <c r="T148" s="9">
        <f t="shared" si="37"/>
        <v>3</v>
      </c>
      <c r="U148" t="str">
        <f t="shared" si="38"/>
        <v>Mismatch</v>
      </c>
    </row>
    <row r="149" spans="1:21" x14ac:dyDescent="0.2">
      <c r="A149" s="12">
        <v>147</v>
      </c>
      <c r="B149" s="12">
        <v>148</v>
      </c>
      <c r="C149" s="12">
        <v>0.19700000000000001</v>
      </c>
      <c r="D149" s="12">
        <v>0.37</v>
      </c>
      <c r="E149" s="12">
        <v>0.32840000000000003</v>
      </c>
      <c r="F149" s="12">
        <v>16</v>
      </c>
      <c r="G149" s="12">
        <v>47</v>
      </c>
      <c r="H149" s="12">
        <v>63</v>
      </c>
      <c r="I149" s="22">
        <f t="shared" si="26"/>
        <v>84.7302999999999</v>
      </c>
      <c r="J149" s="23">
        <f t="shared" si="27"/>
        <v>0.18300280777537775</v>
      </c>
      <c r="K149" s="24">
        <f t="shared" si="28"/>
        <v>463</v>
      </c>
      <c r="L149" s="25">
        <f t="shared" si="29"/>
        <v>256.97000000000037</v>
      </c>
      <c r="M149" s="26">
        <f t="shared" si="30"/>
        <v>0.55501079913606988</v>
      </c>
      <c r="N149" s="27">
        <f t="shared" si="31"/>
        <v>463</v>
      </c>
      <c r="O149" s="28">
        <f t="shared" si="32"/>
        <v>25502</v>
      </c>
      <c r="P149" s="29">
        <f t="shared" si="33"/>
        <v>55.079913606911447</v>
      </c>
      <c r="Q149" s="30">
        <f t="shared" si="34"/>
        <v>463</v>
      </c>
      <c r="R149" s="11" t="str">
        <f t="shared" si="35"/>
        <v>1</v>
      </c>
      <c r="S149" s="10" t="str">
        <f t="shared" si="36"/>
        <v>8</v>
      </c>
      <c r="T149" s="9">
        <f t="shared" si="37"/>
        <v>3</v>
      </c>
      <c r="U149" t="str">
        <f t="shared" si="38"/>
        <v>Mismatch</v>
      </c>
    </row>
    <row r="150" spans="1:21" x14ac:dyDescent="0.2">
      <c r="A150" s="12">
        <v>148</v>
      </c>
      <c r="B150" s="12">
        <v>149</v>
      </c>
      <c r="C150" s="12">
        <v>0.19700000000000001</v>
      </c>
      <c r="D150" s="12">
        <v>0.4</v>
      </c>
      <c r="E150" s="12">
        <v>0.22389999999999999</v>
      </c>
      <c r="F150" s="12">
        <v>19</v>
      </c>
      <c r="G150" s="12">
        <v>48</v>
      </c>
      <c r="H150" s="12">
        <v>67</v>
      </c>
      <c r="I150" s="22">
        <f t="shared" si="26"/>
        <v>84.533299999999912</v>
      </c>
      <c r="J150" s="23">
        <f t="shared" si="27"/>
        <v>0.18297251082251062</v>
      </c>
      <c r="K150" s="24">
        <f t="shared" si="28"/>
        <v>462</v>
      </c>
      <c r="L150" s="25">
        <f t="shared" si="29"/>
        <v>256.60000000000036</v>
      </c>
      <c r="M150" s="26">
        <f t="shared" si="30"/>
        <v>0.55541125541125624</v>
      </c>
      <c r="N150" s="27">
        <f t="shared" si="31"/>
        <v>462</v>
      </c>
      <c r="O150" s="28">
        <f t="shared" si="32"/>
        <v>25439</v>
      </c>
      <c r="P150" s="29">
        <f t="shared" si="33"/>
        <v>55.062770562770559</v>
      </c>
      <c r="Q150" s="30">
        <f t="shared" si="34"/>
        <v>462</v>
      </c>
      <c r="R150" s="11" t="str">
        <f t="shared" si="35"/>
        <v>1</v>
      </c>
      <c r="S150" s="10" t="str">
        <f t="shared" si="36"/>
        <v>9</v>
      </c>
      <c r="T150" s="9">
        <f t="shared" si="37"/>
        <v>3</v>
      </c>
      <c r="U150" t="str">
        <f t="shared" si="38"/>
        <v>Mismatch</v>
      </c>
    </row>
    <row r="151" spans="1:21" x14ac:dyDescent="0.2">
      <c r="A151" s="12">
        <v>149</v>
      </c>
      <c r="B151" s="12">
        <v>150</v>
      </c>
      <c r="C151" s="12">
        <v>0.19700000000000001</v>
      </c>
      <c r="D151" s="12">
        <v>0.37</v>
      </c>
      <c r="E151" s="12">
        <v>0.25369999999999998</v>
      </c>
      <c r="F151" s="12">
        <v>9</v>
      </c>
      <c r="G151" s="12">
        <v>50</v>
      </c>
      <c r="H151" s="12">
        <v>59</v>
      </c>
      <c r="I151" s="22">
        <f t="shared" si="26"/>
        <v>84.336299999999909</v>
      </c>
      <c r="J151" s="23">
        <f t="shared" si="27"/>
        <v>0.18294208242950089</v>
      </c>
      <c r="K151" s="24">
        <f t="shared" si="28"/>
        <v>461</v>
      </c>
      <c r="L151" s="25">
        <f t="shared" si="29"/>
        <v>256.20000000000039</v>
      </c>
      <c r="M151" s="26">
        <f t="shared" si="30"/>
        <v>0.55574837310195313</v>
      </c>
      <c r="N151" s="27">
        <f t="shared" si="31"/>
        <v>461</v>
      </c>
      <c r="O151" s="28">
        <f t="shared" si="32"/>
        <v>25372</v>
      </c>
      <c r="P151" s="29">
        <f t="shared" si="33"/>
        <v>55.036876355748376</v>
      </c>
      <c r="Q151" s="30">
        <f t="shared" si="34"/>
        <v>461</v>
      </c>
      <c r="R151" s="11" t="str">
        <f t="shared" si="35"/>
        <v>1</v>
      </c>
      <c r="S151" s="10" t="str">
        <f t="shared" si="36"/>
        <v>0</v>
      </c>
      <c r="T151" s="9">
        <f t="shared" si="37"/>
        <v>3</v>
      </c>
      <c r="U151" t="str">
        <f t="shared" si="38"/>
        <v>Mismatch</v>
      </c>
    </row>
    <row r="152" spans="1:21" x14ac:dyDescent="0.2">
      <c r="A152" s="12">
        <v>150</v>
      </c>
      <c r="B152" s="12">
        <v>151</v>
      </c>
      <c r="C152" s="12">
        <v>0.18179999999999999</v>
      </c>
      <c r="D152" s="12">
        <v>0.37</v>
      </c>
      <c r="E152" s="12">
        <v>0.28360000000000002</v>
      </c>
      <c r="F152" s="12">
        <v>9</v>
      </c>
      <c r="G152" s="12">
        <v>64</v>
      </c>
      <c r="H152" s="12">
        <v>73</v>
      </c>
      <c r="I152" s="22">
        <f t="shared" si="26"/>
        <v>84.13929999999992</v>
      </c>
      <c r="J152" s="23">
        <f t="shared" si="27"/>
        <v>0.18291152173913025</v>
      </c>
      <c r="K152" s="24">
        <f t="shared" si="28"/>
        <v>460</v>
      </c>
      <c r="L152" s="25">
        <f t="shared" si="29"/>
        <v>255.83000000000038</v>
      </c>
      <c r="M152" s="26">
        <f t="shared" si="30"/>
        <v>0.55615217391304428</v>
      </c>
      <c r="N152" s="27">
        <f t="shared" si="31"/>
        <v>460</v>
      </c>
      <c r="O152" s="28">
        <f t="shared" si="32"/>
        <v>25313</v>
      </c>
      <c r="P152" s="29">
        <f t="shared" si="33"/>
        <v>55.028260869565216</v>
      </c>
      <c r="Q152" s="30">
        <f t="shared" si="34"/>
        <v>460</v>
      </c>
      <c r="R152" s="11" t="str">
        <f t="shared" si="35"/>
        <v>1</v>
      </c>
      <c r="S152" s="10" t="str">
        <f t="shared" si="36"/>
        <v>1</v>
      </c>
      <c r="T152" s="9">
        <f t="shared" si="37"/>
        <v>3</v>
      </c>
      <c r="U152" t="str">
        <f t="shared" si="38"/>
        <v>Match</v>
      </c>
    </row>
    <row r="153" spans="1:21" x14ac:dyDescent="0.2">
      <c r="A153" s="12">
        <v>151</v>
      </c>
      <c r="B153" s="12">
        <v>152</v>
      </c>
      <c r="C153" s="12">
        <v>0.19700000000000001</v>
      </c>
      <c r="D153" s="12">
        <v>0.4</v>
      </c>
      <c r="E153" s="12">
        <v>0.25369999999999998</v>
      </c>
      <c r="F153" s="12">
        <v>7</v>
      </c>
      <c r="G153" s="12">
        <v>43</v>
      </c>
      <c r="H153" s="12">
        <v>50</v>
      </c>
      <c r="I153" s="22">
        <f t="shared" si="26"/>
        <v>83.957499999999925</v>
      </c>
      <c r="J153" s="23">
        <f t="shared" si="27"/>
        <v>0.18291394335511965</v>
      </c>
      <c r="K153" s="24">
        <f t="shared" si="28"/>
        <v>459</v>
      </c>
      <c r="L153" s="25">
        <f t="shared" si="29"/>
        <v>255.46000000000038</v>
      </c>
      <c r="M153" s="26">
        <f t="shared" si="30"/>
        <v>0.55655773420479382</v>
      </c>
      <c r="N153" s="27">
        <f t="shared" si="31"/>
        <v>459</v>
      </c>
      <c r="O153" s="28">
        <f t="shared" si="32"/>
        <v>25240</v>
      </c>
      <c r="P153" s="29">
        <f t="shared" si="33"/>
        <v>54.989106753812635</v>
      </c>
      <c r="Q153" s="30">
        <f t="shared" si="34"/>
        <v>459</v>
      </c>
      <c r="R153" s="11" t="str">
        <f t="shared" si="35"/>
        <v>1</v>
      </c>
      <c r="S153" s="10" t="str">
        <f t="shared" si="36"/>
        <v>2</v>
      </c>
      <c r="T153" s="9">
        <f t="shared" si="37"/>
        <v>3</v>
      </c>
      <c r="U153" t="str">
        <f t="shared" si="38"/>
        <v>Mismatch</v>
      </c>
    </row>
    <row r="154" spans="1:21" x14ac:dyDescent="0.2">
      <c r="A154" s="12">
        <v>152</v>
      </c>
      <c r="B154" s="12">
        <v>153</v>
      </c>
      <c r="C154" s="12">
        <v>0.21210000000000001</v>
      </c>
      <c r="D154" s="12">
        <v>0.37</v>
      </c>
      <c r="E154" s="12">
        <v>0.16420000000000001</v>
      </c>
      <c r="F154" s="12">
        <v>9</v>
      </c>
      <c r="G154" s="12">
        <v>63</v>
      </c>
      <c r="H154" s="12">
        <v>72</v>
      </c>
      <c r="I154" s="22">
        <f t="shared" si="26"/>
        <v>83.760499999999922</v>
      </c>
      <c r="J154" s="23">
        <f t="shared" si="27"/>
        <v>0.18288318777292559</v>
      </c>
      <c r="K154" s="24">
        <f t="shared" si="28"/>
        <v>458</v>
      </c>
      <c r="L154" s="25">
        <f t="shared" si="29"/>
        <v>255.06000000000037</v>
      </c>
      <c r="M154" s="26">
        <f t="shared" si="30"/>
        <v>0.5568995633187781</v>
      </c>
      <c r="N154" s="27">
        <f t="shared" si="31"/>
        <v>458</v>
      </c>
      <c r="O154" s="28">
        <f t="shared" si="32"/>
        <v>25190</v>
      </c>
      <c r="P154" s="29">
        <f t="shared" si="33"/>
        <v>55</v>
      </c>
      <c r="Q154" s="30">
        <f t="shared" si="34"/>
        <v>458</v>
      </c>
      <c r="R154" s="11" t="str">
        <f t="shared" si="35"/>
        <v>1</v>
      </c>
      <c r="S154" s="10" t="str">
        <f t="shared" si="36"/>
        <v>3</v>
      </c>
      <c r="T154" s="9">
        <f t="shared" si="37"/>
        <v>3</v>
      </c>
      <c r="U154" t="str">
        <f t="shared" si="38"/>
        <v>Mismatch</v>
      </c>
    </row>
    <row r="155" spans="1:21" x14ac:dyDescent="0.2">
      <c r="A155" s="12">
        <v>153</v>
      </c>
      <c r="B155" s="12">
        <v>154</v>
      </c>
      <c r="C155" s="12">
        <v>0.21210000000000001</v>
      </c>
      <c r="D155" s="12">
        <v>0.37</v>
      </c>
      <c r="E155" s="12">
        <v>0.16420000000000001</v>
      </c>
      <c r="F155" s="12">
        <v>5</v>
      </c>
      <c r="G155" s="12">
        <v>82</v>
      </c>
      <c r="H155" s="12">
        <v>87</v>
      </c>
      <c r="I155" s="22">
        <f t="shared" si="26"/>
        <v>83.54839999999993</v>
      </c>
      <c r="J155" s="23">
        <f t="shared" si="27"/>
        <v>0.18281925601750532</v>
      </c>
      <c r="K155" s="24">
        <f t="shared" si="28"/>
        <v>457</v>
      </c>
      <c r="L155" s="25">
        <f t="shared" si="29"/>
        <v>254.69000000000037</v>
      </c>
      <c r="M155" s="26">
        <f t="shared" si="30"/>
        <v>0.55730853391684987</v>
      </c>
      <c r="N155" s="27">
        <f t="shared" si="31"/>
        <v>457</v>
      </c>
      <c r="O155" s="28">
        <f t="shared" si="32"/>
        <v>25118</v>
      </c>
      <c r="P155" s="29">
        <f t="shared" si="33"/>
        <v>54.962800875273523</v>
      </c>
      <c r="Q155" s="30">
        <f t="shared" si="34"/>
        <v>457</v>
      </c>
      <c r="R155" s="11" t="str">
        <f t="shared" si="35"/>
        <v>1</v>
      </c>
      <c r="S155" s="10" t="str">
        <f t="shared" si="36"/>
        <v>4</v>
      </c>
      <c r="T155" s="9">
        <f t="shared" si="37"/>
        <v>3</v>
      </c>
      <c r="U155" t="str">
        <f t="shared" si="38"/>
        <v>Mismatch</v>
      </c>
    </row>
    <row r="156" spans="1:21" x14ac:dyDescent="0.2">
      <c r="A156" s="12">
        <v>154</v>
      </c>
      <c r="B156" s="12">
        <v>155</v>
      </c>
      <c r="C156" s="12">
        <v>0.2576</v>
      </c>
      <c r="D156" s="12">
        <v>0.37</v>
      </c>
      <c r="E156" s="12">
        <v>0</v>
      </c>
      <c r="F156" s="12">
        <v>9</v>
      </c>
      <c r="G156" s="12">
        <v>178</v>
      </c>
      <c r="H156" s="12">
        <v>187</v>
      </c>
      <c r="I156" s="22">
        <f t="shared" si="26"/>
        <v>83.336299999999937</v>
      </c>
      <c r="J156" s="23">
        <f t="shared" si="27"/>
        <v>0.182755043859649</v>
      </c>
      <c r="K156" s="24">
        <f t="shared" si="28"/>
        <v>456</v>
      </c>
      <c r="L156" s="25">
        <f t="shared" si="29"/>
        <v>254.32000000000036</v>
      </c>
      <c r="M156" s="26">
        <f t="shared" si="30"/>
        <v>0.55771929824561484</v>
      </c>
      <c r="N156" s="27">
        <f t="shared" si="31"/>
        <v>456</v>
      </c>
      <c r="O156" s="28">
        <f t="shared" si="32"/>
        <v>25031</v>
      </c>
      <c r="P156" s="29">
        <f t="shared" si="33"/>
        <v>54.892543859649123</v>
      </c>
      <c r="Q156" s="30">
        <f t="shared" si="34"/>
        <v>456</v>
      </c>
      <c r="R156" s="11" t="str">
        <f t="shared" si="35"/>
        <v>1</v>
      </c>
      <c r="S156" s="10" t="str">
        <f t="shared" si="36"/>
        <v>5</v>
      </c>
      <c r="T156" s="9">
        <f t="shared" si="37"/>
        <v>3</v>
      </c>
      <c r="U156" t="str">
        <f t="shared" si="38"/>
        <v>Mismatch</v>
      </c>
    </row>
    <row r="157" spans="1:21" x14ac:dyDescent="0.2">
      <c r="A157" s="12">
        <v>155</v>
      </c>
      <c r="B157" s="12">
        <v>156</v>
      </c>
      <c r="C157" s="12">
        <v>0.2273</v>
      </c>
      <c r="D157" s="12">
        <v>0.4</v>
      </c>
      <c r="E157" s="12">
        <v>8.9599999999999999E-2</v>
      </c>
      <c r="F157" s="12">
        <v>7</v>
      </c>
      <c r="G157" s="12">
        <v>116</v>
      </c>
      <c r="H157" s="12">
        <v>123</v>
      </c>
      <c r="I157" s="22">
        <f t="shared" si="26"/>
        <v>83.078699999999941</v>
      </c>
      <c r="J157" s="23">
        <f t="shared" si="27"/>
        <v>0.18259054945054931</v>
      </c>
      <c r="K157" s="24">
        <f t="shared" si="28"/>
        <v>455</v>
      </c>
      <c r="L157" s="25">
        <f t="shared" si="29"/>
        <v>253.95000000000036</v>
      </c>
      <c r="M157" s="26">
        <f t="shared" si="30"/>
        <v>0.55813186813186888</v>
      </c>
      <c r="N157" s="27">
        <f t="shared" si="31"/>
        <v>455</v>
      </c>
      <c r="O157" s="28">
        <f t="shared" si="32"/>
        <v>24844</v>
      </c>
      <c r="P157" s="29">
        <f t="shared" si="33"/>
        <v>54.6021978021978</v>
      </c>
      <c r="Q157" s="30">
        <f t="shared" si="34"/>
        <v>455</v>
      </c>
      <c r="R157" s="11" t="str">
        <f t="shared" si="35"/>
        <v>1</v>
      </c>
      <c r="S157" s="10" t="str">
        <f t="shared" si="36"/>
        <v>6</v>
      </c>
      <c r="T157" s="9">
        <f t="shared" si="37"/>
        <v>3</v>
      </c>
      <c r="U157" t="str">
        <f t="shared" si="38"/>
        <v>Mismatch</v>
      </c>
    </row>
    <row r="158" spans="1:21" x14ac:dyDescent="0.2">
      <c r="A158" s="12">
        <v>156</v>
      </c>
      <c r="B158" s="12">
        <v>157</v>
      </c>
      <c r="C158" s="12">
        <v>0.19700000000000001</v>
      </c>
      <c r="D158" s="12">
        <v>0.55000000000000004</v>
      </c>
      <c r="E158" s="12">
        <v>8.9599999999999999E-2</v>
      </c>
      <c r="F158" s="12">
        <v>3</v>
      </c>
      <c r="G158" s="12">
        <v>92</v>
      </c>
      <c r="H158" s="12">
        <v>95</v>
      </c>
      <c r="I158" s="22">
        <f t="shared" si="26"/>
        <v>82.851399999999941</v>
      </c>
      <c r="J158" s="23">
        <f t="shared" si="27"/>
        <v>0.18249207048458138</v>
      </c>
      <c r="K158" s="24">
        <f t="shared" si="28"/>
        <v>454</v>
      </c>
      <c r="L158" s="25">
        <f t="shared" si="29"/>
        <v>253.55000000000035</v>
      </c>
      <c r="M158" s="26">
        <f t="shared" si="30"/>
        <v>0.55848017621145452</v>
      </c>
      <c r="N158" s="27">
        <f t="shared" si="31"/>
        <v>454</v>
      </c>
      <c r="O158" s="28">
        <f t="shared" si="32"/>
        <v>24721</v>
      </c>
      <c r="P158" s="29">
        <f t="shared" si="33"/>
        <v>54.451541850220266</v>
      </c>
      <c r="Q158" s="30">
        <f t="shared" si="34"/>
        <v>454</v>
      </c>
      <c r="R158" s="11" t="str">
        <f t="shared" si="35"/>
        <v>1</v>
      </c>
      <c r="S158" s="10" t="str">
        <f t="shared" si="36"/>
        <v>7</v>
      </c>
      <c r="T158" s="9">
        <f t="shared" si="37"/>
        <v>3</v>
      </c>
      <c r="U158" t="str">
        <f t="shared" si="38"/>
        <v>Mismatch</v>
      </c>
    </row>
    <row r="159" spans="1:21" x14ac:dyDescent="0.2">
      <c r="A159" s="12">
        <v>157</v>
      </c>
      <c r="B159" s="12">
        <v>158</v>
      </c>
      <c r="C159" s="12">
        <v>0.21210000000000001</v>
      </c>
      <c r="D159" s="12">
        <v>0.47</v>
      </c>
      <c r="E159" s="12">
        <v>0.1045</v>
      </c>
      <c r="F159" s="12">
        <v>1</v>
      </c>
      <c r="G159" s="12">
        <v>50</v>
      </c>
      <c r="H159" s="12">
        <v>51</v>
      </c>
      <c r="I159" s="22">
        <f t="shared" si="26"/>
        <v>82.654399999999939</v>
      </c>
      <c r="J159" s="23">
        <f t="shared" si="27"/>
        <v>0.18246004415011025</v>
      </c>
      <c r="K159" s="24">
        <f t="shared" si="28"/>
        <v>453</v>
      </c>
      <c r="L159" s="25">
        <f t="shared" si="29"/>
        <v>253.00000000000034</v>
      </c>
      <c r="M159" s="26">
        <f t="shared" si="30"/>
        <v>0.55849889624724136</v>
      </c>
      <c r="N159" s="27">
        <f t="shared" si="31"/>
        <v>453</v>
      </c>
      <c r="O159" s="28">
        <f t="shared" si="32"/>
        <v>24626</v>
      </c>
      <c r="P159" s="29">
        <f t="shared" si="33"/>
        <v>54.362030905077262</v>
      </c>
      <c r="Q159" s="30">
        <f t="shared" si="34"/>
        <v>453</v>
      </c>
      <c r="R159" s="11" t="str">
        <f t="shared" si="35"/>
        <v>1</v>
      </c>
      <c r="S159" s="10" t="str">
        <f t="shared" si="36"/>
        <v>8</v>
      </c>
      <c r="T159" s="9">
        <f t="shared" si="37"/>
        <v>3</v>
      </c>
      <c r="U159" t="str">
        <f t="shared" si="38"/>
        <v>Mismatch</v>
      </c>
    </row>
    <row r="160" spans="1:21" x14ac:dyDescent="0.2">
      <c r="A160" s="12">
        <v>158</v>
      </c>
      <c r="B160" s="12">
        <v>159</v>
      </c>
      <c r="C160" s="12">
        <v>0.19700000000000001</v>
      </c>
      <c r="D160" s="12">
        <v>0.47</v>
      </c>
      <c r="E160" s="12">
        <v>0.1343</v>
      </c>
      <c r="F160" s="12">
        <v>0</v>
      </c>
      <c r="G160" s="12">
        <v>39</v>
      </c>
      <c r="H160" s="12">
        <v>39</v>
      </c>
      <c r="I160" s="22">
        <f t="shared" si="26"/>
        <v>82.44229999999996</v>
      </c>
      <c r="J160" s="23">
        <f t="shared" si="27"/>
        <v>0.18239446902654857</v>
      </c>
      <c r="K160" s="24">
        <f t="shared" si="28"/>
        <v>452</v>
      </c>
      <c r="L160" s="25">
        <f t="shared" si="29"/>
        <v>252.53000000000031</v>
      </c>
      <c r="M160" s="26">
        <f t="shared" si="30"/>
        <v>0.55869469026548746</v>
      </c>
      <c r="N160" s="27">
        <f t="shared" si="31"/>
        <v>452</v>
      </c>
      <c r="O160" s="28">
        <f t="shared" si="32"/>
        <v>24575</v>
      </c>
      <c r="P160" s="29">
        <f t="shared" si="33"/>
        <v>54.369469026548671</v>
      </c>
      <c r="Q160" s="30">
        <f t="shared" si="34"/>
        <v>452</v>
      </c>
      <c r="R160" s="11" t="str">
        <f t="shared" si="35"/>
        <v>1</v>
      </c>
      <c r="S160" s="10" t="str">
        <f t="shared" si="36"/>
        <v>9</v>
      </c>
      <c r="T160" s="9">
        <f t="shared" si="37"/>
        <v>3</v>
      </c>
      <c r="U160" t="str">
        <f t="shared" si="38"/>
        <v>Mismatch</v>
      </c>
    </row>
    <row r="161" spans="1:21" x14ac:dyDescent="0.2">
      <c r="A161" s="12">
        <v>159</v>
      </c>
      <c r="B161" s="12">
        <v>160</v>
      </c>
      <c r="C161" s="12">
        <v>0.19700000000000001</v>
      </c>
      <c r="D161" s="12">
        <v>0.43</v>
      </c>
      <c r="E161" s="12">
        <v>0.16420000000000001</v>
      </c>
      <c r="F161" s="12">
        <v>2</v>
      </c>
      <c r="G161" s="12">
        <v>34</v>
      </c>
      <c r="H161" s="12">
        <v>36</v>
      </c>
      <c r="I161" s="22">
        <f t="shared" si="26"/>
        <v>82.245299999999958</v>
      </c>
      <c r="J161" s="23">
        <f t="shared" si="27"/>
        <v>0.18236208425720613</v>
      </c>
      <c r="K161" s="24">
        <f t="shared" si="28"/>
        <v>451</v>
      </c>
      <c r="L161" s="25">
        <f t="shared" si="29"/>
        <v>252.06000000000031</v>
      </c>
      <c r="M161" s="26">
        <f t="shared" si="30"/>
        <v>0.55889135254988986</v>
      </c>
      <c r="N161" s="27">
        <f t="shared" si="31"/>
        <v>451</v>
      </c>
      <c r="O161" s="28">
        <f t="shared" si="32"/>
        <v>24536</v>
      </c>
      <c r="P161" s="29">
        <f t="shared" si="33"/>
        <v>54.403547671840357</v>
      </c>
      <c r="Q161" s="30">
        <f t="shared" si="34"/>
        <v>451</v>
      </c>
      <c r="R161" s="11" t="str">
        <f t="shared" si="35"/>
        <v>1</v>
      </c>
      <c r="S161" s="10" t="str">
        <f t="shared" si="36"/>
        <v>0</v>
      </c>
      <c r="T161" s="9">
        <f t="shared" si="37"/>
        <v>3</v>
      </c>
      <c r="U161" t="str">
        <f t="shared" si="38"/>
        <v>Mismatch</v>
      </c>
    </row>
    <row r="162" spans="1:21" x14ac:dyDescent="0.2">
      <c r="A162" s="12">
        <v>160</v>
      </c>
      <c r="B162" s="12">
        <v>161</v>
      </c>
      <c r="C162" s="12">
        <v>0.19700000000000001</v>
      </c>
      <c r="D162" s="12">
        <v>0.51</v>
      </c>
      <c r="E162" s="12">
        <v>0.16420000000000001</v>
      </c>
      <c r="F162" s="12">
        <v>1</v>
      </c>
      <c r="G162" s="12">
        <v>14</v>
      </c>
      <c r="H162" s="12">
        <v>15</v>
      </c>
      <c r="I162" s="22">
        <f t="shared" si="26"/>
        <v>82.048299999999969</v>
      </c>
      <c r="J162" s="23">
        <f t="shared" si="27"/>
        <v>0.18232955555555549</v>
      </c>
      <c r="K162" s="24">
        <f t="shared" si="28"/>
        <v>450</v>
      </c>
      <c r="L162" s="25">
        <f t="shared" si="29"/>
        <v>251.63000000000031</v>
      </c>
      <c r="M162" s="26">
        <f t="shared" si="30"/>
        <v>0.55917777777777844</v>
      </c>
      <c r="N162" s="27">
        <f t="shared" si="31"/>
        <v>450</v>
      </c>
      <c r="O162" s="28">
        <f t="shared" si="32"/>
        <v>24500</v>
      </c>
      <c r="P162" s="29">
        <f t="shared" si="33"/>
        <v>54.444444444444443</v>
      </c>
      <c r="Q162" s="30">
        <f t="shared" si="34"/>
        <v>450</v>
      </c>
      <c r="R162" s="11" t="str">
        <f t="shared" si="35"/>
        <v>1</v>
      </c>
      <c r="S162" s="10" t="str">
        <f t="shared" si="36"/>
        <v>1</v>
      </c>
      <c r="T162" s="9">
        <f t="shared" si="37"/>
        <v>3</v>
      </c>
      <c r="U162" t="str">
        <f t="shared" si="38"/>
        <v>Match</v>
      </c>
    </row>
    <row r="163" spans="1:21" x14ac:dyDescent="0.2">
      <c r="A163" s="12">
        <v>161</v>
      </c>
      <c r="B163" s="12">
        <v>162</v>
      </c>
      <c r="C163" s="12">
        <v>0.19700000000000001</v>
      </c>
      <c r="D163" s="12">
        <v>0.51</v>
      </c>
      <c r="E163" s="12">
        <v>0.16420000000000001</v>
      </c>
      <c r="F163" s="12">
        <v>1</v>
      </c>
      <c r="G163" s="12">
        <v>24</v>
      </c>
      <c r="H163" s="12">
        <v>25</v>
      </c>
      <c r="I163" s="22">
        <f t="shared" si="26"/>
        <v>81.851299999999981</v>
      </c>
      <c r="J163" s="23">
        <f t="shared" si="27"/>
        <v>0.18229688195991087</v>
      </c>
      <c r="K163" s="24">
        <f t="shared" si="28"/>
        <v>449</v>
      </c>
      <c r="L163" s="25">
        <f t="shared" si="29"/>
        <v>251.12000000000035</v>
      </c>
      <c r="M163" s="26">
        <f t="shared" si="30"/>
        <v>0.55928730512249525</v>
      </c>
      <c r="N163" s="27">
        <f t="shared" si="31"/>
        <v>449</v>
      </c>
      <c r="O163" s="28">
        <f t="shared" si="32"/>
        <v>24485</v>
      </c>
      <c r="P163" s="29">
        <f t="shared" si="33"/>
        <v>54.532293986636972</v>
      </c>
      <c r="Q163" s="30">
        <f t="shared" si="34"/>
        <v>449</v>
      </c>
      <c r="R163" s="11" t="str">
        <f t="shared" si="35"/>
        <v>1</v>
      </c>
      <c r="S163" s="10" t="str">
        <f t="shared" si="36"/>
        <v>2</v>
      </c>
      <c r="T163" s="9">
        <f t="shared" si="37"/>
        <v>3</v>
      </c>
      <c r="U163" t="str">
        <f t="shared" si="38"/>
        <v>Mismatch</v>
      </c>
    </row>
    <row r="164" spans="1:21" x14ac:dyDescent="0.2">
      <c r="A164" s="12">
        <v>162</v>
      </c>
      <c r="B164" s="12">
        <v>163</v>
      </c>
      <c r="C164" s="12">
        <v>0.21210000000000001</v>
      </c>
      <c r="D164" s="12">
        <v>0.55000000000000004</v>
      </c>
      <c r="E164" s="12">
        <v>8.9599999999999999E-2</v>
      </c>
      <c r="F164" s="12">
        <v>1</v>
      </c>
      <c r="G164" s="12">
        <v>15</v>
      </c>
      <c r="H164" s="12">
        <v>16</v>
      </c>
      <c r="I164" s="22">
        <f t="shared" si="26"/>
        <v>81.654299999999978</v>
      </c>
      <c r="J164" s="23">
        <f t="shared" si="27"/>
        <v>0.18226406249999996</v>
      </c>
      <c r="K164" s="24">
        <f t="shared" si="28"/>
        <v>448</v>
      </c>
      <c r="L164" s="25">
        <f t="shared" si="29"/>
        <v>250.61000000000033</v>
      </c>
      <c r="M164" s="26">
        <f t="shared" si="30"/>
        <v>0.55939732142857213</v>
      </c>
      <c r="N164" s="27">
        <f t="shared" si="31"/>
        <v>448</v>
      </c>
      <c r="O164" s="28">
        <f t="shared" si="32"/>
        <v>24460</v>
      </c>
      <c r="P164" s="29">
        <f t="shared" si="33"/>
        <v>54.598214285714285</v>
      </c>
      <c r="Q164" s="30">
        <f t="shared" si="34"/>
        <v>448</v>
      </c>
      <c r="R164" s="11" t="str">
        <f t="shared" si="35"/>
        <v>1</v>
      </c>
      <c r="S164" s="10" t="str">
        <f t="shared" si="36"/>
        <v>3</v>
      </c>
      <c r="T164" s="9">
        <f t="shared" si="37"/>
        <v>3</v>
      </c>
      <c r="U164" t="str">
        <f t="shared" si="38"/>
        <v>Mismatch</v>
      </c>
    </row>
    <row r="165" spans="1:21" x14ac:dyDescent="0.2">
      <c r="A165" s="12">
        <v>163</v>
      </c>
      <c r="B165" s="12">
        <v>164</v>
      </c>
      <c r="C165" s="12">
        <v>0.2424</v>
      </c>
      <c r="D165" s="12">
        <v>0.55000000000000004</v>
      </c>
      <c r="E165" s="12">
        <v>0</v>
      </c>
      <c r="F165" s="12">
        <v>3</v>
      </c>
      <c r="G165" s="12">
        <v>13</v>
      </c>
      <c r="H165" s="12">
        <v>16</v>
      </c>
      <c r="I165" s="22">
        <f t="shared" si="26"/>
        <v>81.442199999999985</v>
      </c>
      <c r="J165" s="23">
        <f t="shared" si="27"/>
        <v>0.18219731543624157</v>
      </c>
      <c r="K165" s="24">
        <f t="shared" si="28"/>
        <v>447</v>
      </c>
      <c r="L165" s="25">
        <f t="shared" si="29"/>
        <v>250.06000000000031</v>
      </c>
      <c r="M165" s="26">
        <f t="shared" si="30"/>
        <v>0.5594183445190164</v>
      </c>
      <c r="N165" s="27">
        <f t="shared" si="31"/>
        <v>447</v>
      </c>
      <c r="O165" s="28">
        <f t="shared" si="32"/>
        <v>24444</v>
      </c>
      <c r="P165" s="29">
        <f t="shared" si="33"/>
        <v>54.68456375838926</v>
      </c>
      <c r="Q165" s="30">
        <f t="shared" si="34"/>
        <v>447</v>
      </c>
      <c r="R165" s="11" t="str">
        <f t="shared" si="35"/>
        <v>1</v>
      </c>
      <c r="S165" s="10" t="str">
        <f t="shared" si="36"/>
        <v>4</v>
      </c>
      <c r="T165" s="9">
        <f t="shared" si="37"/>
        <v>3</v>
      </c>
      <c r="U165" t="str">
        <f t="shared" si="38"/>
        <v>Mismatch</v>
      </c>
    </row>
    <row r="166" spans="1:21" x14ac:dyDescent="0.2">
      <c r="A166" s="12">
        <v>164</v>
      </c>
      <c r="B166" s="12">
        <v>165</v>
      </c>
      <c r="C166" s="12">
        <v>0.19700000000000001</v>
      </c>
      <c r="D166" s="12">
        <v>0.55000000000000004</v>
      </c>
      <c r="E166" s="12">
        <v>0.16420000000000001</v>
      </c>
      <c r="F166" s="12">
        <v>0</v>
      </c>
      <c r="G166" s="12">
        <v>7</v>
      </c>
      <c r="H166" s="12">
        <v>7</v>
      </c>
      <c r="I166" s="22">
        <f t="shared" si="26"/>
        <v>81.199799999999996</v>
      </c>
      <c r="J166" s="23">
        <f t="shared" si="27"/>
        <v>0.18206233183856502</v>
      </c>
      <c r="K166" s="24">
        <f t="shared" si="28"/>
        <v>446</v>
      </c>
      <c r="L166" s="25">
        <f t="shared" si="29"/>
        <v>249.5100000000003</v>
      </c>
      <c r="M166" s="26">
        <f t="shared" si="30"/>
        <v>0.55943946188340876</v>
      </c>
      <c r="N166" s="27">
        <f t="shared" si="31"/>
        <v>446</v>
      </c>
      <c r="O166" s="28">
        <f t="shared" si="32"/>
        <v>24428</v>
      </c>
      <c r="P166" s="29">
        <f t="shared" si="33"/>
        <v>54.771300448430495</v>
      </c>
      <c r="Q166" s="30">
        <f t="shared" si="34"/>
        <v>446</v>
      </c>
      <c r="R166" s="11" t="str">
        <f t="shared" si="35"/>
        <v>1</v>
      </c>
      <c r="S166" s="10" t="str">
        <f t="shared" si="36"/>
        <v>5</v>
      </c>
      <c r="T166" s="9">
        <f t="shared" si="37"/>
        <v>3</v>
      </c>
      <c r="U166" t="str">
        <f t="shared" si="38"/>
        <v>Mismatch</v>
      </c>
    </row>
    <row r="167" spans="1:21" x14ac:dyDescent="0.2">
      <c r="A167" s="12">
        <v>165</v>
      </c>
      <c r="B167" s="12">
        <v>166</v>
      </c>
      <c r="C167" s="12">
        <v>0.19700000000000001</v>
      </c>
      <c r="D167" s="12">
        <v>0.55000000000000004</v>
      </c>
      <c r="E167" s="12">
        <v>0.16420000000000001</v>
      </c>
      <c r="F167" s="12">
        <v>0</v>
      </c>
      <c r="G167" s="12">
        <v>1</v>
      </c>
      <c r="H167" s="12">
        <v>1</v>
      </c>
      <c r="I167" s="22">
        <f t="shared" si="26"/>
        <v>81.002800000000008</v>
      </c>
      <c r="J167" s="23">
        <f t="shared" si="27"/>
        <v>0.18202876404494384</v>
      </c>
      <c r="K167" s="24">
        <f t="shared" si="28"/>
        <v>445</v>
      </c>
      <c r="L167" s="25">
        <f t="shared" si="29"/>
        <v>248.96000000000029</v>
      </c>
      <c r="M167" s="26">
        <f t="shared" si="30"/>
        <v>0.55946067415730405</v>
      </c>
      <c r="N167" s="27">
        <f t="shared" si="31"/>
        <v>445</v>
      </c>
      <c r="O167" s="28">
        <f t="shared" si="32"/>
        <v>24421</v>
      </c>
      <c r="P167" s="29">
        <f t="shared" si="33"/>
        <v>54.878651685393258</v>
      </c>
      <c r="Q167" s="30">
        <f t="shared" si="34"/>
        <v>445</v>
      </c>
      <c r="R167" s="11" t="str">
        <f t="shared" si="35"/>
        <v>1</v>
      </c>
      <c r="S167" s="10" t="str">
        <f t="shared" si="36"/>
        <v>6</v>
      </c>
      <c r="T167" s="9">
        <f t="shared" si="37"/>
        <v>3</v>
      </c>
      <c r="U167" t="str">
        <f t="shared" si="38"/>
        <v>Mismatch</v>
      </c>
    </row>
    <row r="168" spans="1:21" x14ac:dyDescent="0.2">
      <c r="A168" s="12">
        <v>166</v>
      </c>
      <c r="B168" s="12">
        <v>167</v>
      </c>
      <c r="C168" s="12">
        <v>0.16669999999999999</v>
      </c>
      <c r="D168" s="12">
        <v>0.74</v>
      </c>
      <c r="E168" s="12">
        <v>0.16420000000000001</v>
      </c>
      <c r="F168" s="12">
        <v>0</v>
      </c>
      <c r="G168" s="12">
        <v>5</v>
      </c>
      <c r="H168" s="12">
        <v>5</v>
      </c>
      <c r="I168" s="22">
        <f t="shared" si="26"/>
        <v>80.805800000000005</v>
      </c>
      <c r="J168" s="23">
        <f t="shared" si="27"/>
        <v>0.18199504504504505</v>
      </c>
      <c r="K168" s="24">
        <f t="shared" si="28"/>
        <v>444</v>
      </c>
      <c r="L168" s="25">
        <f t="shared" si="29"/>
        <v>248.41000000000028</v>
      </c>
      <c r="M168" s="26">
        <f t="shared" si="30"/>
        <v>0.55948198198198262</v>
      </c>
      <c r="N168" s="27">
        <f t="shared" si="31"/>
        <v>444</v>
      </c>
      <c r="O168" s="28">
        <f t="shared" si="32"/>
        <v>24420</v>
      </c>
      <c r="P168" s="29">
        <f t="shared" si="33"/>
        <v>55</v>
      </c>
      <c r="Q168" s="30">
        <f t="shared" si="34"/>
        <v>444</v>
      </c>
      <c r="R168" s="11" t="str">
        <f t="shared" si="35"/>
        <v>1</v>
      </c>
      <c r="S168" s="10" t="str">
        <f t="shared" si="36"/>
        <v>7</v>
      </c>
      <c r="T168" s="9">
        <f t="shared" si="37"/>
        <v>3</v>
      </c>
      <c r="U168" t="str">
        <f t="shared" si="38"/>
        <v>Mismatch</v>
      </c>
    </row>
    <row r="169" spans="1:21" x14ac:dyDescent="0.2">
      <c r="A169" s="12">
        <v>167</v>
      </c>
      <c r="B169" s="12">
        <v>168</v>
      </c>
      <c r="C169" s="12">
        <v>0.16669999999999999</v>
      </c>
      <c r="D169" s="12">
        <v>0.74</v>
      </c>
      <c r="E169" s="12">
        <v>0.16420000000000001</v>
      </c>
      <c r="F169" s="12">
        <v>0</v>
      </c>
      <c r="G169" s="12">
        <v>2</v>
      </c>
      <c r="H169" s="12">
        <v>2</v>
      </c>
      <c r="I169" s="22">
        <f t="shared" si="26"/>
        <v>80.639100000000013</v>
      </c>
      <c r="J169" s="23">
        <f t="shared" si="27"/>
        <v>0.18202957110609483</v>
      </c>
      <c r="K169" s="24">
        <f t="shared" si="28"/>
        <v>443</v>
      </c>
      <c r="L169" s="25">
        <f t="shared" si="29"/>
        <v>247.67000000000027</v>
      </c>
      <c r="M169" s="26">
        <f t="shared" si="30"/>
        <v>0.55907449209932336</v>
      </c>
      <c r="N169" s="27">
        <f t="shared" si="31"/>
        <v>443</v>
      </c>
      <c r="O169" s="28">
        <f t="shared" si="32"/>
        <v>24415</v>
      </c>
      <c r="P169" s="29">
        <f t="shared" si="33"/>
        <v>55.112866817155755</v>
      </c>
      <c r="Q169" s="30">
        <f t="shared" si="34"/>
        <v>443</v>
      </c>
      <c r="R169" s="11" t="str">
        <f t="shared" si="35"/>
        <v>1</v>
      </c>
      <c r="S169" s="10" t="str">
        <f t="shared" si="36"/>
        <v>8</v>
      </c>
      <c r="T169" s="9">
        <f t="shared" si="37"/>
        <v>3</v>
      </c>
      <c r="U169" t="str">
        <f t="shared" si="38"/>
        <v>Mismatch</v>
      </c>
    </row>
    <row r="170" spans="1:21" x14ac:dyDescent="0.2">
      <c r="A170" s="12">
        <v>168</v>
      </c>
      <c r="B170" s="12">
        <v>169</v>
      </c>
      <c r="C170" s="12">
        <v>0.18179999999999999</v>
      </c>
      <c r="D170" s="12">
        <v>0.74</v>
      </c>
      <c r="E170" s="12">
        <v>0.1045</v>
      </c>
      <c r="F170" s="12">
        <v>1</v>
      </c>
      <c r="G170" s="12">
        <v>8</v>
      </c>
      <c r="H170" s="12">
        <v>9</v>
      </c>
      <c r="I170" s="22">
        <f t="shared" si="26"/>
        <v>80.472400000000022</v>
      </c>
      <c r="J170" s="23">
        <f t="shared" si="27"/>
        <v>0.18206425339366522</v>
      </c>
      <c r="K170" s="24">
        <f t="shared" si="28"/>
        <v>442</v>
      </c>
      <c r="L170" s="25">
        <f t="shared" si="29"/>
        <v>246.93000000000026</v>
      </c>
      <c r="M170" s="26">
        <f t="shared" si="30"/>
        <v>0.55866515837104136</v>
      </c>
      <c r="N170" s="27">
        <f t="shared" si="31"/>
        <v>442</v>
      </c>
      <c r="O170" s="28">
        <f t="shared" si="32"/>
        <v>24413</v>
      </c>
      <c r="P170" s="29">
        <f t="shared" si="33"/>
        <v>55.233031674208142</v>
      </c>
      <c r="Q170" s="30">
        <f t="shared" si="34"/>
        <v>442</v>
      </c>
      <c r="R170" s="11" t="str">
        <f t="shared" si="35"/>
        <v>1</v>
      </c>
      <c r="S170" s="10" t="str">
        <f t="shared" si="36"/>
        <v>9</v>
      </c>
      <c r="T170" s="9">
        <f t="shared" si="37"/>
        <v>3</v>
      </c>
      <c r="U170" t="str">
        <f t="shared" si="38"/>
        <v>Mismatch</v>
      </c>
    </row>
    <row r="171" spans="1:21" x14ac:dyDescent="0.2">
      <c r="A171" s="12">
        <v>169</v>
      </c>
      <c r="B171" s="12">
        <v>170</v>
      </c>
      <c r="C171" s="12">
        <v>0.18179999999999999</v>
      </c>
      <c r="D171" s="12">
        <v>0.93</v>
      </c>
      <c r="E171" s="12">
        <v>0.1045</v>
      </c>
      <c r="F171" s="12">
        <v>0</v>
      </c>
      <c r="G171" s="12">
        <v>15</v>
      </c>
      <c r="H171" s="12">
        <v>15</v>
      </c>
      <c r="I171" s="22">
        <f t="shared" si="26"/>
        <v>80.290600000000026</v>
      </c>
      <c r="J171" s="23">
        <f t="shared" si="27"/>
        <v>0.1820648526077098</v>
      </c>
      <c r="K171" s="24">
        <f t="shared" si="28"/>
        <v>441</v>
      </c>
      <c r="L171" s="25">
        <f t="shared" si="29"/>
        <v>246.19000000000028</v>
      </c>
      <c r="M171" s="26">
        <f t="shared" si="30"/>
        <v>0.55825396825396889</v>
      </c>
      <c r="N171" s="27">
        <f t="shared" si="31"/>
        <v>441</v>
      </c>
      <c r="O171" s="28">
        <f t="shared" si="32"/>
        <v>24404</v>
      </c>
      <c r="P171" s="29">
        <f t="shared" si="33"/>
        <v>55.337868480725625</v>
      </c>
      <c r="Q171" s="30">
        <f t="shared" si="34"/>
        <v>441</v>
      </c>
      <c r="R171" s="11" t="str">
        <f t="shared" si="35"/>
        <v>1</v>
      </c>
      <c r="S171" s="10" t="str">
        <f t="shared" si="36"/>
        <v>0</v>
      </c>
      <c r="T171" s="9">
        <f t="shared" si="37"/>
        <v>3</v>
      </c>
      <c r="U171" t="str">
        <f t="shared" si="38"/>
        <v>Mismatch</v>
      </c>
    </row>
    <row r="172" spans="1:21" x14ac:dyDescent="0.2">
      <c r="A172" s="12">
        <v>170</v>
      </c>
      <c r="B172" s="12">
        <v>171</v>
      </c>
      <c r="C172" s="12">
        <v>0.18179999999999999</v>
      </c>
      <c r="D172" s="12">
        <v>0.93</v>
      </c>
      <c r="E172" s="12">
        <v>0.1045</v>
      </c>
      <c r="F172" s="12">
        <v>0</v>
      </c>
      <c r="G172" s="12">
        <v>20</v>
      </c>
      <c r="H172" s="12">
        <v>20</v>
      </c>
      <c r="I172" s="22">
        <f t="shared" si="26"/>
        <v>80.108800000000045</v>
      </c>
      <c r="J172" s="23">
        <f t="shared" si="27"/>
        <v>0.18206545454545464</v>
      </c>
      <c r="K172" s="24">
        <f t="shared" si="28"/>
        <v>440</v>
      </c>
      <c r="L172" s="25">
        <f t="shared" si="29"/>
        <v>245.26000000000028</v>
      </c>
      <c r="M172" s="26">
        <f t="shared" si="30"/>
        <v>0.55740909090909152</v>
      </c>
      <c r="N172" s="27">
        <f t="shared" si="31"/>
        <v>440</v>
      </c>
      <c r="O172" s="28">
        <f t="shared" si="32"/>
        <v>24389</v>
      </c>
      <c r="P172" s="29">
        <f t="shared" si="33"/>
        <v>55.429545454545455</v>
      </c>
      <c r="Q172" s="30">
        <f t="shared" si="34"/>
        <v>440</v>
      </c>
      <c r="R172" s="11" t="str">
        <f t="shared" si="35"/>
        <v>1</v>
      </c>
      <c r="S172" s="10" t="str">
        <f t="shared" si="36"/>
        <v>1</v>
      </c>
      <c r="T172" s="9">
        <f t="shared" si="37"/>
        <v>3</v>
      </c>
      <c r="U172" t="str">
        <f t="shared" si="38"/>
        <v>Match</v>
      </c>
    </row>
    <row r="173" spans="1:21" x14ac:dyDescent="0.2">
      <c r="A173" s="12">
        <v>171</v>
      </c>
      <c r="B173" s="12">
        <v>172</v>
      </c>
      <c r="C173" s="12">
        <v>0.19700000000000001</v>
      </c>
      <c r="D173" s="12">
        <v>0.8</v>
      </c>
      <c r="E173" s="12">
        <v>0.16420000000000001</v>
      </c>
      <c r="F173" s="12">
        <v>5</v>
      </c>
      <c r="G173" s="12">
        <v>56</v>
      </c>
      <c r="H173" s="12">
        <v>61</v>
      </c>
      <c r="I173" s="22">
        <f t="shared" si="26"/>
        <v>79.927000000000035</v>
      </c>
      <c r="J173" s="23">
        <f t="shared" si="27"/>
        <v>0.18206605922551261</v>
      </c>
      <c r="K173" s="24">
        <f t="shared" si="28"/>
        <v>439</v>
      </c>
      <c r="L173" s="25">
        <f t="shared" si="29"/>
        <v>244.3300000000003</v>
      </c>
      <c r="M173" s="26">
        <f t="shared" si="30"/>
        <v>0.55656036446469315</v>
      </c>
      <c r="N173" s="27">
        <f t="shared" si="31"/>
        <v>439</v>
      </c>
      <c r="O173" s="28">
        <f t="shared" si="32"/>
        <v>24369</v>
      </c>
      <c r="P173" s="29">
        <f t="shared" si="33"/>
        <v>55.510250569476085</v>
      </c>
      <c r="Q173" s="30">
        <f t="shared" si="34"/>
        <v>439</v>
      </c>
      <c r="R173" s="11" t="str">
        <f t="shared" si="35"/>
        <v>1</v>
      </c>
      <c r="S173" s="10" t="str">
        <f t="shared" si="36"/>
        <v>2</v>
      </c>
      <c r="T173" s="9">
        <f t="shared" si="37"/>
        <v>3</v>
      </c>
      <c r="U173" t="str">
        <f t="shared" si="38"/>
        <v>Mismatch</v>
      </c>
    </row>
    <row r="174" spans="1:21" x14ac:dyDescent="0.2">
      <c r="A174" s="12">
        <v>172</v>
      </c>
      <c r="B174" s="12">
        <v>173</v>
      </c>
      <c r="C174" s="12">
        <v>0.18179999999999999</v>
      </c>
      <c r="D174" s="12">
        <v>0.69</v>
      </c>
      <c r="E174" s="12">
        <v>0.3881</v>
      </c>
      <c r="F174" s="12">
        <v>2</v>
      </c>
      <c r="G174" s="12">
        <v>60</v>
      </c>
      <c r="H174" s="12">
        <v>62</v>
      </c>
      <c r="I174" s="22">
        <f t="shared" si="26"/>
        <v>79.730000000000047</v>
      </c>
      <c r="J174" s="23">
        <f t="shared" si="27"/>
        <v>0.18203196347031975</v>
      </c>
      <c r="K174" s="24">
        <f t="shared" si="28"/>
        <v>438</v>
      </c>
      <c r="L174" s="25">
        <f t="shared" si="29"/>
        <v>243.53000000000029</v>
      </c>
      <c r="M174" s="26">
        <f t="shared" si="30"/>
        <v>0.55600456621004635</v>
      </c>
      <c r="N174" s="27">
        <f t="shared" si="31"/>
        <v>438</v>
      </c>
      <c r="O174" s="28">
        <f t="shared" si="32"/>
        <v>24308</v>
      </c>
      <c r="P174" s="29">
        <f t="shared" si="33"/>
        <v>55.497716894977167</v>
      </c>
      <c r="Q174" s="30">
        <f t="shared" si="34"/>
        <v>438</v>
      </c>
      <c r="R174" s="11" t="str">
        <f t="shared" si="35"/>
        <v>1</v>
      </c>
      <c r="S174" s="10" t="str">
        <f t="shared" si="36"/>
        <v>3</v>
      </c>
      <c r="T174" s="9">
        <f t="shared" si="37"/>
        <v>3</v>
      </c>
      <c r="U174" t="str">
        <f t="shared" si="38"/>
        <v>Mismatch</v>
      </c>
    </row>
    <row r="175" spans="1:21" x14ac:dyDescent="0.2">
      <c r="A175" s="12">
        <v>173</v>
      </c>
      <c r="B175" s="12">
        <v>174</v>
      </c>
      <c r="C175" s="12">
        <v>0.18179999999999999</v>
      </c>
      <c r="D175" s="12">
        <v>0.59</v>
      </c>
      <c r="E175" s="12">
        <v>0.35820000000000002</v>
      </c>
      <c r="F175" s="12">
        <v>8</v>
      </c>
      <c r="G175" s="12">
        <v>90</v>
      </c>
      <c r="H175" s="12">
        <v>98</v>
      </c>
      <c r="I175" s="22">
        <f t="shared" si="26"/>
        <v>79.548200000000051</v>
      </c>
      <c r="J175" s="23">
        <f t="shared" si="27"/>
        <v>0.18203249427917631</v>
      </c>
      <c r="K175" s="24">
        <f t="shared" si="28"/>
        <v>437</v>
      </c>
      <c r="L175" s="25">
        <f t="shared" si="29"/>
        <v>242.84000000000029</v>
      </c>
      <c r="M175" s="26">
        <f t="shared" si="30"/>
        <v>0.55569794050343313</v>
      </c>
      <c r="N175" s="27">
        <f t="shared" si="31"/>
        <v>437</v>
      </c>
      <c r="O175" s="28">
        <f t="shared" si="32"/>
        <v>24246</v>
      </c>
      <c r="P175" s="29">
        <f t="shared" si="33"/>
        <v>55.482837528604122</v>
      </c>
      <c r="Q175" s="30">
        <f t="shared" si="34"/>
        <v>437</v>
      </c>
      <c r="R175" s="11" t="str">
        <f t="shared" si="35"/>
        <v>1</v>
      </c>
      <c r="S175" s="10" t="str">
        <f t="shared" si="36"/>
        <v>4</v>
      </c>
      <c r="T175" s="9">
        <f t="shared" si="37"/>
        <v>3</v>
      </c>
      <c r="U175" t="str">
        <f t="shared" si="38"/>
        <v>Mismatch</v>
      </c>
    </row>
    <row r="176" spans="1:21" x14ac:dyDescent="0.2">
      <c r="A176" s="12">
        <v>174</v>
      </c>
      <c r="B176" s="12">
        <v>175</v>
      </c>
      <c r="C176" s="12">
        <v>0.18179999999999999</v>
      </c>
      <c r="D176" s="12">
        <v>0.44</v>
      </c>
      <c r="E176" s="12">
        <v>0.32840000000000003</v>
      </c>
      <c r="F176" s="12">
        <v>7</v>
      </c>
      <c r="G176" s="12">
        <v>95</v>
      </c>
      <c r="H176" s="12">
        <v>102</v>
      </c>
      <c r="I176" s="22">
        <f t="shared" si="26"/>
        <v>79.366400000000056</v>
      </c>
      <c r="J176" s="23">
        <f t="shared" si="27"/>
        <v>0.1820330275229359</v>
      </c>
      <c r="K176" s="24">
        <f t="shared" si="28"/>
        <v>436</v>
      </c>
      <c r="L176" s="25">
        <f t="shared" si="29"/>
        <v>242.25000000000028</v>
      </c>
      <c r="M176" s="26">
        <f t="shared" si="30"/>
        <v>0.55561926605504652</v>
      </c>
      <c r="N176" s="27">
        <f t="shared" si="31"/>
        <v>436</v>
      </c>
      <c r="O176" s="28">
        <f t="shared" si="32"/>
        <v>24148</v>
      </c>
      <c r="P176" s="29">
        <f t="shared" si="33"/>
        <v>55.38532110091743</v>
      </c>
      <c r="Q176" s="30">
        <f t="shared" si="34"/>
        <v>436</v>
      </c>
      <c r="R176" s="11" t="str">
        <f t="shared" si="35"/>
        <v>1</v>
      </c>
      <c r="S176" s="10" t="str">
        <f t="shared" si="36"/>
        <v>5</v>
      </c>
      <c r="T176" s="9">
        <f t="shared" si="37"/>
        <v>3</v>
      </c>
      <c r="U176" t="str">
        <f t="shared" si="38"/>
        <v>Mismatch</v>
      </c>
    </row>
    <row r="177" spans="1:21" x14ac:dyDescent="0.2">
      <c r="A177" s="12">
        <v>175</v>
      </c>
      <c r="B177" s="12">
        <v>176</v>
      </c>
      <c r="C177" s="12">
        <v>0.16669999999999999</v>
      </c>
      <c r="D177" s="12">
        <v>0.32</v>
      </c>
      <c r="E177" s="12">
        <v>0.49249999999999999</v>
      </c>
      <c r="F177" s="12">
        <v>12</v>
      </c>
      <c r="G177" s="12">
        <v>83</v>
      </c>
      <c r="H177" s="12">
        <v>95</v>
      </c>
      <c r="I177" s="22">
        <f t="shared" si="26"/>
        <v>79.18460000000006</v>
      </c>
      <c r="J177" s="23">
        <f t="shared" si="27"/>
        <v>0.18203356321839095</v>
      </c>
      <c r="K177" s="24">
        <f t="shared" si="28"/>
        <v>435</v>
      </c>
      <c r="L177" s="25">
        <f t="shared" si="29"/>
        <v>241.81000000000029</v>
      </c>
      <c r="M177" s="26">
        <f t="shared" si="30"/>
        <v>0.55588505747126504</v>
      </c>
      <c r="N177" s="27">
        <f t="shared" si="31"/>
        <v>435</v>
      </c>
      <c r="O177" s="28">
        <f t="shared" si="32"/>
        <v>24046</v>
      </c>
      <c r="P177" s="29">
        <f t="shared" si="33"/>
        <v>55.278160919540227</v>
      </c>
      <c r="Q177" s="30">
        <f t="shared" si="34"/>
        <v>435</v>
      </c>
      <c r="R177" s="11" t="str">
        <f t="shared" si="35"/>
        <v>1</v>
      </c>
      <c r="S177" s="10" t="str">
        <f t="shared" si="36"/>
        <v>6</v>
      </c>
      <c r="T177" s="9">
        <f t="shared" si="37"/>
        <v>3</v>
      </c>
      <c r="U177" t="str">
        <f t="shared" si="38"/>
        <v>Mismatch</v>
      </c>
    </row>
    <row r="178" spans="1:21" x14ac:dyDescent="0.2">
      <c r="A178" s="12">
        <v>176</v>
      </c>
      <c r="B178" s="12">
        <v>177</v>
      </c>
      <c r="C178" s="12">
        <v>0.16669999999999999</v>
      </c>
      <c r="D178" s="12">
        <v>0.32</v>
      </c>
      <c r="E178" s="12">
        <v>0.44779999999999998</v>
      </c>
      <c r="F178" s="12">
        <v>5</v>
      </c>
      <c r="G178" s="12">
        <v>69</v>
      </c>
      <c r="H178" s="12">
        <v>74</v>
      </c>
      <c r="I178" s="22">
        <f t="shared" si="26"/>
        <v>79.017900000000068</v>
      </c>
      <c r="J178" s="23">
        <f t="shared" si="27"/>
        <v>0.18206889400921675</v>
      </c>
      <c r="K178" s="24">
        <f t="shared" si="28"/>
        <v>434</v>
      </c>
      <c r="L178" s="25">
        <f t="shared" si="29"/>
        <v>241.49000000000029</v>
      </c>
      <c r="M178" s="26">
        <f t="shared" si="30"/>
        <v>0.55642857142857205</v>
      </c>
      <c r="N178" s="27">
        <f t="shared" si="31"/>
        <v>434</v>
      </c>
      <c r="O178" s="28">
        <f t="shared" si="32"/>
        <v>23951</v>
      </c>
      <c r="P178" s="29">
        <f t="shared" si="33"/>
        <v>55.186635944700463</v>
      </c>
      <c r="Q178" s="30">
        <f t="shared" si="34"/>
        <v>434</v>
      </c>
      <c r="R178" s="11" t="str">
        <f t="shared" si="35"/>
        <v>1</v>
      </c>
      <c r="S178" s="10" t="str">
        <f t="shared" si="36"/>
        <v>7</v>
      </c>
      <c r="T178" s="9">
        <f t="shared" si="37"/>
        <v>3</v>
      </c>
      <c r="U178" t="str">
        <f t="shared" si="38"/>
        <v>Mismatch</v>
      </c>
    </row>
    <row r="179" spans="1:21" x14ac:dyDescent="0.2">
      <c r="A179" s="12">
        <v>177</v>
      </c>
      <c r="B179" s="12">
        <v>178</v>
      </c>
      <c r="C179" s="12">
        <v>0.13639999999999999</v>
      </c>
      <c r="D179" s="12">
        <v>0.28999999999999998</v>
      </c>
      <c r="E179" s="12">
        <v>0.44779999999999998</v>
      </c>
      <c r="F179" s="12">
        <v>8</v>
      </c>
      <c r="G179" s="12">
        <v>68</v>
      </c>
      <c r="H179" s="12">
        <v>76</v>
      </c>
      <c r="I179" s="22">
        <f t="shared" si="26"/>
        <v>78.851200000000063</v>
      </c>
      <c r="J179" s="23">
        <f t="shared" si="27"/>
        <v>0.18210438799076226</v>
      </c>
      <c r="K179" s="24">
        <f t="shared" si="28"/>
        <v>433</v>
      </c>
      <c r="L179" s="25">
        <f t="shared" si="29"/>
        <v>241.1700000000003</v>
      </c>
      <c r="M179" s="26">
        <f t="shared" si="30"/>
        <v>0.55697459584295683</v>
      </c>
      <c r="N179" s="27">
        <f t="shared" si="31"/>
        <v>433</v>
      </c>
      <c r="O179" s="28">
        <f t="shared" si="32"/>
        <v>23877</v>
      </c>
      <c r="P179" s="29">
        <f t="shared" si="33"/>
        <v>55.143187066974598</v>
      </c>
      <c r="Q179" s="30">
        <f t="shared" si="34"/>
        <v>433</v>
      </c>
      <c r="R179" s="11" t="str">
        <f t="shared" si="35"/>
        <v>1</v>
      </c>
      <c r="S179" s="10" t="str">
        <f t="shared" si="36"/>
        <v>8</v>
      </c>
      <c r="T179" s="9">
        <f t="shared" si="37"/>
        <v>3</v>
      </c>
      <c r="U179" t="str">
        <f t="shared" si="38"/>
        <v>Mismatch</v>
      </c>
    </row>
    <row r="180" spans="1:21" x14ac:dyDescent="0.2">
      <c r="A180" s="12">
        <v>178</v>
      </c>
      <c r="B180" s="12">
        <v>179</v>
      </c>
      <c r="C180" s="12">
        <v>0.1212</v>
      </c>
      <c r="D180" s="12">
        <v>0.37</v>
      </c>
      <c r="E180" s="12">
        <v>0.55220000000000002</v>
      </c>
      <c r="F180" s="12">
        <v>5</v>
      </c>
      <c r="G180" s="12">
        <v>64</v>
      </c>
      <c r="H180" s="12">
        <v>69</v>
      </c>
      <c r="I180" s="22">
        <f t="shared" si="26"/>
        <v>78.714800000000068</v>
      </c>
      <c r="J180" s="23">
        <f t="shared" si="27"/>
        <v>0.18221018518518534</v>
      </c>
      <c r="K180" s="24">
        <f t="shared" si="28"/>
        <v>432</v>
      </c>
      <c r="L180" s="25">
        <f t="shared" si="29"/>
        <v>240.88000000000031</v>
      </c>
      <c r="M180" s="26">
        <f t="shared" si="30"/>
        <v>0.55759259259259331</v>
      </c>
      <c r="N180" s="27">
        <f t="shared" si="31"/>
        <v>432</v>
      </c>
      <c r="O180" s="28">
        <f t="shared" si="32"/>
        <v>23801</v>
      </c>
      <c r="P180" s="29">
        <f t="shared" si="33"/>
        <v>55.094907407407405</v>
      </c>
      <c r="Q180" s="30">
        <f t="shared" si="34"/>
        <v>432</v>
      </c>
      <c r="R180" s="11" t="str">
        <f t="shared" si="35"/>
        <v>1</v>
      </c>
      <c r="S180" s="10" t="str">
        <f t="shared" si="36"/>
        <v>9</v>
      </c>
      <c r="T180" s="9">
        <f t="shared" si="37"/>
        <v>3</v>
      </c>
      <c r="U180" t="str">
        <f t="shared" si="38"/>
        <v>Mismatch</v>
      </c>
    </row>
    <row r="181" spans="1:21" x14ac:dyDescent="0.2">
      <c r="A181" s="12">
        <v>179</v>
      </c>
      <c r="B181" s="12">
        <v>180</v>
      </c>
      <c r="C181" s="12">
        <v>0.1212</v>
      </c>
      <c r="D181" s="12">
        <v>0.39</v>
      </c>
      <c r="E181" s="12">
        <v>0.29849999999999999</v>
      </c>
      <c r="F181" s="12">
        <v>3</v>
      </c>
      <c r="G181" s="12">
        <v>52</v>
      </c>
      <c r="H181" s="12">
        <v>55</v>
      </c>
      <c r="I181" s="22">
        <f t="shared" si="26"/>
        <v>78.593600000000052</v>
      </c>
      <c r="J181" s="23">
        <f t="shared" si="27"/>
        <v>0.18235174013921127</v>
      </c>
      <c r="K181" s="24">
        <f t="shared" si="28"/>
        <v>431</v>
      </c>
      <c r="L181" s="25">
        <f t="shared" si="29"/>
        <v>240.5100000000003</v>
      </c>
      <c r="M181" s="26">
        <f t="shared" si="30"/>
        <v>0.55802784222737889</v>
      </c>
      <c r="N181" s="27">
        <f t="shared" si="31"/>
        <v>431</v>
      </c>
      <c r="O181" s="28">
        <f t="shared" si="32"/>
        <v>23732</v>
      </c>
      <c r="P181" s="29">
        <f t="shared" si="33"/>
        <v>55.062645011600928</v>
      </c>
      <c r="Q181" s="30">
        <f t="shared" si="34"/>
        <v>431</v>
      </c>
      <c r="R181" s="11" t="str">
        <f t="shared" si="35"/>
        <v>1</v>
      </c>
      <c r="S181" s="10" t="str">
        <f t="shared" si="36"/>
        <v>0</v>
      </c>
      <c r="T181" s="9">
        <f t="shared" si="37"/>
        <v>3</v>
      </c>
      <c r="U181" t="str">
        <f t="shared" si="38"/>
        <v>Mismatch</v>
      </c>
    </row>
    <row r="182" spans="1:21" x14ac:dyDescent="0.2">
      <c r="A182" s="12">
        <v>180</v>
      </c>
      <c r="B182" s="12">
        <v>181</v>
      </c>
      <c r="C182" s="12">
        <v>0.1212</v>
      </c>
      <c r="D182" s="12">
        <v>0.36</v>
      </c>
      <c r="E182" s="12">
        <v>0.25369999999999998</v>
      </c>
      <c r="F182" s="12">
        <v>4</v>
      </c>
      <c r="G182" s="12">
        <v>26</v>
      </c>
      <c r="H182" s="12">
        <v>30</v>
      </c>
      <c r="I182" s="22">
        <f t="shared" si="26"/>
        <v>78.472400000000064</v>
      </c>
      <c r="J182" s="23">
        <f t="shared" si="27"/>
        <v>0.18249395348837225</v>
      </c>
      <c r="K182" s="24">
        <f t="shared" si="28"/>
        <v>430</v>
      </c>
      <c r="L182" s="25">
        <f t="shared" si="29"/>
        <v>240.12000000000032</v>
      </c>
      <c r="M182" s="26">
        <f t="shared" si="30"/>
        <v>0.55841860465116355</v>
      </c>
      <c r="N182" s="27">
        <f t="shared" si="31"/>
        <v>430</v>
      </c>
      <c r="O182" s="28">
        <f t="shared" si="32"/>
        <v>23677</v>
      </c>
      <c r="P182" s="29">
        <f t="shared" si="33"/>
        <v>55.062790697674416</v>
      </c>
      <c r="Q182" s="30">
        <f t="shared" si="34"/>
        <v>430</v>
      </c>
      <c r="R182" s="11" t="str">
        <f t="shared" si="35"/>
        <v>1</v>
      </c>
      <c r="S182" s="10" t="str">
        <f t="shared" si="36"/>
        <v>1</v>
      </c>
      <c r="T182" s="9">
        <f t="shared" si="37"/>
        <v>3</v>
      </c>
      <c r="U182" t="str">
        <f t="shared" si="38"/>
        <v>Match</v>
      </c>
    </row>
    <row r="183" spans="1:21" x14ac:dyDescent="0.2">
      <c r="A183" s="12">
        <v>181</v>
      </c>
      <c r="B183" s="12">
        <v>182</v>
      </c>
      <c r="C183" s="12">
        <v>0.1212</v>
      </c>
      <c r="D183" s="12">
        <v>0.36</v>
      </c>
      <c r="E183" s="12">
        <v>0.25369999999999998</v>
      </c>
      <c r="F183" s="12">
        <v>0</v>
      </c>
      <c r="G183" s="12">
        <v>28</v>
      </c>
      <c r="H183" s="12">
        <v>28</v>
      </c>
      <c r="I183" s="22">
        <f t="shared" si="26"/>
        <v>78.351200000000077</v>
      </c>
      <c r="J183" s="23">
        <f t="shared" si="27"/>
        <v>0.18263682983683002</v>
      </c>
      <c r="K183" s="24">
        <f t="shared" si="28"/>
        <v>429</v>
      </c>
      <c r="L183" s="25">
        <f t="shared" si="29"/>
        <v>239.7600000000003</v>
      </c>
      <c r="M183" s="26">
        <f t="shared" si="30"/>
        <v>0.55888111888111958</v>
      </c>
      <c r="N183" s="27">
        <f t="shared" si="31"/>
        <v>429</v>
      </c>
      <c r="O183" s="28">
        <f t="shared" si="32"/>
        <v>23647</v>
      </c>
      <c r="P183" s="29">
        <f t="shared" si="33"/>
        <v>55.121212121212125</v>
      </c>
      <c r="Q183" s="30">
        <f t="shared" si="34"/>
        <v>429</v>
      </c>
      <c r="R183" s="11" t="str">
        <f t="shared" si="35"/>
        <v>1</v>
      </c>
      <c r="S183" s="10" t="str">
        <f t="shared" si="36"/>
        <v>2</v>
      </c>
      <c r="T183" s="9">
        <f t="shared" si="37"/>
        <v>3</v>
      </c>
      <c r="U183" t="str">
        <f t="shared" si="38"/>
        <v>Mismatch</v>
      </c>
    </row>
    <row r="184" spans="1:21" x14ac:dyDescent="0.2">
      <c r="A184" s="12">
        <v>182</v>
      </c>
      <c r="B184" s="12">
        <v>183</v>
      </c>
      <c r="C184" s="12">
        <v>0.1061</v>
      </c>
      <c r="D184" s="12">
        <v>0.39</v>
      </c>
      <c r="E184" s="12">
        <v>0.35820000000000002</v>
      </c>
      <c r="F184" s="12">
        <v>2</v>
      </c>
      <c r="G184" s="12">
        <v>35</v>
      </c>
      <c r="H184" s="12">
        <v>37</v>
      </c>
      <c r="I184" s="22">
        <f t="shared" si="26"/>
        <v>78.230000000000075</v>
      </c>
      <c r="J184" s="23">
        <f t="shared" si="27"/>
        <v>0.18278037383177587</v>
      </c>
      <c r="K184" s="24">
        <f t="shared" si="28"/>
        <v>428</v>
      </c>
      <c r="L184" s="25">
        <f t="shared" si="29"/>
        <v>239.40000000000032</v>
      </c>
      <c r="M184" s="26">
        <f t="shared" si="30"/>
        <v>0.55934579439252408</v>
      </c>
      <c r="N184" s="27">
        <f t="shared" si="31"/>
        <v>428</v>
      </c>
      <c r="O184" s="28">
        <f t="shared" si="32"/>
        <v>23619</v>
      </c>
      <c r="P184" s="29">
        <f t="shared" si="33"/>
        <v>55.184579439252339</v>
      </c>
      <c r="Q184" s="30">
        <f t="shared" si="34"/>
        <v>428</v>
      </c>
      <c r="R184" s="11" t="str">
        <f t="shared" si="35"/>
        <v>1</v>
      </c>
      <c r="S184" s="10" t="str">
        <f t="shared" si="36"/>
        <v>3</v>
      </c>
      <c r="T184" s="9">
        <f t="shared" si="37"/>
        <v>3</v>
      </c>
      <c r="U184" t="str">
        <f t="shared" si="38"/>
        <v>Mismatch</v>
      </c>
    </row>
    <row r="185" spans="1:21" x14ac:dyDescent="0.2">
      <c r="A185" s="12">
        <v>183</v>
      </c>
      <c r="B185" s="12">
        <v>184</v>
      </c>
      <c r="C185" s="12">
        <v>0.1061</v>
      </c>
      <c r="D185" s="12">
        <v>0.36</v>
      </c>
      <c r="E185" s="12">
        <v>0.3881</v>
      </c>
      <c r="F185" s="12">
        <v>1</v>
      </c>
      <c r="G185" s="12">
        <v>33</v>
      </c>
      <c r="H185" s="12">
        <v>34</v>
      </c>
      <c r="I185" s="22">
        <f t="shared" si="26"/>
        <v>78.123900000000077</v>
      </c>
      <c r="J185" s="23">
        <f t="shared" si="27"/>
        <v>0.18295995316159269</v>
      </c>
      <c r="K185" s="24">
        <f t="shared" si="28"/>
        <v>427</v>
      </c>
      <c r="L185" s="25">
        <f t="shared" si="29"/>
        <v>239.0100000000003</v>
      </c>
      <c r="M185" s="26">
        <f t="shared" si="30"/>
        <v>0.55974238875878291</v>
      </c>
      <c r="N185" s="27">
        <f t="shared" si="31"/>
        <v>427</v>
      </c>
      <c r="O185" s="28">
        <f t="shared" si="32"/>
        <v>23582</v>
      </c>
      <c r="P185" s="29">
        <f t="shared" si="33"/>
        <v>55.227166276346601</v>
      </c>
      <c r="Q185" s="30">
        <f t="shared" si="34"/>
        <v>427</v>
      </c>
      <c r="R185" s="11" t="str">
        <f t="shared" si="35"/>
        <v>1</v>
      </c>
      <c r="S185" s="10" t="str">
        <f t="shared" si="36"/>
        <v>4</v>
      </c>
      <c r="T185" s="9">
        <f t="shared" si="37"/>
        <v>3</v>
      </c>
      <c r="U185" t="str">
        <f t="shared" si="38"/>
        <v>Mismatch</v>
      </c>
    </row>
    <row r="186" spans="1:21" x14ac:dyDescent="0.2">
      <c r="A186" s="12">
        <v>184</v>
      </c>
      <c r="B186" s="12">
        <v>185</v>
      </c>
      <c r="C186" s="12">
        <v>6.0600000000000001E-2</v>
      </c>
      <c r="D186" s="12">
        <v>0.39</v>
      </c>
      <c r="E186" s="12">
        <v>0.44779999999999998</v>
      </c>
      <c r="F186" s="12">
        <v>0</v>
      </c>
      <c r="G186" s="12">
        <v>22</v>
      </c>
      <c r="H186" s="12">
        <v>22</v>
      </c>
      <c r="I186" s="22">
        <f t="shared" si="26"/>
        <v>78.017800000000079</v>
      </c>
      <c r="J186" s="23">
        <f t="shared" si="27"/>
        <v>0.18314037558685464</v>
      </c>
      <c r="K186" s="24">
        <f t="shared" si="28"/>
        <v>426</v>
      </c>
      <c r="L186" s="25">
        <f t="shared" si="29"/>
        <v>238.65000000000029</v>
      </c>
      <c r="M186" s="26">
        <f t="shared" si="30"/>
        <v>0.56021126760563444</v>
      </c>
      <c r="N186" s="27">
        <f t="shared" si="31"/>
        <v>426</v>
      </c>
      <c r="O186" s="28">
        <f t="shared" si="32"/>
        <v>23548</v>
      </c>
      <c r="P186" s="29">
        <f t="shared" si="33"/>
        <v>55.27699530516432</v>
      </c>
      <c r="Q186" s="30">
        <f t="shared" si="34"/>
        <v>426</v>
      </c>
      <c r="R186" s="11" t="str">
        <f t="shared" si="35"/>
        <v>1</v>
      </c>
      <c r="S186" s="10" t="str">
        <f t="shared" si="36"/>
        <v>5</v>
      </c>
      <c r="T186" s="9">
        <f t="shared" si="37"/>
        <v>3</v>
      </c>
      <c r="U186" t="str">
        <f t="shared" si="38"/>
        <v>Mismatch</v>
      </c>
    </row>
    <row r="187" spans="1:21" x14ac:dyDescent="0.2">
      <c r="A187" s="12">
        <v>185</v>
      </c>
      <c r="B187" s="12">
        <v>186</v>
      </c>
      <c r="C187" s="12">
        <v>7.5800000000000006E-2</v>
      </c>
      <c r="D187" s="12">
        <v>0.42</v>
      </c>
      <c r="E187" s="12">
        <v>0.3881</v>
      </c>
      <c r="F187" s="12">
        <v>1</v>
      </c>
      <c r="G187" s="12">
        <v>24</v>
      </c>
      <c r="H187" s="12">
        <v>25</v>
      </c>
      <c r="I187" s="22">
        <f t="shared" si="26"/>
        <v>77.957200000000086</v>
      </c>
      <c r="J187" s="23">
        <f t="shared" si="27"/>
        <v>0.18342870588235313</v>
      </c>
      <c r="K187" s="24">
        <f t="shared" si="28"/>
        <v>425</v>
      </c>
      <c r="L187" s="25">
        <f t="shared" si="29"/>
        <v>238.2600000000003</v>
      </c>
      <c r="M187" s="26">
        <f t="shared" si="30"/>
        <v>0.56061176470588303</v>
      </c>
      <c r="N187" s="27">
        <f t="shared" si="31"/>
        <v>425</v>
      </c>
      <c r="O187" s="28">
        <f t="shared" si="32"/>
        <v>23526</v>
      </c>
      <c r="P187" s="29">
        <f t="shared" si="33"/>
        <v>55.355294117647055</v>
      </c>
      <c r="Q187" s="30">
        <f t="shared" si="34"/>
        <v>425</v>
      </c>
      <c r="R187" s="11" t="str">
        <f t="shared" si="35"/>
        <v>1</v>
      </c>
      <c r="S187" s="10" t="str">
        <f t="shared" si="36"/>
        <v>6</v>
      </c>
      <c r="T187" s="9">
        <f t="shared" si="37"/>
        <v>3</v>
      </c>
      <c r="U187" t="str">
        <f t="shared" si="38"/>
        <v>Mismatch</v>
      </c>
    </row>
    <row r="188" spans="1:21" x14ac:dyDescent="0.2">
      <c r="A188" s="12">
        <v>186</v>
      </c>
      <c r="B188" s="12">
        <v>187</v>
      </c>
      <c r="C188" s="12">
        <v>6.0600000000000001E-2</v>
      </c>
      <c r="D188" s="12">
        <v>0.42</v>
      </c>
      <c r="E188" s="12">
        <v>0.4627</v>
      </c>
      <c r="F188" s="12">
        <v>0</v>
      </c>
      <c r="G188" s="12">
        <v>12</v>
      </c>
      <c r="H188" s="12">
        <v>12</v>
      </c>
      <c r="I188" s="22">
        <f t="shared" si="26"/>
        <v>77.881400000000085</v>
      </c>
      <c r="J188" s="23">
        <f t="shared" si="27"/>
        <v>0.18368254716981153</v>
      </c>
      <c r="K188" s="24">
        <f t="shared" si="28"/>
        <v>424</v>
      </c>
      <c r="L188" s="25">
        <f t="shared" si="29"/>
        <v>237.84000000000029</v>
      </c>
      <c r="M188" s="26">
        <f t="shared" si="30"/>
        <v>0.56094339622641576</v>
      </c>
      <c r="N188" s="27">
        <f t="shared" si="31"/>
        <v>424</v>
      </c>
      <c r="O188" s="28">
        <f t="shared" si="32"/>
        <v>23501</v>
      </c>
      <c r="P188" s="29">
        <f t="shared" si="33"/>
        <v>55.426886792452834</v>
      </c>
      <c r="Q188" s="30">
        <f t="shared" si="34"/>
        <v>424</v>
      </c>
      <c r="R188" s="11" t="str">
        <f t="shared" si="35"/>
        <v>1</v>
      </c>
      <c r="S188" s="10" t="str">
        <f t="shared" si="36"/>
        <v>7</v>
      </c>
      <c r="T188" s="9">
        <f t="shared" si="37"/>
        <v>3</v>
      </c>
      <c r="U188" t="str">
        <f t="shared" si="38"/>
        <v>Mismatch</v>
      </c>
    </row>
    <row r="189" spans="1:21" x14ac:dyDescent="0.2">
      <c r="A189" s="12">
        <v>187</v>
      </c>
      <c r="B189" s="12">
        <v>188</v>
      </c>
      <c r="C189" s="12">
        <v>6.0600000000000001E-2</v>
      </c>
      <c r="D189" s="12">
        <v>0.46</v>
      </c>
      <c r="E189" s="12">
        <v>0.4627</v>
      </c>
      <c r="F189" s="12">
        <v>0</v>
      </c>
      <c r="G189" s="12">
        <v>11</v>
      </c>
      <c r="H189" s="12">
        <v>11</v>
      </c>
      <c r="I189" s="22">
        <f t="shared" si="26"/>
        <v>77.820800000000091</v>
      </c>
      <c r="J189" s="23">
        <f t="shared" si="27"/>
        <v>0.18397352245862905</v>
      </c>
      <c r="K189" s="24">
        <f t="shared" si="28"/>
        <v>423</v>
      </c>
      <c r="L189" s="25">
        <f t="shared" si="29"/>
        <v>237.4200000000003</v>
      </c>
      <c r="M189" s="26">
        <f t="shared" si="30"/>
        <v>0.56127659574468158</v>
      </c>
      <c r="N189" s="27">
        <f t="shared" si="31"/>
        <v>423</v>
      </c>
      <c r="O189" s="28">
        <f t="shared" si="32"/>
        <v>23489</v>
      </c>
      <c r="P189" s="29">
        <f t="shared" si="33"/>
        <v>55.529550827423165</v>
      </c>
      <c r="Q189" s="30">
        <f t="shared" si="34"/>
        <v>423</v>
      </c>
      <c r="R189" s="11" t="str">
        <f t="shared" si="35"/>
        <v>1</v>
      </c>
      <c r="S189" s="10" t="str">
        <f t="shared" si="36"/>
        <v>8</v>
      </c>
      <c r="T189" s="9">
        <f t="shared" si="37"/>
        <v>3</v>
      </c>
      <c r="U189" t="str">
        <f t="shared" si="38"/>
        <v>Mismatch</v>
      </c>
    </row>
    <row r="190" spans="1:21" x14ac:dyDescent="0.2">
      <c r="A190" s="12">
        <v>188</v>
      </c>
      <c r="B190" s="12">
        <v>189</v>
      </c>
      <c r="C190" s="12">
        <v>7.5800000000000006E-2</v>
      </c>
      <c r="D190" s="12">
        <v>0.46</v>
      </c>
      <c r="E190" s="12">
        <v>0.41789999999999999</v>
      </c>
      <c r="F190" s="12">
        <v>0</v>
      </c>
      <c r="G190" s="12">
        <v>4</v>
      </c>
      <c r="H190" s="12">
        <v>4</v>
      </c>
      <c r="I190" s="22">
        <f t="shared" si="26"/>
        <v>77.760200000000097</v>
      </c>
      <c r="J190" s="23">
        <f t="shared" si="27"/>
        <v>0.18426587677725143</v>
      </c>
      <c r="K190" s="24">
        <f t="shared" si="28"/>
        <v>422</v>
      </c>
      <c r="L190" s="25">
        <f t="shared" si="29"/>
        <v>236.96000000000029</v>
      </c>
      <c r="M190" s="26">
        <f t="shared" si="30"/>
        <v>0.56151658767772583</v>
      </c>
      <c r="N190" s="27">
        <f t="shared" si="31"/>
        <v>422</v>
      </c>
      <c r="O190" s="28">
        <f t="shared" si="32"/>
        <v>23478</v>
      </c>
      <c r="P190" s="29">
        <f t="shared" si="33"/>
        <v>55.63507109004739</v>
      </c>
      <c r="Q190" s="30">
        <f t="shared" si="34"/>
        <v>422</v>
      </c>
      <c r="R190" s="11" t="str">
        <f t="shared" si="35"/>
        <v>1</v>
      </c>
      <c r="S190" s="10" t="str">
        <f t="shared" si="36"/>
        <v>9</v>
      </c>
      <c r="T190" s="9">
        <f t="shared" si="37"/>
        <v>3</v>
      </c>
      <c r="U190" t="str">
        <f t="shared" si="38"/>
        <v>Mismatch</v>
      </c>
    </row>
    <row r="191" spans="1:21" x14ac:dyDescent="0.2">
      <c r="A191" s="12">
        <v>189</v>
      </c>
      <c r="B191" s="12">
        <v>190</v>
      </c>
      <c r="C191" s="12">
        <v>9.0899999999999995E-2</v>
      </c>
      <c r="D191" s="12">
        <v>0.53</v>
      </c>
      <c r="E191" s="12">
        <v>0.19400000000000001</v>
      </c>
      <c r="F191" s="12">
        <v>0</v>
      </c>
      <c r="G191" s="12">
        <v>1</v>
      </c>
      <c r="H191" s="12">
        <v>1</v>
      </c>
      <c r="I191" s="22">
        <f t="shared" si="26"/>
        <v>77.684400000000096</v>
      </c>
      <c r="J191" s="23">
        <f t="shared" si="27"/>
        <v>0.18452351543943016</v>
      </c>
      <c r="K191" s="24">
        <f t="shared" si="28"/>
        <v>421</v>
      </c>
      <c r="L191" s="25">
        <f t="shared" si="29"/>
        <v>236.50000000000028</v>
      </c>
      <c r="M191" s="26">
        <f t="shared" si="30"/>
        <v>0.56175771971496502</v>
      </c>
      <c r="N191" s="27">
        <f t="shared" si="31"/>
        <v>421</v>
      </c>
      <c r="O191" s="28">
        <f t="shared" si="32"/>
        <v>23474</v>
      </c>
      <c r="P191" s="29">
        <f t="shared" si="33"/>
        <v>55.757719714964374</v>
      </c>
      <c r="Q191" s="30">
        <f t="shared" si="34"/>
        <v>421</v>
      </c>
      <c r="R191" s="11" t="str">
        <f t="shared" si="35"/>
        <v>1</v>
      </c>
      <c r="S191" s="10" t="str">
        <f t="shared" si="36"/>
        <v>0</v>
      </c>
      <c r="T191" s="9">
        <f t="shared" si="37"/>
        <v>3</v>
      </c>
      <c r="U191" t="str">
        <f t="shared" si="38"/>
        <v>Mismatch</v>
      </c>
    </row>
    <row r="192" spans="1:21" x14ac:dyDescent="0.2">
      <c r="A192" s="12">
        <v>190</v>
      </c>
      <c r="B192" s="12">
        <v>191</v>
      </c>
      <c r="C192" s="12">
        <v>9.0899999999999995E-2</v>
      </c>
      <c r="D192" s="12">
        <v>0.53</v>
      </c>
      <c r="E192" s="12">
        <v>0.19400000000000001</v>
      </c>
      <c r="F192" s="12">
        <v>0</v>
      </c>
      <c r="G192" s="12">
        <v>1</v>
      </c>
      <c r="H192" s="12">
        <v>1</v>
      </c>
      <c r="I192" s="22">
        <f t="shared" si="26"/>
        <v>77.593500000000091</v>
      </c>
      <c r="J192" s="23">
        <f t="shared" si="27"/>
        <v>0.18474642857142878</v>
      </c>
      <c r="K192" s="24">
        <f t="shared" si="28"/>
        <v>420</v>
      </c>
      <c r="L192" s="25">
        <f t="shared" si="29"/>
        <v>235.97000000000028</v>
      </c>
      <c r="M192" s="26">
        <f t="shared" si="30"/>
        <v>0.56183333333333396</v>
      </c>
      <c r="N192" s="27">
        <f t="shared" si="31"/>
        <v>420</v>
      </c>
      <c r="O192" s="28">
        <f t="shared" si="32"/>
        <v>23473</v>
      </c>
      <c r="P192" s="29">
        <f t="shared" si="33"/>
        <v>55.888095238095239</v>
      </c>
      <c r="Q192" s="30">
        <f t="shared" si="34"/>
        <v>420</v>
      </c>
      <c r="R192" s="11" t="str">
        <f t="shared" si="35"/>
        <v>1</v>
      </c>
      <c r="S192" s="10" t="str">
        <f t="shared" si="36"/>
        <v>1</v>
      </c>
      <c r="T192" s="9">
        <f t="shared" si="37"/>
        <v>3</v>
      </c>
      <c r="U192" t="str">
        <f t="shared" si="38"/>
        <v>Match</v>
      </c>
    </row>
    <row r="193" spans="1:21" x14ac:dyDescent="0.2">
      <c r="A193" s="12">
        <v>191</v>
      </c>
      <c r="B193" s="12">
        <v>192</v>
      </c>
      <c r="C193" s="12">
        <v>9.0899999999999995E-2</v>
      </c>
      <c r="D193" s="12">
        <v>0.49</v>
      </c>
      <c r="E193" s="12">
        <v>0.28360000000000002</v>
      </c>
      <c r="F193" s="12">
        <v>0</v>
      </c>
      <c r="G193" s="12">
        <v>1</v>
      </c>
      <c r="H193" s="12">
        <v>1</v>
      </c>
      <c r="I193" s="22">
        <f t="shared" si="26"/>
        <v>77.502600000000086</v>
      </c>
      <c r="J193" s="23">
        <f t="shared" si="27"/>
        <v>0.18497040572792384</v>
      </c>
      <c r="K193" s="24">
        <f t="shared" si="28"/>
        <v>419</v>
      </c>
      <c r="L193" s="25">
        <f t="shared" si="29"/>
        <v>235.44000000000031</v>
      </c>
      <c r="M193" s="26">
        <f t="shared" si="30"/>
        <v>0.56190930787589577</v>
      </c>
      <c r="N193" s="27">
        <f t="shared" si="31"/>
        <v>419</v>
      </c>
      <c r="O193" s="28">
        <f t="shared" si="32"/>
        <v>23472</v>
      </c>
      <c r="P193" s="29">
        <f t="shared" si="33"/>
        <v>56.019093078758949</v>
      </c>
      <c r="Q193" s="30">
        <f t="shared" si="34"/>
        <v>419</v>
      </c>
      <c r="R193" s="11" t="str">
        <f t="shared" si="35"/>
        <v>1</v>
      </c>
      <c r="S193" s="10" t="str">
        <f t="shared" si="36"/>
        <v>2</v>
      </c>
      <c r="T193" s="9">
        <f t="shared" si="37"/>
        <v>3</v>
      </c>
      <c r="U193" t="str">
        <f t="shared" si="38"/>
        <v>Mismatch</v>
      </c>
    </row>
    <row r="194" spans="1:21" x14ac:dyDescent="0.2">
      <c r="A194" s="12">
        <v>192</v>
      </c>
      <c r="B194" s="12">
        <v>193</v>
      </c>
      <c r="C194" s="12">
        <v>9.0899999999999995E-2</v>
      </c>
      <c r="D194" s="12">
        <v>0.53</v>
      </c>
      <c r="E194" s="12">
        <v>0.19400000000000001</v>
      </c>
      <c r="F194" s="12">
        <v>1</v>
      </c>
      <c r="G194" s="12">
        <v>5</v>
      </c>
      <c r="H194" s="12">
        <v>6</v>
      </c>
      <c r="I194" s="22">
        <f t="shared" si="26"/>
        <v>77.411700000000096</v>
      </c>
      <c r="J194" s="23">
        <f t="shared" si="27"/>
        <v>0.18519545454545477</v>
      </c>
      <c r="K194" s="24">
        <f t="shared" si="28"/>
        <v>418</v>
      </c>
      <c r="L194" s="25">
        <f t="shared" si="29"/>
        <v>234.9500000000003</v>
      </c>
      <c r="M194" s="26">
        <f t="shared" si="30"/>
        <v>0.5620813397129194</v>
      </c>
      <c r="N194" s="27">
        <f t="shared" si="31"/>
        <v>418</v>
      </c>
      <c r="O194" s="28">
        <f t="shared" si="32"/>
        <v>23471</v>
      </c>
      <c r="P194" s="29">
        <f t="shared" si="33"/>
        <v>56.150717703349279</v>
      </c>
      <c r="Q194" s="30">
        <f t="shared" si="34"/>
        <v>418</v>
      </c>
      <c r="R194" s="11" t="str">
        <f t="shared" si="35"/>
        <v>1</v>
      </c>
      <c r="S194" s="10" t="str">
        <f t="shared" si="36"/>
        <v>3</v>
      </c>
      <c r="T194" s="9">
        <f t="shared" si="37"/>
        <v>3</v>
      </c>
      <c r="U194" t="str">
        <f t="shared" si="38"/>
        <v>Mismatch</v>
      </c>
    </row>
    <row r="195" spans="1:21" x14ac:dyDescent="0.2">
      <c r="A195" s="12">
        <v>193</v>
      </c>
      <c r="B195" s="12">
        <v>194</v>
      </c>
      <c r="C195" s="12">
        <v>9.0899999999999995E-2</v>
      </c>
      <c r="D195" s="12">
        <v>0.49</v>
      </c>
      <c r="E195" s="12">
        <v>0.28360000000000002</v>
      </c>
      <c r="F195" s="12">
        <v>0</v>
      </c>
      <c r="G195" s="12">
        <v>10</v>
      </c>
      <c r="H195" s="12">
        <v>10</v>
      </c>
      <c r="I195" s="22">
        <f t="shared" ref="I195:I258" si="39">SUM(C195:C804)</f>
        <v>77.320800000000091</v>
      </c>
      <c r="J195" s="23">
        <f t="shared" ref="J195:J258" si="40">AVERAGE(C195:C804)</f>
        <v>0.18542158273381318</v>
      </c>
      <c r="K195" s="24">
        <f t="shared" ref="K195:K258" si="41">COUNT(C195:C804)</f>
        <v>417</v>
      </c>
      <c r="L195" s="25">
        <f t="shared" ref="L195:L258" si="42">SUM(D195:D804)</f>
        <v>234.4200000000003</v>
      </c>
      <c r="M195" s="26">
        <f t="shared" ref="M195:M258" si="43">AVERAGE(D195:D804)</f>
        <v>0.56215827338129565</v>
      </c>
      <c r="N195" s="27">
        <f t="shared" ref="N195:N258" si="44">COUNT(D195:D804)</f>
        <v>417</v>
      </c>
      <c r="O195" s="28">
        <f t="shared" ref="O195:O258" si="45">SUM(H195:H804)</f>
        <v>23465</v>
      </c>
      <c r="P195" s="29">
        <f t="shared" ref="P195:P258" si="46">AVERAGE(H195:H804)</f>
        <v>56.270983213429254</v>
      </c>
      <c r="Q195" s="30">
        <f t="shared" ref="Q195:Q258" si="47">COUNT(H195:H804)</f>
        <v>417</v>
      </c>
      <c r="R195" s="11" t="str">
        <f t="shared" ref="R195:R258" si="48">LEFT(B195,1)</f>
        <v>1</v>
      </c>
      <c r="S195" s="10" t="str">
        <f t="shared" ref="S195:S258" si="49">RIGHT(B195,1)</f>
        <v>4</v>
      </c>
      <c r="T195" s="9">
        <f t="shared" ref="T195:T258" si="50">LEN(B195)</f>
        <v>3</v>
      </c>
      <c r="U195" t="str">
        <f t="shared" ref="U195:U258" si="51">IF(R195=S195,"Match","Mismatch")</f>
        <v>Mismatch</v>
      </c>
    </row>
    <row r="196" spans="1:21" x14ac:dyDescent="0.2">
      <c r="A196" s="12">
        <v>194</v>
      </c>
      <c r="B196" s="12">
        <v>195</v>
      </c>
      <c r="C196" s="12">
        <v>7.5800000000000006E-2</v>
      </c>
      <c r="D196" s="12">
        <v>0.46</v>
      </c>
      <c r="E196" s="12">
        <v>0.52239999999999998</v>
      </c>
      <c r="F196" s="12">
        <v>0</v>
      </c>
      <c r="G196" s="12">
        <v>19</v>
      </c>
      <c r="H196" s="12">
        <v>19</v>
      </c>
      <c r="I196" s="22">
        <f t="shared" si="39"/>
        <v>77.229900000000086</v>
      </c>
      <c r="J196" s="23">
        <f t="shared" si="40"/>
        <v>0.18564879807692328</v>
      </c>
      <c r="K196" s="24">
        <f t="shared" si="41"/>
        <v>416</v>
      </c>
      <c r="L196" s="25">
        <f t="shared" si="42"/>
        <v>233.93000000000029</v>
      </c>
      <c r="M196" s="26">
        <f t="shared" si="43"/>
        <v>0.56233173076923149</v>
      </c>
      <c r="N196" s="27">
        <f t="shared" si="44"/>
        <v>416</v>
      </c>
      <c r="O196" s="28">
        <f t="shared" si="45"/>
        <v>23455</v>
      </c>
      <c r="P196" s="29">
        <f t="shared" si="46"/>
        <v>56.38221153846154</v>
      </c>
      <c r="Q196" s="30">
        <f t="shared" si="47"/>
        <v>416</v>
      </c>
      <c r="R196" s="11" t="str">
        <f t="shared" si="48"/>
        <v>1</v>
      </c>
      <c r="S196" s="10" t="str">
        <f t="shared" si="49"/>
        <v>5</v>
      </c>
      <c r="T196" s="9">
        <f t="shared" si="50"/>
        <v>3</v>
      </c>
      <c r="U196" t="str">
        <f t="shared" si="51"/>
        <v>Mismatch</v>
      </c>
    </row>
    <row r="197" spans="1:21" x14ac:dyDescent="0.2">
      <c r="A197" s="12">
        <v>195</v>
      </c>
      <c r="B197" s="12">
        <v>196</v>
      </c>
      <c r="C197" s="12">
        <v>0.1061</v>
      </c>
      <c r="D197" s="12">
        <v>0.43</v>
      </c>
      <c r="E197" s="12">
        <v>0.3881</v>
      </c>
      <c r="F197" s="12">
        <v>0</v>
      </c>
      <c r="G197" s="12">
        <v>49</v>
      </c>
      <c r="H197" s="12">
        <v>49</v>
      </c>
      <c r="I197" s="22">
        <f t="shared" si="39"/>
        <v>77.154100000000085</v>
      </c>
      <c r="J197" s="23">
        <f t="shared" si="40"/>
        <v>0.18591349397590382</v>
      </c>
      <c r="K197" s="24">
        <f t="shared" si="41"/>
        <v>415</v>
      </c>
      <c r="L197" s="25">
        <f t="shared" si="42"/>
        <v>233.47000000000028</v>
      </c>
      <c r="M197" s="26">
        <f t="shared" si="43"/>
        <v>0.56257831325301277</v>
      </c>
      <c r="N197" s="27">
        <f t="shared" si="44"/>
        <v>415</v>
      </c>
      <c r="O197" s="28">
        <f t="shared" si="45"/>
        <v>23436</v>
      </c>
      <c r="P197" s="29">
        <f t="shared" si="46"/>
        <v>56.472289156626509</v>
      </c>
      <c r="Q197" s="30">
        <f t="shared" si="47"/>
        <v>415</v>
      </c>
      <c r="R197" s="11" t="str">
        <f t="shared" si="48"/>
        <v>1</v>
      </c>
      <c r="S197" s="10" t="str">
        <f t="shared" si="49"/>
        <v>6</v>
      </c>
      <c r="T197" s="9">
        <f t="shared" si="50"/>
        <v>3</v>
      </c>
      <c r="U197" t="str">
        <f t="shared" si="51"/>
        <v>Mismatch</v>
      </c>
    </row>
    <row r="198" spans="1:21" x14ac:dyDescent="0.2">
      <c r="A198" s="12">
        <v>196</v>
      </c>
      <c r="B198" s="12">
        <v>197</v>
      </c>
      <c r="C198" s="12">
        <v>0.1212</v>
      </c>
      <c r="D198" s="12">
        <v>0.4</v>
      </c>
      <c r="E198" s="12">
        <v>0.52239999999999998</v>
      </c>
      <c r="F198" s="12">
        <v>2</v>
      </c>
      <c r="G198" s="12">
        <v>47</v>
      </c>
      <c r="H198" s="12">
        <v>49</v>
      </c>
      <c r="I198" s="22">
        <f t="shared" si="39"/>
        <v>77.048000000000073</v>
      </c>
      <c r="J198" s="23">
        <f t="shared" si="40"/>
        <v>0.18610628019323688</v>
      </c>
      <c r="K198" s="24">
        <f t="shared" si="41"/>
        <v>414</v>
      </c>
      <c r="L198" s="25">
        <f t="shared" si="42"/>
        <v>233.0400000000003</v>
      </c>
      <c r="M198" s="26">
        <f t="shared" si="43"/>
        <v>0.56289855072463846</v>
      </c>
      <c r="N198" s="27">
        <f t="shared" si="44"/>
        <v>414</v>
      </c>
      <c r="O198" s="28">
        <f t="shared" si="45"/>
        <v>23387</v>
      </c>
      <c r="P198" s="29">
        <f t="shared" si="46"/>
        <v>56.490338164251206</v>
      </c>
      <c r="Q198" s="30">
        <f t="shared" si="47"/>
        <v>414</v>
      </c>
      <c r="R198" s="11" t="str">
        <f t="shared" si="48"/>
        <v>1</v>
      </c>
      <c r="S198" s="10" t="str">
        <f t="shared" si="49"/>
        <v>7</v>
      </c>
      <c r="T198" s="9">
        <f t="shared" si="50"/>
        <v>3</v>
      </c>
      <c r="U198" t="str">
        <f t="shared" si="51"/>
        <v>Mismatch</v>
      </c>
    </row>
    <row r="199" spans="1:21" x14ac:dyDescent="0.2">
      <c r="A199" s="12">
        <v>197</v>
      </c>
      <c r="B199" s="12">
        <v>198</v>
      </c>
      <c r="C199" s="12">
        <v>0.13639999999999999</v>
      </c>
      <c r="D199" s="12">
        <v>0.37</v>
      </c>
      <c r="E199" s="12">
        <v>0.44779999999999998</v>
      </c>
      <c r="F199" s="12">
        <v>4</v>
      </c>
      <c r="G199" s="12">
        <v>79</v>
      </c>
      <c r="H199" s="12">
        <v>83</v>
      </c>
      <c r="I199" s="22">
        <f t="shared" si="39"/>
        <v>76.926800000000085</v>
      </c>
      <c r="J199" s="23">
        <f t="shared" si="40"/>
        <v>0.18626343825665881</v>
      </c>
      <c r="K199" s="24">
        <f t="shared" si="41"/>
        <v>413</v>
      </c>
      <c r="L199" s="25">
        <f t="shared" si="42"/>
        <v>232.6400000000003</v>
      </c>
      <c r="M199" s="26">
        <f t="shared" si="43"/>
        <v>0.56329297820823321</v>
      </c>
      <c r="N199" s="27">
        <f t="shared" si="44"/>
        <v>413</v>
      </c>
      <c r="O199" s="28">
        <f t="shared" si="45"/>
        <v>23338</v>
      </c>
      <c r="P199" s="29">
        <f t="shared" si="46"/>
        <v>56.508474576271183</v>
      </c>
      <c r="Q199" s="30">
        <f t="shared" si="47"/>
        <v>413</v>
      </c>
      <c r="R199" s="11" t="str">
        <f t="shared" si="48"/>
        <v>1</v>
      </c>
      <c r="S199" s="10" t="str">
        <f t="shared" si="49"/>
        <v>8</v>
      </c>
      <c r="T199" s="9">
        <f t="shared" si="50"/>
        <v>3</v>
      </c>
      <c r="U199" t="str">
        <f t="shared" si="51"/>
        <v>Mismatch</v>
      </c>
    </row>
    <row r="200" spans="1:21" x14ac:dyDescent="0.2">
      <c r="A200" s="12">
        <v>198</v>
      </c>
      <c r="B200" s="12">
        <v>199</v>
      </c>
      <c r="C200" s="12">
        <v>0.16669999999999999</v>
      </c>
      <c r="D200" s="12">
        <v>0.34</v>
      </c>
      <c r="E200" s="12">
        <v>0.44779999999999998</v>
      </c>
      <c r="F200" s="12">
        <v>6</v>
      </c>
      <c r="G200" s="12">
        <v>69</v>
      </c>
      <c r="H200" s="12">
        <v>75</v>
      </c>
      <c r="I200" s="22">
        <f t="shared" si="39"/>
        <v>76.790400000000091</v>
      </c>
      <c r="J200" s="23">
        <f t="shared" si="40"/>
        <v>0.18638446601941769</v>
      </c>
      <c r="K200" s="24">
        <f t="shared" si="41"/>
        <v>412</v>
      </c>
      <c r="L200" s="25">
        <f t="shared" si="42"/>
        <v>232.27000000000029</v>
      </c>
      <c r="M200" s="26">
        <f t="shared" si="43"/>
        <v>0.56376213592233082</v>
      </c>
      <c r="N200" s="27">
        <f t="shared" si="44"/>
        <v>412</v>
      </c>
      <c r="O200" s="28">
        <f t="shared" si="45"/>
        <v>23255</v>
      </c>
      <c r="P200" s="29">
        <f t="shared" si="46"/>
        <v>56.444174757281552</v>
      </c>
      <c r="Q200" s="30">
        <f t="shared" si="47"/>
        <v>412</v>
      </c>
      <c r="R200" s="11" t="str">
        <f t="shared" si="48"/>
        <v>1</v>
      </c>
      <c r="S200" s="10" t="str">
        <f t="shared" si="49"/>
        <v>9</v>
      </c>
      <c r="T200" s="9">
        <f t="shared" si="50"/>
        <v>3</v>
      </c>
      <c r="U200" t="str">
        <f t="shared" si="51"/>
        <v>Mismatch</v>
      </c>
    </row>
    <row r="201" spans="1:21" x14ac:dyDescent="0.2">
      <c r="A201" s="12">
        <v>199</v>
      </c>
      <c r="B201" s="12">
        <v>200</v>
      </c>
      <c r="C201" s="12">
        <v>0.18179999999999999</v>
      </c>
      <c r="D201" s="12">
        <v>0.32</v>
      </c>
      <c r="E201" s="12">
        <v>0.4627</v>
      </c>
      <c r="F201" s="12">
        <v>8</v>
      </c>
      <c r="G201" s="12">
        <v>64</v>
      </c>
      <c r="H201" s="12">
        <v>72</v>
      </c>
      <c r="I201" s="22">
        <f t="shared" si="39"/>
        <v>76.623700000000099</v>
      </c>
      <c r="J201" s="23">
        <f t="shared" si="40"/>
        <v>0.18643236009732383</v>
      </c>
      <c r="K201" s="24">
        <f t="shared" si="41"/>
        <v>411</v>
      </c>
      <c r="L201" s="25">
        <f t="shared" si="42"/>
        <v>231.93000000000029</v>
      </c>
      <c r="M201" s="26">
        <f t="shared" si="43"/>
        <v>0.56430656934306644</v>
      </c>
      <c r="N201" s="27">
        <f t="shared" si="44"/>
        <v>411</v>
      </c>
      <c r="O201" s="28">
        <f t="shared" si="45"/>
        <v>23180</v>
      </c>
      <c r="P201" s="29">
        <f t="shared" si="46"/>
        <v>56.399026763990271</v>
      </c>
      <c r="Q201" s="30">
        <f t="shared" si="47"/>
        <v>411</v>
      </c>
      <c r="R201" s="11" t="str">
        <f t="shared" si="48"/>
        <v>2</v>
      </c>
      <c r="S201" s="10" t="str">
        <f t="shared" si="49"/>
        <v>0</v>
      </c>
      <c r="T201" s="9">
        <f t="shared" si="50"/>
        <v>3</v>
      </c>
      <c r="U201" t="str">
        <f t="shared" si="51"/>
        <v>Mismatch</v>
      </c>
    </row>
    <row r="202" spans="1:21" x14ac:dyDescent="0.2">
      <c r="A202" s="12">
        <v>200</v>
      </c>
      <c r="B202" s="12">
        <v>201</v>
      </c>
      <c r="C202" s="12">
        <v>0.19700000000000001</v>
      </c>
      <c r="D202" s="12">
        <v>0.35</v>
      </c>
      <c r="E202" s="12">
        <v>0.35820000000000002</v>
      </c>
      <c r="F202" s="12">
        <v>5</v>
      </c>
      <c r="G202" s="12">
        <v>77</v>
      </c>
      <c r="H202" s="12">
        <v>82</v>
      </c>
      <c r="I202" s="22">
        <f t="shared" si="39"/>
        <v>76.441900000000089</v>
      </c>
      <c r="J202" s="23">
        <f t="shared" si="40"/>
        <v>0.18644365853658559</v>
      </c>
      <c r="K202" s="24">
        <f t="shared" si="41"/>
        <v>410</v>
      </c>
      <c r="L202" s="25">
        <f t="shared" si="42"/>
        <v>231.61000000000027</v>
      </c>
      <c r="M202" s="26">
        <f t="shared" si="43"/>
        <v>0.56490243902439086</v>
      </c>
      <c r="N202" s="27">
        <f t="shared" si="44"/>
        <v>410</v>
      </c>
      <c r="O202" s="28">
        <f t="shared" si="45"/>
        <v>23108</v>
      </c>
      <c r="P202" s="29">
        <f t="shared" si="46"/>
        <v>56.360975609756096</v>
      </c>
      <c r="Q202" s="30">
        <f t="shared" si="47"/>
        <v>410</v>
      </c>
      <c r="R202" s="11" t="str">
        <f t="shared" si="48"/>
        <v>2</v>
      </c>
      <c r="S202" s="10" t="str">
        <f t="shared" si="49"/>
        <v>1</v>
      </c>
      <c r="T202" s="9">
        <f t="shared" si="50"/>
        <v>3</v>
      </c>
      <c r="U202" t="str">
        <f t="shared" si="51"/>
        <v>Mismatch</v>
      </c>
    </row>
    <row r="203" spans="1:21" x14ac:dyDescent="0.2">
      <c r="A203" s="12">
        <v>201</v>
      </c>
      <c r="B203" s="12">
        <v>202</v>
      </c>
      <c r="C203" s="12">
        <v>0.16669999999999999</v>
      </c>
      <c r="D203" s="12">
        <v>0.34</v>
      </c>
      <c r="E203" s="12">
        <v>0.44779999999999998</v>
      </c>
      <c r="F203" s="12">
        <v>13</v>
      </c>
      <c r="G203" s="12">
        <v>79</v>
      </c>
      <c r="H203" s="12">
        <v>92</v>
      </c>
      <c r="I203" s="22">
        <f t="shared" si="39"/>
        <v>76.244900000000101</v>
      </c>
      <c r="J203" s="23">
        <f t="shared" si="40"/>
        <v>0.1864178484107582</v>
      </c>
      <c r="K203" s="24">
        <f t="shared" si="41"/>
        <v>409</v>
      </c>
      <c r="L203" s="25">
        <f t="shared" si="42"/>
        <v>231.26000000000028</v>
      </c>
      <c r="M203" s="26">
        <f t="shared" si="43"/>
        <v>0.56542787286063634</v>
      </c>
      <c r="N203" s="27">
        <f t="shared" si="44"/>
        <v>409</v>
      </c>
      <c r="O203" s="28">
        <f t="shared" si="45"/>
        <v>23026</v>
      </c>
      <c r="P203" s="29">
        <f t="shared" si="46"/>
        <v>56.298288508557455</v>
      </c>
      <c r="Q203" s="30">
        <f t="shared" si="47"/>
        <v>409</v>
      </c>
      <c r="R203" s="11" t="str">
        <f t="shared" si="48"/>
        <v>2</v>
      </c>
      <c r="S203" s="10" t="str">
        <f t="shared" si="49"/>
        <v>2</v>
      </c>
      <c r="T203" s="9">
        <f t="shared" si="50"/>
        <v>3</v>
      </c>
      <c r="U203" t="str">
        <f t="shared" si="51"/>
        <v>Match</v>
      </c>
    </row>
    <row r="204" spans="1:21" x14ac:dyDescent="0.2">
      <c r="A204" s="12">
        <v>202</v>
      </c>
      <c r="B204" s="12">
        <v>203</v>
      </c>
      <c r="C204" s="12">
        <v>0.1515</v>
      </c>
      <c r="D204" s="12">
        <v>0.37</v>
      </c>
      <c r="E204" s="12">
        <v>0.3881</v>
      </c>
      <c r="F204" s="12">
        <v>3</v>
      </c>
      <c r="G204" s="12">
        <v>59</v>
      </c>
      <c r="H204" s="12">
        <v>62</v>
      </c>
      <c r="I204" s="22">
        <f t="shared" si="39"/>
        <v>76.078200000000095</v>
      </c>
      <c r="J204" s="23">
        <f t="shared" si="40"/>
        <v>0.18646617647058847</v>
      </c>
      <c r="K204" s="24">
        <f t="shared" si="41"/>
        <v>408</v>
      </c>
      <c r="L204" s="25">
        <f t="shared" si="42"/>
        <v>230.92000000000027</v>
      </c>
      <c r="M204" s="26">
        <f t="shared" si="43"/>
        <v>0.56598039215686347</v>
      </c>
      <c r="N204" s="27">
        <f t="shared" si="44"/>
        <v>408</v>
      </c>
      <c r="O204" s="28">
        <f t="shared" si="45"/>
        <v>22934</v>
      </c>
      <c r="P204" s="29">
        <f t="shared" si="46"/>
        <v>56.21078431372549</v>
      </c>
      <c r="Q204" s="30">
        <f t="shared" si="47"/>
        <v>408</v>
      </c>
      <c r="R204" s="11" t="str">
        <f t="shared" si="48"/>
        <v>2</v>
      </c>
      <c r="S204" s="10" t="str">
        <f t="shared" si="49"/>
        <v>3</v>
      </c>
      <c r="T204" s="9">
        <f t="shared" si="50"/>
        <v>3</v>
      </c>
      <c r="U204" t="str">
        <f t="shared" si="51"/>
        <v>Mismatch</v>
      </c>
    </row>
    <row r="205" spans="1:21" x14ac:dyDescent="0.2">
      <c r="A205" s="12">
        <v>203</v>
      </c>
      <c r="B205" s="12">
        <v>204</v>
      </c>
      <c r="C205" s="12">
        <v>0.13639999999999999</v>
      </c>
      <c r="D205" s="12">
        <v>0.4</v>
      </c>
      <c r="E205" s="12">
        <v>0.32840000000000003</v>
      </c>
      <c r="F205" s="12">
        <v>4</v>
      </c>
      <c r="G205" s="12">
        <v>44</v>
      </c>
      <c r="H205" s="12">
        <v>48</v>
      </c>
      <c r="I205" s="22">
        <f t="shared" si="39"/>
        <v>75.926700000000082</v>
      </c>
      <c r="J205" s="23">
        <f t="shared" si="40"/>
        <v>0.18655208845208865</v>
      </c>
      <c r="K205" s="24">
        <f t="shared" si="41"/>
        <v>407</v>
      </c>
      <c r="L205" s="25">
        <f t="shared" si="42"/>
        <v>230.55000000000027</v>
      </c>
      <c r="M205" s="26">
        <f t="shared" si="43"/>
        <v>0.56646191646191713</v>
      </c>
      <c r="N205" s="27">
        <f t="shared" si="44"/>
        <v>407</v>
      </c>
      <c r="O205" s="28">
        <f t="shared" si="45"/>
        <v>22872</v>
      </c>
      <c r="P205" s="29">
        <f t="shared" si="46"/>
        <v>56.196560196560199</v>
      </c>
      <c r="Q205" s="30">
        <f t="shared" si="47"/>
        <v>407</v>
      </c>
      <c r="R205" s="11" t="str">
        <f t="shared" si="48"/>
        <v>2</v>
      </c>
      <c r="S205" s="10" t="str">
        <f t="shared" si="49"/>
        <v>4</v>
      </c>
      <c r="T205" s="9">
        <f t="shared" si="50"/>
        <v>3</v>
      </c>
      <c r="U205" t="str">
        <f t="shared" si="51"/>
        <v>Mismatch</v>
      </c>
    </row>
    <row r="206" spans="1:21" x14ac:dyDescent="0.2">
      <c r="A206" s="12">
        <v>204</v>
      </c>
      <c r="B206" s="12">
        <v>205</v>
      </c>
      <c r="C206" s="12">
        <v>0.13639999999999999</v>
      </c>
      <c r="D206" s="12">
        <v>0.43</v>
      </c>
      <c r="E206" s="12">
        <v>0.32840000000000003</v>
      </c>
      <c r="F206" s="12">
        <v>1</v>
      </c>
      <c r="G206" s="12">
        <v>40</v>
      </c>
      <c r="H206" s="12">
        <v>41</v>
      </c>
      <c r="I206" s="22">
        <f t="shared" si="39"/>
        <v>75.790300000000087</v>
      </c>
      <c r="J206" s="23">
        <f t="shared" si="40"/>
        <v>0.18667561576354702</v>
      </c>
      <c r="K206" s="24">
        <f t="shared" si="41"/>
        <v>406</v>
      </c>
      <c r="L206" s="25">
        <f t="shared" si="42"/>
        <v>230.15000000000026</v>
      </c>
      <c r="M206" s="26">
        <f t="shared" si="43"/>
        <v>0.5668719211822667</v>
      </c>
      <c r="N206" s="27">
        <f t="shared" si="44"/>
        <v>406</v>
      </c>
      <c r="O206" s="28">
        <f t="shared" si="45"/>
        <v>22824</v>
      </c>
      <c r="P206" s="29">
        <f t="shared" si="46"/>
        <v>56.216748768472904</v>
      </c>
      <c r="Q206" s="30">
        <f t="shared" si="47"/>
        <v>406</v>
      </c>
      <c r="R206" s="11" t="str">
        <f t="shared" si="48"/>
        <v>2</v>
      </c>
      <c r="S206" s="10" t="str">
        <f t="shared" si="49"/>
        <v>5</v>
      </c>
      <c r="T206" s="9">
        <f t="shared" si="50"/>
        <v>3</v>
      </c>
      <c r="U206" t="str">
        <f t="shared" si="51"/>
        <v>Mismatch</v>
      </c>
    </row>
    <row r="207" spans="1:21" x14ac:dyDescent="0.2">
      <c r="A207" s="12">
        <v>205</v>
      </c>
      <c r="B207" s="12">
        <v>206</v>
      </c>
      <c r="C207" s="12">
        <v>0.1212</v>
      </c>
      <c r="D207" s="12">
        <v>0.46</v>
      </c>
      <c r="E207" s="12">
        <v>0.25369999999999998</v>
      </c>
      <c r="F207" s="12">
        <v>0</v>
      </c>
      <c r="G207" s="12">
        <v>38</v>
      </c>
      <c r="H207" s="12">
        <v>38</v>
      </c>
      <c r="I207" s="22">
        <f t="shared" si="39"/>
        <v>75.653900000000093</v>
      </c>
      <c r="J207" s="23">
        <f t="shared" si="40"/>
        <v>0.18679975308642</v>
      </c>
      <c r="K207" s="24">
        <f t="shared" si="41"/>
        <v>405</v>
      </c>
      <c r="L207" s="25">
        <f t="shared" si="42"/>
        <v>229.72000000000025</v>
      </c>
      <c r="M207" s="26">
        <f t="shared" si="43"/>
        <v>0.56720987654321053</v>
      </c>
      <c r="N207" s="27">
        <f t="shared" si="44"/>
        <v>405</v>
      </c>
      <c r="O207" s="28">
        <f t="shared" si="45"/>
        <v>22783</v>
      </c>
      <c r="P207" s="29">
        <f t="shared" si="46"/>
        <v>56.254320987654324</v>
      </c>
      <c r="Q207" s="30">
        <f t="shared" si="47"/>
        <v>405</v>
      </c>
      <c r="R207" s="11" t="str">
        <f t="shared" si="48"/>
        <v>2</v>
      </c>
      <c r="S207" s="10" t="str">
        <f t="shared" si="49"/>
        <v>6</v>
      </c>
      <c r="T207" s="9">
        <f t="shared" si="50"/>
        <v>3</v>
      </c>
      <c r="U207" t="str">
        <f t="shared" si="51"/>
        <v>Mismatch</v>
      </c>
    </row>
    <row r="208" spans="1:21" x14ac:dyDescent="0.2">
      <c r="A208" s="12">
        <v>206</v>
      </c>
      <c r="B208" s="12">
        <v>207</v>
      </c>
      <c r="C208" s="12">
        <v>0.1061</v>
      </c>
      <c r="D208" s="12">
        <v>0.46</v>
      </c>
      <c r="E208" s="12">
        <v>0.41789999999999999</v>
      </c>
      <c r="F208" s="12">
        <v>1</v>
      </c>
      <c r="G208" s="12">
        <v>19</v>
      </c>
      <c r="H208" s="12">
        <v>20</v>
      </c>
      <c r="I208" s="22">
        <f t="shared" si="39"/>
        <v>75.532700000000091</v>
      </c>
      <c r="J208" s="23">
        <f t="shared" si="40"/>
        <v>0.18696212871287152</v>
      </c>
      <c r="K208" s="24">
        <f t="shared" si="41"/>
        <v>404</v>
      </c>
      <c r="L208" s="25">
        <f t="shared" si="42"/>
        <v>229.26000000000025</v>
      </c>
      <c r="M208" s="26">
        <f t="shared" si="43"/>
        <v>0.56747524752475309</v>
      </c>
      <c r="N208" s="27">
        <f t="shared" si="44"/>
        <v>404</v>
      </c>
      <c r="O208" s="28">
        <f t="shared" si="45"/>
        <v>22745</v>
      </c>
      <c r="P208" s="29">
        <f t="shared" si="46"/>
        <v>56.299504950495049</v>
      </c>
      <c r="Q208" s="30">
        <f t="shared" si="47"/>
        <v>404</v>
      </c>
      <c r="R208" s="11" t="str">
        <f t="shared" si="48"/>
        <v>2</v>
      </c>
      <c r="S208" s="10" t="str">
        <f t="shared" si="49"/>
        <v>7</v>
      </c>
      <c r="T208" s="9">
        <f t="shared" si="50"/>
        <v>3</v>
      </c>
      <c r="U208" t="str">
        <f t="shared" si="51"/>
        <v>Mismatch</v>
      </c>
    </row>
    <row r="209" spans="1:21" x14ac:dyDescent="0.2">
      <c r="A209" s="12">
        <v>207</v>
      </c>
      <c r="B209" s="12">
        <v>208</v>
      </c>
      <c r="C209" s="12">
        <v>0.1212</v>
      </c>
      <c r="D209" s="12">
        <v>0.46</v>
      </c>
      <c r="E209" s="12">
        <v>0.29849999999999999</v>
      </c>
      <c r="F209" s="12">
        <v>5</v>
      </c>
      <c r="G209" s="12">
        <v>10</v>
      </c>
      <c r="H209" s="12">
        <v>15</v>
      </c>
      <c r="I209" s="22">
        <f t="shared" si="39"/>
        <v>75.426600000000093</v>
      </c>
      <c r="J209" s="23">
        <f t="shared" si="40"/>
        <v>0.18716277915632779</v>
      </c>
      <c r="K209" s="24">
        <f t="shared" si="41"/>
        <v>403</v>
      </c>
      <c r="L209" s="25">
        <f t="shared" si="42"/>
        <v>228.80000000000021</v>
      </c>
      <c r="M209" s="26">
        <f t="shared" si="43"/>
        <v>0.56774193548387153</v>
      </c>
      <c r="N209" s="27">
        <f t="shared" si="44"/>
        <v>403</v>
      </c>
      <c r="O209" s="28">
        <f t="shared" si="45"/>
        <v>22725</v>
      </c>
      <c r="P209" s="29">
        <f t="shared" si="46"/>
        <v>56.389578163771709</v>
      </c>
      <c r="Q209" s="30">
        <f t="shared" si="47"/>
        <v>403</v>
      </c>
      <c r="R209" s="11" t="str">
        <f t="shared" si="48"/>
        <v>2</v>
      </c>
      <c r="S209" s="10" t="str">
        <f t="shared" si="49"/>
        <v>8</v>
      </c>
      <c r="T209" s="9">
        <f t="shared" si="50"/>
        <v>3</v>
      </c>
      <c r="U209" t="str">
        <f t="shared" si="51"/>
        <v>Mismatch</v>
      </c>
    </row>
    <row r="210" spans="1:21" x14ac:dyDescent="0.2">
      <c r="A210" s="12">
        <v>208</v>
      </c>
      <c r="B210" s="12">
        <v>209</v>
      </c>
      <c r="C210" s="12">
        <v>0.13639999999999999</v>
      </c>
      <c r="D210" s="12">
        <v>0.5</v>
      </c>
      <c r="E210" s="12">
        <v>0.19400000000000001</v>
      </c>
      <c r="F210" s="12">
        <v>0</v>
      </c>
      <c r="G210" s="12">
        <v>6</v>
      </c>
      <c r="H210" s="12">
        <v>6</v>
      </c>
      <c r="I210" s="22">
        <f t="shared" si="39"/>
        <v>75.305400000000091</v>
      </c>
      <c r="J210" s="23">
        <f t="shared" si="40"/>
        <v>0.18732686567164203</v>
      </c>
      <c r="K210" s="24">
        <f t="shared" si="41"/>
        <v>402</v>
      </c>
      <c r="L210" s="25">
        <f t="shared" si="42"/>
        <v>228.3400000000002</v>
      </c>
      <c r="M210" s="26">
        <f t="shared" si="43"/>
        <v>0.56800995024875667</v>
      </c>
      <c r="N210" s="27">
        <f t="shared" si="44"/>
        <v>402</v>
      </c>
      <c r="O210" s="28">
        <f t="shared" si="45"/>
        <v>22710</v>
      </c>
      <c r="P210" s="29">
        <f t="shared" si="46"/>
        <v>56.492537313432834</v>
      </c>
      <c r="Q210" s="30">
        <f t="shared" si="47"/>
        <v>402</v>
      </c>
      <c r="R210" s="11" t="str">
        <f t="shared" si="48"/>
        <v>2</v>
      </c>
      <c r="S210" s="10" t="str">
        <f t="shared" si="49"/>
        <v>9</v>
      </c>
      <c r="T210" s="9">
        <f t="shared" si="50"/>
        <v>3</v>
      </c>
      <c r="U210" t="str">
        <f t="shared" si="51"/>
        <v>Mismatch</v>
      </c>
    </row>
    <row r="211" spans="1:21" x14ac:dyDescent="0.2">
      <c r="A211" s="12">
        <v>209</v>
      </c>
      <c r="B211" s="12">
        <v>210</v>
      </c>
      <c r="C211" s="12">
        <v>0.1212</v>
      </c>
      <c r="D211" s="12">
        <v>0.5</v>
      </c>
      <c r="E211" s="12">
        <v>0.28360000000000002</v>
      </c>
      <c r="F211" s="12">
        <v>2</v>
      </c>
      <c r="G211" s="12">
        <v>3</v>
      </c>
      <c r="H211" s="12">
        <v>5</v>
      </c>
      <c r="I211" s="22">
        <f t="shared" si="39"/>
        <v>75.169000000000082</v>
      </c>
      <c r="J211" s="23">
        <f t="shared" si="40"/>
        <v>0.18745386533665856</v>
      </c>
      <c r="K211" s="24">
        <f t="shared" si="41"/>
        <v>401</v>
      </c>
      <c r="L211" s="25">
        <f t="shared" si="42"/>
        <v>227.8400000000002</v>
      </c>
      <c r="M211" s="26">
        <f t="shared" si="43"/>
        <v>0.56817955112219498</v>
      </c>
      <c r="N211" s="27">
        <f t="shared" si="44"/>
        <v>401</v>
      </c>
      <c r="O211" s="28">
        <f t="shared" si="45"/>
        <v>22704</v>
      </c>
      <c r="P211" s="29">
        <f t="shared" si="46"/>
        <v>56.618453865336662</v>
      </c>
      <c r="Q211" s="30">
        <f t="shared" si="47"/>
        <v>401</v>
      </c>
      <c r="R211" s="11" t="str">
        <f t="shared" si="48"/>
        <v>2</v>
      </c>
      <c r="S211" s="10" t="str">
        <f t="shared" si="49"/>
        <v>0</v>
      </c>
      <c r="T211" s="9">
        <f t="shared" si="50"/>
        <v>3</v>
      </c>
      <c r="U211" t="str">
        <f t="shared" si="51"/>
        <v>Mismatch</v>
      </c>
    </row>
    <row r="212" spans="1:21" x14ac:dyDescent="0.2">
      <c r="A212" s="12">
        <v>210</v>
      </c>
      <c r="B212" s="12">
        <v>211</v>
      </c>
      <c r="C212" s="12">
        <v>0.1212</v>
      </c>
      <c r="D212" s="12">
        <v>0.5</v>
      </c>
      <c r="E212" s="12">
        <v>0.28360000000000002</v>
      </c>
      <c r="F212" s="12">
        <v>1</v>
      </c>
      <c r="G212" s="12">
        <v>0</v>
      </c>
      <c r="H212" s="12">
        <v>1</v>
      </c>
      <c r="I212" s="22">
        <f t="shared" si="39"/>
        <v>75.047800000000095</v>
      </c>
      <c r="J212" s="23">
        <f t="shared" si="40"/>
        <v>0.18761950000000024</v>
      </c>
      <c r="K212" s="24">
        <f t="shared" si="41"/>
        <v>400</v>
      </c>
      <c r="L212" s="25">
        <f t="shared" si="42"/>
        <v>227.3400000000002</v>
      </c>
      <c r="M212" s="26">
        <f t="shared" si="43"/>
        <v>0.56835000000000047</v>
      </c>
      <c r="N212" s="27">
        <f t="shared" si="44"/>
        <v>400</v>
      </c>
      <c r="O212" s="28">
        <f t="shared" si="45"/>
        <v>22699</v>
      </c>
      <c r="P212" s="29">
        <f t="shared" si="46"/>
        <v>56.747500000000002</v>
      </c>
      <c r="Q212" s="30">
        <f t="shared" si="47"/>
        <v>400</v>
      </c>
      <c r="R212" s="11" t="str">
        <f t="shared" si="48"/>
        <v>2</v>
      </c>
      <c r="S212" s="10" t="str">
        <f t="shared" si="49"/>
        <v>1</v>
      </c>
      <c r="T212" s="9">
        <f t="shared" si="50"/>
        <v>3</v>
      </c>
      <c r="U212" t="str">
        <f t="shared" si="51"/>
        <v>Mismatch</v>
      </c>
    </row>
    <row r="213" spans="1:21" x14ac:dyDescent="0.2">
      <c r="A213" s="12">
        <v>211</v>
      </c>
      <c r="B213" s="12">
        <v>212</v>
      </c>
      <c r="C213" s="12">
        <v>0.1212</v>
      </c>
      <c r="D213" s="12">
        <v>0.5</v>
      </c>
      <c r="E213" s="12">
        <v>0.22389999999999999</v>
      </c>
      <c r="F213" s="12">
        <v>0</v>
      </c>
      <c r="G213" s="12">
        <v>3</v>
      </c>
      <c r="H213" s="12">
        <v>3</v>
      </c>
      <c r="I213" s="22">
        <f t="shared" si="39"/>
        <v>74.926600000000093</v>
      </c>
      <c r="J213" s="23">
        <f t="shared" si="40"/>
        <v>0.18778596491228094</v>
      </c>
      <c r="K213" s="24">
        <f t="shared" si="41"/>
        <v>399</v>
      </c>
      <c r="L213" s="25">
        <f t="shared" si="42"/>
        <v>226.8400000000002</v>
      </c>
      <c r="M213" s="26">
        <f t="shared" si="43"/>
        <v>0.56852130325814587</v>
      </c>
      <c r="N213" s="27">
        <f t="shared" si="44"/>
        <v>399</v>
      </c>
      <c r="O213" s="28">
        <f t="shared" si="45"/>
        <v>22698</v>
      </c>
      <c r="P213" s="29">
        <f t="shared" si="46"/>
        <v>56.887218045112782</v>
      </c>
      <c r="Q213" s="30">
        <f t="shared" si="47"/>
        <v>399</v>
      </c>
      <c r="R213" s="11" t="str">
        <f t="shared" si="48"/>
        <v>2</v>
      </c>
      <c r="S213" s="10" t="str">
        <f t="shared" si="49"/>
        <v>2</v>
      </c>
      <c r="T213" s="9">
        <f t="shared" si="50"/>
        <v>3</v>
      </c>
      <c r="U213" t="str">
        <f t="shared" si="51"/>
        <v>Match</v>
      </c>
    </row>
    <row r="214" spans="1:21" x14ac:dyDescent="0.2">
      <c r="A214" s="12">
        <v>212</v>
      </c>
      <c r="B214" s="12">
        <v>213</v>
      </c>
      <c r="C214" s="12">
        <v>0.1212</v>
      </c>
      <c r="D214" s="12">
        <v>0.5</v>
      </c>
      <c r="E214" s="12">
        <v>0.22389999999999999</v>
      </c>
      <c r="F214" s="12">
        <v>0</v>
      </c>
      <c r="G214" s="12">
        <v>1</v>
      </c>
      <c r="H214" s="12">
        <v>1</v>
      </c>
      <c r="I214" s="22">
        <f t="shared" si="39"/>
        <v>74.805400000000091</v>
      </c>
      <c r="J214" s="23">
        <f t="shared" si="40"/>
        <v>0.18795326633165851</v>
      </c>
      <c r="K214" s="24">
        <f t="shared" si="41"/>
        <v>398</v>
      </c>
      <c r="L214" s="25">
        <f t="shared" si="42"/>
        <v>226.3400000000002</v>
      </c>
      <c r="M214" s="26">
        <f t="shared" si="43"/>
        <v>0.56869346733668391</v>
      </c>
      <c r="N214" s="27">
        <f t="shared" si="44"/>
        <v>398</v>
      </c>
      <c r="O214" s="28">
        <f t="shared" si="45"/>
        <v>22695</v>
      </c>
      <c r="P214" s="29">
        <f t="shared" si="46"/>
        <v>57.022613065326631</v>
      </c>
      <c r="Q214" s="30">
        <f t="shared" si="47"/>
        <v>398</v>
      </c>
      <c r="R214" s="11" t="str">
        <f t="shared" si="48"/>
        <v>2</v>
      </c>
      <c r="S214" s="10" t="str">
        <f t="shared" si="49"/>
        <v>3</v>
      </c>
      <c r="T214" s="9">
        <f t="shared" si="50"/>
        <v>3</v>
      </c>
      <c r="U214" t="str">
        <f t="shared" si="51"/>
        <v>Mismatch</v>
      </c>
    </row>
    <row r="215" spans="1:21" x14ac:dyDescent="0.2">
      <c r="A215" s="12">
        <v>213</v>
      </c>
      <c r="B215" s="12">
        <v>214</v>
      </c>
      <c r="C215" s="12">
        <v>0.1212</v>
      </c>
      <c r="D215" s="12">
        <v>0.54</v>
      </c>
      <c r="E215" s="12">
        <v>0.1343</v>
      </c>
      <c r="F215" s="12">
        <v>1</v>
      </c>
      <c r="G215" s="12">
        <v>2</v>
      </c>
      <c r="H215" s="12">
        <v>3</v>
      </c>
      <c r="I215" s="22">
        <f t="shared" si="39"/>
        <v>74.684200000000089</v>
      </c>
      <c r="J215" s="23">
        <f t="shared" si="40"/>
        <v>0.18812141057934531</v>
      </c>
      <c r="K215" s="24">
        <f t="shared" si="41"/>
        <v>397</v>
      </c>
      <c r="L215" s="25">
        <f t="shared" si="42"/>
        <v>225.8400000000002</v>
      </c>
      <c r="M215" s="26">
        <f t="shared" si="43"/>
        <v>0.56886649874055462</v>
      </c>
      <c r="N215" s="27">
        <f t="shared" si="44"/>
        <v>397</v>
      </c>
      <c r="O215" s="28">
        <f t="shared" si="45"/>
        <v>22694</v>
      </c>
      <c r="P215" s="29">
        <f t="shared" si="46"/>
        <v>57.163727959697731</v>
      </c>
      <c r="Q215" s="30">
        <f t="shared" si="47"/>
        <v>397</v>
      </c>
      <c r="R215" s="11" t="str">
        <f t="shared" si="48"/>
        <v>2</v>
      </c>
      <c r="S215" s="10" t="str">
        <f t="shared" si="49"/>
        <v>4</v>
      </c>
      <c r="T215" s="9">
        <f t="shared" si="50"/>
        <v>3</v>
      </c>
      <c r="U215" t="str">
        <f t="shared" si="51"/>
        <v>Mismatch</v>
      </c>
    </row>
    <row r="216" spans="1:21" x14ac:dyDescent="0.2">
      <c r="A216" s="12">
        <v>214</v>
      </c>
      <c r="B216" s="12">
        <v>215</v>
      </c>
      <c r="C216" s="12">
        <v>0.1061</v>
      </c>
      <c r="D216" s="12">
        <v>0.54</v>
      </c>
      <c r="E216" s="12">
        <v>0.25369999999999998</v>
      </c>
      <c r="F216" s="12">
        <v>0</v>
      </c>
      <c r="G216" s="12">
        <v>3</v>
      </c>
      <c r="H216" s="12">
        <v>3</v>
      </c>
      <c r="I216" s="22">
        <f t="shared" si="39"/>
        <v>74.563000000000088</v>
      </c>
      <c r="J216" s="23">
        <f t="shared" si="40"/>
        <v>0.18829040404040426</v>
      </c>
      <c r="K216" s="24">
        <f t="shared" si="41"/>
        <v>396</v>
      </c>
      <c r="L216" s="25">
        <f t="shared" si="42"/>
        <v>225.30000000000021</v>
      </c>
      <c r="M216" s="26">
        <f t="shared" si="43"/>
        <v>0.56893939393939452</v>
      </c>
      <c r="N216" s="27">
        <f t="shared" si="44"/>
        <v>396</v>
      </c>
      <c r="O216" s="28">
        <f t="shared" si="45"/>
        <v>22691</v>
      </c>
      <c r="P216" s="29">
        <f t="shared" si="46"/>
        <v>57.300505050505052</v>
      </c>
      <c r="Q216" s="30">
        <f t="shared" si="47"/>
        <v>396</v>
      </c>
      <c r="R216" s="11" t="str">
        <f t="shared" si="48"/>
        <v>2</v>
      </c>
      <c r="S216" s="10" t="str">
        <f t="shared" si="49"/>
        <v>5</v>
      </c>
      <c r="T216" s="9">
        <f t="shared" si="50"/>
        <v>3</v>
      </c>
      <c r="U216" t="str">
        <f t="shared" si="51"/>
        <v>Mismatch</v>
      </c>
    </row>
    <row r="217" spans="1:21" x14ac:dyDescent="0.2">
      <c r="A217" s="12">
        <v>215</v>
      </c>
      <c r="B217" s="12">
        <v>216</v>
      </c>
      <c r="C217" s="12">
        <v>0.1212</v>
      </c>
      <c r="D217" s="12">
        <v>0.5</v>
      </c>
      <c r="E217" s="12">
        <v>0.28360000000000002</v>
      </c>
      <c r="F217" s="12">
        <v>0</v>
      </c>
      <c r="G217" s="12">
        <v>31</v>
      </c>
      <c r="H217" s="12">
        <v>31</v>
      </c>
      <c r="I217" s="22">
        <f t="shared" si="39"/>
        <v>74.45690000000009</v>
      </c>
      <c r="J217" s="23">
        <f t="shared" si="40"/>
        <v>0.18849848101265845</v>
      </c>
      <c r="K217" s="24">
        <f t="shared" si="41"/>
        <v>395</v>
      </c>
      <c r="L217" s="25">
        <f t="shared" si="42"/>
        <v>224.76000000000022</v>
      </c>
      <c r="M217" s="26">
        <f t="shared" si="43"/>
        <v>0.56901265822784863</v>
      </c>
      <c r="N217" s="27">
        <f t="shared" si="44"/>
        <v>395</v>
      </c>
      <c r="O217" s="28">
        <f t="shared" si="45"/>
        <v>22688</v>
      </c>
      <c r="P217" s="29">
        <f t="shared" si="46"/>
        <v>57.437974683544304</v>
      </c>
      <c r="Q217" s="30">
        <f t="shared" si="47"/>
        <v>395</v>
      </c>
      <c r="R217" s="11" t="str">
        <f t="shared" si="48"/>
        <v>2</v>
      </c>
      <c r="S217" s="10" t="str">
        <f t="shared" si="49"/>
        <v>6</v>
      </c>
      <c r="T217" s="9">
        <f t="shared" si="50"/>
        <v>3</v>
      </c>
      <c r="U217" t="str">
        <f t="shared" si="51"/>
        <v>Mismatch</v>
      </c>
    </row>
    <row r="218" spans="1:21" x14ac:dyDescent="0.2">
      <c r="A218" s="12">
        <v>216</v>
      </c>
      <c r="B218" s="12">
        <v>217</v>
      </c>
      <c r="C218" s="12">
        <v>0.1212</v>
      </c>
      <c r="D218" s="12">
        <v>0.5</v>
      </c>
      <c r="E218" s="12">
        <v>0.22389999999999999</v>
      </c>
      <c r="F218" s="12">
        <v>2</v>
      </c>
      <c r="G218" s="12">
        <v>75</v>
      </c>
      <c r="H218" s="12">
        <v>77</v>
      </c>
      <c r="I218" s="22">
        <f t="shared" si="39"/>
        <v>74.335700000000088</v>
      </c>
      <c r="J218" s="23">
        <f t="shared" si="40"/>
        <v>0.18866928934010174</v>
      </c>
      <c r="K218" s="24">
        <f t="shared" si="41"/>
        <v>394</v>
      </c>
      <c r="L218" s="25">
        <f t="shared" si="42"/>
        <v>224.26000000000022</v>
      </c>
      <c r="M218" s="26">
        <f t="shared" si="43"/>
        <v>0.56918781725888379</v>
      </c>
      <c r="N218" s="27">
        <f t="shared" si="44"/>
        <v>394</v>
      </c>
      <c r="O218" s="28">
        <f t="shared" si="45"/>
        <v>22657</v>
      </c>
      <c r="P218" s="29">
        <f t="shared" si="46"/>
        <v>57.505076142131976</v>
      </c>
      <c r="Q218" s="30">
        <f t="shared" si="47"/>
        <v>394</v>
      </c>
      <c r="R218" s="11" t="str">
        <f t="shared" si="48"/>
        <v>2</v>
      </c>
      <c r="S218" s="10" t="str">
        <f t="shared" si="49"/>
        <v>7</v>
      </c>
      <c r="T218" s="9">
        <f t="shared" si="50"/>
        <v>3</v>
      </c>
      <c r="U218" t="str">
        <f t="shared" si="51"/>
        <v>Mismatch</v>
      </c>
    </row>
    <row r="219" spans="1:21" x14ac:dyDescent="0.2">
      <c r="A219" s="12">
        <v>217</v>
      </c>
      <c r="B219" s="12">
        <v>218</v>
      </c>
      <c r="C219" s="12">
        <v>0.1212</v>
      </c>
      <c r="D219" s="12">
        <v>0.5</v>
      </c>
      <c r="E219" s="12">
        <v>0.28360000000000002</v>
      </c>
      <c r="F219" s="12">
        <v>4</v>
      </c>
      <c r="G219" s="12">
        <v>184</v>
      </c>
      <c r="H219" s="12">
        <v>188</v>
      </c>
      <c r="I219" s="22">
        <f t="shared" si="39"/>
        <v>74.214500000000086</v>
      </c>
      <c r="J219" s="23">
        <f t="shared" si="40"/>
        <v>0.18884096692111982</v>
      </c>
      <c r="K219" s="24">
        <f t="shared" si="41"/>
        <v>393</v>
      </c>
      <c r="L219" s="25">
        <f t="shared" si="42"/>
        <v>223.76000000000019</v>
      </c>
      <c r="M219" s="26">
        <f t="shared" si="43"/>
        <v>0.56936386768447889</v>
      </c>
      <c r="N219" s="27">
        <f t="shared" si="44"/>
        <v>393</v>
      </c>
      <c r="O219" s="28">
        <f t="shared" si="45"/>
        <v>22580</v>
      </c>
      <c r="P219" s="29">
        <f t="shared" si="46"/>
        <v>57.455470737913487</v>
      </c>
      <c r="Q219" s="30">
        <f t="shared" si="47"/>
        <v>393</v>
      </c>
      <c r="R219" s="11" t="str">
        <f t="shared" si="48"/>
        <v>2</v>
      </c>
      <c r="S219" s="10" t="str">
        <f t="shared" si="49"/>
        <v>8</v>
      </c>
      <c r="T219" s="9">
        <f t="shared" si="50"/>
        <v>3</v>
      </c>
      <c r="U219" t="str">
        <f t="shared" si="51"/>
        <v>Mismatch</v>
      </c>
    </row>
    <row r="220" spans="1:21" x14ac:dyDescent="0.2">
      <c r="A220" s="12">
        <v>218</v>
      </c>
      <c r="B220" s="12">
        <v>219</v>
      </c>
      <c r="C220" s="12">
        <v>0.1212</v>
      </c>
      <c r="D220" s="12">
        <v>0.5</v>
      </c>
      <c r="E220" s="12">
        <v>0.25369999999999998</v>
      </c>
      <c r="F220" s="12">
        <v>2</v>
      </c>
      <c r="G220" s="12">
        <v>92</v>
      </c>
      <c r="H220" s="12">
        <v>94</v>
      </c>
      <c r="I220" s="22">
        <f t="shared" si="39"/>
        <v>74.093300000000085</v>
      </c>
      <c r="J220" s="23">
        <f t="shared" si="40"/>
        <v>0.18901352040816349</v>
      </c>
      <c r="K220" s="24">
        <f t="shared" si="41"/>
        <v>392</v>
      </c>
      <c r="L220" s="25">
        <f t="shared" si="42"/>
        <v>223.26000000000019</v>
      </c>
      <c r="M220" s="26">
        <f t="shared" si="43"/>
        <v>0.56954081632653109</v>
      </c>
      <c r="N220" s="27">
        <f t="shared" si="44"/>
        <v>392</v>
      </c>
      <c r="O220" s="28">
        <f t="shared" si="45"/>
        <v>22392</v>
      </c>
      <c r="P220" s="29">
        <f t="shared" si="46"/>
        <v>57.122448979591837</v>
      </c>
      <c r="Q220" s="30">
        <f t="shared" si="47"/>
        <v>392</v>
      </c>
      <c r="R220" s="11" t="str">
        <f t="shared" si="48"/>
        <v>2</v>
      </c>
      <c r="S220" s="10" t="str">
        <f t="shared" si="49"/>
        <v>9</v>
      </c>
      <c r="T220" s="9">
        <f t="shared" si="50"/>
        <v>3</v>
      </c>
      <c r="U220" t="str">
        <f t="shared" si="51"/>
        <v>Mismatch</v>
      </c>
    </row>
    <row r="221" spans="1:21" x14ac:dyDescent="0.2">
      <c r="A221" s="12">
        <v>219</v>
      </c>
      <c r="B221" s="12">
        <v>220</v>
      </c>
      <c r="C221" s="12">
        <v>0.1212</v>
      </c>
      <c r="D221" s="12">
        <v>0.5</v>
      </c>
      <c r="E221" s="12">
        <v>0.29849999999999999</v>
      </c>
      <c r="F221" s="12">
        <v>0</v>
      </c>
      <c r="G221" s="12">
        <v>31</v>
      </c>
      <c r="H221" s="12">
        <v>31</v>
      </c>
      <c r="I221" s="22">
        <f t="shared" si="39"/>
        <v>73.972100000000097</v>
      </c>
      <c r="J221" s="23">
        <f t="shared" si="40"/>
        <v>0.18918695652173939</v>
      </c>
      <c r="K221" s="24">
        <f t="shared" si="41"/>
        <v>391</v>
      </c>
      <c r="L221" s="25">
        <f t="shared" si="42"/>
        <v>222.76000000000019</v>
      </c>
      <c r="M221" s="26">
        <f t="shared" si="43"/>
        <v>0.56971867007672683</v>
      </c>
      <c r="N221" s="27">
        <f t="shared" si="44"/>
        <v>391</v>
      </c>
      <c r="O221" s="28">
        <f t="shared" si="45"/>
        <v>22298</v>
      </c>
      <c r="P221" s="29">
        <f t="shared" si="46"/>
        <v>57.028132992327365</v>
      </c>
      <c r="Q221" s="30">
        <f t="shared" si="47"/>
        <v>391</v>
      </c>
      <c r="R221" s="11" t="str">
        <f t="shared" si="48"/>
        <v>2</v>
      </c>
      <c r="S221" s="10" t="str">
        <f t="shared" si="49"/>
        <v>0</v>
      </c>
      <c r="T221" s="9">
        <f t="shared" si="50"/>
        <v>3</v>
      </c>
      <c r="U221" t="str">
        <f t="shared" si="51"/>
        <v>Mismatch</v>
      </c>
    </row>
    <row r="222" spans="1:21" x14ac:dyDescent="0.2">
      <c r="A222" s="12">
        <v>220</v>
      </c>
      <c r="B222" s="12">
        <v>221</v>
      </c>
      <c r="C222" s="12">
        <v>0.13639999999999999</v>
      </c>
      <c r="D222" s="12">
        <v>0.47</v>
      </c>
      <c r="E222" s="12">
        <v>0.28360000000000002</v>
      </c>
      <c r="F222" s="12">
        <v>2</v>
      </c>
      <c r="G222" s="12">
        <v>28</v>
      </c>
      <c r="H222" s="12">
        <v>30</v>
      </c>
      <c r="I222" s="22">
        <f t="shared" si="39"/>
        <v>73.850900000000095</v>
      </c>
      <c r="J222" s="23">
        <f t="shared" si="40"/>
        <v>0.1893612820512823</v>
      </c>
      <c r="K222" s="24">
        <f t="shared" si="41"/>
        <v>390</v>
      </c>
      <c r="L222" s="25">
        <f t="shared" si="42"/>
        <v>222.26000000000022</v>
      </c>
      <c r="M222" s="26">
        <f t="shared" si="43"/>
        <v>0.56989743589743647</v>
      </c>
      <c r="N222" s="27">
        <f t="shared" si="44"/>
        <v>390</v>
      </c>
      <c r="O222" s="28">
        <f t="shared" si="45"/>
        <v>22267</v>
      </c>
      <c r="P222" s="29">
        <f t="shared" si="46"/>
        <v>57.094871794871793</v>
      </c>
      <c r="Q222" s="30">
        <f t="shared" si="47"/>
        <v>390</v>
      </c>
      <c r="R222" s="11" t="str">
        <f t="shared" si="48"/>
        <v>2</v>
      </c>
      <c r="S222" s="10" t="str">
        <f t="shared" si="49"/>
        <v>1</v>
      </c>
      <c r="T222" s="9">
        <f t="shared" si="50"/>
        <v>3</v>
      </c>
      <c r="U222" t="str">
        <f t="shared" si="51"/>
        <v>Mismatch</v>
      </c>
    </row>
    <row r="223" spans="1:21" x14ac:dyDescent="0.2">
      <c r="A223" s="12">
        <v>221</v>
      </c>
      <c r="B223" s="12">
        <v>222</v>
      </c>
      <c r="C223" s="12">
        <v>0.18179999999999999</v>
      </c>
      <c r="D223" s="12">
        <v>0.4</v>
      </c>
      <c r="E223" s="12">
        <v>0.28360000000000002</v>
      </c>
      <c r="F223" s="12">
        <v>5</v>
      </c>
      <c r="G223" s="12">
        <v>47</v>
      </c>
      <c r="H223" s="12">
        <v>52</v>
      </c>
      <c r="I223" s="22">
        <f t="shared" si="39"/>
        <v>73.714500000000086</v>
      </c>
      <c r="J223" s="23">
        <f t="shared" si="40"/>
        <v>0.18949742930591282</v>
      </c>
      <c r="K223" s="24">
        <f t="shared" si="41"/>
        <v>389</v>
      </c>
      <c r="L223" s="25">
        <f t="shared" si="42"/>
        <v>221.79000000000022</v>
      </c>
      <c r="M223" s="26">
        <f t="shared" si="43"/>
        <v>0.57015424164524475</v>
      </c>
      <c r="N223" s="27">
        <f t="shared" si="44"/>
        <v>389</v>
      </c>
      <c r="O223" s="28">
        <f t="shared" si="45"/>
        <v>22237</v>
      </c>
      <c r="P223" s="29">
        <f t="shared" si="46"/>
        <v>57.164524421593832</v>
      </c>
      <c r="Q223" s="30">
        <f t="shared" si="47"/>
        <v>389</v>
      </c>
      <c r="R223" s="11" t="str">
        <f t="shared" si="48"/>
        <v>2</v>
      </c>
      <c r="S223" s="10" t="str">
        <f t="shared" si="49"/>
        <v>2</v>
      </c>
      <c r="T223" s="9">
        <f t="shared" si="50"/>
        <v>3</v>
      </c>
      <c r="U223" t="str">
        <f t="shared" si="51"/>
        <v>Match</v>
      </c>
    </row>
    <row r="224" spans="1:21" x14ac:dyDescent="0.2">
      <c r="A224" s="12">
        <v>222</v>
      </c>
      <c r="B224" s="12">
        <v>223</v>
      </c>
      <c r="C224" s="12">
        <v>0.18179999999999999</v>
      </c>
      <c r="D224" s="12">
        <v>0.4</v>
      </c>
      <c r="E224" s="12">
        <v>0.28360000000000002</v>
      </c>
      <c r="F224" s="12">
        <v>4</v>
      </c>
      <c r="G224" s="12">
        <v>50</v>
      </c>
      <c r="H224" s="12">
        <v>54</v>
      </c>
      <c r="I224" s="22">
        <f t="shared" si="39"/>
        <v>73.532700000000091</v>
      </c>
      <c r="J224" s="23">
        <f t="shared" si="40"/>
        <v>0.18951726804123734</v>
      </c>
      <c r="K224" s="24">
        <f t="shared" si="41"/>
        <v>388</v>
      </c>
      <c r="L224" s="25">
        <f t="shared" si="42"/>
        <v>221.39000000000024</v>
      </c>
      <c r="M224" s="26">
        <f t="shared" si="43"/>
        <v>0.5705927835051553</v>
      </c>
      <c r="N224" s="27">
        <f t="shared" si="44"/>
        <v>388</v>
      </c>
      <c r="O224" s="28">
        <f t="shared" si="45"/>
        <v>22185</v>
      </c>
      <c r="P224" s="29">
        <f t="shared" si="46"/>
        <v>57.177835051546388</v>
      </c>
      <c r="Q224" s="30">
        <f t="shared" si="47"/>
        <v>388</v>
      </c>
      <c r="R224" s="11" t="str">
        <f t="shared" si="48"/>
        <v>2</v>
      </c>
      <c r="S224" s="10" t="str">
        <f t="shared" si="49"/>
        <v>3</v>
      </c>
      <c r="T224" s="9">
        <f t="shared" si="50"/>
        <v>3</v>
      </c>
      <c r="U224" t="str">
        <f t="shared" si="51"/>
        <v>Mismatch</v>
      </c>
    </row>
    <row r="225" spans="1:21" x14ac:dyDescent="0.2">
      <c r="A225" s="12">
        <v>223</v>
      </c>
      <c r="B225" s="12">
        <v>224</v>
      </c>
      <c r="C225" s="12">
        <v>0.19700000000000001</v>
      </c>
      <c r="D225" s="12">
        <v>0.4</v>
      </c>
      <c r="E225" s="12">
        <v>0.22389999999999999</v>
      </c>
      <c r="F225" s="12">
        <v>0</v>
      </c>
      <c r="G225" s="12">
        <v>47</v>
      </c>
      <c r="H225" s="12">
        <v>47</v>
      </c>
      <c r="I225" s="22">
        <f t="shared" si="39"/>
        <v>73.350900000000095</v>
      </c>
      <c r="J225" s="23">
        <f t="shared" si="40"/>
        <v>0.18953720930232582</v>
      </c>
      <c r="K225" s="24">
        <f t="shared" si="41"/>
        <v>387</v>
      </c>
      <c r="L225" s="25">
        <f t="shared" si="42"/>
        <v>220.99000000000026</v>
      </c>
      <c r="M225" s="26">
        <f t="shared" si="43"/>
        <v>0.57103359173126689</v>
      </c>
      <c r="N225" s="27">
        <f t="shared" si="44"/>
        <v>387</v>
      </c>
      <c r="O225" s="28">
        <f t="shared" si="45"/>
        <v>22131</v>
      </c>
      <c r="P225" s="29">
        <f t="shared" si="46"/>
        <v>57.186046511627907</v>
      </c>
      <c r="Q225" s="30">
        <f t="shared" si="47"/>
        <v>387</v>
      </c>
      <c r="R225" s="11" t="str">
        <f t="shared" si="48"/>
        <v>2</v>
      </c>
      <c r="S225" s="10" t="str">
        <f t="shared" si="49"/>
        <v>4</v>
      </c>
      <c r="T225" s="9">
        <f t="shared" si="50"/>
        <v>3</v>
      </c>
      <c r="U225" t="str">
        <f t="shared" si="51"/>
        <v>Mismatch</v>
      </c>
    </row>
    <row r="226" spans="1:21" x14ac:dyDescent="0.2">
      <c r="A226" s="12">
        <v>224</v>
      </c>
      <c r="B226" s="12">
        <v>225</v>
      </c>
      <c r="C226" s="12">
        <v>0.19700000000000001</v>
      </c>
      <c r="D226" s="12">
        <v>0.4</v>
      </c>
      <c r="E226" s="12">
        <v>0.22389999999999999</v>
      </c>
      <c r="F226" s="12">
        <v>2</v>
      </c>
      <c r="G226" s="12">
        <v>43</v>
      </c>
      <c r="H226" s="12">
        <v>45</v>
      </c>
      <c r="I226" s="22">
        <f t="shared" si="39"/>
        <v>73.153900000000093</v>
      </c>
      <c r="J226" s="23">
        <f t="shared" si="40"/>
        <v>0.18951787564766864</v>
      </c>
      <c r="K226" s="24">
        <f t="shared" si="41"/>
        <v>386</v>
      </c>
      <c r="L226" s="25">
        <f t="shared" si="42"/>
        <v>220.59000000000026</v>
      </c>
      <c r="M226" s="26">
        <f t="shared" si="43"/>
        <v>0.57147668393782447</v>
      </c>
      <c r="N226" s="27">
        <f t="shared" si="44"/>
        <v>386</v>
      </c>
      <c r="O226" s="28">
        <f t="shared" si="45"/>
        <v>22084</v>
      </c>
      <c r="P226" s="29">
        <f t="shared" si="46"/>
        <v>57.212435233160619</v>
      </c>
      <c r="Q226" s="30">
        <f t="shared" si="47"/>
        <v>386</v>
      </c>
      <c r="R226" s="11" t="str">
        <f t="shared" si="48"/>
        <v>2</v>
      </c>
      <c r="S226" s="10" t="str">
        <f t="shared" si="49"/>
        <v>5</v>
      </c>
      <c r="T226" s="9">
        <f t="shared" si="50"/>
        <v>3</v>
      </c>
      <c r="U226" t="str">
        <f t="shared" si="51"/>
        <v>Mismatch</v>
      </c>
    </row>
    <row r="227" spans="1:21" x14ac:dyDescent="0.2">
      <c r="A227" s="12">
        <v>225</v>
      </c>
      <c r="B227" s="12">
        <v>226</v>
      </c>
      <c r="C227" s="12">
        <v>0.21210000000000001</v>
      </c>
      <c r="D227" s="12">
        <v>0.4</v>
      </c>
      <c r="E227" s="12">
        <v>0.1343</v>
      </c>
      <c r="F227" s="12">
        <v>4</v>
      </c>
      <c r="G227" s="12">
        <v>70</v>
      </c>
      <c r="H227" s="12">
        <v>74</v>
      </c>
      <c r="I227" s="22">
        <f t="shared" si="39"/>
        <v>72.95690000000009</v>
      </c>
      <c r="J227" s="23">
        <f t="shared" si="40"/>
        <v>0.18949844155844178</v>
      </c>
      <c r="K227" s="24">
        <f t="shared" si="41"/>
        <v>385</v>
      </c>
      <c r="L227" s="25">
        <f t="shared" si="42"/>
        <v>220.19000000000028</v>
      </c>
      <c r="M227" s="26">
        <f t="shared" si="43"/>
        <v>0.57192207792207861</v>
      </c>
      <c r="N227" s="27">
        <f t="shared" si="44"/>
        <v>385</v>
      </c>
      <c r="O227" s="28">
        <f t="shared" si="45"/>
        <v>22039</v>
      </c>
      <c r="P227" s="29">
        <f t="shared" si="46"/>
        <v>57.244155844155841</v>
      </c>
      <c r="Q227" s="30">
        <f t="shared" si="47"/>
        <v>385</v>
      </c>
      <c r="R227" s="11" t="str">
        <f t="shared" si="48"/>
        <v>2</v>
      </c>
      <c r="S227" s="10" t="str">
        <f t="shared" si="49"/>
        <v>6</v>
      </c>
      <c r="T227" s="9">
        <f t="shared" si="50"/>
        <v>3</v>
      </c>
      <c r="U227" t="str">
        <f t="shared" si="51"/>
        <v>Mismatch</v>
      </c>
    </row>
    <row r="228" spans="1:21" x14ac:dyDescent="0.2">
      <c r="A228" s="12">
        <v>226</v>
      </c>
      <c r="B228" s="12">
        <v>227</v>
      </c>
      <c r="C228" s="12">
        <v>0.2273</v>
      </c>
      <c r="D228" s="12">
        <v>0.4</v>
      </c>
      <c r="E228" s="12">
        <v>0.1045</v>
      </c>
      <c r="F228" s="12">
        <v>4</v>
      </c>
      <c r="G228" s="12">
        <v>174</v>
      </c>
      <c r="H228" s="12">
        <v>178</v>
      </c>
      <c r="I228" s="22">
        <f t="shared" si="39"/>
        <v>72.744800000000083</v>
      </c>
      <c r="J228" s="23">
        <f t="shared" si="40"/>
        <v>0.18943958333333355</v>
      </c>
      <c r="K228" s="24">
        <f t="shared" si="41"/>
        <v>384</v>
      </c>
      <c r="L228" s="25">
        <f t="shared" si="42"/>
        <v>219.79000000000028</v>
      </c>
      <c r="M228" s="26">
        <f t="shared" si="43"/>
        <v>0.57236979166666735</v>
      </c>
      <c r="N228" s="27">
        <f t="shared" si="44"/>
        <v>384</v>
      </c>
      <c r="O228" s="28">
        <f t="shared" si="45"/>
        <v>21965</v>
      </c>
      <c r="P228" s="29">
        <f t="shared" si="46"/>
        <v>57.200520833333336</v>
      </c>
      <c r="Q228" s="30">
        <f t="shared" si="47"/>
        <v>384</v>
      </c>
      <c r="R228" s="11" t="str">
        <f t="shared" si="48"/>
        <v>2</v>
      </c>
      <c r="S228" s="10" t="str">
        <f t="shared" si="49"/>
        <v>7</v>
      </c>
      <c r="T228" s="9">
        <f t="shared" si="50"/>
        <v>3</v>
      </c>
      <c r="U228" t="str">
        <f t="shared" si="51"/>
        <v>Mismatch</v>
      </c>
    </row>
    <row r="229" spans="1:21" x14ac:dyDescent="0.2">
      <c r="A229" s="12">
        <v>227</v>
      </c>
      <c r="B229" s="12">
        <v>228</v>
      </c>
      <c r="C229" s="12">
        <v>0.19700000000000001</v>
      </c>
      <c r="D229" s="12">
        <v>0.4</v>
      </c>
      <c r="E229" s="12">
        <v>0.22389999999999999</v>
      </c>
      <c r="F229" s="12">
        <v>1</v>
      </c>
      <c r="G229" s="12">
        <v>154</v>
      </c>
      <c r="H229" s="12">
        <v>155</v>
      </c>
      <c r="I229" s="22">
        <f t="shared" si="39"/>
        <v>72.517500000000084</v>
      </c>
      <c r="J229" s="23">
        <f t="shared" si="40"/>
        <v>0.18934073107049632</v>
      </c>
      <c r="K229" s="24">
        <f t="shared" si="41"/>
        <v>383</v>
      </c>
      <c r="L229" s="25">
        <f t="shared" si="42"/>
        <v>219.39000000000024</v>
      </c>
      <c r="M229" s="26">
        <f t="shared" si="43"/>
        <v>0.57281984334203717</v>
      </c>
      <c r="N229" s="27">
        <f t="shared" si="44"/>
        <v>383</v>
      </c>
      <c r="O229" s="28">
        <f t="shared" si="45"/>
        <v>21787</v>
      </c>
      <c r="P229" s="29">
        <f t="shared" si="46"/>
        <v>56.885117493472585</v>
      </c>
      <c r="Q229" s="30">
        <f t="shared" si="47"/>
        <v>383</v>
      </c>
      <c r="R229" s="11" t="str">
        <f t="shared" si="48"/>
        <v>2</v>
      </c>
      <c r="S229" s="10" t="str">
        <f t="shared" si="49"/>
        <v>8</v>
      </c>
      <c r="T229" s="9">
        <f t="shared" si="50"/>
        <v>3</v>
      </c>
      <c r="U229" t="str">
        <f t="shared" si="51"/>
        <v>Mismatch</v>
      </c>
    </row>
    <row r="230" spans="1:21" x14ac:dyDescent="0.2">
      <c r="A230" s="12">
        <v>228</v>
      </c>
      <c r="B230" s="12">
        <v>229</v>
      </c>
      <c r="C230" s="12">
        <v>0.16669999999999999</v>
      </c>
      <c r="D230" s="12">
        <v>0.47</v>
      </c>
      <c r="E230" s="12">
        <v>0.16420000000000001</v>
      </c>
      <c r="F230" s="12">
        <v>3</v>
      </c>
      <c r="G230" s="12">
        <v>92</v>
      </c>
      <c r="H230" s="12">
        <v>95</v>
      </c>
      <c r="I230" s="22">
        <f t="shared" si="39"/>
        <v>72.320500000000081</v>
      </c>
      <c r="J230" s="23">
        <f t="shared" si="40"/>
        <v>0.18932068062827245</v>
      </c>
      <c r="K230" s="24">
        <f t="shared" si="41"/>
        <v>382</v>
      </c>
      <c r="L230" s="25">
        <f t="shared" si="42"/>
        <v>218.99000000000024</v>
      </c>
      <c r="M230" s="26">
        <f t="shared" si="43"/>
        <v>0.57327225130890114</v>
      </c>
      <c r="N230" s="27">
        <f t="shared" si="44"/>
        <v>382</v>
      </c>
      <c r="O230" s="28">
        <f t="shared" si="45"/>
        <v>21632</v>
      </c>
      <c r="P230" s="29">
        <f t="shared" si="46"/>
        <v>56.6282722513089</v>
      </c>
      <c r="Q230" s="30">
        <f t="shared" si="47"/>
        <v>382</v>
      </c>
      <c r="R230" s="11" t="str">
        <f t="shared" si="48"/>
        <v>2</v>
      </c>
      <c r="S230" s="10" t="str">
        <f t="shared" si="49"/>
        <v>9</v>
      </c>
      <c r="T230" s="9">
        <f t="shared" si="50"/>
        <v>3</v>
      </c>
      <c r="U230" t="str">
        <f t="shared" si="51"/>
        <v>Mismatch</v>
      </c>
    </row>
    <row r="231" spans="1:21" x14ac:dyDescent="0.2">
      <c r="A231" s="12">
        <v>229</v>
      </c>
      <c r="B231" s="12">
        <v>230</v>
      </c>
      <c r="C231" s="12">
        <v>0.16669999999999999</v>
      </c>
      <c r="D231" s="12">
        <v>0.5</v>
      </c>
      <c r="E231" s="12">
        <v>0.16420000000000001</v>
      </c>
      <c r="F231" s="12">
        <v>1</v>
      </c>
      <c r="G231" s="12">
        <v>73</v>
      </c>
      <c r="H231" s="12">
        <v>74</v>
      </c>
      <c r="I231" s="22">
        <f t="shared" si="39"/>
        <v>72.153800000000075</v>
      </c>
      <c r="J231" s="23">
        <f t="shared" si="40"/>
        <v>0.18938005249343851</v>
      </c>
      <c r="K231" s="24">
        <f t="shared" si="41"/>
        <v>381</v>
      </c>
      <c r="L231" s="25">
        <f t="shared" si="42"/>
        <v>218.52000000000024</v>
      </c>
      <c r="M231" s="26">
        <f t="shared" si="43"/>
        <v>0.57354330708661483</v>
      </c>
      <c r="N231" s="27">
        <f t="shared" si="44"/>
        <v>381</v>
      </c>
      <c r="O231" s="28">
        <f t="shared" si="45"/>
        <v>21537</v>
      </c>
      <c r="P231" s="29">
        <f t="shared" si="46"/>
        <v>56.527559055118111</v>
      </c>
      <c r="Q231" s="30">
        <f t="shared" si="47"/>
        <v>381</v>
      </c>
      <c r="R231" s="11" t="str">
        <f t="shared" si="48"/>
        <v>2</v>
      </c>
      <c r="S231" s="10" t="str">
        <f t="shared" si="49"/>
        <v>0</v>
      </c>
      <c r="T231" s="9">
        <f t="shared" si="50"/>
        <v>3</v>
      </c>
      <c r="U231" t="str">
        <f t="shared" si="51"/>
        <v>Mismatch</v>
      </c>
    </row>
    <row r="232" spans="1:21" x14ac:dyDescent="0.2">
      <c r="A232" s="12">
        <v>230</v>
      </c>
      <c r="B232" s="12">
        <v>231</v>
      </c>
      <c r="C232" s="12">
        <v>0.13639999999999999</v>
      </c>
      <c r="D232" s="12">
        <v>0.59</v>
      </c>
      <c r="E232" s="12">
        <v>0.19400000000000001</v>
      </c>
      <c r="F232" s="12">
        <v>1</v>
      </c>
      <c r="G232" s="12">
        <v>37</v>
      </c>
      <c r="H232" s="12">
        <v>38</v>
      </c>
      <c r="I232" s="22">
        <f t="shared" si="39"/>
        <v>71.987100000000069</v>
      </c>
      <c r="J232" s="23">
        <f t="shared" si="40"/>
        <v>0.18943973684210544</v>
      </c>
      <c r="K232" s="24">
        <f t="shared" si="41"/>
        <v>380</v>
      </c>
      <c r="L232" s="25">
        <f t="shared" si="42"/>
        <v>218.02000000000024</v>
      </c>
      <c r="M232" s="26">
        <f t="shared" si="43"/>
        <v>0.57373684210526377</v>
      </c>
      <c r="N232" s="27">
        <f t="shared" si="44"/>
        <v>380</v>
      </c>
      <c r="O232" s="28">
        <f t="shared" si="45"/>
        <v>21463</v>
      </c>
      <c r="P232" s="29">
        <f t="shared" si="46"/>
        <v>56.481578947368419</v>
      </c>
      <c r="Q232" s="30">
        <f t="shared" si="47"/>
        <v>380</v>
      </c>
      <c r="R232" s="11" t="str">
        <f t="shared" si="48"/>
        <v>2</v>
      </c>
      <c r="S232" s="10" t="str">
        <f t="shared" si="49"/>
        <v>1</v>
      </c>
      <c r="T232" s="9">
        <f t="shared" si="50"/>
        <v>3</v>
      </c>
      <c r="U232" t="str">
        <f t="shared" si="51"/>
        <v>Mismatch</v>
      </c>
    </row>
    <row r="233" spans="1:21" x14ac:dyDescent="0.2">
      <c r="A233" s="12">
        <v>231</v>
      </c>
      <c r="B233" s="12">
        <v>232</v>
      </c>
      <c r="C233" s="12">
        <v>0.1515</v>
      </c>
      <c r="D233" s="12">
        <v>0.59</v>
      </c>
      <c r="E233" s="12">
        <v>0.16420000000000001</v>
      </c>
      <c r="F233" s="12">
        <v>2</v>
      </c>
      <c r="G233" s="12">
        <v>22</v>
      </c>
      <c r="H233" s="12">
        <v>24</v>
      </c>
      <c r="I233" s="22">
        <f t="shared" si="39"/>
        <v>71.85070000000006</v>
      </c>
      <c r="J233" s="23">
        <f t="shared" si="40"/>
        <v>0.18957968337730888</v>
      </c>
      <c r="K233" s="24">
        <f t="shared" si="41"/>
        <v>379</v>
      </c>
      <c r="L233" s="25">
        <f t="shared" si="42"/>
        <v>217.43000000000026</v>
      </c>
      <c r="M233" s="26">
        <f t="shared" si="43"/>
        <v>0.57369393139841762</v>
      </c>
      <c r="N233" s="27">
        <f t="shared" si="44"/>
        <v>379</v>
      </c>
      <c r="O233" s="28">
        <f t="shared" si="45"/>
        <v>21425</v>
      </c>
      <c r="P233" s="29">
        <f t="shared" si="46"/>
        <v>56.530343007915569</v>
      </c>
      <c r="Q233" s="30">
        <f t="shared" si="47"/>
        <v>379</v>
      </c>
      <c r="R233" s="11" t="str">
        <f t="shared" si="48"/>
        <v>2</v>
      </c>
      <c r="S233" s="10" t="str">
        <f t="shared" si="49"/>
        <v>2</v>
      </c>
      <c r="T233" s="9">
        <f t="shared" si="50"/>
        <v>3</v>
      </c>
      <c r="U233" t="str">
        <f t="shared" si="51"/>
        <v>Match</v>
      </c>
    </row>
    <row r="234" spans="1:21" x14ac:dyDescent="0.2">
      <c r="A234" s="12">
        <v>232</v>
      </c>
      <c r="B234" s="12">
        <v>233</v>
      </c>
      <c r="C234" s="12">
        <v>0.1515</v>
      </c>
      <c r="D234" s="12">
        <v>0.59</v>
      </c>
      <c r="E234" s="12">
        <v>0.16420000000000001</v>
      </c>
      <c r="F234" s="12">
        <v>0</v>
      </c>
      <c r="G234" s="12">
        <v>18</v>
      </c>
      <c r="H234" s="12">
        <v>18</v>
      </c>
      <c r="I234" s="22">
        <f t="shared" si="39"/>
        <v>71.699200000000076</v>
      </c>
      <c r="J234" s="23">
        <f t="shared" si="40"/>
        <v>0.18968042328042348</v>
      </c>
      <c r="K234" s="24">
        <f t="shared" si="41"/>
        <v>378</v>
      </c>
      <c r="L234" s="25">
        <f t="shared" si="42"/>
        <v>216.84000000000026</v>
      </c>
      <c r="M234" s="26">
        <f t="shared" si="43"/>
        <v>0.5736507936507943</v>
      </c>
      <c r="N234" s="27">
        <f t="shared" si="44"/>
        <v>378</v>
      </c>
      <c r="O234" s="28">
        <f t="shared" si="45"/>
        <v>21401</v>
      </c>
      <c r="P234" s="29">
        <f t="shared" si="46"/>
        <v>56.616402116402114</v>
      </c>
      <c r="Q234" s="30">
        <f t="shared" si="47"/>
        <v>378</v>
      </c>
      <c r="R234" s="11" t="str">
        <f t="shared" si="48"/>
        <v>2</v>
      </c>
      <c r="S234" s="10" t="str">
        <f t="shared" si="49"/>
        <v>3</v>
      </c>
      <c r="T234" s="9">
        <f t="shared" si="50"/>
        <v>3</v>
      </c>
      <c r="U234" t="str">
        <f t="shared" si="51"/>
        <v>Mismatch</v>
      </c>
    </row>
    <row r="235" spans="1:21" x14ac:dyDescent="0.2">
      <c r="A235" s="12">
        <v>233</v>
      </c>
      <c r="B235" s="12">
        <v>234</v>
      </c>
      <c r="C235" s="12">
        <v>0.16669999999999999</v>
      </c>
      <c r="D235" s="12">
        <v>0.59</v>
      </c>
      <c r="E235" s="12">
        <v>0.1045</v>
      </c>
      <c r="F235" s="12">
        <v>2</v>
      </c>
      <c r="G235" s="12">
        <v>10</v>
      </c>
      <c r="H235" s="12">
        <v>12</v>
      </c>
      <c r="I235" s="22">
        <f t="shared" si="39"/>
        <v>71.547700000000077</v>
      </c>
      <c r="J235" s="23">
        <f t="shared" si="40"/>
        <v>0.18978169761273231</v>
      </c>
      <c r="K235" s="24">
        <f t="shared" si="41"/>
        <v>377</v>
      </c>
      <c r="L235" s="25">
        <f t="shared" si="42"/>
        <v>216.25000000000023</v>
      </c>
      <c r="M235" s="26">
        <f t="shared" si="43"/>
        <v>0.57360742705570356</v>
      </c>
      <c r="N235" s="27">
        <f t="shared" si="44"/>
        <v>377</v>
      </c>
      <c r="O235" s="28">
        <f t="shared" si="45"/>
        <v>21383</v>
      </c>
      <c r="P235" s="29">
        <f t="shared" si="46"/>
        <v>56.718832891246684</v>
      </c>
      <c r="Q235" s="30">
        <f t="shared" si="47"/>
        <v>377</v>
      </c>
      <c r="R235" s="11" t="str">
        <f t="shared" si="48"/>
        <v>2</v>
      </c>
      <c r="S235" s="10" t="str">
        <f t="shared" si="49"/>
        <v>4</v>
      </c>
      <c r="T235" s="9">
        <f t="shared" si="50"/>
        <v>3</v>
      </c>
      <c r="U235" t="str">
        <f t="shared" si="51"/>
        <v>Mismatch</v>
      </c>
    </row>
    <row r="236" spans="1:21" x14ac:dyDescent="0.2">
      <c r="A236" s="12">
        <v>234</v>
      </c>
      <c r="B236" s="12">
        <v>235</v>
      </c>
      <c r="C236" s="12">
        <v>0.1515</v>
      </c>
      <c r="D236" s="12">
        <v>0.59</v>
      </c>
      <c r="E236" s="12">
        <v>0.16420000000000001</v>
      </c>
      <c r="F236" s="12">
        <v>0</v>
      </c>
      <c r="G236" s="12">
        <v>3</v>
      </c>
      <c r="H236" s="12">
        <v>3</v>
      </c>
      <c r="I236" s="22">
        <f t="shared" si="39"/>
        <v>71.381000000000071</v>
      </c>
      <c r="J236" s="23">
        <f t="shared" si="40"/>
        <v>0.18984308510638317</v>
      </c>
      <c r="K236" s="24">
        <f t="shared" si="41"/>
        <v>376</v>
      </c>
      <c r="L236" s="25">
        <f t="shared" si="42"/>
        <v>215.66000000000022</v>
      </c>
      <c r="M236" s="26">
        <f t="shared" si="43"/>
        <v>0.57356382978723464</v>
      </c>
      <c r="N236" s="27">
        <f t="shared" si="44"/>
        <v>376</v>
      </c>
      <c r="O236" s="28">
        <f t="shared" si="45"/>
        <v>21371</v>
      </c>
      <c r="P236" s="29">
        <f t="shared" si="46"/>
        <v>56.837765957446805</v>
      </c>
      <c r="Q236" s="30">
        <f t="shared" si="47"/>
        <v>376</v>
      </c>
      <c r="R236" s="11" t="str">
        <f t="shared" si="48"/>
        <v>2</v>
      </c>
      <c r="S236" s="10" t="str">
        <f t="shared" si="49"/>
        <v>5</v>
      </c>
      <c r="T236" s="9">
        <f t="shared" si="50"/>
        <v>3</v>
      </c>
      <c r="U236" t="str">
        <f t="shared" si="51"/>
        <v>Mismatch</v>
      </c>
    </row>
    <row r="237" spans="1:21" x14ac:dyDescent="0.2">
      <c r="A237" s="12">
        <v>235</v>
      </c>
      <c r="B237" s="12">
        <v>236</v>
      </c>
      <c r="C237" s="12">
        <v>0.1515</v>
      </c>
      <c r="D237" s="12">
        <v>0.55000000000000004</v>
      </c>
      <c r="E237" s="12">
        <v>0.19400000000000001</v>
      </c>
      <c r="F237" s="12">
        <v>0</v>
      </c>
      <c r="G237" s="12">
        <v>3</v>
      </c>
      <c r="H237" s="12">
        <v>3</v>
      </c>
      <c r="I237" s="22">
        <f t="shared" si="39"/>
        <v>71.229500000000073</v>
      </c>
      <c r="J237" s="23">
        <f t="shared" si="40"/>
        <v>0.18994533333333352</v>
      </c>
      <c r="K237" s="24">
        <f t="shared" si="41"/>
        <v>375</v>
      </c>
      <c r="L237" s="25">
        <f t="shared" si="42"/>
        <v>215.07000000000025</v>
      </c>
      <c r="M237" s="26">
        <f t="shared" si="43"/>
        <v>0.5735200000000007</v>
      </c>
      <c r="N237" s="27">
        <f t="shared" si="44"/>
        <v>375</v>
      </c>
      <c r="O237" s="28">
        <f t="shared" si="45"/>
        <v>21368</v>
      </c>
      <c r="P237" s="29">
        <f t="shared" si="46"/>
        <v>56.981333333333332</v>
      </c>
      <c r="Q237" s="30">
        <f t="shared" si="47"/>
        <v>375</v>
      </c>
      <c r="R237" s="11" t="str">
        <f t="shared" si="48"/>
        <v>2</v>
      </c>
      <c r="S237" s="10" t="str">
        <f t="shared" si="49"/>
        <v>6</v>
      </c>
      <c r="T237" s="9">
        <f t="shared" si="50"/>
        <v>3</v>
      </c>
      <c r="U237" t="str">
        <f t="shared" si="51"/>
        <v>Mismatch</v>
      </c>
    </row>
    <row r="238" spans="1:21" x14ac:dyDescent="0.2">
      <c r="A238" s="12">
        <v>236</v>
      </c>
      <c r="B238" s="12">
        <v>237</v>
      </c>
      <c r="C238" s="12">
        <v>0.18179999999999999</v>
      </c>
      <c r="D238" s="12">
        <v>0.55000000000000004</v>
      </c>
      <c r="E238" s="12">
        <v>0.1343</v>
      </c>
      <c r="F238" s="12">
        <v>0</v>
      </c>
      <c r="G238" s="12">
        <v>6</v>
      </c>
      <c r="H238" s="12">
        <v>6</v>
      </c>
      <c r="I238" s="22">
        <f t="shared" si="39"/>
        <v>71.078000000000074</v>
      </c>
      <c r="J238" s="23">
        <f t="shared" si="40"/>
        <v>0.19004812834224619</v>
      </c>
      <c r="K238" s="24">
        <f t="shared" si="41"/>
        <v>374</v>
      </c>
      <c r="L238" s="25">
        <f t="shared" si="42"/>
        <v>214.52000000000027</v>
      </c>
      <c r="M238" s="26">
        <f t="shared" si="43"/>
        <v>0.57358288770053545</v>
      </c>
      <c r="N238" s="27">
        <f t="shared" si="44"/>
        <v>374</v>
      </c>
      <c r="O238" s="28">
        <f t="shared" si="45"/>
        <v>21365</v>
      </c>
      <c r="P238" s="29">
        <f t="shared" si="46"/>
        <v>57.12566844919786</v>
      </c>
      <c r="Q238" s="30">
        <f t="shared" si="47"/>
        <v>374</v>
      </c>
      <c r="R238" s="11" t="str">
        <f t="shared" si="48"/>
        <v>2</v>
      </c>
      <c r="S238" s="10" t="str">
        <f t="shared" si="49"/>
        <v>7</v>
      </c>
      <c r="T238" s="9">
        <f t="shared" si="50"/>
        <v>3</v>
      </c>
      <c r="U238" t="str">
        <f t="shared" si="51"/>
        <v>Mismatch</v>
      </c>
    </row>
    <row r="239" spans="1:21" x14ac:dyDescent="0.2">
      <c r="A239" s="12">
        <v>237</v>
      </c>
      <c r="B239" s="12">
        <v>238</v>
      </c>
      <c r="C239" s="12">
        <v>0.18179999999999999</v>
      </c>
      <c r="D239" s="12">
        <v>0.55000000000000004</v>
      </c>
      <c r="E239" s="12">
        <v>0.1343</v>
      </c>
      <c r="F239" s="12">
        <v>0</v>
      </c>
      <c r="G239" s="12">
        <v>27</v>
      </c>
      <c r="H239" s="12">
        <v>27</v>
      </c>
      <c r="I239" s="22">
        <f t="shared" si="39"/>
        <v>70.896200000000064</v>
      </c>
      <c r="J239" s="23">
        <f t="shared" si="40"/>
        <v>0.19007024128686345</v>
      </c>
      <c r="K239" s="24">
        <f t="shared" si="41"/>
        <v>373</v>
      </c>
      <c r="L239" s="25">
        <f t="shared" si="42"/>
        <v>213.97000000000028</v>
      </c>
      <c r="M239" s="26">
        <f t="shared" si="43"/>
        <v>0.57364611260053699</v>
      </c>
      <c r="N239" s="27">
        <f t="shared" si="44"/>
        <v>373</v>
      </c>
      <c r="O239" s="28">
        <f t="shared" si="45"/>
        <v>21359</v>
      </c>
      <c r="P239" s="29">
        <f t="shared" si="46"/>
        <v>57.262734584450399</v>
      </c>
      <c r="Q239" s="30">
        <f t="shared" si="47"/>
        <v>373</v>
      </c>
      <c r="R239" s="11" t="str">
        <f t="shared" si="48"/>
        <v>2</v>
      </c>
      <c r="S239" s="10" t="str">
        <f t="shared" si="49"/>
        <v>8</v>
      </c>
      <c r="T239" s="9">
        <f t="shared" si="50"/>
        <v>3</v>
      </c>
      <c r="U239" t="str">
        <f t="shared" si="51"/>
        <v>Mismatch</v>
      </c>
    </row>
    <row r="240" spans="1:21" x14ac:dyDescent="0.2">
      <c r="A240" s="12">
        <v>238</v>
      </c>
      <c r="B240" s="12">
        <v>239</v>
      </c>
      <c r="C240" s="12">
        <v>0.2273</v>
      </c>
      <c r="D240" s="12">
        <v>0.55000000000000004</v>
      </c>
      <c r="E240" s="12">
        <v>0</v>
      </c>
      <c r="F240" s="12">
        <v>2</v>
      </c>
      <c r="G240" s="12">
        <v>97</v>
      </c>
      <c r="H240" s="12">
        <v>99</v>
      </c>
      <c r="I240" s="22">
        <f t="shared" si="39"/>
        <v>70.714400000000069</v>
      </c>
      <c r="J240" s="23">
        <f t="shared" si="40"/>
        <v>0.19009247311827976</v>
      </c>
      <c r="K240" s="24">
        <f t="shared" si="41"/>
        <v>372</v>
      </c>
      <c r="L240" s="25">
        <f t="shared" si="42"/>
        <v>213.42000000000027</v>
      </c>
      <c r="M240" s="26">
        <f t="shared" si="43"/>
        <v>0.57370967741935552</v>
      </c>
      <c r="N240" s="27">
        <f t="shared" si="44"/>
        <v>372</v>
      </c>
      <c r="O240" s="28">
        <f t="shared" si="45"/>
        <v>21332</v>
      </c>
      <c r="P240" s="29">
        <f t="shared" si="46"/>
        <v>57.344086021505376</v>
      </c>
      <c r="Q240" s="30">
        <f t="shared" si="47"/>
        <v>372</v>
      </c>
      <c r="R240" s="11" t="str">
        <f t="shared" si="48"/>
        <v>2</v>
      </c>
      <c r="S240" s="10" t="str">
        <f t="shared" si="49"/>
        <v>9</v>
      </c>
      <c r="T240" s="9">
        <f t="shared" si="50"/>
        <v>3</v>
      </c>
      <c r="U240" t="str">
        <f t="shared" si="51"/>
        <v>Mismatch</v>
      </c>
    </row>
    <row r="241" spans="1:21" x14ac:dyDescent="0.2">
      <c r="A241" s="12">
        <v>239</v>
      </c>
      <c r="B241" s="12">
        <v>240</v>
      </c>
      <c r="C241" s="12">
        <v>0.21210000000000001</v>
      </c>
      <c r="D241" s="12">
        <v>0.51</v>
      </c>
      <c r="E241" s="12">
        <v>8.9599999999999999E-2</v>
      </c>
      <c r="F241" s="12">
        <v>3</v>
      </c>
      <c r="G241" s="12">
        <v>214</v>
      </c>
      <c r="H241" s="12">
        <v>217</v>
      </c>
      <c r="I241" s="22">
        <f t="shared" si="39"/>
        <v>70.487100000000055</v>
      </c>
      <c r="J241" s="23">
        <f t="shared" si="40"/>
        <v>0.18999218328840986</v>
      </c>
      <c r="K241" s="24">
        <f t="shared" si="41"/>
        <v>371</v>
      </c>
      <c r="L241" s="25">
        <f t="shared" si="42"/>
        <v>212.87000000000029</v>
      </c>
      <c r="M241" s="26">
        <f t="shared" si="43"/>
        <v>0.5737735849056611</v>
      </c>
      <c r="N241" s="27">
        <f t="shared" si="44"/>
        <v>371</v>
      </c>
      <c r="O241" s="28">
        <f t="shared" si="45"/>
        <v>21233</v>
      </c>
      <c r="P241" s="29">
        <f t="shared" si="46"/>
        <v>57.23180592991914</v>
      </c>
      <c r="Q241" s="30">
        <f t="shared" si="47"/>
        <v>371</v>
      </c>
      <c r="R241" s="11" t="str">
        <f t="shared" si="48"/>
        <v>2</v>
      </c>
      <c r="S241" s="10" t="str">
        <f t="shared" si="49"/>
        <v>0</v>
      </c>
      <c r="T241" s="9">
        <f t="shared" si="50"/>
        <v>3</v>
      </c>
      <c r="U241" t="str">
        <f t="shared" si="51"/>
        <v>Mismatch</v>
      </c>
    </row>
    <row r="242" spans="1:21" x14ac:dyDescent="0.2">
      <c r="A242" s="12">
        <v>240</v>
      </c>
      <c r="B242" s="12">
        <v>241</v>
      </c>
      <c r="C242" s="12">
        <v>0.19700000000000001</v>
      </c>
      <c r="D242" s="12">
        <v>0.51</v>
      </c>
      <c r="E242" s="12">
        <v>0.16420000000000001</v>
      </c>
      <c r="F242" s="12">
        <v>3</v>
      </c>
      <c r="G242" s="12">
        <v>127</v>
      </c>
      <c r="H242" s="12">
        <v>130</v>
      </c>
      <c r="I242" s="22">
        <f t="shared" si="39"/>
        <v>70.275000000000048</v>
      </c>
      <c r="J242" s="23">
        <f t="shared" si="40"/>
        <v>0.18993243243243257</v>
      </c>
      <c r="K242" s="24">
        <f t="shared" si="41"/>
        <v>370</v>
      </c>
      <c r="L242" s="25">
        <f t="shared" si="42"/>
        <v>212.36000000000027</v>
      </c>
      <c r="M242" s="26">
        <f t="shared" si="43"/>
        <v>0.57394594594594672</v>
      </c>
      <c r="N242" s="27">
        <f t="shared" si="44"/>
        <v>370</v>
      </c>
      <c r="O242" s="28">
        <f t="shared" si="45"/>
        <v>21016</v>
      </c>
      <c r="P242" s="29">
        <f t="shared" si="46"/>
        <v>56.8</v>
      </c>
      <c r="Q242" s="30">
        <f t="shared" si="47"/>
        <v>370</v>
      </c>
      <c r="R242" s="11" t="str">
        <f t="shared" si="48"/>
        <v>2</v>
      </c>
      <c r="S242" s="10" t="str">
        <f t="shared" si="49"/>
        <v>1</v>
      </c>
      <c r="T242" s="9">
        <f t="shared" si="50"/>
        <v>3</v>
      </c>
      <c r="U242" t="str">
        <f t="shared" si="51"/>
        <v>Mismatch</v>
      </c>
    </row>
    <row r="243" spans="1:21" x14ac:dyDescent="0.2">
      <c r="A243" s="12">
        <v>241</v>
      </c>
      <c r="B243" s="12">
        <v>242</v>
      </c>
      <c r="C243" s="12">
        <v>0.21210000000000001</v>
      </c>
      <c r="D243" s="12">
        <v>0.51</v>
      </c>
      <c r="E243" s="12">
        <v>0.16420000000000001</v>
      </c>
      <c r="F243" s="12">
        <v>3</v>
      </c>
      <c r="G243" s="12">
        <v>51</v>
      </c>
      <c r="H243" s="12">
        <v>54</v>
      </c>
      <c r="I243" s="22">
        <f t="shared" si="39"/>
        <v>70.078000000000046</v>
      </c>
      <c r="J243" s="23">
        <f t="shared" si="40"/>
        <v>0.18991327913279146</v>
      </c>
      <c r="K243" s="24">
        <f t="shared" si="41"/>
        <v>369</v>
      </c>
      <c r="L243" s="25">
        <f t="shared" si="42"/>
        <v>211.85000000000025</v>
      </c>
      <c r="M243" s="26">
        <f t="shared" si="43"/>
        <v>0.57411924119241264</v>
      </c>
      <c r="N243" s="27">
        <f t="shared" si="44"/>
        <v>369</v>
      </c>
      <c r="O243" s="28">
        <f t="shared" si="45"/>
        <v>20886</v>
      </c>
      <c r="P243" s="29">
        <f t="shared" si="46"/>
        <v>56.601626016260163</v>
      </c>
      <c r="Q243" s="30">
        <f t="shared" si="47"/>
        <v>369</v>
      </c>
      <c r="R243" s="11" t="str">
        <f t="shared" si="48"/>
        <v>2</v>
      </c>
      <c r="S243" s="10" t="str">
        <f t="shared" si="49"/>
        <v>2</v>
      </c>
      <c r="T243" s="9">
        <f t="shared" si="50"/>
        <v>3</v>
      </c>
      <c r="U243" t="str">
        <f t="shared" si="51"/>
        <v>Match</v>
      </c>
    </row>
    <row r="244" spans="1:21" x14ac:dyDescent="0.2">
      <c r="A244" s="12">
        <v>242</v>
      </c>
      <c r="B244" s="12">
        <v>243</v>
      </c>
      <c r="C244" s="12">
        <v>0.21210000000000001</v>
      </c>
      <c r="D244" s="12">
        <v>0.47</v>
      </c>
      <c r="E244" s="12">
        <v>0.1343</v>
      </c>
      <c r="F244" s="12">
        <v>4</v>
      </c>
      <c r="G244" s="12">
        <v>31</v>
      </c>
      <c r="H244" s="12">
        <v>35</v>
      </c>
      <c r="I244" s="22">
        <f t="shared" si="39"/>
        <v>69.865900000000053</v>
      </c>
      <c r="J244" s="23">
        <f t="shared" si="40"/>
        <v>0.18985298913043494</v>
      </c>
      <c r="K244" s="24">
        <f t="shared" si="41"/>
        <v>368</v>
      </c>
      <c r="L244" s="25">
        <f t="shared" si="42"/>
        <v>211.34000000000029</v>
      </c>
      <c r="M244" s="26">
        <f t="shared" si="43"/>
        <v>0.57429347826087029</v>
      </c>
      <c r="N244" s="27">
        <f t="shared" si="44"/>
        <v>368</v>
      </c>
      <c r="O244" s="28">
        <f t="shared" si="45"/>
        <v>20832</v>
      </c>
      <c r="P244" s="29">
        <f t="shared" si="46"/>
        <v>56.608695652173914</v>
      </c>
      <c r="Q244" s="30">
        <f t="shared" si="47"/>
        <v>368</v>
      </c>
      <c r="R244" s="11" t="str">
        <f t="shared" si="48"/>
        <v>2</v>
      </c>
      <c r="S244" s="10" t="str">
        <f t="shared" si="49"/>
        <v>3</v>
      </c>
      <c r="T244" s="9">
        <f t="shared" si="50"/>
        <v>3</v>
      </c>
      <c r="U244" t="str">
        <f t="shared" si="51"/>
        <v>Mismatch</v>
      </c>
    </row>
    <row r="245" spans="1:21" x14ac:dyDescent="0.2">
      <c r="A245" s="12">
        <v>243</v>
      </c>
      <c r="B245" s="12">
        <v>244</v>
      </c>
      <c r="C245" s="12">
        <v>0.2273</v>
      </c>
      <c r="D245" s="12">
        <v>0.51</v>
      </c>
      <c r="E245" s="12">
        <v>0.1045</v>
      </c>
      <c r="F245" s="12">
        <v>2</v>
      </c>
      <c r="G245" s="12">
        <v>55</v>
      </c>
      <c r="H245" s="12">
        <v>57</v>
      </c>
      <c r="I245" s="22">
        <f t="shared" si="39"/>
        <v>69.653800000000047</v>
      </c>
      <c r="J245" s="23">
        <f t="shared" si="40"/>
        <v>0.18979237057220721</v>
      </c>
      <c r="K245" s="24">
        <f t="shared" si="41"/>
        <v>367</v>
      </c>
      <c r="L245" s="25">
        <f t="shared" si="42"/>
        <v>210.87000000000026</v>
      </c>
      <c r="M245" s="26">
        <f t="shared" si="43"/>
        <v>0.57457765667575</v>
      </c>
      <c r="N245" s="27">
        <f t="shared" si="44"/>
        <v>367</v>
      </c>
      <c r="O245" s="28">
        <f t="shared" si="45"/>
        <v>20797</v>
      </c>
      <c r="P245" s="29">
        <f t="shared" si="46"/>
        <v>56.667574931880111</v>
      </c>
      <c r="Q245" s="30">
        <f t="shared" si="47"/>
        <v>367</v>
      </c>
      <c r="R245" s="11" t="str">
        <f t="shared" si="48"/>
        <v>2</v>
      </c>
      <c r="S245" s="10" t="str">
        <f t="shared" si="49"/>
        <v>4</v>
      </c>
      <c r="T245" s="9">
        <f t="shared" si="50"/>
        <v>3</v>
      </c>
      <c r="U245" t="str">
        <f t="shared" si="51"/>
        <v>Mismatch</v>
      </c>
    </row>
    <row r="246" spans="1:21" x14ac:dyDescent="0.2">
      <c r="A246" s="12">
        <v>244</v>
      </c>
      <c r="B246" s="12">
        <v>245</v>
      </c>
      <c r="C246" s="12">
        <v>0.2273</v>
      </c>
      <c r="D246" s="12">
        <v>0.59</v>
      </c>
      <c r="E246" s="12">
        <v>8.9599999999999999E-2</v>
      </c>
      <c r="F246" s="12">
        <v>6</v>
      </c>
      <c r="G246" s="12">
        <v>46</v>
      </c>
      <c r="H246" s="12">
        <v>52</v>
      </c>
      <c r="I246" s="22">
        <f t="shared" si="39"/>
        <v>69.426500000000061</v>
      </c>
      <c r="J246" s="23">
        <f t="shared" si="40"/>
        <v>0.18968989071038267</v>
      </c>
      <c r="K246" s="24">
        <f t="shared" si="41"/>
        <v>366</v>
      </c>
      <c r="L246" s="25">
        <f t="shared" si="42"/>
        <v>210.36000000000024</v>
      </c>
      <c r="M246" s="26">
        <f t="shared" si="43"/>
        <v>0.57475409836065638</v>
      </c>
      <c r="N246" s="27">
        <f t="shared" si="44"/>
        <v>366</v>
      </c>
      <c r="O246" s="28">
        <f t="shared" si="45"/>
        <v>20740</v>
      </c>
      <c r="P246" s="29">
        <f t="shared" si="46"/>
        <v>56.666666666666664</v>
      </c>
      <c r="Q246" s="30">
        <f t="shared" si="47"/>
        <v>366</v>
      </c>
      <c r="R246" s="11" t="str">
        <f t="shared" si="48"/>
        <v>2</v>
      </c>
      <c r="S246" s="10" t="str">
        <f t="shared" si="49"/>
        <v>5</v>
      </c>
      <c r="T246" s="9">
        <f t="shared" si="50"/>
        <v>3</v>
      </c>
      <c r="U246" t="str">
        <f t="shared" si="51"/>
        <v>Mismatch</v>
      </c>
    </row>
    <row r="247" spans="1:21" x14ac:dyDescent="0.2">
      <c r="A247" s="12">
        <v>245</v>
      </c>
      <c r="B247" s="12">
        <v>246</v>
      </c>
      <c r="C247" s="12">
        <v>0.2273</v>
      </c>
      <c r="D247" s="12">
        <v>0.59</v>
      </c>
      <c r="E247" s="12">
        <v>8.9599999999999999E-2</v>
      </c>
      <c r="F247" s="12">
        <v>3</v>
      </c>
      <c r="G247" s="12">
        <v>60</v>
      </c>
      <c r="H247" s="12">
        <v>63</v>
      </c>
      <c r="I247" s="22">
        <f t="shared" si="39"/>
        <v>69.199200000000062</v>
      </c>
      <c r="J247" s="23">
        <f t="shared" si="40"/>
        <v>0.18958684931506867</v>
      </c>
      <c r="K247" s="24">
        <f t="shared" si="41"/>
        <v>365</v>
      </c>
      <c r="L247" s="25">
        <f t="shared" si="42"/>
        <v>209.77000000000027</v>
      </c>
      <c r="M247" s="26">
        <f t="shared" si="43"/>
        <v>0.57471232876712397</v>
      </c>
      <c r="N247" s="27">
        <f t="shared" si="44"/>
        <v>365</v>
      </c>
      <c r="O247" s="28">
        <f t="shared" si="45"/>
        <v>20688</v>
      </c>
      <c r="P247" s="29">
        <f t="shared" si="46"/>
        <v>56.679452054794524</v>
      </c>
      <c r="Q247" s="30">
        <f t="shared" si="47"/>
        <v>365</v>
      </c>
      <c r="R247" s="11" t="str">
        <f t="shared" si="48"/>
        <v>2</v>
      </c>
      <c r="S247" s="10" t="str">
        <f t="shared" si="49"/>
        <v>6</v>
      </c>
      <c r="T247" s="9">
        <f t="shared" si="50"/>
        <v>3</v>
      </c>
      <c r="U247" t="str">
        <f t="shared" si="51"/>
        <v>Mismatch</v>
      </c>
    </row>
    <row r="248" spans="1:21" x14ac:dyDescent="0.2">
      <c r="A248" s="12">
        <v>246</v>
      </c>
      <c r="B248" s="12">
        <v>247</v>
      </c>
      <c r="C248" s="12">
        <v>0.19700000000000001</v>
      </c>
      <c r="D248" s="12">
        <v>0.8</v>
      </c>
      <c r="E248" s="12">
        <v>8.9599999999999999E-2</v>
      </c>
      <c r="F248" s="12">
        <v>2</v>
      </c>
      <c r="G248" s="12">
        <v>45</v>
      </c>
      <c r="H248" s="12">
        <v>47</v>
      </c>
      <c r="I248" s="22">
        <f t="shared" si="39"/>
        <v>68.971900000000062</v>
      </c>
      <c r="J248" s="23">
        <f t="shared" si="40"/>
        <v>0.18948324175824194</v>
      </c>
      <c r="K248" s="24">
        <f t="shared" si="41"/>
        <v>364</v>
      </c>
      <c r="L248" s="25">
        <f t="shared" si="42"/>
        <v>209.18000000000026</v>
      </c>
      <c r="M248" s="26">
        <f t="shared" si="43"/>
        <v>0.57467032967033038</v>
      </c>
      <c r="N248" s="27">
        <f t="shared" si="44"/>
        <v>364</v>
      </c>
      <c r="O248" s="28">
        <f t="shared" si="45"/>
        <v>20625</v>
      </c>
      <c r="P248" s="29">
        <f t="shared" si="46"/>
        <v>56.662087912087912</v>
      </c>
      <c r="Q248" s="30">
        <f t="shared" si="47"/>
        <v>364</v>
      </c>
      <c r="R248" s="11" t="str">
        <f t="shared" si="48"/>
        <v>2</v>
      </c>
      <c r="S248" s="10" t="str">
        <f t="shared" si="49"/>
        <v>7</v>
      </c>
      <c r="T248" s="9">
        <f t="shared" si="50"/>
        <v>3</v>
      </c>
      <c r="U248" t="str">
        <f t="shared" si="51"/>
        <v>Mismatch</v>
      </c>
    </row>
    <row r="249" spans="1:21" x14ac:dyDescent="0.2">
      <c r="A249" s="12">
        <v>247</v>
      </c>
      <c r="B249" s="12">
        <v>248</v>
      </c>
      <c r="C249" s="12">
        <v>0.1515</v>
      </c>
      <c r="D249" s="12">
        <v>0.86</v>
      </c>
      <c r="E249" s="12">
        <v>0.22389999999999999</v>
      </c>
      <c r="F249" s="12">
        <v>4</v>
      </c>
      <c r="G249" s="12">
        <v>72</v>
      </c>
      <c r="H249" s="12">
        <v>76</v>
      </c>
      <c r="I249" s="22">
        <f t="shared" si="39"/>
        <v>68.774900000000059</v>
      </c>
      <c r="J249" s="23">
        <f t="shared" si="40"/>
        <v>0.18946253443526187</v>
      </c>
      <c r="K249" s="24">
        <f t="shared" si="41"/>
        <v>363</v>
      </c>
      <c r="L249" s="25">
        <f t="shared" si="42"/>
        <v>208.38000000000028</v>
      </c>
      <c r="M249" s="26">
        <f t="shared" si="43"/>
        <v>0.57404958677686024</v>
      </c>
      <c r="N249" s="27">
        <f t="shared" si="44"/>
        <v>363</v>
      </c>
      <c r="O249" s="28">
        <f t="shared" si="45"/>
        <v>20578</v>
      </c>
      <c r="P249" s="29">
        <f t="shared" si="46"/>
        <v>56.688705234159777</v>
      </c>
      <c r="Q249" s="30">
        <f t="shared" si="47"/>
        <v>363</v>
      </c>
      <c r="R249" s="11" t="str">
        <f t="shared" si="48"/>
        <v>2</v>
      </c>
      <c r="S249" s="10" t="str">
        <f t="shared" si="49"/>
        <v>8</v>
      </c>
      <c r="T249" s="9">
        <f t="shared" si="50"/>
        <v>3</v>
      </c>
      <c r="U249" t="str">
        <f t="shared" si="51"/>
        <v>Mismatch</v>
      </c>
    </row>
    <row r="250" spans="1:21" x14ac:dyDescent="0.2">
      <c r="A250" s="12">
        <v>248</v>
      </c>
      <c r="B250" s="12">
        <v>249</v>
      </c>
      <c r="C250" s="12">
        <v>0.1515</v>
      </c>
      <c r="D250" s="12">
        <v>0.86</v>
      </c>
      <c r="E250" s="12">
        <v>0.22389999999999999</v>
      </c>
      <c r="F250" s="12">
        <v>6</v>
      </c>
      <c r="G250" s="12">
        <v>130</v>
      </c>
      <c r="H250" s="12">
        <v>136</v>
      </c>
      <c r="I250" s="22">
        <f t="shared" si="39"/>
        <v>68.623400000000061</v>
      </c>
      <c r="J250" s="23">
        <f t="shared" si="40"/>
        <v>0.18956740331491728</v>
      </c>
      <c r="K250" s="24">
        <f t="shared" si="41"/>
        <v>362</v>
      </c>
      <c r="L250" s="25">
        <f t="shared" si="42"/>
        <v>207.52000000000027</v>
      </c>
      <c r="M250" s="26">
        <f t="shared" si="43"/>
        <v>0.57325966850828802</v>
      </c>
      <c r="N250" s="27">
        <f t="shared" si="44"/>
        <v>362</v>
      </c>
      <c r="O250" s="28">
        <f t="shared" si="45"/>
        <v>20502</v>
      </c>
      <c r="P250" s="29">
        <f t="shared" si="46"/>
        <v>56.635359116022101</v>
      </c>
      <c r="Q250" s="30">
        <f t="shared" si="47"/>
        <v>362</v>
      </c>
      <c r="R250" s="11" t="str">
        <f t="shared" si="48"/>
        <v>2</v>
      </c>
      <c r="S250" s="10" t="str">
        <f t="shared" si="49"/>
        <v>9</v>
      </c>
      <c r="T250" s="9">
        <f t="shared" si="50"/>
        <v>3</v>
      </c>
      <c r="U250" t="str">
        <f t="shared" si="51"/>
        <v>Mismatch</v>
      </c>
    </row>
    <row r="251" spans="1:21" x14ac:dyDescent="0.2">
      <c r="A251" s="12">
        <v>249</v>
      </c>
      <c r="B251" s="12">
        <v>250</v>
      </c>
      <c r="C251" s="12">
        <v>0.18179999999999999</v>
      </c>
      <c r="D251" s="12">
        <v>0.93</v>
      </c>
      <c r="E251" s="12">
        <v>0.1045</v>
      </c>
      <c r="F251" s="12">
        <v>1</v>
      </c>
      <c r="G251" s="12">
        <v>94</v>
      </c>
      <c r="H251" s="12">
        <v>95</v>
      </c>
      <c r="I251" s="22">
        <f t="shared" si="39"/>
        <v>68.471900000000076</v>
      </c>
      <c r="J251" s="23">
        <f t="shared" si="40"/>
        <v>0.18967285318559579</v>
      </c>
      <c r="K251" s="24">
        <f t="shared" si="41"/>
        <v>361</v>
      </c>
      <c r="L251" s="25">
        <f t="shared" si="42"/>
        <v>206.66000000000028</v>
      </c>
      <c r="M251" s="26">
        <f t="shared" si="43"/>
        <v>0.57246537396121966</v>
      </c>
      <c r="N251" s="27">
        <f t="shared" si="44"/>
        <v>361</v>
      </c>
      <c r="O251" s="28">
        <f t="shared" si="45"/>
        <v>20366</v>
      </c>
      <c r="P251" s="29">
        <f t="shared" si="46"/>
        <v>56.415512465373958</v>
      </c>
      <c r="Q251" s="30">
        <f t="shared" si="47"/>
        <v>361</v>
      </c>
      <c r="R251" s="11" t="str">
        <f t="shared" si="48"/>
        <v>2</v>
      </c>
      <c r="S251" s="10" t="str">
        <f t="shared" si="49"/>
        <v>0</v>
      </c>
      <c r="T251" s="9">
        <f t="shared" si="50"/>
        <v>3</v>
      </c>
      <c r="U251" t="str">
        <f t="shared" si="51"/>
        <v>Mismatch</v>
      </c>
    </row>
    <row r="252" spans="1:21" x14ac:dyDescent="0.2">
      <c r="A252" s="12">
        <v>250</v>
      </c>
      <c r="B252" s="12">
        <v>251</v>
      </c>
      <c r="C252" s="12">
        <v>0.2273</v>
      </c>
      <c r="D252" s="12">
        <v>0.93</v>
      </c>
      <c r="E252" s="12">
        <v>0</v>
      </c>
      <c r="F252" s="12">
        <v>0</v>
      </c>
      <c r="G252" s="12">
        <v>51</v>
      </c>
      <c r="H252" s="12">
        <v>51</v>
      </c>
      <c r="I252" s="22">
        <f t="shared" si="39"/>
        <v>68.290100000000066</v>
      </c>
      <c r="J252" s="23">
        <f t="shared" si="40"/>
        <v>0.18969472222222242</v>
      </c>
      <c r="K252" s="24">
        <f t="shared" si="41"/>
        <v>360</v>
      </c>
      <c r="L252" s="25">
        <f t="shared" si="42"/>
        <v>205.73000000000025</v>
      </c>
      <c r="M252" s="26">
        <f t="shared" si="43"/>
        <v>0.57147222222222294</v>
      </c>
      <c r="N252" s="27">
        <f t="shared" si="44"/>
        <v>360</v>
      </c>
      <c r="O252" s="28">
        <f t="shared" si="45"/>
        <v>20271</v>
      </c>
      <c r="P252" s="29">
        <f t="shared" si="46"/>
        <v>56.30833333333333</v>
      </c>
      <c r="Q252" s="30">
        <f t="shared" si="47"/>
        <v>360</v>
      </c>
      <c r="R252" s="11" t="str">
        <f t="shared" si="48"/>
        <v>2</v>
      </c>
      <c r="S252" s="10" t="str">
        <f t="shared" si="49"/>
        <v>1</v>
      </c>
      <c r="T252" s="9">
        <f t="shared" si="50"/>
        <v>3</v>
      </c>
      <c r="U252" t="str">
        <f t="shared" si="51"/>
        <v>Mismatch</v>
      </c>
    </row>
    <row r="253" spans="1:21" x14ac:dyDescent="0.2">
      <c r="A253" s="12">
        <v>251</v>
      </c>
      <c r="B253" s="12">
        <v>252</v>
      </c>
      <c r="C253" s="12">
        <v>0.1515</v>
      </c>
      <c r="D253" s="12">
        <v>0.93</v>
      </c>
      <c r="E253" s="12">
        <v>0.19400000000000001</v>
      </c>
      <c r="F253" s="12">
        <v>0</v>
      </c>
      <c r="G253" s="12">
        <v>32</v>
      </c>
      <c r="H253" s="12">
        <v>32</v>
      </c>
      <c r="I253" s="22">
        <f t="shared" si="39"/>
        <v>68.062800000000067</v>
      </c>
      <c r="J253" s="23">
        <f t="shared" si="40"/>
        <v>0.18958997214484699</v>
      </c>
      <c r="K253" s="24">
        <f t="shared" si="41"/>
        <v>359</v>
      </c>
      <c r="L253" s="25">
        <f t="shared" si="42"/>
        <v>204.80000000000024</v>
      </c>
      <c r="M253" s="26">
        <f t="shared" si="43"/>
        <v>0.57047353760445751</v>
      </c>
      <c r="N253" s="27">
        <f t="shared" si="44"/>
        <v>359</v>
      </c>
      <c r="O253" s="28">
        <f t="shared" si="45"/>
        <v>20220</v>
      </c>
      <c r="P253" s="29">
        <f t="shared" si="46"/>
        <v>56.323119777158773</v>
      </c>
      <c r="Q253" s="30">
        <f t="shared" si="47"/>
        <v>359</v>
      </c>
      <c r="R253" s="11" t="str">
        <f t="shared" si="48"/>
        <v>2</v>
      </c>
      <c r="S253" s="10" t="str">
        <f t="shared" si="49"/>
        <v>2</v>
      </c>
      <c r="T253" s="9">
        <f t="shared" si="50"/>
        <v>3</v>
      </c>
      <c r="U253" t="str">
        <f t="shared" si="51"/>
        <v>Match</v>
      </c>
    </row>
    <row r="254" spans="1:21" x14ac:dyDescent="0.2">
      <c r="A254" s="12">
        <v>252</v>
      </c>
      <c r="B254" s="12">
        <v>253</v>
      </c>
      <c r="C254" s="12">
        <v>0.19700000000000001</v>
      </c>
      <c r="D254" s="12">
        <v>0.86</v>
      </c>
      <c r="E254" s="12">
        <v>8.9599999999999999E-2</v>
      </c>
      <c r="F254" s="12">
        <v>0</v>
      </c>
      <c r="G254" s="12">
        <v>20</v>
      </c>
      <c r="H254" s="12">
        <v>20</v>
      </c>
      <c r="I254" s="22">
        <f t="shared" si="39"/>
        <v>67.911300000000068</v>
      </c>
      <c r="J254" s="23">
        <f t="shared" si="40"/>
        <v>0.189696368715084</v>
      </c>
      <c r="K254" s="24">
        <f t="shared" si="41"/>
        <v>358</v>
      </c>
      <c r="L254" s="25">
        <f t="shared" si="42"/>
        <v>203.87000000000026</v>
      </c>
      <c r="M254" s="26">
        <f t="shared" si="43"/>
        <v>0.56946927374301748</v>
      </c>
      <c r="N254" s="27">
        <f t="shared" si="44"/>
        <v>358</v>
      </c>
      <c r="O254" s="28">
        <f t="shared" si="45"/>
        <v>20188</v>
      </c>
      <c r="P254" s="29">
        <f t="shared" si="46"/>
        <v>56.391061452513966</v>
      </c>
      <c r="Q254" s="30">
        <f t="shared" si="47"/>
        <v>358</v>
      </c>
      <c r="R254" s="11" t="str">
        <f t="shared" si="48"/>
        <v>2</v>
      </c>
      <c r="S254" s="10" t="str">
        <f t="shared" si="49"/>
        <v>3</v>
      </c>
      <c r="T254" s="9">
        <f t="shared" si="50"/>
        <v>3</v>
      </c>
      <c r="U254" t="str">
        <f t="shared" si="51"/>
        <v>Mismatch</v>
      </c>
    </row>
    <row r="255" spans="1:21" x14ac:dyDescent="0.2">
      <c r="A255" s="12">
        <v>253</v>
      </c>
      <c r="B255" s="12">
        <v>254</v>
      </c>
      <c r="C255" s="12">
        <v>0.18179999999999999</v>
      </c>
      <c r="D255" s="12">
        <v>0.93</v>
      </c>
      <c r="E255" s="12">
        <v>0.1045</v>
      </c>
      <c r="F255" s="12">
        <v>1</v>
      </c>
      <c r="G255" s="12">
        <v>28</v>
      </c>
      <c r="H255" s="12">
        <v>29</v>
      </c>
      <c r="I255" s="22">
        <f t="shared" si="39"/>
        <v>67.714300000000065</v>
      </c>
      <c r="J255" s="23">
        <f t="shared" si="40"/>
        <v>0.18967591036414583</v>
      </c>
      <c r="K255" s="24">
        <f t="shared" si="41"/>
        <v>357</v>
      </c>
      <c r="L255" s="25">
        <f t="shared" si="42"/>
        <v>203.01000000000025</v>
      </c>
      <c r="M255" s="26">
        <f t="shared" si="43"/>
        <v>0.56865546218487462</v>
      </c>
      <c r="N255" s="27">
        <f t="shared" si="44"/>
        <v>357</v>
      </c>
      <c r="O255" s="28">
        <f t="shared" si="45"/>
        <v>20168</v>
      </c>
      <c r="P255" s="29">
        <f t="shared" si="46"/>
        <v>56.49299719887955</v>
      </c>
      <c r="Q255" s="30">
        <f t="shared" si="47"/>
        <v>357</v>
      </c>
      <c r="R255" s="11" t="str">
        <f t="shared" si="48"/>
        <v>2</v>
      </c>
      <c r="S255" s="10" t="str">
        <f t="shared" si="49"/>
        <v>4</v>
      </c>
      <c r="T255" s="9">
        <f t="shared" si="50"/>
        <v>3</v>
      </c>
      <c r="U255" t="str">
        <f t="shared" si="51"/>
        <v>Mismatch</v>
      </c>
    </row>
    <row r="256" spans="1:21" x14ac:dyDescent="0.2">
      <c r="A256" s="12">
        <v>254</v>
      </c>
      <c r="B256" s="12">
        <v>255</v>
      </c>
      <c r="C256" s="12">
        <v>0.19700000000000001</v>
      </c>
      <c r="D256" s="12">
        <v>0.93</v>
      </c>
      <c r="E256" s="12">
        <v>8.9599999999999999E-2</v>
      </c>
      <c r="F256" s="12">
        <v>1</v>
      </c>
      <c r="G256" s="12">
        <v>18</v>
      </c>
      <c r="H256" s="12">
        <v>19</v>
      </c>
      <c r="I256" s="22">
        <f t="shared" si="39"/>
        <v>67.532500000000056</v>
      </c>
      <c r="J256" s="23">
        <f t="shared" si="40"/>
        <v>0.18969803370786534</v>
      </c>
      <c r="K256" s="24">
        <f t="shared" si="41"/>
        <v>356</v>
      </c>
      <c r="L256" s="25">
        <f t="shared" si="42"/>
        <v>202.08000000000024</v>
      </c>
      <c r="M256" s="26">
        <f t="shared" si="43"/>
        <v>0.56764044943820291</v>
      </c>
      <c r="N256" s="27">
        <f t="shared" si="44"/>
        <v>356</v>
      </c>
      <c r="O256" s="28">
        <f t="shared" si="45"/>
        <v>20139</v>
      </c>
      <c r="P256" s="29">
        <f t="shared" si="46"/>
        <v>56.570224719101127</v>
      </c>
      <c r="Q256" s="30">
        <f t="shared" si="47"/>
        <v>356</v>
      </c>
      <c r="R256" s="11" t="str">
        <f t="shared" si="48"/>
        <v>2</v>
      </c>
      <c r="S256" s="10" t="str">
        <f t="shared" si="49"/>
        <v>5</v>
      </c>
      <c r="T256" s="9">
        <f t="shared" si="50"/>
        <v>3</v>
      </c>
      <c r="U256" t="str">
        <f t="shared" si="51"/>
        <v>Mismatch</v>
      </c>
    </row>
    <row r="257" spans="1:21" x14ac:dyDescent="0.2">
      <c r="A257" s="12">
        <v>255</v>
      </c>
      <c r="B257" s="12">
        <v>256</v>
      </c>
      <c r="C257" s="12">
        <v>0.19700000000000001</v>
      </c>
      <c r="D257" s="12">
        <v>0.86</v>
      </c>
      <c r="E257" s="12">
        <v>8.9599999999999999E-2</v>
      </c>
      <c r="F257" s="12">
        <v>0</v>
      </c>
      <c r="G257" s="12">
        <v>7</v>
      </c>
      <c r="H257" s="12">
        <v>7</v>
      </c>
      <c r="I257" s="22">
        <f t="shared" si="39"/>
        <v>67.335500000000053</v>
      </c>
      <c r="J257" s="23">
        <f t="shared" si="40"/>
        <v>0.18967746478873254</v>
      </c>
      <c r="K257" s="24">
        <f t="shared" si="41"/>
        <v>355</v>
      </c>
      <c r="L257" s="25">
        <f t="shared" si="42"/>
        <v>201.15000000000026</v>
      </c>
      <c r="M257" s="26">
        <f t="shared" si="43"/>
        <v>0.56661971830985991</v>
      </c>
      <c r="N257" s="27">
        <f t="shared" si="44"/>
        <v>355</v>
      </c>
      <c r="O257" s="28">
        <f t="shared" si="45"/>
        <v>20120</v>
      </c>
      <c r="P257" s="29">
        <f t="shared" si="46"/>
        <v>56.676056338028168</v>
      </c>
      <c r="Q257" s="30">
        <f t="shared" si="47"/>
        <v>355</v>
      </c>
      <c r="R257" s="11" t="str">
        <f t="shared" si="48"/>
        <v>2</v>
      </c>
      <c r="S257" s="10" t="str">
        <f t="shared" si="49"/>
        <v>6</v>
      </c>
      <c r="T257" s="9">
        <f t="shared" si="50"/>
        <v>3</v>
      </c>
      <c r="U257" t="str">
        <f t="shared" si="51"/>
        <v>Mismatch</v>
      </c>
    </row>
    <row r="258" spans="1:21" x14ac:dyDescent="0.2">
      <c r="A258" s="12">
        <v>256</v>
      </c>
      <c r="B258" s="12">
        <v>257</v>
      </c>
      <c r="C258" s="12">
        <v>0.18179999999999999</v>
      </c>
      <c r="D258" s="12">
        <v>0.86</v>
      </c>
      <c r="E258" s="12">
        <v>0.1045</v>
      </c>
      <c r="F258" s="12">
        <v>0</v>
      </c>
      <c r="G258" s="12">
        <v>6</v>
      </c>
      <c r="H258" s="12">
        <v>6</v>
      </c>
      <c r="I258" s="22">
        <f t="shared" si="39"/>
        <v>67.13850000000005</v>
      </c>
      <c r="J258" s="23">
        <f t="shared" si="40"/>
        <v>0.1896567796610171</v>
      </c>
      <c r="K258" s="24">
        <f t="shared" si="41"/>
        <v>354</v>
      </c>
      <c r="L258" s="25">
        <f t="shared" si="42"/>
        <v>200.29000000000025</v>
      </c>
      <c r="M258" s="26">
        <f t="shared" si="43"/>
        <v>0.56579096045197808</v>
      </c>
      <c r="N258" s="27">
        <f t="shared" si="44"/>
        <v>354</v>
      </c>
      <c r="O258" s="28">
        <f t="shared" si="45"/>
        <v>20113</v>
      </c>
      <c r="P258" s="29">
        <f t="shared" si="46"/>
        <v>56.816384180790962</v>
      </c>
      <c r="Q258" s="30">
        <f t="shared" si="47"/>
        <v>354</v>
      </c>
      <c r="R258" s="11" t="str">
        <f t="shared" si="48"/>
        <v>2</v>
      </c>
      <c r="S258" s="10" t="str">
        <f t="shared" si="49"/>
        <v>7</v>
      </c>
      <c r="T258" s="9">
        <f t="shared" si="50"/>
        <v>3</v>
      </c>
      <c r="U258" t="str">
        <f t="shared" si="51"/>
        <v>Mismatch</v>
      </c>
    </row>
    <row r="259" spans="1:21" x14ac:dyDescent="0.2">
      <c r="A259" s="12">
        <v>257</v>
      </c>
      <c r="B259" s="12">
        <v>258</v>
      </c>
      <c r="C259" s="12">
        <v>0.1515</v>
      </c>
      <c r="D259" s="12">
        <v>0.86</v>
      </c>
      <c r="E259" s="12">
        <v>0.1343</v>
      </c>
      <c r="F259" s="12">
        <v>0</v>
      </c>
      <c r="G259" s="12">
        <v>1</v>
      </c>
      <c r="H259" s="12">
        <v>1</v>
      </c>
      <c r="I259" s="22">
        <f t="shared" ref="I259:I322" si="52">SUM(C259:C868)</f>
        <v>66.956700000000041</v>
      </c>
      <c r="J259" s="23">
        <f t="shared" ref="J259:J322" si="53">AVERAGE(C259:C868)</f>
        <v>0.18967903682719559</v>
      </c>
      <c r="K259" s="24">
        <f t="shared" ref="K259:K322" si="54">COUNT(C259:C868)</f>
        <v>353</v>
      </c>
      <c r="L259" s="25">
        <f t="shared" ref="L259:L322" si="55">SUM(D259:D868)</f>
        <v>199.43000000000026</v>
      </c>
      <c r="M259" s="26">
        <f t="shared" ref="M259:M322" si="56">AVERAGE(D259:D868)</f>
        <v>0.56495750708215375</v>
      </c>
      <c r="N259" s="27">
        <f t="shared" ref="N259:N322" si="57">COUNT(D259:D868)</f>
        <v>353</v>
      </c>
      <c r="O259" s="28">
        <f t="shared" ref="O259:O322" si="58">SUM(H259:H868)</f>
        <v>20107</v>
      </c>
      <c r="P259" s="29">
        <f t="shared" ref="P259:P322" si="59">AVERAGE(H259:H868)</f>
        <v>56.960339943342774</v>
      </c>
      <c r="Q259" s="30">
        <f t="shared" ref="Q259:Q322" si="60">COUNT(H259:H868)</f>
        <v>353</v>
      </c>
      <c r="R259" s="11" t="str">
        <f t="shared" ref="R259:R322" si="61">LEFT(B259,1)</f>
        <v>2</v>
      </c>
      <c r="S259" s="10" t="str">
        <f t="shared" ref="S259:S322" si="62">RIGHT(B259,1)</f>
        <v>8</v>
      </c>
      <c r="T259" s="9">
        <f t="shared" ref="T259:T322" si="63">LEN(B259)</f>
        <v>3</v>
      </c>
      <c r="U259" t="str">
        <f t="shared" ref="U259:U322" si="64">IF(R259=S259,"Match","Mismatch")</f>
        <v>Mismatch</v>
      </c>
    </row>
    <row r="260" spans="1:21" x14ac:dyDescent="0.2">
      <c r="A260" s="12">
        <v>258</v>
      </c>
      <c r="B260" s="12">
        <v>259</v>
      </c>
      <c r="C260" s="12">
        <v>0.1515</v>
      </c>
      <c r="D260" s="12">
        <v>0.86</v>
      </c>
      <c r="E260" s="12">
        <v>0.16420000000000001</v>
      </c>
      <c r="F260" s="12">
        <v>0</v>
      </c>
      <c r="G260" s="12">
        <v>5</v>
      </c>
      <c r="H260" s="12">
        <v>5</v>
      </c>
      <c r="I260" s="22">
        <f t="shared" si="52"/>
        <v>66.805200000000042</v>
      </c>
      <c r="J260" s="23">
        <f t="shared" si="53"/>
        <v>0.18978750000000011</v>
      </c>
      <c r="K260" s="24">
        <f t="shared" si="54"/>
        <v>352</v>
      </c>
      <c r="L260" s="25">
        <f t="shared" si="55"/>
        <v>198.57000000000022</v>
      </c>
      <c r="M260" s="26">
        <f t="shared" si="56"/>
        <v>0.56411931818181882</v>
      </c>
      <c r="N260" s="27">
        <f t="shared" si="57"/>
        <v>352</v>
      </c>
      <c r="O260" s="28">
        <f t="shared" si="58"/>
        <v>20106</v>
      </c>
      <c r="P260" s="29">
        <f t="shared" si="59"/>
        <v>57.11931818181818</v>
      </c>
      <c r="Q260" s="30">
        <f t="shared" si="60"/>
        <v>352</v>
      </c>
      <c r="R260" s="11" t="str">
        <f t="shared" si="61"/>
        <v>2</v>
      </c>
      <c r="S260" s="10" t="str">
        <f t="shared" si="62"/>
        <v>9</v>
      </c>
      <c r="T260" s="9">
        <f t="shared" si="63"/>
        <v>3</v>
      </c>
      <c r="U260" t="str">
        <f t="shared" si="64"/>
        <v>Mismatch</v>
      </c>
    </row>
    <row r="261" spans="1:21" x14ac:dyDescent="0.2">
      <c r="A261" s="12">
        <v>259</v>
      </c>
      <c r="B261" s="12">
        <v>260</v>
      </c>
      <c r="C261" s="12">
        <v>0.1515</v>
      </c>
      <c r="D261" s="12">
        <v>0.93</v>
      </c>
      <c r="E261" s="12">
        <v>0.1343</v>
      </c>
      <c r="F261" s="12">
        <v>0</v>
      </c>
      <c r="G261" s="12">
        <v>16</v>
      </c>
      <c r="H261" s="12">
        <v>16</v>
      </c>
      <c r="I261" s="22">
        <f t="shared" si="52"/>
        <v>66.653700000000043</v>
      </c>
      <c r="J261" s="23">
        <f t="shared" si="53"/>
        <v>0.18989658119658132</v>
      </c>
      <c r="K261" s="24">
        <f t="shared" si="54"/>
        <v>351</v>
      </c>
      <c r="L261" s="25">
        <f t="shared" si="55"/>
        <v>197.71000000000024</v>
      </c>
      <c r="M261" s="26">
        <f t="shared" si="56"/>
        <v>0.56327635327635395</v>
      </c>
      <c r="N261" s="27">
        <f t="shared" si="57"/>
        <v>351</v>
      </c>
      <c r="O261" s="28">
        <f t="shared" si="58"/>
        <v>20101</v>
      </c>
      <c r="P261" s="29">
        <f t="shared" si="59"/>
        <v>57.267806267806264</v>
      </c>
      <c r="Q261" s="30">
        <f t="shared" si="60"/>
        <v>351</v>
      </c>
      <c r="R261" s="11" t="str">
        <f t="shared" si="61"/>
        <v>2</v>
      </c>
      <c r="S261" s="10" t="str">
        <f t="shared" si="62"/>
        <v>0</v>
      </c>
      <c r="T261" s="9">
        <f t="shared" si="63"/>
        <v>3</v>
      </c>
      <c r="U261" t="str">
        <f t="shared" si="64"/>
        <v>Mismatch</v>
      </c>
    </row>
    <row r="262" spans="1:21" x14ac:dyDescent="0.2">
      <c r="A262" s="12">
        <v>260</v>
      </c>
      <c r="B262" s="12">
        <v>261</v>
      </c>
      <c r="C262" s="12">
        <v>0.1515</v>
      </c>
      <c r="D262" s="12">
        <v>0.69</v>
      </c>
      <c r="E262" s="12">
        <v>0.1343</v>
      </c>
      <c r="F262" s="12">
        <v>0</v>
      </c>
      <c r="G262" s="12">
        <v>54</v>
      </c>
      <c r="H262" s="12">
        <v>54</v>
      </c>
      <c r="I262" s="22">
        <f t="shared" si="52"/>
        <v>66.502200000000045</v>
      </c>
      <c r="J262" s="23">
        <f t="shared" si="53"/>
        <v>0.19000628571428585</v>
      </c>
      <c r="K262" s="24">
        <f t="shared" si="54"/>
        <v>350</v>
      </c>
      <c r="L262" s="25">
        <f t="shared" si="55"/>
        <v>196.78000000000023</v>
      </c>
      <c r="M262" s="26">
        <f t="shared" si="56"/>
        <v>0.56222857142857208</v>
      </c>
      <c r="N262" s="27">
        <f t="shared" si="57"/>
        <v>350</v>
      </c>
      <c r="O262" s="28">
        <f t="shared" si="58"/>
        <v>20085</v>
      </c>
      <c r="P262" s="29">
        <f t="shared" si="59"/>
        <v>57.385714285714286</v>
      </c>
      <c r="Q262" s="30">
        <f t="shared" si="60"/>
        <v>350</v>
      </c>
      <c r="R262" s="11" t="str">
        <f t="shared" si="61"/>
        <v>2</v>
      </c>
      <c r="S262" s="10" t="str">
        <f t="shared" si="62"/>
        <v>1</v>
      </c>
      <c r="T262" s="9">
        <f t="shared" si="63"/>
        <v>3</v>
      </c>
      <c r="U262" t="str">
        <f t="shared" si="64"/>
        <v>Mismatch</v>
      </c>
    </row>
    <row r="263" spans="1:21" x14ac:dyDescent="0.2">
      <c r="A263" s="12">
        <v>261</v>
      </c>
      <c r="B263" s="12">
        <v>262</v>
      </c>
      <c r="C263" s="12">
        <v>0.16669999999999999</v>
      </c>
      <c r="D263" s="12">
        <v>0.59</v>
      </c>
      <c r="E263" s="12">
        <v>0.16420000000000001</v>
      </c>
      <c r="F263" s="12">
        <v>3</v>
      </c>
      <c r="G263" s="12">
        <v>125</v>
      </c>
      <c r="H263" s="12">
        <v>128</v>
      </c>
      <c r="I263" s="22">
        <f t="shared" si="52"/>
        <v>66.350700000000032</v>
      </c>
      <c r="J263" s="23">
        <f t="shared" si="53"/>
        <v>0.19011661891117487</v>
      </c>
      <c r="K263" s="24">
        <f t="shared" si="54"/>
        <v>349</v>
      </c>
      <c r="L263" s="25">
        <f t="shared" si="55"/>
        <v>196.09000000000023</v>
      </c>
      <c r="M263" s="26">
        <f t="shared" si="56"/>
        <v>0.5618624641833817</v>
      </c>
      <c r="N263" s="27">
        <f t="shared" si="57"/>
        <v>349</v>
      </c>
      <c r="O263" s="28">
        <f t="shared" si="58"/>
        <v>20031</v>
      </c>
      <c r="P263" s="29">
        <f t="shared" si="59"/>
        <v>57.395415472779369</v>
      </c>
      <c r="Q263" s="30">
        <f t="shared" si="60"/>
        <v>349</v>
      </c>
      <c r="R263" s="11" t="str">
        <f t="shared" si="61"/>
        <v>2</v>
      </c>
      <c r="S263" s="10" t="str">
        <f t="shared" si="62"/>
        <v>2</v>
      </c>
      <c r="T263" s="9">
        <f t="shared" si="63"/>
        <v>3</v>
      </c>
      <c r="U263" t="str">
        <f t="shared" si="64"/>
        <v>Match</v>
      </c>
    </row>
    <row r="264" spans="1:21" x14ac:dyDescent="0.2">
      <c r="A264" s="12">
        <v>262</v>
      </c>
      <c r="B264" s="12">
        <v>263</v>
      </c>
      <c r="C264" s="12">
        <v>0.13639999999999999</v>
      </c>
      <c r="D264" s="12">
        <v>0.59</v>
      </c>
      <c r="E264" s="12">
        <v>0.32840000000000003</v>
      </c>
      <c r="F264" s="12">
        <v>3</v>
      </c>
      <c r="G264" s="12">
        <v>78</v>
      </c>
      <c r="H264" s="12">
        <v>81</v>
      </c>
      <c r="I264" s="22">
        <f t="shared" si="52"/>
        <v>66.18400000000004</v>
      </c>
      <c r="J264" s="23">
        <f t="shared" si="53"/>
        <v>0.19018390804597712</v>
      </c>
      <c r="K264" s="24">
        <f t="shared" si="54"/>
        <v>348</v>
      </c>
      <c r="L264" s="25">
        <f t="shared" si="55"/>
        <v>195.50000000000023</v>
      </c>
      <c r="M264" s="26">
        <f t="shared" si="56"/>
        <v>0.56178160919540299</v>
      </c>
      <c r="N264" s="27">
        <f t="shared" si="57"/>
        <v>348</v>
      </c>
      <c r="O264" s="28">
        <f t="shared" si="58"/>
        <v>19903</v>
      </c>
      <c r="P264" s="29">
        <f t="shared" si="59"/>
        <v>57.192528735632187</v>
      </c>
      <c r="Q264" s="30">
        <f t="shared" si="60"/>
        <v>348</v>
      </c>
      <c r="R264" s="11" t="str">
        <f t="shared" si="61"/>
        <v>2</v>
      </c>
      <c r="S264" s="10" t="str">
        <f t="shared" si="62"/>
        <v>3</v>
      </c>
      <c r="T264" s="9">
        <f t="shared" si="63"/>
        <v>3</v>
      </c>
      <c r="U264" t="str">
        <f t="shared" si="64"/>
        <v>Mismatch</v>
      </c>
    </row>
    <row r="265" spans="1:21" x14ac:dyDescent="0.2">
      <c r="A265" s="12">
        <v>263</v>
      </c>
      <c r="B265" s="12">
        <v>264</v>
      </c>
      <c r="C265" s="12">
        <v>0.18179999999999999</v>
      </c>
      <c r="D265" s="12">
        <v>0.55000000000000004</v>
      </c>
      <c r="E265" s="12">
        <v>0.22389999999999999</v>
      </c>
      <c r="F265" s="12">
        <v>0</v>
      </c>
      <c r="G265" s="12">
        <v>39</v>
      </c>
      <c r="H265" s="12">
        <v>39</v>
      </c>
      <c r="I265" s="22">
        <f t="shared" si="52"/>
        <v>66.047600000000031</v>
      </c>
      <c r="J265" s="23">
        <f t="shared" si="53"/>
        <v>0.19033890489913555</v>
      </c>
      <c r="K265" s="24">
        <f t="shared" si="54"/>
        <v>347</v>
      </c>
      <c r="L265" s="25">
        <f t="shared" si="55"/>
        <v>194.91000000000022</v>
      </c>
      <c r="M265" s="26">
        <f t="shared" si="56"/>
        <v>0.56170028818443873</v>
      </c>
      <c r="N265" s="27">
        <f t="shared" si="57"/>
        <v>347</v>
      </c>
      <c r="O265" s="28">
        <f t="shared" si="58"/>
        <v>19822</v>
      </c>
      <c r="P265" s="29">
        <f t="shared" si="59"/>
        <v>57.123919308357351</v>
      </c>
      <c r="Q265" s="30">
        <f t="shared" si="60"/>
        <v>347</v>
      </c>
      <c r="R265" s="11" t="str">
        <f t="shared" si="61"/>
        <v>2</v>
      </c>
      <c r="S265" s="10" t="str">
        <f t="shared" si="62"/>
        <v>4</v>
      </c>
      <c r="T265" s="9">
        <f t="shared" si="63"/>
        <v>3</v>
      </c>
      <c r="U265" t="str">
        <f t="shared" si="64"/>
        <v>Mismatch</v>
      </c>
    </row>
    <row r="266" spans="1:21" x14ac:dyDescent="0.2">
      <c r="A266" s="12">
        <v>264</v>
      </c>
      <c r="B266" s="12">
        <v>265</v>
      </c>
      <c r="C266" s="12">
        <v>0.18179999999999999</v>
      </c>
      <c r="D266" s="12">
        <v>0.51</v>
      </c>
      <c r="E266" s="12">
        <v>0.3881</v>
      </c>
      <c r="F266" s="12">
        <v>3</v>
      </c>
      <c r="G266" s="12">
        <v>32</v>
      </c>
      <c r="H266" s="12">
        <v>35</v>
      </c>
      <c r="I266" s="22">
        <f t="shared" si="52"/>
        <v>65.865800000000036</v>
      </c>
      <c r="J266" s="23">
        <f t="shared" si="53"/>
        <v>0.19036358381502899</v>
      </c>
      <c r="K266" s="24">
        <f t="shared" si="54"/>
        <v>346</v>
      </c>
      <c r="L266" s="25">
        <f t="shared" si="55"/>
        <v>194.36000000000024</v>
      </c>
      <c r="M266" s="26">
        <f t="shared" si="56"/>
        <v>0.56173410404624347</v>
      </c>
      <c r="N266" s="27">
        <f t="shared" si="57"/>
        <v>346</v>
      </c>
      <c r="O266" s="28">
        <f t="shared" si="58"/>
        <v>19783</v>
      </c>
      <c r="P266" s="29">
        <f t="shared" si="59"/>
        <v>57.176300578034684</v>
      </c>
      <c r="Q266" s="30">
        <f t="shared" si="60"/>
        <v>346</v>
      </c>
      <c r="R266" s="11" t="str">
        <f t="shared" si="61"/>
        <v>2</v>
      </c>
      <c r="S266" s="10" t="str">
        <f t="shared" si="62"/>
        <v>5</v>
      </c>
      <c r="T266" s="9">
        <f t="shared" si="63"/>
        <v>3</v>
      </c>
      <c r="U266" t="str">
        <f t="shared" si="64"/>
        <v>Mismatch</v>
      </c>
    </row>
    <row r="267" spans="1:21" x14ac:dyDescent="0.2">
      <c r="A267" s="12">
        <v>265</v>
      </c>
      <c r="B267" s="12">
        <v>266</v>
      </c>
      <c r="C267" s="12">
        <v>0.1515</v>
      </c>
      <c r="D267" s="12">
        <v>0.47</v>
      </c>
      <c r="E267" s="12">
        <v>0.58209999999999995</v>
      </c>
      <c r="F267" s="12">
        <v>3</v>
      </c>
      <c r="G267" s="12">
        <v>52</v>
      </c>
      <c r="H267" s="12">
        <v>55</v>
      </c>
      <c r="I267" s="22">
        <f t="shared" si="52"/>
        <v>65.684000000000026</v>
      </c>
      <c r="J267" s="23">
        <f t="shared" si="53"/>
        <v>0.19038840579710153</v>
      </c>
      <c r="K267" s="24">
        <f t="shared" si="54"/>
        <v>345</v>
      </c>
      <c r="L267" s="25">
        <f t="shared" si="55"/>
        <v>193.85000000000022</v>
      </c>
      <c r="M267" s="26">
        <f t="shared" si="56"/>
        <v>0.56188405797101515</v>
      </c>
      <c r="N267" s="27">
        <f t="shared" si="57"/>
        <v>345</v>
      </c>
      <c r="O267" s="28">
        <f t="shared" si="58"/>
        <v>19748</v>
      </c>
      <c r="P267" s="29">
        <f t="shared" si="59"/>
        <v>57.240579710144928</v>
      </c>
      <c r="Q267" s="30">
        <f t="shared" si="60"/>
        <v>345</v>
      </c>
      <c r="R267" s="11" t="str">
        <f t="shared" si="61"/>
        <v>2</v>
      </c>
      <c r="S267" s="10" t="str">
        <f t="shared" si="62"/>
        <v>6</v>
      </c>
      <c r="T267" s="9">
        <f t="shared" si="63"/>
        <v>3</v>
      </c>
      <c r="U267" t="str">
        <f t="shared" si="64"/>
        <v>Mismatch</v>
      </c>
    </row>
    <row r="268" spans="1:21" x14ac:dyDescent="0.2">
      <c r="A268" s="12">
        <v>266</v>
      </c>
      <c r="B268" s="12">
        <v>267</v>
      </c>
      <c r="C268" s="12">
        <v>0.19700000000000001</v>
      </c>
      <c r="D268" s="12">
        <v>0.44</v>
      </c>
      <c r="E268" s="12">
        <v>0.35820000000000002</v>
      </c>
      <c r="F268" s="12">
        <v>0</v>
      </c>
      <c r="G268" s="12">
        <v>49</v>
      </c>
      <c r="H268" s="12">
        <v>49</v>
      </c>
      <c r="I268" s="22">
        <f t="shared" si="52"/>
        <v>65.532500000000027</v>
      </c>
      <c r="J268" s="23">
        <f t="shared" si="53"/>
        <v>0.19050145348837216</v>
      </c>
      <c r="K268" s="24">
        <f t="shared" si="54"/>
        <v>344</v>
      </c>
      <c r="L268" s="25">
        <f t="shared" si="55"/>
        <v>193.38000000000019</v>
      </c>
      <c r="M268" s="26">
        <f t="shared" si="56"/>
        <v>0.56215116279069821</v>
      </c>
      <c r="N268" s="27">
        <f t="shared" si="57"/>
        <v>344</v>
      </c>
      <c r="O268" s="28">
        <f t="shared" si="58"/>
        <v>19693</v>
      </c>
      <c r="P268" s="29">
        <f t="shared" si="59"/>
        <v>57.247093023255815</v>
      </c>
      <c r="Q268" s="30">
        <f t="shared" si="60"/>
        <v>344</v>
      </c>
      <c r="R268" s="11" t="str">
        <f t="shared" si="61"/>
        <v>2</v>
      </c>
      <c r="S268" s="10" t="str">
        <f t="shared" si="62"/>
        <v>7</v>
      </c>
      <c r="T268" s="9">
        <f t="shared" si="63"/>
        <v>3</v>
      </c>
      <c r="U268" t="str">
        <f t="shared" si="64"/>
        <v>Mismatch</v>
      </c>
    </row>
    <row r="269" spans="1:21" x14ac:dyDescent="0.2">
      <c r="A269" s="12">
        <v>267</v>
      </c>
      <c r="B269" s="12">
        <v>268</v>
      </c>
      <c r="C269" s="12">
        <v>0.18179999999999999</v>
      </c>
      <c r="D269" s="12">
        <v>0.47</v>
      </c>
      <c r="E269" s="12">
        <v>0.32840000000000003</v>
      </c>
      <c r="F269" s="12">
        <v>0</v>
      </c>
      <c r="G269" s="12">
        <v>44</v>
      </c>
      <c r="H269" s="12">
        <v>44</v>
      </c>
      <c r="I269" s="22">
        <f t="shared" si="52"/>
        <v>65.335500000000025</v>
      </c>
      <c r="J269" s="23">
        <f t="shared" si="53"/>
        <v>0.19048250728862981</v>
      </c>
      <c r="K269" s="24">
        <f t="shared" si="54"/>
        <v>343</v>
      </c>
      <c r="L269" s="25">
        <f t="shared" si="55"/>
        <v>192.94000000000023</v>
      </c>
      <c r="M269" s="26">
        <f t="shared" si="56"/>
        <v>0.56250728862973831</v>
      </c>
      <c r="N269" s="27">
        <f t="shared" si="57"/>
        <v>343</v>
      </c>
      <c r="O269" s="28">
        <f t="shared" si="58"/>
        <v>19644</v>
      </c>
      <c r="P269" s="29">
        <f t="shared" si="59"/>
        <v>57.271137026239067</v>
      </c>
      <c r="Q269" s="30">
        <f t="shared" si="60"/>
        <v>343</v>
      </c>
      <c r="R269" s="11" t="str">
        <f t="shared" si="61"/>
        <v>2</v>
      </c>
      <c r="S269" s="10" t="str">
        <f t="shared" si="62"/>
        <v>8</v>
      </c>
      <c r="T269" s="9">
        <f t="shared" si="63"/>
        <v>3</v>
      </c>
      <c r="U269" t="str">
        <f t="shared" si="64"/>
        <v>Mismatch</v>
      </c>
    </row>
    <row r="270" spans="1:21" x14ac:dyDescent="0.2">
      <c r="A270" s="12">
        <v>268</v>
      </c>
      <c r="B270" s="12">
        <v>269</v>
      </c>
      <c r="C270" s="12">
        <v>0.16669999999999999</v>
      </c>
      <c r="D270" s="12">
        <v>0.47</v>
      </c>
      <c r="E270" s="12">
        <v>0.41789999999999999</v>
      </c>
      <c r="F270" s="12">
        <v>1</v>
      </c>
      <c r="G270" s="12">
        <v>48</v>
      </c>
      <c r="H270" s="12">
        <v>49</v>
      </c>
      <c r="I270" s="22">
        <f t="shared" si="52"/>
        <v>65.153700000000001</v>
      </c>
      <c r="J270" s="23">
        <f t="shared" si="53"/>
        <v>0.1905078947368421</v>
      </c>
      <c r="K270" s="24">
        <f t="shared" si="54"/>
        <v>342</v>
      </c>
      <c r="L270" s="25">
        <f t="shared" si="55"/>
        <v>192.47000000000023</v>
      </c>
      <c r="M270" s="26">
        <f t="shared" si="56"/>
        <v>0.56277777777777849</v>
      </c>
      <c r="N270" s="27">
        <f t="shared" si="57"/>
        <v>342</v>
      </c>
      <c r="O270" s="28">
        <f t="shared" si="58"/>
        <v>19600</v>
      </c>
      <c r="P270" s="29">
        <f t="shared" si="59"/>
        <v>57.309941520467838</v>
      </c>
      <c r="Q270" s="30">
        <f t="shared" si="60"/>
        <v>342</v>
      </c>
      <c r="R270" s="11" t="str">
        <f t="shared" si="61"/>
        <v>2</v>
      </c>
      <c r="S270" s="10" t="str">
        <f t="shared" si="62"/>
        <v>9</v>
      </c>
      <c r="T270" s="9">
        <f t="shared" si="63"/>
        <v>3</v>
      </c>
      <c r="U270" t="str">
        <f t="shared" si="64"/>
        <v>Mismatch</v>
      </c>
    </row>
    <row r="271" spans="1:21" x14ac:dyDescent="0.2">
      <c r="A271" s="12">
        <v>269</v>
      </c>
      <c r="B271" s="12">
        <v>270</v>
      </c>
      <c r="C271" s="12">
        <v>0.19700000000000001</v>
      </c>
      <c r="D271" s="12">
        <v>0.44</v>
      </c>
      <c r="E271" s="12">
        <v>0.32840000000000003</v>
      </c>
      <c r="F271" s="12">
        <v>5</v>
      </c>
      <c r="G271" s="12">
        <v>63</v>
      </c>
      <c r="H271" s="12">
        <v>68</v>
      </c>
      <c r="I271" s="22">
        <f t="shared" si="52"/>
        <v>64.987000000000009</v>
      </c>
      <c r="J271" s="23">
        <f t="shared" si="53"/>
        <v>0.1905777126099707</v>
      </c>
      <c r="K271" s="24">
        <f t="shared" si="54"/>
        <v>341</v>
      </c>
      <c r="L271" s="25">
        <f t="shared" si="55"/>
        <v>192.00000000000023</v>
      </c>
      <c r="M271" s="26">
        <f t="shared" si="56"/>
        <v>0.56304985337243474</v>
      </c>
      <c r="N271" s="27">
        <f t="shared" si="57"/>
        <v>341</v>
      </c>
      <c r="O271" s="28">
        <f t="shared" si="58"/>
        <v>19551</v>
      </c>
      <c r="P271" s="29">
        <f t="shared" si="59"/>
        <v>57.334310850439884</v>
      </c>
      <c r="Q271" s="30">
        <f t="shared" si="60"/>
        <v>341</v>
      </c>
      <c r="R271" s="11" t="str">
        <f t="shared" si="61"/>
        <v>2</v>
      </c>
      <c r="S271" s="10" t="str">
        <f t="shared" si="62"/>
        <v>0</v>
      </c>
      <c r="T271" s="9">
        <f t="shared" si="63"/>
        <v>3</v>
      </c>
      <c r="U271" t="str">
        <f t="shared" si="64"/>
        <v>Mismatch</v>
      </c>
    </row>
    <row r="272" spans="1:21" x14ac:dyDescent="0.2">
      <c r="A272" s="12">
        <v>270</v>
      </c>
      <c r="B272" s="12">
        <v>271</v>
      </c>
      <c r="C272" s="12">
        <v>0.18179999999999999</v>
      </c>
      <c r="D272" s="12">
        <v>0.47</v>
      </c>
      <c r="E272" s="12">
        <v>0.35820000000000002</v>
      </c>
      <c r="F272" s="12">
        <v>0</v>
      </c>
      <c r="G272" s="12">
        <v>139</v>
      </c>
      <c r="H272" s="12">
        <v>139</v>
      </c>
      <c r="I272" s="22">
        <f t="shared" si="52"/>
        <v>64.789999999999992</v>
      </c>
      <c r="J272" s="23">
        <f t="shared" si="53"/>
        <v>0.19055882352941175</v>
      </c>
      <c r="K272" s="24">
        <f t="shared" si="54"/>
        <v>340</v>
      </c>
      <c r="L272" s="25">
        <f t="shared" si="55"/>
        <v>191.5600000000002</v>
      </c>
      <c r="M272" s="26">
        <f t="shared" si="56"/>
        <v>0.56341176470588294</v>
      </c>
      <c r="N272" s="27">
        <f t="shared" si="57"/>
        <v>340</v>
      </c>
      <c r="O272" s="28">
        <f t="shared" si="58"/>
        <v>19483</v>
      </c>
      <c r="P272" s="29">
        <f t="shared" si="59"/>
        <v>57.30294117647059</v>
      </c>
      <c r="Q272" s="30">
        <f t="shared" si="60"/>
        <v>340</v>
      </c>
      <c r="R272" s="11" t="str">
        <f t="shared" si="61"/>
        <v>2</v>
      </c>
      <c r="S272" s="10" t="str">
        <f t="shared" si="62"/>
        <v>1</v>
      </c>
      <c r="T272" s="9">
        <f t="shared" si="63"/>
        <v>3</v>
      </c>
      <c r="U272" t="str">
        <f t="shared" si="64"/>
        <v>Mismatch</v>
      </c>
    </row>
    <row r="273" spans="1:21" x14ac:dyDescent="0.2">
      <c r="A273" s="12">
        <v>271</v>
      </c>
      <c r="B273" s="12">
        <v>272</v>
      </c>
      <c r="C273" s="12">
        <v>0.1515</v>
      </c>
      <c r="D273" s="12">
        <v>0.47</v>
      </c>
      <c r="E273" s="12">
        <v>0.52239999999999998</v>
      </c>
      <c r="F273" s="12">
        <v>2</v>
      </c>
      <c r="G273" s="12">
        <v>135</v>
      </c>
      <c r="H273" s="12">
        <v>137</v>
      </c>
      <c r="I273" s="22">
        <f t="shared" si="52"/>
        <v>64.608199999999997</v>
      </c>
      <c r="J273" s="23">
        <f t="shared" si="53"/>
        <v>0.19058466076696165</v>
      </c>
      <c r="K273" s="24">
        <f t="shared" si="54"/>
        <v>339</v>
      </c>
      <c r="L273" s="25">
        <f t="shared" si="55"/>
        <v>191.09000000000017</v>
      </c>
      <c r="M273" s="26">
        <f t="shared" si="56"/>
        <v>0.56368731563421881</v>
      </c>
      <c r="N273" s="27">
        <f t="shared" si="57"/>
        <v>339</v>
      </c>
      <c r="O273" s="28">
        <f t="shared" si="58"/>
        <v>19344</v>
      </c>
      <c r="P273" s="29">
        <f t="shared" si="59"/>
        <v>57.061946902654867</v>
      </c>
      <c r="Q273" s="30">
        <f t="shared" si="60"/>
        <v>339</v>
      </c>
      <c r="R273" s="11" t="str">
        <f t="shared" si="61"/>
        <v>2</v>
      </c>
      <c r="S273" s="10" t="str">
        <f t="shared" si="62"/>
        <v>2</v>
      </c>
      <c r="T273" s="9">
        <f t="shared" si="63"/>
        <v>3</v>
      </c>
      <c r="U273" t="str">
        <f t="shared" si="64"/>
        <v>Match</v>
      </c>
    </row>
    <row r="274" spans="1:21" x14ac:dyDescent="0.2">
      <c r="A274" s="12">
        <v>272</v>
      </c>
      <c r="B274" s="12">
        <v>273</v>
      </c>
      <c r="C274" s="12">
        <v>0.1515</v>
      </c>
      <c r="D274" s="12">
        <v>0.47</v>
      </c>
      <c r="E274" s="12">
        <v>0.41789999999999999</v>
      </c>
      <c r="F274" s="12">
        <v>1</v>
      </c>
      <c r="G274" s="12">
        <v>82</v>
      </c>
      <c r="H274" s="12">
        <v>83</v>
      </c>
      <c r="I274" s="22">
        <f t="shared" si="52"/>
        <v>64.456699999999984</v>
      </c>
      <c r="J274" s="23">
        <f t="shared" si="53"/>
        <v>0.19070029585798812</v>
      </c>
      <c r="K274" s="24">
        <f t="shared" si="54"/>
        <v>338</v>
      </c>
      <c r="L274" s="25">
        <f t="shared" si="55"/>
        <v>190.62000000000018</v>
      </c>
      <c r="M274" s="26">
        <f t="shared" si="56"/>
        <v>0.5639644970414206</v>
      </c>
      <c r="N274" s="27">
        <f t="shared" si="57"/>
        <v>338</v>
      </c>
      <c r="O274" s="28">
        <f t="shared" si="58"/>
        <v>19207</v>
      </c>
      <c r="P274" s="29">
        <f t="shared" si="59"/>
        <v>56.825443786982248</v>
      </c>
      <c r="Q274" s="30">
        <f t="shared" si="60"/>
        <v>338</v>
      </c>
      <c r="R274" s="11" t="str">
        <f t="shared" si="61"/>
        <v>2</v>
      </c>
      <c r="S274" s="10" t="str">
        <f t="shared" si="62"/>
        <v>3</v>
      </c>
      <c r="T274" s="9">
        <f t="shared" si="63"/>
        <v>3</v>
      </c>
      <c r="U274" t="str">
        <f t="shared" si="64"/>
        <v>Mismatch</v>
      </c>
    </row>
    <row r="275" spans="1:21" x14ac:dyDescent="0.2">
      <c r="A275" s="12">
        <v>273</v>
      </c>
      <c r="B275" s="12">
        <v>274</v>
      </c>
      <c r="C275" s="12">
        <v>0.13639999999999999</v>
      </c>
      <c r="D275" s="12">
        <v>0.5</v>
      </c>
      <c r="E275" s="12">
        <v>0.32840000000000003</v>
      </c>
      <c r="F275" s="12">
        <v>2</v>
      </c>
      <c r="G275" s="12">
        <v>54</v>
      </c>
      <c r="H275" s="12">
        <v>56</v>
      </c>
      <c r="I275" s="22">
        <f t="shared" si="52"/>
        <v>64.305199999999985</v>
      </c>
      <c r="J275" s="23">
        <f t="shared" si="53"/>
        <v>0.19081661721068244</v>
      </c>
      <c r="K275" s="24">
        <f t="shared" si="54"/>
        <v>337</v>
      </c>
      <c r="L275" s="25">
        <f t="shared" si="55"/>
        <v>190.1500000000002</v>
      </c>
      <c r="M275" s="26">
        <f t="shared" si="56"/>
        <v>0.56424332344213712</v>
      </c>
      <c r="N275" s="27">
        <f t="shared" si="57"/>
        <v>337</v>
      </c>
      <c r="O275" s="28">
        <f t="shared" si="58"/>
        <v>19124</v>
      </c>
      <c r="P275" s="29">
        <f t="shared" si="59"/>
        <v>56.747774480712167</v>
      </c>
      <c r="Q275" s="30">
        <f t="shared" si="60"/>
        <v>337</v>
      </c>
      <c r="R275" s="11" t="str">
        <f t="shared" si="61"/>
        <v>2</v>
      </c>
      <c r="S275" s="10" t="str">
        <f t="shared" si="62"/>
        <v>4</v>
      </c>
      <c r="T275" s="9">
        <f t="shared" si="63"/>
        <v>3</v>
      </c>
      <c r="U275" t="str">
        <f t="shared" si="64"/>
        <v>Mismatch</v>
      </c>
    </row>
    <row r="276" spans="1:21" x14ac:dyDescent="0.2">
      <c r="A276" s="12">
        <v>274</v>
      </c>
      <c r="B276" s="12">
        <v>275</v>
      </c>
      <c r="C276" s="12">
        <v>0.13639999999999999</v>
      </c>
      <c r="D276" s="12">
        <v>0.55000000000000004</v>
      </c>
      <c r="E276" s="12">
        <v>0.32840000000000003</v>
      </c>
      <c r="F276" s="12">
        <v>0</v>
      </c>
      <c r="G276" s="12">
        <v>57</v>
      </c>
      <c r="H276" s="12">
        <v>57</v>
      </c>
      <c r="I276" s="22">
        <f t="shared" si="52"/>
        <v>64.16879999999999</v>
      </c>
      <c r="J276" s="23">
        <f t="shared" si="53"/>
        <v>0.19097857142857139</v>
      </c>
      <c r="K276" s="24">
        <f t="shared" si="54"/>
        <v>336</v>
      </c>
      <c r="L276" s="25">
        <f t="shared" si="55"/>
        <v>189.6500000000002</v>
      </c>
      <c r="M276" s="26">
        <f t="shared" si="56"/>
        <v>0.56443452380952441</v>
      </c>
      <c r="N276" s="27">
        <f t="shared" si="57"/>
        <v>336</v>
      </c>
      <c r="O276" s="28">
        <f t="shared" si="58"/>
        <v>19068</v>
      </c>
      <c r="P276" s="29">
        <f t="shared" si="59"/>
        <v>56.75</v>
      </c>
      <c r="Q276" s="30">
        <f t="shared" si="60"/>
        <v>336</v>
      </c>
      <c r="R276" s="11" t="str">
        <f t="shared" si="61"/>
        <v>2</v>
      </c>
      <c r="S276" s="10" t="str">
        <f t="shared" si="62"/>
        <v>5</v>
      </c>
      <c r="T276" s="9">
        <f t="shared" si="63"/>
        <v>3</v>
      </c>
      <c r="U276" t="str">
        <f t="shared" si="64"/>
        <v>Mismatch</v>
      </c>
    </row>
    <row r="277" spans="1:21" x14ac:dyDescent="0.2">
      <c r="A277" s="12">
        <v>275</v>
      </c>
      <c r="B277" s="12">
        <v>276</v>
      </c>
      <c r="C277" s="12">
        <v>0.1212</v>
      </c>
      <c r="D277" s="12">
        <v>0.55000000000000004</v>
      </c>
      <c r="E277" s="12">
        <v>0.44779999999999998</v>
      </c>
      <c r="F277" s="12">
        <v>1</v>
      </c>
      <c r="G277" s="12">
        <v>32</v>
      </c>
      <c r="H277" s="12">
        <v>33</v>
      </c>
      <c r="I277" s="22">
        <f t="shared" si="52"/>
        <v>64.032399999999996</v>
      </c>
      <c r="J277" s="23">
        <f t="shared" si="53"/>
        <v>0.19114149253731341</v>
      </c>
      <c r="K277" s="24">
        <f t="shared" si="54"/>
        <v>335</v>
      </c>
      <c r="L277" s="25">
        <f t="shared" si="55"/>
        <v>189.10000000000016</v>
      </c>
      <c r="M277" s="26">
        <f t="shared" si="56"/>
        <v>0.564477611940299</v>
      </c>
      <c r="N277" s="27">
        <f t="shared" si="57"/>
        <v>335</v>
      </c>
      <c r="O277" s="28">
        <f t="shared" si="58"/>
        <v>19011</v>
      </c>
      <c r="P277" s="29">
        <f t="shared" si="59"/>
        <v>56.749253731343281</v>
      </c>
      <c r="Q277" s="30">
        <f t="shared" si="60"/>
        <v>335</v>
      </c>
      <c r="R277" s="11" t="str">
        <f t="shared" si="61"/>
        <v>2</v>
      </c>
      <c r="S277" s="10" t="str">
        <f t="shared" si="62"/>
        <v>6</v>
      </c>
      <c r="T277" s="9">
        <f t="shared" si="63"/>
        <v>3</v>
      </c>
      <c r="U277" t="str">
        <f t="shared" si="64"/>
        <v>Mismatch</v>
      </c>
    </row>
    <row r="278" spans="1:21" x14ac:dyDescent="0.2">
      <c r="A278" s="12">
        <v>276</v>
      </c>
      <c r="B278" s="12">
        <v>277</v>
      </c>
      <c r="C278" s="12">
        <v>0.1061</v>
      </c>
      <c r="D278" s="12">
        <v>0.59</v>
      </c>
      <c r="E278" s="12">
        <v>0.41789999999999999</v>
      </c>
      <c r="F278" s="12">
        <v>1</v>
      </c>
      <c r="G278" s="12">
        <v>19</v>
      </c>
      <c r="H278" s="12">
        <v>20</v>
      </c>
      <c r="I278" s="22">
        <f t="shared" si="52"/>
        <v>63.911199999999987</v>
      </c>
      <c r="J278" s="23">
        <f t="shared" si="53"/>
        <v>0.19135089820359277</v>
      </c>
      <c r="K278" s="24">
        <f t="shared" si="54"/>
        <v>334</v>
      </c>
      <c r="L278" s="25">
        <f t="shared" si="55"/>
        <v>188.55000000000018</v>
      </c>
      <c r="M278" s="26">
        <f t="shared" si="56"/>
        <v>0.56452095808383285</v>
      </c>
      <c r="N278" s="27">
        <f t="shared" si="57"/>
        <v>334</v>
      </c>
      <c r="O278" s="28">
        <f t="shared" si="58"/>
        <v>18978</v>
      </c>
      <c r="P278" s="29">
        <f t="shared" si="59"/>
        <v>56.820359281437128</v>
      </c>
      <c r="Q278" s="30">
        <f t="shared" si="60"/>
        <v>334</v>
      </c>
      <c r="R278" s="11" t="str">
        <f t="shared" si="61"/>
        <v>2</v>
      </c>
      <c r="S278" s="10" t="str">
        <f t="shared" si="62"/>
        <v>7</v>
      </c>
      <c r="T278" s="9">
        <f t="shared" si="63"/>
        <v>3</v>
      </c>
      <c r="U278" t="str">
        <f t="shared" si="64"/>
        <v>Mismatch</v>
      </c>
    </row>
    <row r="279" spans="1:21" x14ac:dyDescent="0.2">
      <c r="A279" s="12">
        <v>277</v>
      </c>
      <c r="B279" s="12">
        <v>278</v>
      </c>
      <c r="C279" s="12">
        <v>0.1212</v>
      </c>
      <c r="D279" s="12">
        <v>0.59</v>
      </c>
      <c r="E279" s="12">
        <v>0.28360000000000002</v>
      </c>
      <c r="F279" s="12">
        <v>1</v>
      </c>
      <c r="G279" s="12">
        <v>6</v>
      </c>
      <c r="H279" s="12">
        <v>7</v>
      </c>
      <c r="I279" s="22">
        <f t="shared" si="52"/>
        <v>63.805099999999989</v>
      </c>
      <c r="J279" s="23">
        <f t="shared" si="53"/>
        <v>0.19160690690690688</v>
      </c>
      <c r="K279" s="24">
        <f t="shared" si="54"/>
        <v>333</v>
      </c>
      <c r="L279" s="25">
        <f t="shared" si="55"/>
        <v>187.96000000000015</v>
      </c>
      <c r="M279" s="26">
        <f t="shared" si="56"/>
        <v>0.56444444444444486</v>
      </c>
      <c r="N279" s="27">
        <f t="shared" si="57"/>
        <v>333</v>
      </c>
      <c r="O279" s="28">
        <f t="shared" si="58"/>
        <v>18958</v>
      </c>
      <c r="P279" s="29">
        <f t="shared" si="59"/>
        <v>56.930930930930934</v>
      </c>
      <c r="Q279" s="30">
        <f t="shared" si="60"/>
        <v>333</v>
      </c>
      <c r="R279" s="11" t="str">
        <f t="shared" si="61"/>
        <v>2</v>
      </c>
      <c r="S279" s="10" t="str">
        <f t="shared" si="62"/>
        <v>8</v>
      </c>
      <c r="T279" s="9">
        <f t="shared" si="63"/>
        <v>3</v>
      </c>
      <c r="U279" t="str">
        <f t="shared" si="64"/>
        <v>Mismatch</v>
      </c>
    </row>
    <row r="280" spans="1:21" x14ac:dyDescent="0.2">
      <c r="A280" s="12">
        <v>278</v>
      </c>
      <c r="B280" s="12">
        <v>279</v>
      </c>
      <c r="C280" s="12">
        <v>0.1212</v>
      </c>
      <c r="D280" s="12">
        <v>0.5</v>
      </c>
      <c r="E280" s="12">
        <v>0.28360000000000002</v>
      </c>
      <c r="F280" s="12">
        <v>0</v>
      </c>
      <c r="G280" s="12">
        <v>2</v>
      </c>
      <c r="H280" s="12">
        <v>2</v>
      </c>
      <c r="I280" s="22">
        <f t="shared" si="52"/>
        <v>63.683899999999987</v>
      </c>
      <c r="J280" s="23">
        <f t="shared" si="53"/>
        <v>0.19181897590361441</v>
      </c>
      <c r="K280" s="24">
        <f t="shared" si="54"/>
        <v>332</v>
      </c>
      <c r="L280" s="25">
        <f t="shared" si="55"/>
        <v>187.37000000000018</v>
      </c>
      <c r="M280" s="26">
        <f t="shared" si="56"/>
        <v>0.56436746987951858</v>
      </c>
      <c r="N280" s="27">
        <f t="shared" si="57"/>
        <v>332</v>
      </c>
      <c r="O280" s="28">
        <f t="shared" si="58"/>
        <v>18951</v>
      </c>
      <c r="P280" s="29">
        <f t="shared" si="59"/>
        <v>57.081325301204821</v>
      </c>
      <c r="Q280" s="30">
        <f t="shared" si="60"/>
        <v>332</v>
      </c>
      <c r="R280" s="11" t="str">
        <f t="shared" si="61"/>
        <v>2</v>
      </c>
      <c r="S280" s="10" t="str">
        <f t="shared" si="62"/>
        <v>9</v>
      </c>
      <c r="T280" s="9">
        <f t="shared" si="63"/>
        <v>3</v>
      </c>
      <c r="U280" t="str">
        <f t="shared" si="64"/>
        <v>Mismatch</v>
      </c>
    </row>
    <row r="281" spans="1:21" x14ac:dyDescent="0.2">
      <c r="A281" s="12">
        <v>279</v>
      </c>
      <c r="B281" s="12">
        <v>280</v>
      </c>
      <c r="C281" s="12">
        <v>0.1212</v>
      </c>
      <c r="D281" s="12">
        <v>0.5</v>
      </c>
      <c r="E281" s="12">
        <v>0.35820000000000002</v>
      </c>
      <c r="F281" s="12">
        <v>0</v>
      </c>
      <c r="G281" s="12">
        <v>2</v>
      </c>
      <c r="H281" s="12">
        <v>2</v>
      </c>
      <c r="I281" s="22">
        <f t="shared" si="52"/>
        <v>63.562699999999985</v>
      </c>
      <c r="J281" s="23">
        <f t="shared" si="53"/>
        <v>0.19203232628398786</v>
      </c>
      <c r="K281" s="24">
        <f t="shared" si="54"/>
        <v>331</v>
      </c>
      <c r="L281" s="25">
        <f t="shared" si="55"/>
        <v>186.87000000000018</v>
      </c>
      <c r="M281" s="26">
        <f t="shared" si="56"/>
        <v>0.56456193353474371</v>
      </c>
      <c r="N281" s="27">
        <f t="shared" si="57"/>
        <v>331</v>
      </c>
      <c r="O281" s="28">
        <f t="shared" si="58"/>
        <v>18949</v>
      </c>
      <c r="P281" s="29">
        <f t="shared" si="59"/>
        <v>57.24773413897281</v>
      </c>
      <c r="Q281" s="30">
        <f t="shared" si="60"/>
        <v>331</v>
      </c>
      <c r="R281" s="11" t="str">
        <f t="shared" si="61"/>
        <v>2</v>
      </c>
      <c r="S281" s="10" t="str">
        <f t="shared" si="62"/>
        <v>0</v>
      </c>
      <c r="T281" s="9">
        <f t="shared" si="63"/>
        <v>3</v>
      </c>
      <c r="U281" t="str">
        <f t="shared" si="64"/>
        <v>Mismatch</v>
      </c>
    </row>
    <row r="282" spans="1:21" x14ac:dyDescent="0.2">
      <c r="A282" s="12">
        <v>280</v>
      </c>
      <c r="B282" s="12">
        <v>281</v>
      </c>
      <c r="C282" s="12">
        <v>0.1212</v>
      </c>
      <c r="D282" s="12">
        <v>0.5</v>
      </c>
      <c r="E282" s="12">
        <v>0.32840000000000003</v>
      </c>
      <c r="F282" s="12">
        <v>0</v>
      </c>
      <c r="G282" s="12">
        <v>3</v>
      </c>
      <c r="H282" s="12">
        <v>3</v>
      </c>
      <c r="I282" s="22">
        <f t="shared" si="52"/>
        <v>63.441499999999991</v>
      </c>
      <c r="J282" s="23">
        <f t="shared" si="53"/>
        <v>0.19224696969696967</v>
      </c>
      <c r="K282" s="24">
        <f t="shared" si="54"/>
        <v>330</v>
      </c>
      <c r="L282" s="25">
        <f t="shared" si="55"/>
        <v>186.37000000000015</v>
      </c>
      <c r="M282" s="26">
        <f t="shared" si="56"/>
        <v>0.56475757575757624</v>
      </c>
      <c r="N282" s="27">
        <f t="shared" si="57"/>
        <v>330</v>
      </c>
      <c r="O282" s="28">
        <f t="shared" si="58"/>
        <v>18947</v>
      </c>
      <c r="P282" s="29">
        <f t="shared" si="59"/>
        <v>57.415151515151514</v>
      </c>
      <c r="Q282" s="30">
        <f t="shared" si="60"/>
        <v>330</v>
      </c>
      <c r="R282" s="11" t="str">
        <f t="shared" si="61"/>
        <v>2</v>
      </c>
      <c r="S282" s="10" t="str">
        <f t="shared" si="62"/>
        <v>1</v>
      </c>
      <c r="T282" s="9">
        <f t="shared" si="63"/>
        <v>3</v>
      </c>
      <c r="U282" t="str">
        <f t="shared" si="64"/>
        <v>Mismatch</v>
      </c>
    </row>
    <row r="283" spans="1:21" x14ac:dyDescent="0.2">
      <c r="A283" s="12">
        <v>281</v>
      </c>
      <c r="B283" s="12">
        <v>282</v>
      </c>
      <c r="C283" s="12">
        <v>0.1212</v>
      </c>
      <c r="D283" s="12">
        <v>0.5</v>
      </c>
      <c r="E283" s="12">
        <v>0.25369999999999998</v>
      </c>
      <c r="F283" s="12">
        <v>0</v>
      </c>
      <c r="G283" s="12">
        <v>4</v>
      </c>
      <c r="H283" s="12">
        <v>4</v>
      </c>
      <c r="I283" s="22">
        <f t="shared" si="52"/>
        <v>63.320299999999996</v>
      </c>
      <c r="J283" s="23">
        <f t="shared" si="53"/>
        <v>0.19246291793313069</v>
      </c>
      <c r="K283" s="24">
        <f t="shared" si="54"/>
        <v>329</v>
      </c>
      <c r="L283" s="25">
        <f t="shared" si="55"/>
        <v>185.87000000000012</v>
      </c>
      <c r="M283" s="26">
        <f t="shared" si="56"/>
        <v>0.56495440729483315</v>
      </c>
      <c r="N283" s="27">
        <f t="shared" si="57"/>
        <v>329</v>
      </c>
      <c r="O283" s="28">
        <f t="shared" si="58"/>
        <v>18944</v>
      </c>
      <c r="P283" s="29">
        <f t="shared" si="59"/>
        <v>57.580547112462007</v>
      </c>
      <c r="Q283" s="30">
        <f t="shared" si="60"/>
        <v>329</v>
      </c>
      <c r="R283" s="11" t="str">
        <f t="shared" si="61"/>
        <v>2</v>
      </c>
      <c r="S283" s="10" t="str">
        <f t="shared" si="62"/>
        <v>2</v>
      </c>
      <c r="T283" s="9">
        <f t="shared" si="63"/>
        <v>3</v>
      </c>
      <c r="U283" t="str">
        <f t="shared" si="64"/>
        <v>Match</v>
      </c>
    </row>
    <row r="284" spans="1:21" x14ac:dyDescent="0.2">
      <c r="A284" s="12">
        <v>282</v>
      </c>
      <c r="B284" s="12">
        <v>283</v>
      </c>
      <c r="C284" s="12">
        <v>0.1212</v>
      </c>
      <c r="D284" s="12">
        <v>0.5</v>
      </c>
      <c r="E284" s="12">
        <v>0.29849999999999999</v>
      </c>
      <c r="F284" s="12">
        <v>0</v>
      </c>
      <c r="G284" s="12">
        <v>3</v>
      </c>
      <c r="H284" s="12">
        <v>3</v>
      </c>
      <c r="I284" s="22">
        <f t="shared" si="52"/>
        <v>63.199099999999994</v>
      </c>
      <c r="J284" s="23">
        <f t="shared" si="53"/>
        <v>0.19268018292682926</v>
      </c>
      <c r="K284" s="24">
        <f t="shared" si="54"/>
        <v>328</v>
      </c>
      <c r="L284" s="25">
        <f t="shared" si="55"/>
        <v>185.37000000000012</v>
      </c>
      <c r="M284" s="26">
        <f t="shared" si="56"/>
        <v>0.56515243902439061</v>
      </c>
      <c r="N284" s="27">
        <f t="shared" si="57"/>
        <v>328</v>
      </c>
      <c r="O284" s="28">
        <f t="shared" si="58"/>
        <v>18940</v>
      </c>
      <c r="P284" s="29">
        <f t="shared" si="59"/>
        <v>57.743902439024389</v>
      </c>
      <c r="Q284" s="30">
        <f t="shared" si="60"/>
        <v>328</v>
      </c>
      <c r="R284" s="11" t="str">
        <f t="shared" si="61"/>
        <v>2</v>
      </c>
      <c r="S284" s="10" t="str">
        <f t="shared" si="62"/>
        <v>3</v>
      </c>
      <c r="T284" s="9">
        <f t="shared" si="63"/>
        <v>3</v>
      </c>
      <c r="U284" t="str">
        <f t="shared" si="64"/>
        <v>Mismatch</v>
      </c>
    </row>
    <row r="285" spans="1:21" x14ac:dyDescent="0.2">
      <c r="A285" s="12">
        <v>283</v>
      </c>
      <c r="B285" s="12">
        <v>284</v>
      </c>
      <c r="C285" s="12">
        <v>0.1515</v>
      </c>
      <c r="D285" s="12">
        <v>0.54</v>
      </c>
      <c r="E285" s="12">
        <v>0.1343</v>
      </c>
      <c r="F285" s="12">
        <v>0</v>
      </c>
      <c r="G285" s="12">
        <v>28</v>
      </c>
      <c r="H285" s="12">
        <v>28</v>
      </c>
      <c r="I285" s="22">
        <f t="shared" si="52"/>
        <v>63.077899999999993</v>
      </c>
      <c r="J285" s="23">
        <f t="shared" si="53"/>
        <v>0.19289877675840977</v>
      </c>
      <c r="K285" s="24">
        <f t="shared" si="54"/>
        <v>327</v>
      </c>
      <c r="L285" s="25">
        <f t="shared" si="55"/>
        <v>184.87000000000012</v>
      </c>
      <c r="M285" s="26">
        <f t="shared" si="56"/>
        <v>0.56535168195718688</v>
      </c>
      <c r="N285" s="27">
        <f t="shared" si="57"/>
        <v>327</v>
      </c>
      <c r="O285" s="28">
        <f t="shared" si="58"/>
        <v>18937</v>
      </c>
      <c r="P285" s="29">
        <f t="shared" si="59"/>
        <v>57.911314984709477</v>
      </c>
      <c r="Q285" s="30">
        <f t="shared" si="60"/>
        <v>327</v>
      </c>
      <c r="R285" s="11" t="str">
        <f t="shared" si="61"/>
        <v>2</v>
      </c>
      <c r="S285" s="10" t="str">
        <f t="shared" si="62"/>
        <v>4</v>
      </c>
      <c r="T285" s="9">
        <f t="shared" si="63"/>
        <v>3</v>
      </c>
      <c r="U285" t="str">
        <f t="shared" si="64"/>
        <v>Mismatch</v>
      </c>
    </row>
    <row r="286" spans="1:21" x14ac:dyDescent="0.2">
      <c r="A286" s="12">
        <v>284</v>
      </c>
      <c r="B286" s="12">
        <v>285</v>
      </c>
      <c r="C286" s="12">
        <v>0.1515</v>
      </c>
      <c r="D286" s="12">
        <v>0.54</v>
      </c>
      <c r="E286" s="12">
        <v>0.1343</v>
      </c>
      <c r="F286" s="12">
        <v>0</v>
      </c>
      <c r="G286" s="12">
        <v>72</v>
      </c>
      <c r="H286" s="12">
        <v>72</v>
      </c>
      <c r="I286" s="22">
        <f t="shared" si="52"/>
        <v>62.926399999999994</v>
      </c>
      <c r="J286" s="23">
        <f t="shared" si="53"/>
        <v>0.19302576687116563</v>
      </c>
      <c r="K286" s="24">
        <f t="shared" si="54"/>
        <v>326</v>
      </c>
      <c r="L286" s="25">
        <f t="shared" si="55"/>
        <v>184.33000000000013</v>
      </c>
      <c r="M286" s="26">
        <f t="shared" si="56"/>
        <v>0.56542944785276117</v>
      </c>
      <c r="N286" s="27">
        <f t="shared" si="57"/>
        <v>326</v>
      </c>
      <c r="O286" s="28">
        <f t="shared" si="58"/>
        <v>18909</v>
      </c>
      <c r="P286" s="29">
        <f t="shared" si="59"/>
        <v>58.00306748466258</v>
      </c>
      <c r="Q286" s="30">
        <f t="shared" si="60"/>
        <v>326</v>
      </c>
      <c r="R286" s="11" t="str">
        <f t="shared" si="61"/>
        <v>2</v>
      </c>
      <c r="S286" s="10" t="str">
        <f t="shared" si="62"/>
        <v>5</v>
      </c>
      <c r="T286" s="9">
        <f t="shared" si="63"/>
        <v>3</v>
      </c>
      <c r="U286" t="str">
        <f t="shared" si="64"/>
        <v>Mismatch</v>
      </c>
    </row>
    <row r="287" spans="1:21" x14ac:dyDescent="0.2">
      <c r="A287" s="12">
        <v>285</v>
      </c>
      <c r="B287" s="12">
        <v>286</v>
      </c>
      <c r="C287" s="12">
        <v>0.13639999999999999</v>
      </c>
      <c r="D287" s="12">
        <v>0.5</v>
      </c>
      <c r="E287" s="12">
        <v>0.19400000000000001</v>
      </c>
      <c r="F287" s="12">
        <v>5</v>
      </c>
      <c r="G287" s="12">
        <v>197</v>
      </c>
      <c r="H287" s="12">
        <v>202</v>
      </c>
      <c r="I287" s="22">
        <f t="shared" si="52"/>
        <v>62.774899999999995</v>
      </c>
      <c r="J287" s="23">
        <f t="shared" si="53"/>
        <v>0.19315353846153846</v>
      </c>
      <c r="K287" s="24">
        <f t="shared" si="54"/>
        <v>325</v>
      </c>
      <c r="L287" s="25">
        <f t="shared" si="55"/>
        <v>183.79000000000013</v>
      </c>
      <c r="M287" s="26">
        <f t="shared" si="56"/>
        <v>0.56550769230769271</v>
      </c>
      <c r="N287" s="27">
        <f t="shared" si="57"/>
        <v>325</v>
      </c>
      <c r="O287" s="28">
        <f t="shared" si="58"/>
        <v>18837</v>
      </c>
      <c r="P287" s="29">
        <f t="shared" si="59"/>
        <v>57.96</v>
      </c>
      <c r="Q287" s="30">
        <f t="shared" si="60"/>
        <v>325</v>
      </c>
      <c r="R287" s="11" t="str">
        <f t="shared" si="61"/>
        <v>2</v>
      </c>
      <c r="S287" s="10" t="str">
        <f t="shared" si="62"/>
        <v>6</v>
      </c>
      <c r="T287" s="9">
        <f t="shared" si="63"/>
        <v>3</v>
      </c>
      <c r="U287" t="str">
        <f t="shared" si="64"/>
        <v>Mismatch</v>
      </c>
    </row>
    <row r="288" spans="1:21" x14ac:dyDescent="0.2">
      <c r="A288" s="12">
        <v>286</v>
      </c>
      <c r="B288" s="12">
        <v>287</v>
      </c>
      <c r="C288" s="12">
        <v>0.1212</v>
      </c>
      <c r="D288" s="12">
        <v>0.5</v>
      </c>
      <c r="E288" s="12">
        <v>0.32840000000000003</v>
      </c>
      <c r="F288" s="12">
        <v>2</v>
      </c>
      <c r="G288" s="12">
        <v>137</v>
      </c>
      <c r="H288" s="12">
        <v>139</v>
      </c>
      <c r="I288" s="22">
        <f t="shared" si="52"/>
        <v>62.638500000000001</v>
      </c>
      <c r="J288" s="23">
        <f t="shared" si="53"/>
        <v>0.1933287037037037</v>
      </c>
      <c r="K288" s="24">
        <f t="shared" si="54"/>
        <v>324</v>
      </c>
      <c r="L288" s="25">
        <f t="shared" si="55"/>
        <v>183.29000000000013</v>
      </c>
      <c r="M288" s="26">
        <f t="shared" si="56"/>
        <v>0.56570987654321025</v>
      </c>
      <c r="N288" s="27">
        <f t="shared" si="57"/>
        <v>324</v>
      </c>
      <c r="O288" s="28">
        <f t="shared" si="58"/>
        <v>18635</v>
      </c>
      <c r="P288" s="29">
        <f t="shared" si="59"/>
        <v>57.51543209876543</v>
      </c>
      <c r="Q288" s="30">
        <f t="shared" si="60"/>
        <v>324</v>
      </c>
      <c r="R288" s="11" t="str">
        <f t="shared" si="61"/>
        <v>2</v>
      </c>
      <c r="S288" s="10" t="str">
        <f t="shared" si="62"/>
        <v>7</v>
      </c>
      <c r="T288" s="9">
        <f t="shared" si="63"/>
        <v>3</v>
      </c>
      <c r="U288" t="str">
        <f t="shared" si="64"/>
        <v>Mismatch</v>
      </c>
    </row>
    <row r="289" spans="1:21" x14ac:dyDescent="0.2">
      <c r="A289" s="12">
        <v>287</v>
      </c>
      <c r="B289" s="12">
        <v>288</v>
      </c>
      <c r="C289" s="12">
        <v>0.13639999999999999</v>
      </c>
      <c r="D289" s="12">
        <v>0.5</v>
      </c>
      <c r="E289" s="12">
        <v>0.35820000000000002</v>
      </c>
      <c r="F289" s="12">
        <v>2</v>
      </c>
      <c r="G289" s="12">
        <v>36</v>
      </c>
      <c r="H289" s="12">
        <v>38</v>
      </c>
      <c r="I289" s="22">
        <f t="shared" si="52"/>
        <v>62.517299999999999</v>
      </c>
      <c r="J289" s="23">
        <f t="shared" si="53"/>
        <v>0.19355201238390093</v>
      </c>
      <c r="K289" s="24">
        <f t="shared" si="54"/>
        <v>323</v>
      </c>
      <c r="L289" s="25">
        <f t="shared" si="55"/>
        <v>182.79000000000016</v>
      </c>
      <c r="M289" s="26">
        <f t="shared" si="56"/>
        <v>0.56591331269349898</v>
      </c>
      <c r="N289" s="27">
        <f t="shared" si="57"/>
        <v>323</v>
      </c>
      <c r="O289" s="28">
        <f t="shared" si="58"/>
        <v>18496</v>
      </c>
      <c r="P289" s="29">
        <f t="shared" si="59"/>
        <v>57.263157894736842</v>
      </c>
      <c r="Q289" s="30">
        <f t="shared" si="60"/>
        <v>323</v>
      </c>
      <c r="R289" s="11" t="str">
        <f t="shared" si="61"/>
        <v>2</v>
      </c>
      <c r="S289" s="10" t="str">
        <f t="shared" si="62"/>
        <v>8</v>
      </c>
      <c r="T289" s="9">
        <f t="shared" si="63"/>
        <v>3</v>
      </c>
      <c r="U289" t="str">
        <f t="shared" si="64"/>
        <v>Mismatch</v>
      </c>
    </row>
    <row r="290" spans="1:21" x14ac:dyDescent="0.2">
      <c r="A290" s="12">
        <v>288</v>
      </c>
      <c r="B290" s="12">
        <v>289</v>
      </c>
      <c r="C290" s="12">
        <v>0.16669999999999999</v>
      </c>
      <c r="D290" s="12">
        <v>0.44</v>
      </c>
      <c r="E290" s="12">
        <v>0.44779999999999998</v>
      </c>
      <c r="F290" s="12">
        <v>4</v>
      </c>
      <c r="G290" s="12">
        <v>33</v>
      </c>
      <c r="H290" s="12">
        <v>37</v>
      </c>
      <c r="I290" s="22">
        <f t="shared" si="52"/>
        <v>62.380899999999997</v>
      </c>
      <c r="J290" s="23">
        <f t="shared" si="53"/>
        <v>0.19372950310559006</v>
      </c>
      <c r="K290" s="24">
        <f t="shared" si="54"/>
        <v>322</v>
      </c>
      <c r="L290" s="25">
        <f t="shared" si="55"/>
        <v>182.29000000000016</v>
      </c>
      <c r="M290" s="26">
        <f t="shared" si="56"/>
        <v>0.56611801242236071</v>
      </c>
      <c r="N290" s="27">
        <f t="shared" si="57"/>
        <v>322</v>
      </c>
      <c r="O290" s="28">
        <f t="shared" si="58"/>
        <v>18458</v>
      </c>
      <c r="P290" s="29">
        <f t="shared" si="59"/>
        <v>57.322981366459629</v>
      </c>
      <c r="Q290" s="30">
        <f t="shared" si="60"/>
        <v>322</v>
      </c>
      <c r="R290" s="11" t="str">
        <f t="shared" si="61"/>
        <v>2</v>
      </c>
      <c r="S290" s="10" t="str">
        <f t="shared" si="62"/>
        <v>9</v>
      </c>
      <c r="T290" s="9">
        <f t="shared" si="63"/>
        <v>3</v>
      </c>
      <c r="U290" t="str">
        <f t="shared" si="64"/>
        <v>Mismatch</v>
      </c>
    </row>
    <row r="291" spans="1:21" x14ac:dyDescent="0.2">
      <c r="A291" s="12">
        <v>289</v>
      </c>
      <c r="B291" s="12">
        <v>290</v>
      </c>
      <c r="C291" s="12">
        <v>0.16669999999999999</v>
      </c>
      <c r="D291" s="12">
        <v>0.44</v>
      </c>
      <c r="E291" s="12">
        <v>0.41789999999999999</v>
      </c>
      <c r="F291" s="12">
        <v>3</v>
      </c>
      <c r="G291" s="12">
        <v>49</v>
      </c>
      <c r="H291" s="12">
        <v>52</v>
      </c>
      <c r="I291" s="22">
        <f t="shared" si="52"/>
        <v>62.214199999999998</v>
      </c>
      <c r="J291" s="23">
        <f t="shared" si="53"/>
        <v>0.19381370716510904</v>
      </c>
      <c r="K291" s="24">
        <f t="shared" si="54"/>
        <v>321</v>
      </c>
      <c r="L291" s="25">
        <f t="shared" si="55"/>
        <v>181.85000000000016</v>
      </c>
      <c r="M291" s="26">
        <f t="shared" si="56"/>
        <v>0.56651090342679178</v>
      </c>
      <c r="N291" s="27">
        <f t="shared" si="57"/>
        <v>321</v>
      </c>
      <c r="O291" s="28">
        <f t="shared" si="58"/>
        <v>18421</v>
      </c>
      <c r="P291" s="29">
        <f t="shared" si="59"/>
        <v>57.386292834890966</v>
      </c>
      <c r="Q291" s="30">
        <f t="shared" si="60"/>
        <v>321</v>
      </c>
      <c r="R291" s="11" t="str">
        <f t="shared" si="61"/>
        <v>2</v>
      </c>
      <c r="S291" s="10" t="str">
        <f t="shared" si="62"/>
        <v>0</v>
      </c>
      <c r="T291" s="9">
        <f t="shared" si="63"/>
        <v>3</v>
      </c>
      <c r="U291" t="str">
        <f t="shared" si="64"/>
        <v>Mismatch</v>
      </c>
    </row>
    <row r="292" spans="1:21" x14ac:dyDescent="0.2">
      <c r="A292" s="12">
        <v>290</v>
      </c>
      <c r="B292" s="12">
        <v>291</v>
      </c>
      <c r="C292" s="12">
        <v>0.19700000000000001</v>
      </c>
      <c r="D292" s="12">
        <v>0.41</v>
      </c>
      <c r="E292" s="12">
        <v>0.44779999999999998</v>
      </c>
      <c r="F292" s="12">
        <v>2</v>
      </c>
      <c r="G292" s="12">
        <v>81</v>
      </c>
      <c r="H292" s="12">
        <v>83</v>
      </c>
      <c r="I292" s="22">
        <f t="shared" si="52"/>
        <v>62.047499999999999</v>
      </c>
      <c r="J292" s="23">
        <f t="shared" si="53"/>
        <v>0.19389843749999999</v>
      </c>
      <c r="K292" s="24">
        <f t="shared" si="54"/>
        <v>320</v>
      </c>
      <c r="L292" s="25">
        <f t="shared" si="55"/>
        <v>181.41000000000017</v>
      </c>
      <c r="M292" s="26">
        <f t="shared" si="56"/>
        <v>0.5669062500000005</v>
      </c>
      <c r="N292" s="27">
        <f t="shared" si="57"/>
        <v>320</v>
      </c>
      <c r="O292" s="28">
        <f t="shared" si="58"/>
        <v>18369</v>
      </c>
      <c r="P292" s="29">
        <f t="shared" si="59"/>
        <v>57.403125000000003</v>
      </c>
      <c r="Q292" s="30">
        <f t="shared" si="60"/>
        <v>320</v>
      </c>
      <c r="R292" s="11" t="str">
        <f t="shared" si="61"/>
        <v>2</v>
      </c>
      <c r="S292" s="10" t="str">
        <f t="shared" si="62"/>
        <v>1</v>
      </c>
      <c r="T292" s="9">
        <f t="shared" si="63"/>
        <v>3</v>
      </c>
      <c r="U292" t="str">
        <f t="shared" si="64"/>
        <v>Mismatch</v>
      </c>
    </row>
    <row r="293" spans="1:21" x14ac:dyDescent="0.2">
      <c r="A293" s="12">
        <v>291</v>
      </c>
      <c r="B293" s="12">
        <v>292</v>
      </c>
      <c r="C293" s="12">
        <v>0.19700000000000001</v>
      </c>
      <c r="D293" s="12">
        <v>0.41</v>
      </c>
      <c r="E293" s="12">
        <v>0.3881</v>
      </c>
      <c r="F293" s="12">
        <v>3</v>
      </c>
      <c r="G293" s="12">
        <v>39</v>
      </c>
      <c r="H293" s="12">
        <v>42</v>
      </c>
      <c r="I293" s="22">
        <f t="shared" si="52"/>
        <v>61.850499999999997</v>
      </c>
      <c r="J293" s="23">
        <f t="shared" si="53"/>
        <v>0.1938887147335423</v>
      </c>
      <c r="K293" s="24">
        <f t="shared" si="54"/>
        <v>319</v>
      </c>
      <c r="L293" s="25">
        <f t="shared" si="55"/>
        <v>181.00000000000014</v>
      </c>
      <c r="M293" s="26">
        <f t="shared" si="56"/>
        <v>0.56739811912225746</v>
      </c>
      <c r="N293" s="27">
        <f t="shared" si="57"/>
        <v>319</v>
      </c>
      <c r="O293" s="28">
        <f t="shared" si="58"/>
        <v>18286</v>
      </c>
      <c r="P293" s="29">
        <f t="shared" si="59"/>
        <v>57.322884012539184</v>
      </c>
      <c r="Q293" s="30">
        <f t="shared" si="60"/>
        <v>319</v>
      </c>
      <c r="R293" s="11" t="str">
        <f t="shared" si="61"/>
        <v>2</v>
      </c>
      <c r="S293" s="10" t="str">
        <f t="shared" si="62"/>
        <v>2</v>
      </c>
      <c r="T293" s="9">
        <f t="shared" si="63"/>
        <v>3</v>
      </c>
      <c r="U293" t="str">
        <f t="shared" si="64"/>
        <v>Match</v>
      </c>
    </row>
    <row r="294" spans="1:21" x14ac:dyDescent="0.2">
      <c r="A294" s="12">
        <v>292</v>
      </c>
      <c r="B294" s="12">
        <v>293</v>
      </c>
      <c r="C294" s="12">
        <v>0.21210000000000001</v>
      </c>
      <c r="D294" s="12">
        <v>0.38</v>
      </c>
      <c r="E294" s="12">
        <v>0.29849999999999999</v>
      </c>
      <c r="F294" s="12">
        <v>5</v>
      </c>
      <c r="G294" s="12">
        <v>55</v>
      </c>
      <c r="H294" s="12">
        <v>60</v>
      </c>
      <c r="I294" s="22">
        <f t="shared" si="52"/>
        <v>61.653499999999994</v>
      </c>
      <c r="J294" s="23">
        <f t="shared" si="53"/>
        <v>0.19387893081761004</v>
      </c>
      <c r="K294" s="24">
        <f t="shared" si="54"/>
        <v>318</v>
      </c>
      <c r="L294" s="25">
        <f t="shared" si="55"/>
        <v>180.59000000000015</v>
      </c>
      <c r="M294" s="26">
        <f t="shared" si="56"/>
        <v>0.56789308176100672</v>
      </c>
      <c r="N294" s="27">
        <f t="shared" si="57"/>
        <v>318</v>
      </c>
      <c r="O294" s="28">
        <f t="shared" si="58"/>
        <v>18244</v>
      </c>
      <c r="P294" s="29">
        <f t="shared" si="59"/>
        <v>57.371069182389938</v>
      </c>
      <c r="Q294" s="30">
        <f t="shared" si="60"/>
        <v>318</v>
      </c>
      <c r="R294" s="11" t="str">
        <f t="shared" si="61"/>
        <v>2</v>
      </c>
      <c r="S294" s="10" t="str">
        <f t="shared" si="62"/>
        <v>3</v>
      </c>
      <c r="T294" s="9">
        <f t="shared" si="63"/>
        <v>3</v>
      </c>
      <c r="U294" t="str">
        <f t="shared" si="64"/>
        <v>Mismatch</v>
      </c>
    </row>
    <row r="295" spans="1:21" x14ac:dyDescent="0.2">
      <c r="A295" s="12">
        <v>293</v>
      </c>
      <c r="B295" s="12">
        <v>294</v>
      </c>
      <c r="C295" s="12">
        <v>0.21210000000000001</v>
      </c>
      <c r="D295" s="12">
        <v>0.38</v>
      </c>
      <c r="E295" s="12">
        <v>0.35820000000000002</v>
      </c>
      <c r="F295" s="12">
        <v>2</v>
      </c>
      <c r="G295" s="12">
        <v>76</v>
      </c>
      <c r="H295" s="12">
        <v>78</v>
      </c>
      <c r="I295" s="22">
        <f t="shared" si="52"/>
        <v>61.441400000000002</v>
      </c>
      <c r="J295" s="23">
        <f t="shared" si="53"/>
        <v>0.19382145110410096</v>
      </c>
      <c r="K295" s="24">
        <f t="shared" si="54"/>
        <v>317</v>
      </c>
      <c r="L295" s="25">
        <f t="shared" si="55"/>
        <v>180.21000000000015</v>
      </c>
      <c r="M295" s="26">
        <f t="shared" si="56"/>
        <v>0.56848580441640428</v>
      </c>
      <c r="N295" s="27">
        <f t="shared" si="57"/>
        <v>317</v>
      </c>
      <c r="O295" s="28">
        <f t="shared" si="58"/>
        <v>18184</v>
      </c>
      <c r="P295" s="29">
        <f t="shared" si="59"/>
        <v>57.362776025236592</v>
      </c>
      <c r="Q295" s="30">
        <f t="shared" si="60"/>
        <v>317</v>
      </c>
      <c r="R295" s="11" t="str">
        <f t="shared" si="61"/>
        <v>2</v>
      </c>
      <c r="S295" s="10" t="str">
        <f t="shared" si="62"/>
        <v>4</v>
      </c>
      <c r="T295" s="9">
        <f t="shared" si="63"/>
        <v>3</v>
      </c>
      <c r="U295" t="str">
        <f t="shared" si="64"/>
        <v>Mismatch</v>
      </c>
    </row>
    <row r="296" spans="1:21" x14ac:dyDescent="0.2">
      <c r="A296" s="12">
        <v>294</v>
      </c>
      <c r="B296" s="12">
        <v>295</v>
      </c>
      <c r="C296" s="12">
        <v>0.18179999999999999</v>
      </c>
      <c r="D296" s="12">
        <v>0.4</v>
      </c>
      <c r="E296" s="12">
        <v>0.28360000000000002</v>
      </c>
      <c r="F296" s="12">
        <v>4</v>
      </c>
      <c r="G296" s="12">
        <v>158</v>
      </c>
      <c r="H296" s="12">
        <v>162</v>
      </c>
      <c r="I296" s="22">
        <f t="shared" si="52"/>
        <v>61.229300000000002</v>
      </c>
      <c r="J296" s="23">
        <f t="shared" si="53"/>
        <v>0.19376360759493672</v>
      </c>
      <c r="K296" s="24">
        <f t="shared" si="54"/>
        <v>316</v>
      </c>
      <c r="L296" s="25">
        <f t="shared" si="55"/>
        <v>179.83000000000013</v>
      </c>
      <c r="M296" s="26">
        <f t="shared" si="56"/>
        <v>0.569082278481013</v>
      </c>
      <c r="N296" s="27">
        <f t="shared" si="57"/>
        <v>316</v>
      </c>
      <c r="O296" s="28">
        <f t="shared" si="58"/>
        <v>18106</v>
      </c>
      <c r="P296" s="29">
        <f t="shared" si="59"/>
        <v>57.297468354430379</v>
      </c>
      <c r="Q296" s="30">
        <f t="shared" si="60"/>
        <v>316</v>
      </c>
      <c r="R296" s="11" t="str">
        <f t="shared" si="61"/>
        <v>2</v>
      </c>
      <c r="S296" s="10" t="str">
        <f t="shared" si="62"/>
        <v>5</v>
      </c>
      <c r="T296" s="9">
        <f t="shared" si="63"/>
        <v>3</v>
      </c>
      <c r="U296" t="str">
        <f t="shared" si="64"/>
        <v>Mismatch</v>
      </c>
    </row>
    <row r="297" spans="1:21" x14ac:dyDescent="0.2">
      <c r="A297" s="12">
        <v>295</v>
      </c>
      <c r="B297" s="12">
        <v>296</v>
      </c>
      <c r="C297" s="12">
        <v>0.18179999999999999</v>
      </c>
      <c r="D297" s="12">
        <v>0.4</v>
      </c>
      <c r="E297" s="12">
        <v>0.32840000000000003</v>
      </c>
      <c r="F297" s="12">
        <v>3</v>
      </c>
      <c r="G297" s="12">
        <v>141</v>
      </c>
      <c r="H297" s="12">
        <v>144</v>
      </c>
      <c r="I297" s="22">
        <f t="shared" si="52"/>
        <v>61.047500000000007</v>
      </c>
      <c r="J297" s="23">
        <f t="shared" si="53"/>
        <v>0.19380158730158734</v>
      </c>
      <c r="K297" s="24">
        <f t="shared" si="54"/>
        <v>315</v>
      </c>
      <c r="L297" s="25">
        <f t="shared" si="55"/>
        <v>179.43000000000012</v>
      </c>
      <c r="M297" s="26">
        <f t="shared" si="56"/>
        <v>0.56961904761904802</v>
      </c>
      <c r="N297" s="27">
        <f t="shared" si="57"/>
        <v>315</v>
      </c>
      <c r="O297" s="28">
        <f t="shared" si="58"/>
        <v>17944</v>
      </c>
      <c r="P297" s="29">
        <f t="shared" si="59"/>
        <v>56.965079365079362</v>
      </c>
      <c r="Q297" s="30">
        <f t="shared" si="60"/>
        <v>315</v>
      </c>
      <c r="R297" s="11" t="str">
        <f t="shared" si="61"/>
        <v>2</v>
      </c>
      <c r="S297" s="10" t="str">
        <f t="shared" si="62"/>
        <v>6</v>
      </c>
      <c r="T297" s="9">
        <f t="shared" si="63"/>
        <v>3</v>
      </c>
      <c r="U297" t="str">
        <f t="shared" si="64"/>
        <v>Mismatch</v>
      </c>
    </row>
    <row r="298" spans="1:21" x14ac:dyDescent="0.2">
      <c r="A298" s="12">
        <v>296</v>
      </c>
      <c r="B298" s="12">
        <v>297</v>
      </c>
      <c r="C298" s="12">
        <v>0.1515</v>
      </c>
      <c r="D298" s="12">
        <v>0.47</v>
      </c>
      <c r="E298" s="12">
        <v>0.25369999999999998</v>
      </c>
      <c r="F298" s="12">
        <v>1</v>
      </c>
      <c r="G298" s="12">
        <v>98</v>
      </c>
      <c r="H298" s="12">
        <v>99</v>
      </c>
      <c r="I298" s="22">
        <f t="shared" si="52"/>
        <v>60.865700000000011</v>
      </c>
      <c r="J298" s="23">
        <f t="shared" si="53"/>
        <v>0.19383980891719749</v>
      </c>
      <c r="K298" s="24">
        <f t="shared" si="54"/>
        <v>314</v>
      </c>
      <c r="L298" s="25">
        <f t="shared" si="55"/>
        <v>179.03000000000014</v>
      </c>
      <c r="M298" s="26">
        <f t="shared" si="56"/>
        <v>0.57015923566879023</v>
      </c>
      <c r="N298" s="27">
        <f t="shared" si="57"/>
        <v>314</v>
      </c>
      <c r="O298" s="28">
        <f t="shared" si="58"/>
        <v>17800</v>
      </c>
      <c r="P298" s="29">
        <f t="shared" si="59"/>
        <v>56.687898089171973</v>
      </c>
      <c r="Q298" s="30">
        <f t="shared" si="60"/>
        <v>314</v>
      </c>
      <c r="R298" s="11" t="str">
        <f t="shared" si="61"/>
        <v>2</v>
      </c>
      <c r="S298" s="10" t="str">
        <f t="shared" si="62"/>
        <v>7</v>
      </c>
      <c r="T298" s="9">
        <f t="shared" si="63"/>
        <v>3</v>
      </c>
      <c r="U298" t="str">
        <f t="shared" si="64"/>
        <v>Mismatch</v>
      </c>
    </row>
    <row r="299" spans="1:21" x14ac:dyDescent="0.2">
      <c r="A299" s="12">
        <v>297</v>
      </c>
      <c r="B299" s="12">
        <v>298</v>
      </c>
      <c r="C299" s="12">
        <v>0.1515</v>
      </c>
      <c r="D299" s="12">
        <v>0.47</v>
      </c>
      <c r="E299" s="12">
        <v>0.22389999999999999</v>
      </c>
      <c r="F299" s="12">
        <v>0</v>
      </c>
      <c r="G299" s="12">
        <v>64</v>
      </c>
      <c r="H299" s="12">
        <v>64</v>
      </c>
      <c r="I299" s="22">
        <f t="shared" si="52"/>
        <v>60.714200000000005</v>
      </c>
      <c r="J299" s="23">
        <f t="shared" si="53"/>
        <v>0.1939750798722045</v>
      </c>
      <c r="K299" s="24">
        <f t="shared" si="54"/>
        <v>313</v>
      </c>
      <c r="L299" s="25">
        <f t="shared" si="55"/>
        <v>178.56000000000014</v>
      </c>
      <c r="M299" s="26">
        <f t="shared" si="56"/>
        <v>0.57047923322683747</v>
      </c>
      <c r="N299" s="27">
        <f t="shared" si="57"/>
        <v>313</v>
      </c>
      <c r="O299" s="28">
        <f t="shared" si="58"/>
        <v>17701</v>
      </c>
      <c r="P299" s="29">
        <f t="shared" si="59"/>
        <v>56.552715654952074</v>
      </c>
      <c r="Q299" s="30">
        <f t="shared" si="60"/>
        <v>313</v>
      </c>
      <c r="R299" s="11" t="str">
        <f t="shared" si="61"/>
        <v>2</v>
      </c>
      <c r="S299" s="10" t="str">
        <f t="shared" si="62"/>
        <v>8</v>
      </c>
      <c r="T299" s="9">
        <f t="shared" si="63"/>
        <v>3</v>
      </c>
      <c r="U299" t="str">
        <f t="shared" si="64"/>
        <v>Mismatch</v>
      </c>
    </row>
    <row r="300" spans="1:21" x14ac:dyDescent="0.2">
      <c r="A300" s="12">
        <v>298</v>
      </c>
      <c r="B300" s="12">
        <v>299</v>
      </c>
      <c r="C300" s="12">
        <v>0.1212</v>
      </c>
      <c r="D300" s="12">
        <v>0.46</v>
      </c>
      <c r="E300" s="12">
        <v>0.29849999999999999</v>
      </c>
      <c r="F300" s="12">
        <v>0</v>
      </c>
      <c r="G300" s="12">
        <v>40</v>
      </c>
      <c r="H300" s="12">
        <v>40</v>
      </c>
      <c r="I300" s="22">
        <f t="shared" si="52"/>
        <v>60.562700000000007</v>
      </c>
      <c r="J300" s="23">
        <f t="shared" si="53"/>
        <v>0.19411121794871797</v>
      </c>
      <c r="K300" s="24">
        <f t="shared" si="54"/>
        <v>312</v>
      </c>
      <c r="L300" s="25">
        <f t="shared" si="55"/>
        <v>178.09000000000012</v>
      </c>
      <c r="M300" s="26">
        <f t="shared" si="56"/>
        <v>0.57080128205128244</v>
      </c>
      <c r="N300" s="27">
        <f t="shared" si="57"/>
        <v>312</v>
      </c>
      <c r="O300" s="28">
        <f t="shared" si="58"/>
        <v>17637</v>
      </c>
      <c r="P300" s="29">
        <f t="shared" si="59"/>
        <v>56.528846153846153</v>
      </c>
      <c r="Q300" s="30">
        <f t="shared" si="60"/>
        <v>312</v>
      </c>
      <c r="R300" s="11" t="str">
        <f t="shared" si="61"/>
        <v>2</v>
      </c>
      <c r="S300" s="10" t="str">
        <f t="shared" si="62"/>
        <v>9</v>
      </c>
      <c r="T300" s="9">
        <f t="shared" si="63"/>
        <v>3</v>
      </c>
      <c r="U300" t="str">
        <f t="shared" si="64"/>
        <v>Mismatch</v>
      </c>
    </row>
    <row r="301" spans="1:21" x14ac:dyDescent="0.2">
      <c r="A301" s="12">
        <v>299</v>
      </c>
      <c r="B301" s="12">
        <v>300</v>
      </c>
      <c r="C301" s="12">
        <v>0.1212</v>
      </c>
      <c r="D301" s="12">
        <v>0.46</v>
      </c>
      <c r="E301" s="12">
        <v>0.32840000000000003</v>
      </c>
      <c r="F301" s="12">
        <v>0</v>
      </c>
      <c r="G301" s="12">
        <v>30</v>
      </c>
      <c r="H301" s="12">
        <v>30</v>
      </c>
      <c r="I301" s="22">
        <f t="shared" si="52"/>
        <v>60.441500000000005</v>
      </c>
      <c r="J301" s="23">
        <f t="shared" si="53"/>
        <v>0.19434565916398716</v>
      </c>
      <c r="K301" s="24">
        <f t="shared" si="54"/>
        <v>311</v>
      </c>
      <c r="L301" s="25">
        <f t="shared" si="55"/>
        <v>177.63000000000014</v>
      </c>
      <c r="M301" s="26">
        <f t="shared" si="56"/>
        <v>0.5711575562700969</v>
      </c>
      <c r="N301" s="27">
        <f t="shared" si="57"/>
        <v>311</v>
      </c>
      <c r="O301" s="28">
        <f t="shared" si="58"/>
        <v>17597</v>
      </c>
      <c r="P301" s="29">
        <f t="shared" si="59"/>
        <v>56.581993569131832</v>
      </c>
      <c r="Q301" s="30">
        <f t="shared" si="60"/>
        <v>311</v>
      </c>
      <c r="R301" s="11" t="str">
        <f t="shared" si="61"/>
        <v>3</v>
      </c>
      <c r="S301" s="10" t="str">
        <f t="shared" si="62"/>
        <v>0</v>
      </c>
      <c r="T301" s="9">
        <f t="shared" si="63"/>
        <v>3</v>
      </c>
      <c r="U301" t="str">
        <f t="shared" si="64"/>
        <v>Mismatch</v>
      </c>
    </row>
    <row r="302" spans="1:21" x14ac:dyDescent="0.2">
      <c r="A302" s="12">
        <v>300</v>
      </c>
      <c r="B302" s="12">
        <v>301</v>
      </c>
      <c r="C302" s="12">
        <v>0.13639999999999999</v>
      </c>
      <c r="D302" s="12">
        <v>0.5</v>
      </c>
      <c r="E302" s="12">
        <v>0.19400000000000001</v>
      </c>
      <c r="F302" s="12">
        <v>1</v>
      </c>
      <c r="G302" s="12">
        <v>14</v>
      </c>
      <c r="H302" s="12">
        <v>15</v>
      </c>
      <c r="I302" s="22">
        <f t="shared" si="52"/>
        <v>60.32030000000001</v>
      </c>
      <c r="J302" s="23">
        <f t="shared" si="53"/>
        <v>0.19458161290322584</v>
      </c>
      <c r="K302" s="24">
        <f t="shared" si="54"/>
        <v>310</v>
      </c>
      <c r="L302" s="25">
        <f t="shared" si="55"/>
        <v>177.17000000000013</v>
      </c>
      <c r="M302" s="26">
        <f t="shared" si="56"/>
        <v>0.57151612903225846</v>
      </c>
      <c r="N302" s="27">
        <f t="shared" si="57"/>
        <v>310</v>
      </c>
      <c r="O302" s="28">
        <f t="shared" si="58"/>
        <v>17567</v>
      </c>
      <c r="P302" s="29">
        <f t="shared" si="59"/>
        <v>56.667741935483868</v>
      </c>
      <c r="Q302" s="30">
        <f t="shared" si="60"/>
        <v>310</v>
      </c>
      <c r="R302" s="11" t="str">
        <f t="shared" si="61"/>
        <v>3</v>
      </c>
      <c r="S302" s="10" t="str">
        <f t="shared" si="62"/>
        <v>1</v>
      </c>
      <c r="T302" s="9">
        <f t="shared" si="63"/>
        <v>3</v>
      </c>
      <c r="U302" t="str">
        <f t="shared" si="64"/>
        <v>Mismatch</v>
      </c>
    </row>
    <row r="303" spans="1:21" x14ac:dyDescent="0.2">
      <c r="A303" s="12">
        <v>301</v>
      </c>
      <c r="B303" s="12">
        <v>302</v>
      </c>
      <c r="C303" s="12">
        <v>0.13639999999999999</v>
      </c>
      <c r="D303" s="12">
        <v>0.5</v>
      </c>
      <c r="E303" s="12">
        <v>0.19400000000000001</v>
      </c>
      <c r="F303" s="12">
        <v>0</v>
      </c>
      <c r="G303" s="12">
        <v>14</v>
      </c>
      <c r="H303" s="12">
        <v>14</v>
      </c>
      <c r="I303" s="22">
        <f t="shared" si="52"/>
        <v>60.183900000000008</v>
      </c>
      <c r="J303" s="23">
        <f t="shared" si="53"/>
        <v>0.19476990291262139</v>
      </c>
      <c r="K303" s="24">
        <f t="shared" si="54"/>
        <v>309</v>
      </c>
      <c r="L303" s="25">
        <f t="shared" si="55"/>
        <v>176.67000000000013</v>
      </c>
      <c r="M303" s="26">
        <f t="shared" si="56"/>
        <v>0.57174757281553445</v>
      </c>
      <c r="N303" s="27">
        <f t="shared" si="57"/>
        <v>309</v>
      </c>
      <c r="O303" s="28">
        <f t="shared" si="58"/>
        <v>17552</v>
      </c>
      <c r="P303" s="29">
        <f t="shared" si="59"/>
        <v>56.802588996763753</v>
      </c>
      <c r="Q303" s="30">
        <f t="shared" si="60"/>
        <v>309</v>
      </c>
      <c r="R303" s="11" t="str">
        <f t="shared" si="61"/>
        <v>3</v>
      </c>
      <c r="S303" s="10" t="str">
        <f t="shared" si="62"/>
        <v>2</v>
      </c>
      <c r="T303" s="9">
        <f t="shared" si="63"/>
        <v>3</v>
      </c>
      <c r="U303" t="str">
        <f t="shared" si="64"/>
        <v>Mismatch</v>
      </c>
    </row>
    <row r="304" spans="1:21" x14ac:dyDescent="0.2">
      <c r="A304" s="12">
        <v>302</v>
      </c>
      <c r="B304" s="12">
        <v>303</v>
      </c>
      <c r="C304" s="12">
        <v>0.1212</v>
      </c>
      <c r="D304" s="12">
        <v>0.54</v>
      </c>
      <c r="E304" s="12">
        <v>0.16420000000000001</v>
      </c>
      <c r="F304" s="12">
        <v>0</v>
      </c>
      <c r="G304" s="12">
        <v>5</v>
      </c>
      <c r="H304" s="12">
        <v>5</v>
      </c>
      <c r="I304" s="22">
        <f t="shared" si="52"/>
        <v>60.047500000000014</v>
      </c>
      <c r="J304" s="23">
        <f t="shared" si="53"/>
        <v>0.19495941558441562</v>
      </c>
      <c r="K304" s="24">
        <f t="shared" si="54"/>
        <v>308</v>
      </c>
      <c r="L304" s="25">
        <f t="shared" si="55"/>
        <v>176.17000000000013</v>
      </c>
      <c r="M304" s="26">
        <f t="shared" si="56"/>
        <v>0.57198051948051987</v>
      </c>
      <c r="N304" s="27">
        <f t="shared" si="57"/>
        <v>308</v>
      </c>
      <c r="O304" s="28">
        <f t="shared" si="58"/>
        <v>17538</v>
      </c>
      <c r="P304" s="29">
        <f t="shared" si="59"/>
        <v>56.941558441558442</v>
      </c>
      <c r="Q304" s="30">
        <f t="shared" si="60"/>
        <v>308</v>
      </c>
      <c r="R304" s="11" t="str">
        <f t="shared" si="61"/>
        <v>3</v>
      </c>
      <c r="S304" s="10" t="str">
        <f t="shared" si="62"/>
        <v>3</v>
      </c>
      <c r="T304" s="9">
        <f t="shared" si="63"/>
        <v>3</v>
      </c>
      <c r="U304" t="str">
        <f t="shared" si="64"/>
        <v>Match</v>
      </c>
    </row>
    <row r="305" spans="1:21" x14ac:dyDescent="0.2">
      <c r="A305" s="12">
        <v>303</v>
      </c>
      <c r="B305" s="12">
        <v>304</v>
      </c>
      <c r="C305" s="12">
        <v>0.1212</v>
      </c>
      <c r="D305" s="12">
        <v>0.54</v>
      </c>
      <c r="E305" s="12">
        <v>0.1343</v>
      </c>
      <c r="F305" s="12">
        <v>0</v>
      </c>
      <c r="G305" s="12">
        <v>1</v>
      </c>
      <c r="H305" s="12">
        <v>1</v>
      </c>
      <c r="I305" s="22">
        <f t="shared" si="52"/>
        <v>59.926300000000012</v>
      </c>
      <c r="J305" s="23">
        <f t="shared" si="53"/>
        <v>0.19519967426710103</v>
      </c>
      <c r="K305" s="24">
        <f t="shared" si="54"/>
        <v>307</v>
      </c>
      <c r="L305" s="25">
        <f t="shared" si="55"/>
        <v>175.63000000000014</v>
      </c>
      <c r="M305" s="26">
        <f t="shared" si="56"/>
        <v>0.57208469055374633</v>
      </c>
      <c r="N305" s="27">
        <f t="shared" si="57"/>
        <v>307</v>
      </c>
      <c r="O305" s="28">
        <f t="shared" si="58"/>
        <v>17533</v>
      </c>
      <c r="P305" s="29">
        <f t="shared" si="59"/>
        <v>57.11074918566775</v>
      </c>
      <c r="Q305" s="30">
        <f t="shared" si="60"/>
        <v>307</v>
      </c>
      <c r="R305" s="11" t="str">
        <f t="shared" si="61"/>
        <v>3</v>
      </c>
      <c r="S305" s="10" t="str">
        <f t="shared" si="62"/>
        <v>4</v>
      </c>
      <c r="T305" s="9">
        <f t="shared" si="63"/>
        <v>3</v>
      </c>
      <c r="U305" t="str">
        <f t="shared" si="64"/>
        <v>Mismatch</v>
      </c>
    </row>
    <row r="306" spans="1:21" x14ac:dyDescent="0.2">
      <c r="A306" s="12">
        <v>304</v>
      </c>
      <c r="B306" s="12">
        <v>305</v>
      </c>
      <c r="C306" s="12">
        <v>0.13639999999999999</v>
      </c>
      <c r="D306" s="12">
        <v>0.54</v>
      </c>
      <c r="E306" s="12">
        <v>0.1045</v>
      </c>
      <c r="F306" s="12">
        <v>0</v>
      </c>
      <c r="G306" s="12">
        <v>1</v>
      </c>
      <c r="H306" s="12">
        <v>1</v>
      </c>
      <c r="I306" s="22">
        <f t="shared" si="52"/>
        <v>59.80510000000001</v>
      </c>
      <c r="J306" s="23">
        <f t="shared" si="53"/>
        <v>0.19544150326797388</v>
      </c>
      <c r="K306" s="24">
        <f t="shared" si="54"/>
        <v>306</v>
      </c>
      <c r="L306" s="25">
        <f t="shared" si="55"/>
        <v>175.09000000000015</v>
      </c>
      <c r="M306" s="26">
        <f t="shared" si="56"/>
        <v>0.57218954248366061</v>
      </c>
      <c r="N306" s="27">
        <f t="shared" si="57"/>
        <v>306</v>
      </c>
      <c r="O306" s="28">
        <f t="shared" si="58"/>
        <v>17532</v>
      </c>
      <c r="P306" s="29">
        <f t="shared" si="59"/>
        <v>57.294117647058826</v>
      </c>
      <c r="Q306" s="30">
        <f t="shared" si="60"/>
        <v>306</v>
      </c>
      <c r="R306" s="11" t="str">
        <f t="shared" si="61"/>
        <v>3</v>
      </c>
      <c r="S306" s="10" t="str">
        <f t="shared" si="62"/>
        <v>5</v>
      </c>
      <c r="T306" s="9">
        <f t="shared" si="63"/>
        <v>3</v>
      </c>
      <c r="U306" t="str">
        <f t="shared" si="64"/>
        <v>Mismatch</v>
      </c>
    </row>
    <row r="307" spans="1:21" x14ac:dyDescent="0.2">
      <c r="A307" s="12">
        <v>305</v>
      </c>
      <c r="B307" s="12">
        <v>306</v>
      </c>
      <c r="C307" s="12">
        <v>0.13639999999999999</v>
      </c>
      <c r="D307" s="12">
        <v>0.54</v>
      </c>
      <c r="E307" s="12">
        <v>8.9599999999999999E-2</v>
      </c>
      <c r="F307" s="12">
        <v>0</v>
      </c>
      <c r="G307" s="12">
        <v>8</v>
      </c>
      <c r="H307" s="12">
        <v>8</v>
      </c>
      <c r="I307" s="22">
        <f t="shared" si="52"/>
        <v>59.668700000000008</v>
      </c>
      <c r="J307" s="23">
        <f t="shared" si="53"/>
        <v>0.19563508196721313</v>
      </c>
      <c r="K307" s="24">
        <f t="shared" si="54"/>
        <v>305</v>
      </c>
      <c r="L307" s="25">
        <f t="shared" si="55"/>
        <v>174.55000000000013</v>
      </c>
      <c r="M307" s="26">
        <f t="shared" si="56"/>
        <v>0.57229508196721357</v>
      </c>
      <c r="N307" s="27">
        <f t="shared" si="57"/>
        <v>305</v>
      </c>
      <c r="O307" s="28">
        <f t="shared" si="58"/>
        <v>17531</v>
      </c>
      <c r="P307" s="29">
        <f t="shared" si="59"/>
        <v>57.478688524590162</v>
      </c>
      <c r="Q307" s="30">
        <f t="shared" si="60"/>
        <v>305</v>
      </c>
      <c r="R307" s="11" t="str">
        <f t="shared" si="61"/>
        <v>3</v>
      </c>
      <c r="S307" s="10" t="str">
        <f t="shared" si="62"/>
        <v>6</v>
      </c>
      <c r="T307" s="9">
        <f t="shared" si="63"/>
        <v>3</v>
      </c>
      <c r="U307" t="str">
        <f t="shared" si="64"/>
        <v>Mismatch</v>
      </c>
    </row>
    <row r="308" spans="1:21" x14ac:dyDescent="0.2">
      <c r="A308" s="12">
        <v>306</v>
      </c>
      <c r="B308" s="12">
        <v>307</v>
      </c>
      <c r="C308" s="12">
        <v>0.18179999999999999</v>
      </c>
      <c r="D308" s="12">
        <v>0.54</v>
      </c>
      <c r="E308" s="12">
        <v>0</v>
      </c>
      <c r="F308" s="12">
        <v>0</v>
      </c>
      <c r="G308" s="12">
        <v>17</v>
      </c>
      <c r="H308" s="12">
        <v>17</v>
      </c>
      <c r="I308" s="22">
        <f t="shared" si="52"/>
        <v>59.532300000000006</v>
      </c>
      <c r="J308" s="23">
        <f t="shared" si="53"/>
        <v>0.19582993421052633</v>
      </c>
      <c r="K308" s="24">
        <f t="shared" si="54"/>
        <v>304</v>
      </c>
      <c r="L308" s="25">
        <f t="shared" si="55"/>
        <v>174.01000000000013</v>
      </c>
      <c r="M308" s="26">
        <f t="shared" si="56"/>
        <v>0.57240131578947417</v>
      </c>
      <c r="N308" s="27">
        <f t="shared" si="57"/>
        <v>304</v>
      </c>
      <c r="O308" s="28">
        <f t="shared" si="58"/>
        <v>17523</v>
      </c>
      <c r="P308" s="29">
        <f t="shared" si="59"/>
        <v>57.641447368421055</v>
      </c>
      <c r="Q308" s="30">
        <f t="shared" si="60"/>
        <v>304</v>
      </c>
      <c r="R308" s="11" t="str">
        <f t="shared" si="61"/>
        <v>3</v>
      </c>
      <c r="S308" s="10" t="str">
        <f t="shared" si="62"/>
        <v>7</v>
      </c>
      <c r="T308" s="9">
        <f t="shared" si="63"/>
        <v>3</v>
      </c>
      <c r="U308" t="str">
        <f t="shared" si="64"/>
        <v>Mismatch</v>
      </c>
    </row>
    <row r="309" spans="1:21" x14ac:dyDescent="0.2">
      <c r="A309" s="12">
        <v>307</v>
      </c>
      <c r="B309" s="12">
        <v>308</v>
      </c>
      <c r="C309" s="12">
        <v>0.1212</v>
      </c>
      <c r="D309" s="12">
        <v>0.74</v>
      </c>
      <c r="E309" s="12">
        <v>0.16420000000000001</v>
      </c>
      <c r="F309" s="12">
        <v>0</v>
      </c>
      <c r="G309" s="12">
        <v>70</v>
      </c>
      <c r="H309" s="12">
        <v>70</v>
      </c>
      <c r="I309" s="22">
        <f t="shared" si="52"/>
        <v>59.350500000000011</v>
      </c>
      <c r="J309" s="23">
        <f t="shared" si="53"/>
        <v>0.19587623762376241</v>
      </c>
      <c r="K309" s="24">
        <f t="shared" si="54"/>
        <v>303</v>
      </c>
      <c r="L309" s="25">
        <f t="shared" si="55"/>
        <v>173.47000000000014</v>
      </c>
      <c r="M309" s="26">
        <f t="shared" si="56"/>
        <v>0.57250825082508294</v>
      </c>
      <c r="N309" s="27">
        <f t="shared" si="57"/>
        <v>303</v>
      </c>
      <c r="O309" s="28">
        <f t="shared" si="58"/>
        <v>17506</v>
      </c>
      <c r="P309" s="29">
        <f t="shared" si="59"/>
        <v>57.775577557755774</v>
      </c>
      <c r="Q309" s="30">
        <f t="shared" si="60"/>
        <v>303</v>
      </c>
      <c r="R309" s="11" t="str">
        <f t="shared" si="61"/>
        <v>3</v>
      </c>
      <c r="S309" s="10" t="str">
        <f t="shared" si="62"/>
        <v>8</v>
      </c>
      <c r="T309" s="9">
        <f t="shared" si="63"/>
        <v>3</v>
      </c>
      <c r="U309" t="str">
        <f t="shared" si="64"/>
        <v>Mismatch</v>
      </c>
    </row>
    <row r="310" spans="1:21" x14ac:dyDescent="0.2">
      <c r="A310" s="12">
        <v>308</v>
      </c>
      <c r="B310" s="12">
        <v>309</v>
      </c>
      <c r="C310" s="12">
        <v>0.16669999999999999</v>
      </c>
      <c r="D310" s="12">
        <v>0.68</v>
      </c>
      <c r="E310" s="12">
        <v>0</v>
      </c>
      <c r="F310" s="12">
        <v>2</v>
      </c>
      <c r="G310" s="12">
        <v>156</v>
      </c>
      <c r="H310" s="12">
        <v>158</v>
      </c>
      <c r="I310" s="22">
        <f t="shared" si="52"/>
        <v>59.229300000000009</v>
      </c>
      <c r="J310" s="23">
        <f t="shared" si="53"/>
        <v>0.19612350993377486</v>
      </c>
      <c r="K310" s="24">
        <f t="shared" si="54"/>
        <v>302</v>
      </c>
      <c r="L310" s="25">
        <f t="shared" si="55"/>
        <v>172.73000000000013</v>
      </c>
      <c r="M310" s="26">
        <f t="shared" si="56"/>
        <v>0.5719536423841064</v>
      </c>
      <c r="N310" s="27">
        <f t="shared" si="57"/>
        <v>302</v>
      </c>
      <c r="O310" s="28">
        <f t="shared" si="58"/>
        <v>17436</v>
      </c>
      <c r="P310" s="29">
        <f t="shared" si="59"/>
        <v>57.735099337748345</v>
      </c>
      <c r="Q310" s="30">
        <f t="shared" si="60"/>
        <v>302</v>
      </c>
      <c r="R310" s="11" t="str">
        <f t="shared" si="61"/>
        <v>3</v>
      </c>
      <c r="S310" s="10" t="str">
        <f t="shared" si="62"/>
        <v>9</v>
      </c>
      <c r="T310" s="9">
        <f t="shared" si="63"/>
        <v>3</v>
      </c>
      <c r="U310" t="str">
        <f t="shared" si="64"/>
        <v>Mismatch</v>
      </c>
    </row>
    <row r="311" spans="1:21" x14ac:dyDescent="0.2">
      <c r="A311" s="12">
        <v>309</v>
      </c>
      <c r="B311" s="12">
        <v>310</v>
      </c>
      <c r="C311" s="12">
        <v>0.1515</v>
      </c>
      <c r="D311" s="12">
        <v>0.69</v>
      </c>
      <c r="E311" s="12">
        <v>0.1343</v>
      </c>
      <c r="F311" s="12">
        <v>0</v>
      </c>
      <c r="G311" s="12">
        <v>117</v>
      </c>
      <c r="H311" s="12">
        <v>117</v>
      </c>
      <c r="I311" s="22">
        <f t="shared" si="52"/>
        <v>59.06260000000001</v>
      </c>
      <c r="J311" s="23">
        <f t="shared" si="53"/>
        <v>0.1962212624584718</v>
      </c>
      <c r="K311" s="24">
        <f t="shared" si="54"/>
        <v>301</v>
      </c>
      <c r="L311" s="25">
        <f t="shared" si="55"/>
        <v>172.05000000000013</v>
      </c>
      <c r="M311" s="26">
        <f t="shared" si="56"/>
        <v>0.57159468438538252</v>
      </c>
      <c r="N311" s="27">
        <f t="shared" si="57"/>
        <v>301</v>
      </c>
      <c r="O311" s="28">
        <f t="shared" si="58"/>
        <v>17278</v>
      </c>
      <c r="P311" s="29">
        <f t="shared" si="59"/>
        <v>57.401993355481729</v>
      </c>
      <c r="Q311" s="30">
        <f t="shared" si="60"/>
        <v>301</v>
      </c>
      <c r="R311" s="11" t="str">
        <f t="shared" si="61"/>
        <v>3</v>
      </c>
      <c r="S311" s="10" t="str">
        <f t="shared" si="62"/>
        <v>0</v>
      </c>
      <c r="T311" s="9">
        <f t="shared" si="63"/>
        <v>3</v>
      </c>
      <c r="U311" t="str">
        <f t="shared" si="64"/>
        <v>Mismatch</v>
      </c>
    </row>
    <row r="312" spans="1:21" x14ac:dyDescent="0.2">
      <c r="A312" s="12">
        <v>310</v>
      </c>
      <c r="B312" s="12">
        <v>311</v>
      </c>
      <c r="C312" s="12">
        <v>0.18179999999999999</v>
      </c>
      <c r="D312" s="12">
        <v>0.55000000000000004</v>
      </c>
      <c r="E312" s="12">
        <v>0.19400000000000001</v>
      </c>
      <c r="F312" s="12">
        <v>4</v>
      </c>
      <c r="G312" s="12">
        <v>40</v>
      </c>
      <c r="H312" s="12">
        <v>44</v>
      </c>
      <c r="I312" s="22">
        <f t="shared" si="52"/>
        <v>58.911100000000012</v>
      </c>
      <c r="J312" s="23">
        <f t="shared" si="53"/>
        <v>0.19637033333333337</v>
      </c>
      <c r="K312" s="24">
        <f t="shared" si="54"/>
        <v>300</v>
      </c>
      <c r="L312" s="25">
        <f t="shared" si="55"/>
        <v>171.36000000000013</v>
      </c>
      <c r="M312" s="26">
        <f t="shared" si="56"/>
        <v>0.57120000000000037</v>
      </c>
      <c r="N312" s="27">
        <f t="shared" si="57"/>
        <v>300</v>
      </c>
      <c r="O312" s="28">
        <f t="shared" si="58"/>
        <v>17161</v>
      </c>
      <c r="P312" s="29">
        <f t="shared" si="59"/>
        <v>57.203333333333333</v>
      </c>
      <c r="Q312" s="30">
        <f t="shared" si="60"/>
        <v>300</v>
      </c>
      <c r="R312" s="11" t="str">
        <f t="shared" si="61"/>
        <v>3</v>
      </c>
      <c r="S312" s="10" t="str">
        <f t="shared" si="62"/>
        <v>1</v>
      </c>
      <c r="T312" s="9">
        <f t="shared" si="63"/>
        <v>3</v>
      </c>
      <c r="U312" t="str">
        <f t="shared" si="64"/>
        <v>Mismatch</v>
      </c>
    </row>
    <row r="313" spans="1:21" x14ac:dyDescent="0.2">
      <c r="A313" s="12">
        <v>311</v>
      </c>
      <c r="B313" s="12">
        <v>312</v>
      </c>
      <c r="C313" s="12">
        <v>0.16669999999999999</v>
      </c>
      <c r="D313" s="12">
        <v>0.51</v>
      </c>
      <c r="E313" s="12">
        <v>0.28360000000000002</v>
      </c>
      <c r="F313" s="12">
        <v>6</v>
      </c>
      <c r="G313" s="12">
        <v>47</v>
      </c>
      <c r="H313" s="12">
        <v>53</v>
      </c>
      <c r="I313" s="22">
        <f t="shared" si="52"/>
        <v>58.729300000000016</v>
      </c>
      <c r="J313" s="23">
        <f t="shared" si="53"/>
        <v>0.19641906354515057</v>
      </c>
      <c r="K313" s="24">
        <f t="shared" si="54"/>
        <v>299</v>
      </c>
      <c r="L313" s="25">
        <f t="shared" si="55"/>
        <v>170.81000000000009</v>
      </c>
      <c r="M313" s="26">
        <f t="shared" si="56"/>
        <v>0.57127090301003369</v>
      </c>
      <c r="N313" s="27">
        <f t="shared" si="57"/>
        <v>299</v>
      </c>
      <c r="O313" s="28">
        <f t="shared" si="58"/>
        <v>17117</v>
      </c>
      <c r="P313" s="29">
        <f t="shared" si="59"/>
        <v>57.247491638795985</v>
      </c>
      <c r="Q313" s="30">
        <f t="shared" si="60"/>
        <v>299</v>
      </c>
      <c r="R313" s="11" t="str">
        <f t="shared" si="61"/>
        <v>3</v>
      </c>
      <c r="S313" s="10" t="str">
        <f t="shared" si="62"/>
        <v>2</v>
      </c>
      <c r="T313" s="9">
        <f t="shared" si="63"/>
        <v>3</v>
      </c>
      <c r="U313" t="str">
        <f t="shared" si="64"/>
        <v>Mismatch</v>
      </c>
    </row>
    <row r="314" spans="1:21" x14ac:dyDescent="0.2">
      <c r="A314" s="12">
        <v>312</v>
      </c>
      <c r="B314" s="12">
        <v>313</v>
      </c>
      <c r="C314" s="12">
        <v>0.19700000000000001</v>
      </c>
      <c r="D314" s="12">
        <v>0.44</v>
      </c>
      <c r="E314" s="12">
        <v>0.25369999999999998</v>
      </c>
      <c r="F314" s="12">
        <v>2</v>
      </c>
      <c r="G314" s="12">
        <v>59</v>
      </c>
      <c r="H314" s="12">
        <v>61</v>
      </c>
      <c r="I314" s="22">
        <f t="shared" si="52"/>
        <v>58.562600000000018</v>
      </c>
      <c r="J314" s="23">
        <f t="shared" si="53"/>
        <v>0.19651879194630878</v>
      </c>
      <c r="K314" s="24">
        <f t="shared" si="54"/>
        <v>298</v>
      </c>
      <c r="L314" s="25">
        <f t="shared" si="55"/>
        <v>170.30000000000007</v>
      </c>
      <c r="M314" s="26">
        <f t="shared" si="56"/>
        <v>0.57147651006711431</v>
      </c>
      <c r="N314" s="27">
        <f t="shared" si="57"/>
        <v>298</v>
      </c>
      <c r="O314" s="28">
        <f t="shared" si="58"/>
        <v>17064</v>
      </c>
      <c r="P314" s="29">
        <f t="shared" si="59"/>
        <v>57.261744966442954</v>
      </c>
      <c r="Q314" s="30">
        <f t="shared" si="60"/>
        <v>298</v>
      </c>
      <c r="R314" s="11" t="str">
        <f t="shared" si="61"/>
        <v>3</v>
      </c>
      <c r="S314" s="10" t="str">
        <f t="shared" si="62"/>
        <v>3</v>
      </c>
      <c r="T314" s="9">
        <f t="shared" si="63"/>
        <v>3</v>
      </c>
      <c r="U314" t="str">
        <f t="shared" si="64"/>
        <v>Match</v>
      </c>
    </row>
    <row r="315" spans="1:21" x14ac:dyDescent="0.2">
      <c r="A315" s="12">
        <v>313</v>
      </c>
      <c r="B315" s="12">
        <v>314</v>
      </c>
      <c r="C315" s="12">
        <v>0.19700000000000001</v>
      </c>
      <c r="D315" s="12">
        <v>0.37</v>
      </c>
      <c r="E315" s="12">
        <v>0.3881</v>
      </c>
      <c r="F315" s="12">
        <v>4</v>
      </c>
      <c r="G315" s="12">
        <v>73</v>
      </c>
      <c r="H315" s="12">
        <v>77</v>
      </c>
      <c r="I315" s="22">
        <f t="shared" si="52"/>
        <v>58.365600000000022</v>
      </c>
      <c r="J315" s="23">
        <f t="shared" si="53"/>
        <v>0.19651717171717178</v>
      </c>
      <c r="K315" s="24">
        <f t="shared" si="54"/>
        <v>297</v>
      </c>
      <c r="L315" s="25">
        <f t="shared" si="55"/>
        <v>169.86000000000007</v>
      </c>
      <c r="M315" s="26">
        <f t="shared" si="56"/>
        <v>0.57191919191919216</v>
      </c>
      <c r="N315" s="27">
        <f t="shared" si="57"/>
        <v>297</v>
      </c>
      <c r="O315" s="28">
        <f t="shared" si="58"/>
        <v>17003</v>
      </c>
      <c r="P315" s="29">
        <f t="shared" si="59"/>
        <v>57.249158249158249</v>
      </c>
      <c r="Q315" s="30">
        <f t="shared" si="60"/>
        <v>297</v>
      </c>
      <c r="R315" s="11" t="str">
        <f t="shared" si="61"/>
        <v>3</v>
      </c>
      <c r="S315" s="10" t="str">
        <f t="shared" si="62"/>
        <v>4</v>
      </c>
      <c r="T315" s="9">
        <f t="shared" si="63"/>
        <v>3</v>
      </c>
      <c r="U315" t="str">
        <f t="shared" si="64"/>
        <v>Mismatch</v>
      </c>
    </row>
    <row r="316" spans="1:21" x14ac:dyDescent="0.2">
      <c r="A316" s="12">
        <v>314</v>
      </c>
      <c r="B316" s="12">
        <v>315</v>
      </c>
      <c r="C316" s="12">
        <v>0.21210000000000001</v>
      </c>
      <c r="D316" s="12">
        <v>0.41</v>
      </c>
      <c r="E316" s="12">
        <v>0.28360000000000002</v>
      </c>
      <c r="F316" s="12">
        <v>5</v>
      </c>
      <c r="G316" s="12">
        <v>59</v>
      </c>
      <c r="H316" s="12">
        <v>64</v>
      </c>
      <c r="I316" s="22">
        <f t="shared" si="52"/>
        <v>58.168600000000026</v>
      </c>
      <c r="J316" s="23">
        <f t="shared" si="53"/>
        <v>0.19651554054054063</v>
      </c>
      <c r="K316" s="24">
        <f t="shared" si="54"/>
        <v>296</v>
      </c>
      <c r="L316" s="25">
        <f t="shared" si="55"/>
        <v>169.49000000000007</v>
      </c>
      <c r="M316" s="26">
        <f t="shared" si="56"/>
        <v>0.5726013513513516</v>
      </c>
      <c r="N316" s="27">
        <f t="shared" si="57"/>
        <v>296</v>
      </c>
      <c r="O316" s="28">
        <f t="shared" si="58"/>
        <v>16926</v>
      </c>
      <c r="P316" s="29">
        <f t="shared" si="59"/>
        <v>57.182432432432435</v>
      </c>
      <c r="Q316" s="30">
        <f t="shared" si="60"/>
        <v>296</v>
      </c>
      <c r="R316" s="11" t="str">
        <f t="shared" si="61"/>
        <v>3</v>
      </c>
      <c r="S316" s="10" t="str">
        <f t="shared" si="62"/>
        <v>5</v>
      </c>
      <c r="T316" s="9">
        <f t="shared" si="63"/>
        <v>3</v>
      </c>
      <c r="U316" t="str">
        <f t="shared" si="64"/>
        <v>Mismatch</v>
      </c>
    </row>
    <row r="317" spans="1:21" x14ac:dyDescent="0.2">
      <c r="A317" s="12">
        <v>315</v>
      </c>
      <c r="B317" s="12">
        <v>316</v>
      </c>
      <c r="C317" s="12">
        <v>0.2424</v>
      </c>
      <c r="D317" s="12">
        <v>0.38</v>
      </c>
      <c r="E317" s="12">
        <v>0.16420000000000001</v>
      </c>
      <c r="F317" s="12">
        <v>9</v>
      </c>
      <c r="G317" s="12">
        <v>59</v>
      </c>
      <c r="H317" s="12">
        <v>68</v>
      </c>
      <c r="I317" s="22">
        <f t="shared" si="52"/>
        <v>57.956500000000027</v>
      </c>
      <c r="J317" s="23">
        <f t="shared" si="53"/>
        <v>0.19646271186440686</v>
      </c>
      <c r="K317" s="24">
        <f t="shared" si="54"/>
        <v>295</v>
      </c>
      <c r="L317" s="25">
        <f t="shared" si="55"/>
        <v>169.08000000000007</v>
      </c>
      <c r="M317" s="26">
        <f t="shared" si="56"/>
        <v>0.5731525423728816</v>
      </c>
      <c r="N317" s="27">
        <f t="shared" si="57"/>
        <v>295</v>
      </c>
      <c r="O317" s="28">
        <f t="shared" si="58"/>
        <v>16862</v>
      </c>
      <c r="P317" s="29">
        <f t="shared" si="59"/>
        <v>57.159322033898306</v>
      </c>
      <c r="Q317" s="30">
        <f t="shared" si="60"/>
        <v>295</v>
      </c>
      <c r="R317" s="11" t="str">
        <f t="shared" si="61"/>
        <v>3</v>
      </c>
      <c r="S317" s="10" t="str">
        <f t="shared" si="62"/>
        <v>6</v>
      </c>
      <c r="T317" s="9">
        <f t="shared" si="63"/>
        <v>3</v>
      </c>
      <c r="U317" t="str">
        <f t="shared" si="64"/>
        <v>Mismatch</v>
      </c>
    </row>
    <row r="318" spans="1:21" x14ac:dyDescent="0.2">
      <c r="A318" s="12">
        <v>316</v>
      </c>
      <c r="B318" s="12">
        <v>317</v>
      </c>
      <c r="C318" s="12">
        <v>0.2424</v>
      </c>
      <c r="D318" s="12">
        <v>0.41</v>
      </c>
      <c r="E318" s="12">
        <v>0.1045</v>
      </c>
      <c r="F318" s="12">
        <v>3</v>
      </c>
      <c r="G318" s="12">
        <v>87</v>
      </c>
      <c r="H318" s="12">
        <v>90</v>
      </c>
      <c r="I318" s="22">
        <f t="shared" si="52"/>
        <v>57.71410000000003</v>
      </c>
      <c r="J318" s="23">
        <f t="shared" si="53"/>
        <v>0.19630646258503412</v>
      </c>
      <c r="K318" s="24">
        <f t="shared" si="54"/>
        <v>294</v>
      </c>
      <c r="L318" s="25">
        <f t="shared" si="55"/>
        <v>168.70000000000005</v>
      </c>
      <c r="M318" s="26">
        <f t="shared" si="56"/>
        <v>0.57380952380952399</v>
      </c>
      <c r="N318" s="27">
        <f t="shared" si="57"/>
        <v>294</v>
      </c>
      <c r="O318" s="28">
        <f t="shared" si="58"/>
        <v>16794</v>
      </c>
      <c r="P318" s="29">
        <f t="shared" si="59"/>
        <v>57.122448979591837</v>
      </c>
      <c r="Q318" s="30">
        <f t="shared" si="60"/>
        <v>294</v>
      </c>
      <c r="R318" s="11" t="str">
        <f t="shared" si="61"/>
        <v>3</v>
      </c>
      <c r="S318" s="10" t="str">
        <f t="shared" si="62"/>
        <v>7</v>
      </c>
      <c r="T318" s="9">
        <f t="shared" si="63"/>
        <v>3</v>
      </c>
      <c r="U318" t="str">
        <f t="shared" si="64"/>
        <v>Mismatch</v>
      </c>
    </row>
    <row r="319" spans="1:21" x14ac:dyDescent="0.2">
      <c r="A319" s="12">
        <v>317</v>
      </c>
      <c r="B319" s="12">
        <v>318</v>
      </c>
      <c r="C319" s="12">
        <v>0.2273</v>
      </c>
      <c r="D319" s="12">
        <v>0.41</v>
      </c>
      <c r="E319" s="12">
        <v>0.16420000000000001</v>
      </c>
      <c r="F319" s="12">
        <v>4</v>
      </c>
      <c r="G319" s="12">
        <v>155</v>
      </c>
      <c r="H319" s="12">
        <v>159</v>
      </c>
      <c r="I319" s="22">
        <f t="shared" si="52"/>
        <v>57.471700000000034</v>
      </c>
      <c r="J319" s="23">
        <f t="shared" si="53"/>
        <v>0.1961491467576793</v>
      </c>
      <c r="K319" s="24">
        <f t="shared" si="54"/>
        <v>293</v>
      </c>
      <c r="L319" s="25">
        <f t="shared" si="55"/>
        <v>168.29000000000005</v>
      </c>
      <c r="M319" s="26">
        <f t="shared" si="56"/>
        <v>0.57436860068259399</v>
      </c>
      <c r="N319" s="27">
        <f t="shared" si="57"/>
        <v>293</v>
      </c>
      <c r="O319" s="28">
        <f t="shared" si="58"/>
        <v>16704</v>
      </c>
      <c r="P319" s="29">
        <f t="shared" si="59"/>
        <v>57.010238907849832</v>
      </c>
      <c r="Q319" s="30">
        <f t="shared" si="60"/>
        <v>293</v>
      </c>
      <c r="R319" s="11" t="str">
        <f t="shared" si="61"/>
        <v>3</v>
      </c>
      <c r="S319" s="10" t="str">
        <f t="shared" si="62"/>
        <v>8</v>
      </c>
      <c r="T319" s="9">
        <f t="shared" si="63"/>
        <v>3</v>
      </c>
      <c r="U319" t="str">
        <f t="shared" si="64"/>
        <v>Mismatch</v>
      </c>
    </row>
    <row r="320" spans="1:21" x14ac:dyDescent="0.2">
      <c r="A320" s="12">
        <v>318</v>
      </c>
      <c r="B320" s="12">
        <v>319</v>
      </c>
      <c r="C320" s="12">
        <v>0.2576</v>
      </c>
      <c r="D320" s="12">
        <v>0.47</v>
      </c>
      <c r="E320" s="12">
        <v>0</v>
      </c>
      <c r="F320" s="12">
        <v>5</v>
      </c>
      <c r="G320" s="12">
        <v>134</v>
      </c>
      <c r="H320" s="12">
        <v>139</v>
      </c>
      <c r="I320" s="22">
        <f t="shared" si="52"/>
        <v>57.244400000000034</v>
      </c>
      <c r="J320" s="23">
        <f t="shared" si="53"/>
        <v>0.19604246575342477</v>
      </c>
      <c r="K320" s="24">
        <f t="shared" si="54"/>
        <v>292</v>
      </c>
      <c r="L320" s="25">
        <f t="shared" si="55"/>
        <v>167.88000000000005</v>
      </c>
      <c r="M320" s="26">
        <f t="shared" si="56"/>
        <v>0.57493150684931527</v>
      </c>
      <c r="N320" s="27">
        <f t="shared" si="57"/>
        <v>292</v>
      </c>
      <c r="O320" s="28">
        <f t="shared" si="58"/>
        <v>16545</v>
      </c>
      <c r="P320" s="29">
        <f t="shared" si="59"/>
        <v>56.660958904109592</v>
      </c>
      <c r="Q320" s="30">
        <f t="shared" si="60"/>
        <v>292</v>
      </c>
      <c r="R320" s="11" t="str">
        <f t="shared" si="61"/>
        <v>3</v>
      </c>
      <c r="S320" s="10" t="str">
        <f t="shared" si="62"/>
        <v>9</v>
      </c>
      <c r="T320" s="9">
        <f t="shared" si="63"/>
        <v>3</v>
      </c>
      <c r="U320" t="str">
        <f t="shared" si="64"/>
        <v>Mismatch</v>
      </c>
    </row>
    <row r="321" spans="1:21" x14ac:dyDescent="0.2">
      <c r="A321" s="12">
        <v>319</v>
      </c>
      <c r="B321" s="12">
        <v>320</v>
      </c>
      <c r="C321" s="12">
        <v>0.19700000000000001</v>
      </c>
      <c r="D321" s="12">
        <v>0.59</v>
      </c>
      <c r="E321" s="12">
        <v>8.9599999999999999E-2</v>
      </c>
      <c r="F321" s="12">
        <v>3</v>
      </c>
      <c r="G321" s="12">
        <v>89</v>
      </c>
      <c r="H321" s="12">
        <v>92</v>
      </c>
      <c r="I321" s="22">
        <f t="shared" si="52"/>
        <v>56.986800000000031</v>
      </c>
      <c r="J321" s="23">
        <f t="shared" si="53"/>
        <v>0.19583092783505165</v>
      </c>
      <c r="K321" s="24">
        <f t="shared" si="54"/>
        <v>291</v>
      </c>
      <c r="L321" s="25">
        <f t="shared" si="55"/>
        <v>167.41000000000005</v>
      </c>
      <c r="M321" s="26">
        <f t="shared" si="56"/>
        <v>0.57529209621993149</v>
      </c>
      <c r="N321" s="27">
        <f t="shared" si="57"/>
        <v>291</v>
      </c>
      <c r="O321" s="28">
        <f t="shared" si="58"/>
        <v>16406</v>
      </c>
      <c r="P321" s="29">
        <f t="shared" si="59"/>
        <v>56.378006872852232</v>
      </c>
      <c r="Q321" s="30">
        <f t="shared" si="60"/>
        <v>291</v>
      </c>
      <c r="R321" s="11" t="str">
        <f t="shared" si="61"/>
        <v>3</v>
      </c>
      <c r="S321" s="10" t="str">
        <f t="shared" si="62"/>
        <v>0</v>
      </c>
      <c r="T321" s="9">
        <f t="shared" si="63"/>
        <v>3</v>
      </c>
      <c r="U321" t="str">
        <f t="shared" si="64"/>
        <v>Mismatch</v>
      </c>
    </row>
    <row r="322" spans="1:21" x14ac:dyDescent="0.2">
      <c r="A322" s="12">
        <v>320</v>
      </c>
      <c r="B322" s="12">
        <v>321</v>
      </c>
      <c r="C322" s="12">
        <v>0.2424</v>
      </c>
      <c r="D322" s="12">
        <v>0.59</v>
      </c>
      <c r="E322" s="12">
        <v>0</v>
      </c>
      <c r="F322" s="12">
        <v>0</v>
      </c>
      <c r="G322" s="12">
        <v>68</v>
      </c>
      <c r="H322" s="12">
        <v>68</v>
      </c>
      <c r="I322" s="22">
        <f t="shared" si="52"/>
        <v>56.789800000000035</v>
      </c>
      <c r="J322" s="23">
        <f t="shared" si="53"/>
        <v>0.19582689655172425</v>
      </c>
      <c r="K322" s="24">
        <f t="shared" si="54"/>
        <v>290</v>
      </c>
      <c r="L322" s="25">
        <f t="shared" si="55"/>
        <v>166.82000000000008</v>
      </c>
      <c r="M322" s="26">
        <f t="shared" si="56"/>
        <v>0.57524137931034514</v>
      </c>
      <c r="N322" s="27">
        <f t="shared" si="57"/>
        <v>290</v>
      </c>
      <c r="O322" s="28">
        <f t="shared" si="58"/>
        <v>16314</v>
      </c>
      <c r="P322" s="29">
        <f t="shared" si="59"/>
        <v>56.255172413793105</v>
      </c>
      <c r="Q322" s="30">
        <f t="shared" si="60"/>
        <v>290</v>
      </c>
      <c r="R322" s="11" t="str">
        <f t="shared" si="61"/>
        <v>3</v>
      </c>
      <c r="S322" s="10" t="str">
        <f t="shared" si="62"/>
        <v>1</v>
      </c>
      <c r="T322" s="9">
        <f t="shared" si="63"/>
        <v>3</v>
      </c>
      <c r="U322" t="str">
        <f t="shared" si="64"/>
        <v>Mismatch</v>
      </c>
    </row>
    <row r="323" spans="1:21" x14ac:dyDescent="0.2">
      <c r="A323" s="12">
        <v>321</v>
      </c>
      <c r="B323" s="12">
        <v>322</v>
      </c>
      <c r="C323" s="12">
        <v>0.2273</v>
      </c>
      <c r="D323" s="12">
        <v>0.69</v>
      </c>
      <c r="E323" s="12">
        <v>0</v>
      </c>
      <c r="F323" s="12">
        <v>4</v>
      </c>
      <c r="G323" s="12">
        <v>48</v>
      </c>
      <c r="H323" s="12">
        <v>52</v>
      </c>
      <c r="I323" s="22">
        <f t="shared" ref="I323:I386" si="65">SUM(C323:C932)</f>
        <v>56.547400000000039</v>
      </c>
      <c r="J323" s="23">
        <f t="shared" ref="J323:J386" si="66">AVERAGE(C323:C932)</f>
        <v>0.19566574394463682</v>
      </c>
      <c r="K323" s="24">
        <f t="shared" ref="K323:K386" si="67">COUNT(C323:C932)</f>
        <v>289</v>
      </c>
      <c r="L323" s="25">
        <f t="shared" ref="L323:L386" si="68">SUM(D323:D932)</f>
        <v>166.23000000000008</v>
      </c>
      <c r="M323" s="26">
        <f t="shared" ref="M323:M386" si="69">AVERAGE(D323:D932)</f>
        <v>0.57519031141868537</v>
      </c>
      <c r="N323" s="27">
        <f t="shared" ref="N323:N386" si="70">COUNT(D323:D932)</f>
        <v>289</v>
      </c>
      <c r="O323" s="28">
        <f t="shared" ref="O323:O386" si="71">SUM(H323:H932)</f>
        <v>16246</v>
      </c>
      <c r="P323" s="29">
        <f t="shared" ref="P323:P386" si="72">AVERAGE(H323:H932)</f>
        <v>56.214532871972317</v>
      </c>
      <c r="Q323" s="30">
        <f t="shared" ref="Q323:Q386" si="73">COUNT(H323:H932)</f>
        <v>289</v>
      </c>
      <c r="R323" s="11" t="str">
        <f t="shared" ref="R323:R386" si="74">LEFT(B323,1)</f>
        <v>3</v>
      </c>
      <c r="S323" s="10" t="str">
        <f t="shared" ref="S323:S386" si="75">RIGHT(B323,1)</f>
        <v>2</v>
      </c>
      <c r="T323" s="9">
        <f t="shared" ref="T323:T386" si="76">LEN(B323)</f>
        <v>3</v>
      </c>
      <c r="U323" t="str">
        <f t="shared" ref="U323:U386" si="77">IF(R323=S323,"Match","Mismatch")</f>
        <v>Mismatch</v>
      </c>
    </row>
    <row r="324" spans="1:21" x14ac:dyDescent="0.2">
      <c r="A324" s="12">
        <v>322</v>
      </c>
      <c r="B324" s="12">
        <v>323</v>
      </c>
      <c r="C324" s="12">
        <v>0.2273</v>
      </c>
      <c r="D324" s="12">
        <v>0.69</v>
      </c>
      <c r="E324" s="12">
        <v>0</v>
      </c>
      <c r="F324" s="12">
        <v>2</v>
      </c>
      <c r="G324" s="12">
        <v>34</v>
      </c>
      <c r="H324" s="12">
        <v>36</v>
      </c>
      <c r="I324" s="22">
        <f t="shared" si="65"/>
        <v>56.320100000000039</v>
      </c>
      <c r="J324" s="23">
        <f t="shared" si="66"/>
        <v>0.1955559027777779</v>
      </c>
      <c r="K324" s="24">
        <f t="shared" si="67"/>
        <v>288</v>
      </c>
      <c r="L324" s="25">
        <f t="shared" si="68"/>
        <v>165.54000000000008</v>
      </c>
      <c r="M324" s="26">
        <f t="shared" si="69"/>
        <v>0.57479166666666692</v>
      </c>
      <c r="N324" s="27">
        <f t="shared" si="70"/>
        <v>288</v>
      </c>
      <c r="O324" s="28">
        <f t="shared" si="71"/>
        <v>16194</v>
      </c>
      <c r="P324" s="29">
        <f t="shared" si="72"/>
        <v>56.229166666666664</v>
      </c>
      <c r="Q324" s="30">
        <f t="shared" si="73"/>
        <v>288</v>
      </c>
      <c r="R324" s="11" t="str">
        <f t="shared" si="74"/>
        <v>3</v>
      </c>
      <c r="S324" s="10" t="str">
        <f t="shared" si="75"/>
        <v>3</v>
      </c>
      <c r="T324" s="9">
        <f t="shared" si="76"/>
        <v>3</v>
      </c>
      <c r="U324" t="str">
        <f t="shared" si="77"/>
        <v>Match</v>
      </c>
    </row>
    <row r="325" spans="1:21" x14ac:dyDescent="0.2">
      <c r="A325" s="12">
        <v>323</v>
      </c>
      <c r="B325" s="12">
        <v>324</v>
      </c>
      <c r="C325" s="12">
        <v>0.2424</v>
      </c>
      <c r="D325" s="12">
        <v>0.55000000000000004</v>
      </c>
      <c r="E325" s="12">
        <v>0</v>
      </c>
      <c r="F325" s="12">
        <v>1</v>
      </c>
      <c r="G325" s="12">
        <v>26</v>
      </c>
      <c r="H325" s="12">
        <v>27</v>
      </c>
      <c r="I325" s="22">
        <f t="shared" si="65"/>
        <v>56.09280000000004</v>
      </c>
      <c r="J325" s="23">
        <f t="shared" si="66"/>
        <v>0.19544529616724751</v>
      </c>
      <c r="K325" s="24">
        <f t="shared" si="67"/>
        <v>287</v>
      </c>
      <c r="L325" s="25">
        <f t="shared" si="68"/>
        <v>164.85000000000011</v>
      </c>
      <c r="M325" s="26">
        <f t="shared" si="69"/>
        <v>0.57439024390243942</v>
      </c>
      <c r="N325" s="27">
        <f t="shared" si="70"/>
        <v>287</v>
      </c>
      <c r="O325" s="28">
        <f t="shared" si="71"/>
        <v>16158</v>
      </c>
      <c r="P325" s="29">
        <f t="shared" si="72"/>
        <v>56.299651567944252</v>
      </c>
      <c r="Q325" s="30">
        <f t="shared" si="73"/>
        <v>287</v>
      </c>
      <c r="R325" s="11" t="str">
        <f t="shared" si="74"/>
        <v>3</v>
      </c>
      <c r="S325" s="10" t="str">
        <f t="shared" si="75"/>
        <v>4</v>
      </c>
      <c r="T325" s="9">
        <f t="shared" si="76"/>
        <v>3</v>
      </c>
      <c r="U325" t="str">
        <f t="shared" si="77"/>
        <v>Mismatch</v>
      </c>
    </row>
    <row r="326" spans="1:21" x14ac:dyDescent="0.2">
      <c r="A326" s="12">
        <v>324</v>
      </c>
      <c r="B326" s="12">
        <v>325</v>
      </c>
      <c r="C326" s="12">
        <v>0.2424</v>
      </c>
      <c r="D326" s="12">
        <v>0.55000000000000004</v>
      </c>
      <c r="E326" s="12">
        <v>0</v>
      </c>
      <c r="F326" s="12">
        <v>3</v>
      </c>
      <c r="G326" s="12">
        <v>25</v>
      </c>
      <c r="H326" s="12">
        <v>28</v>
      </c>
      <c r="I326" s="22">
        <f t="shared" si="65"/>
        <v>55.850400000000043</v>
      </c>
      <c r="J326" s="23">
        <f t="shared" si="66"/>
        <v>0.19528111888111904</v>
      </c>
      <c r="K326" s="24">
        <f t="shared" si="67"/>
        <v>286</v>
      </c>
      <c r="L326" s="25">
        <f t="shared" si="68"/>
        <v>164.30000000000013</v>
      </c>
      <c r="M326" s="26">
        <f t="shared" si="69"/>
        <v>0.57447552447552497</v>
      </c>
      <c r="N326" s="27">
        <f t="shared" si="70"/>
        <v>286</v>
      </c>
      <c r="O326" s="28">
        <f t="shared" si="71"/>
        <v>16131</v>
      </c>
      <c r="P326" s="29">
        <f t="shared" si="72"/>
        <v>56.4020979020979</v>
      </c>
      <c r="Q326" s="30">
        <f t="shared" si="73"/>
        <v>286</v>
      </c>
      <c r="R326" s="11" t="str">
        <f t="shared" si="74"/>
        <v>3</v>
      </c>
      <c r="S326" s="10" t="str">
        <f t="shared" si="75"/>
        <v>5</v>
      </c>
      <c r="T326" s="9">
        <f t="shared" si="76"/>
        <v>3</v>
      </c>
      <c r="U326" t="str">
        <f t="shared" si="77"/>
        <v>Mismatch</v>
      </c>
    </row>
    <row r="327" spans="1:21" x14ac:dyDescent="0.2">
      <c r="A327" s="12">
        <v>325</v>
      </c>
      <c r="B327" s="12">
        <v>326</v>
      </c>
      <c r="C327" s="12">
        <v>0.19700000000000001</v>
      </c>
      <c r="D327" s="12">
        <v>0.59</v>
      </c>
      <c r="E327" s="12">
        <v>8.9599999999999999E-2</v>
      </c>
      <c r="F327" s="12">
        <v>2</v>
      </c>
      <c r="G327" s="12">
        <v>18</v>
      </c>
      <c r="H327" s="12">
        <v>20</v>
      </c>
      <c r="I327" s="22">
        <f t="shared" si="65"/>
        <v>55.60800000000004</v>
      </c>
      <c r="J327" s="23">
        <f t="shared" si="66"/>
        <v>0.19511578947368435</v>
      </c>
      <c r="K327" s="24">
        <f t="shared" si="67"/>
        <v>285</v>
      </c>
      <c r="L327" s="25">
        <f t="shared" si="68"/>
        <v>163.75000000000014</v>
      </c>
      <c r="M327" s="26">
        <f t="shared" si="69"/>
        <v>0.57456140350877238</v>
      </c>
      <c r="N327" s="27">
        <f t="shared" si="70"/>
        <v>285</v>
      </c>
      <c r="O327" s="28">
        <f t="shared" si="71"/>
        <v>16103</v>
      </c>
      <c r="P327" s="29">
        <f t="shared" si="72"/>
        <v>56.501754385964915</v>
      </c>
      <c r="Q327" s="30">
        <f t="shared" si="73"/>
        <v>285</v>
      </c>
      <c r="R327" s="11" t="str">
        <f t="shared" si="74"/>
        <v>3</v>
      </c>
      <c r="S327" s="10" t="str">
        <f t="shared" si="75"/>
        <v>6</v>
      </c>
      <c r="T327" s="9">
        <f t="shared" si="76"/>
        <v>3</v>
      </c>
      <c r="U327" t="str">
        <f t="shared" si="77"/>
        <v>Mismatch</v>
      </c>
    </row>
    <row r="328" spans="1:21" x14ac:dyDescent="0.2">
      <c r="A328" s="12">
        <v>326</v>
      </c>
      <c r="B328" s="12">
        <v>327</v>
      </c>
      <c r="C328" s="12">
        <v>0.19700000000000001</v>
      </c>
      <c r="D328" s="12">
        <v>0.59</v>
      </c>
      <c r="E328" s="12">
        <v>8.9599999999999999E-2</v>
      </c>
      <c r="F328" s="12">
        <v>0</v>
      </c>
      <c r="G328" s="12">
        <v>12</v>
      </c>
      <c r="H328" s="12">
        <v>12</v>
      </c>
      <c r="I328" s="22">
        <f t="shared" si="65"/>
        <v>55.411000000000044</v>
      </c>
      <c r="J328" s="23">
        <f t="shared" si="66"/>
        <v>0.19510915492957762</v>
      </c>
      <c r="K328" s="24">
        <f t="shared" si="67"/>
        <v>284</v>
      </c>
      <c r="L328" s="25">
        <f t="shared" si="68"/>
        <v>163.16000000000014</v>
      </c>
      <c r="M328" s="26">
        <f t="shared" si="69"/>
        <v>0.57450704225352156</v>
      </c>
      <c r="N328" s="27">
        <f t="shared" si="70"/>
        <v>284</v>
      </c>
      <c r="O328" s="28">
        <f t="shared" si="71"/>
        <v>16083</v>
      </c>
      <c r="P328" s="29">
        <f t="shared" si="72"/>
        <v>56.630281690140848</v>
      </c>
      <c r="Q328" s="30">
        <f t="shared" si="73"/>
        <v>284</v>
      </c>
      <c r="R328" s="11" t="str">
        <f t="shared" si="74"/>
        <v>3</v>
      </c>
      <c r="S328" s="10" t="str">
        <f t="shared" si="75"/>
        <v>7</v>
      </c>
      <c r="T328" s="9">
        <f t="shared" si="76"/>
        <v>3</v>
      </c>
      <c r="U328" t="str">
        <f t="shared" si="77"/>
        <v>Mismatch</v>
      </c>
    </row>
    <row r="329" spans="1:21" x14ac:dyDescent="0.2">
      <c r="A329" s="12">
        <v>327</v>
      </c>
      <c r="B329" s="12">
        <v>328</v>
      </c>
      <c r="C329" s="12">
        <v>0.2273</v>
      </c>
      <c r="D329" s="12">
        <v>0.59</v>
      </c>
      <c r="E329" s="12">
        <v>0</v>
      </c>
      <c r="F329" s="12">
        <v>1</v>
      </c>
      <c r="G329" s="12">
        <v>7</v>
      </c>
      <c r="H329" s="12">
        <v>8</v>
      </c>
      <c r="I329" s="22">
        <f t="shared" si="65"/>
        <v>55.214000000000041</v>
      </c>
      <c r="J329" s="23">
        <f t="shared" si="66"/>
        <v>0.19510247349823337</v>
      </c>
      <c r="K329" s="24">
        <f t="shared" si="67"/>
        <v>283</v>
      </c>
      <c r="L329" s="25">
        <f t="shared" si="68"/>
        <v>162.57000000000014</v>
      </c>
      <c r="M329" s="26">
        <f t="shared" si="69"/>
        <v>0.57445229681978849</v>
      </c>
      <c r="N329" s="27">
        <f t="shared" si="70"/>
        <v>283</v>
      </c>
      <c r="O329" s="28">
        <f t="shared" si="71"/>
        <v>16071</v>
      </c>
      <c r="P329" s="29">
        <f t="shared" si="72"/>
        <v>56.78798586572438</v>
      </c>
      <c r="Q329" s="30">
        <f t="shared" si="73"/>
        <v>283</v>
      </c>
      <c r="R329" s="11" t="str">
        <f t="shared" si="74"/>
        <v>3</v>
      </c>
      <c r="S329" s="10" t="str">
        <f t="shared" si="75"/>
        <v>8</v>
      </c>
      <c r="T329" s="9">
        <f t="shared" si="76"/>
        <v>3</v>
      </c>
      <c r="U329" t="str">
        <f t="shared" si="77"/>
        <v>Mismatch</v>
      </c>
    </row>
    <row r="330" spans="1:21" x14ac:dyDescent="0.2">
      <c r="A330" s="12">
        <v>328</v>
      </c>
      <c r="B330" s="12">
        <v>329</v>
      </c>
      <c r="C330" s="12">
        <v>0.2273</v>
      </c>
      <c r="D330" s="12">
        <v>0.59</v>
      </c>
      <c r="E330" s="12">
        <v>0</v>
      </c>
      <c r="F330" s="12">
        <v>0</v>
      </c>
      <c r="G330" s="12">
        <v>5</v>
      </c>
      <c r="H330" s="12">
        <v>5</v>
      </c>
      <c r="I330" s="22">
        <f t="shared" si="65"/>
        <v>54.986700000000042</v>
      </c>
      <c r="J330" s="23">
        <f t="shared" si="66"/>
        <v>0.19498829787234057</v>
      </c>
      <c r="K330" s="24">
        <f t="shared" si="67"/>
        <v>282</v>
      </c>
      <c r="L330" s="25">
        <f t="shared" si="68"/>
        <v>161.98000000000013</v>
      </c>
      <c r="M330" s="26">
        <f t="shared" si="69"/>
        <v>0.57439716312056788</v>
      </c>
      <c r="N330" s="27">
        <f t="shared" si="70"/>
        <v>282</v>
      </c>
      <c r="O330" s="28">
        <f t="shared" si="71"/>
        <v>16063</v>
      </c>
      <c r="P330" s="29">
        <f t="shared" si="72"/>
        <v>56.960992907801419</v>
      </c>
      <c r="Q330" s="30">
        <f t="shared" si="73"/>
        <v>282</v>
      </c>
      <c r="R330" s="11" t="str">
        <f t="shared" si="74"/>
        <v>3</v>
      </c>
      <c r="S330" s="10" t="str">
        <f t="shared" si="75"/>
        <v>9</v>
      </c>
      <c r="T330" s="9">
        <f t="shared" si="76"/>
        <v>3</v>
      </c>
      <c r="U330" t="str">
        <f t="shared" si="77"/>
        <v>Mismatch</v>
      </c>
    </row>
    <row r="331" spans="1:21" x14ac:dyDescent="0.2">
      <c r="A331" s="12">
        <v>329</v>
      </c>
      <c r="B331" s="12">
        <v>330</v>
      </c>
      <c r="C331" s="12">
        <v>0.2273</v>
      </c>
      <c r="D331" s="12">
        <v>0.59</v>
      </c>
      <c r="E331" s="12">
        <v>0</v>
      </c>
      <c r="F331" s="12">
        <v>0</v>
      </c>
      <c r="G331" s="12">
        <v>1</v>
      </c>
      <c r="H331" s="12">
        <v>1</v>
      </c>
      <c r="I331" s="22">
        <f t="shared" si="65"/>
        <v>54.759400000000042</v>
      </c>
      <c r="J331" s="23">
        <f t="shared" si="66"/>
        <v>0.19487330960854107</v>
      </c>
      <c r="K331" s="24">
        <f t="shared" si="67"/>
        <v>281</v>
      </c>
      <c r="L331" s="25">
        <f t="shared" si="68"/>
        <v>161.39000000000016</v>
      </c>
      <c r="M331" s="26">
        <f t="shared" si="69"/>
        <v>0.57434163701067675</v>
      </c>
      <c r="N331" s="27">
        <f t="shared" si="70"/>
        <v>281</v>
      </c>
      <c r="O331" s="28">
        <f t="shared" si="71"/>
        <v>16058</v>
      </c>
      <c r="P331" s="29">
        <f t="shared" si="72"/>
        <v>57.145907473309606</v>
      </c>
      <c r="Q331" s="30">
        <f t="shared" si="73"/>
        <v>281</v>
      </c>
      <c r="R331" s="11" t="str">
        <f t="shared" si="74"/>
        <v>3</v>
      </c>
      <c r="S331" s="10" t="str">
        <f t="shared" si="75"/>
        <v>0</v>
      </c>
      <c r="T331" s="9">
        <f t="shared" si="76"/>
        <v>3</v>
      </c>
      <c r="U331" t="str">
        <f t="shared" si="77"/>
        <v>Mismatch</v>
      </c>
    </row>
    <row r="332" spans="1:21" x14ac:dyDescent="0.2">
      <c r="A332" s="12">
        <v>330</v>
      </c>
      <c r="B332" s="12">
        <v>331</v>
      </c>
      <c r="C332" s="12">
        <v>0.16669999999999999</v>
      </c>
      <c r="D332" s="12">
        <v>0.63</v>
      </c>
      <c r="E332" s="12">
        <v>0.1045</v>
      </c>
      <c r="F332" s="12">
        <v>1</v>
      </c>
      <c r="G332" s="12">
        <v>2</v>
      </c>
      <c r="H332" s="12">
        <v>3</v>
      </c>
      <c r="I332" s="22">
        <f t="shared" si="65"/>
        <v>54.532100000000042</v>
      </c>
      <c r="J332" s="23">
        <f t="shared" si="66"/>
        <v>0.19475750000000014</v>
      </c>
      <c r="K332" s="24">
        <f t="shared" si="67"/>
        <v>280</v>
      </c>
      <c r="L332" s="25">
        <f t="shared" si="68"/>
        <v>160.80000000000015</v>
      </c>
      <c r="M332" s="26">
        <f t="shared" si="69"/>
        <v>0.57428571428571484</v>
      </c>
      <c r="N332" s="27">
        <f t="shared" si="70"/>
        <v>280</v>
      </c>
      <c r="O332" s="28">
        <f t="shared" si="71"/>
        <v>16057</v>
      </c>
      <c r="P332" s="29">
        <f t="shared" si="72"/>
        <v>57.346428571428568</v>
      </c>
      <c r="Q332" s="30">
        <f t="shared" si="73"/>
        <v>280</v>
      </c>
      <c r="R332" s="11" t="str">
        <f t="shared" si="74"/>
        <v>3</v>
      </c>
      <c r="S332" s="10" t="str">
        <f t="shared" si="75"/>
        <v>1</v>
      </c>
      <c r="T332" s="9">
        <f t="shared" si="76"/>
        <v>3</v>
      </c>
      <c r="U332" t="str">
        <f t="shared" si="77"/>
        <v>Mismatch</v>
      </c>
    </row>
    <row r="333" spans="1:21" x14ac:dyDescent="0.2">
      <c r="A333" s="12">
        <v>331</v>
      </c>
      <c r="B333" s="12">
        <v>332</v>
      </c>
      <c r="C333" s="12">
        <v>0.21210000000000001</v>
      </c>
      <c r="D333" s="12">
        <v>0.63</v>
      </c>
      <c r="E333" s="12">
        <v>0</v>
      </c>
      <c r="F333" s="12">
        <v>1</v>
      </c>
      <c r="G333" s="12">
        <v>9</v>
      </c>
      <c r="H333" s="12">
        <v>10</v>
      </c>
      <c r="I333" s="22">
        <f t="shared" si="65"/>
        <v>54.365400000000037</v>
      </c>
      <c r="J333" s="23">
        <f t="shared" si="66"/>
        <v>0.19485806451612916</v>
      </c>
      <c r="K333" s="24">
        <f t="shared" si="67"/>
        <v>279</v>
      </c>
      <c r="L333" s="25">
        <f t="shared" si="68"/>
        <v>160.17000000000019</v>
      </c>
      <c r="M333" s="26">
        <f t="shared" si="69"/>
        <v>0.57408602150537702</v>
      </c>
      <c r="N333" s="27">
        <f t="shared" si="70"/>
        <v>279</v>
      </c>
      <c r="O333" s="28">
        <f t="shared" si="71"/>
        <v>16054</v>
      </c>
      <c r="P333" s="29">
        <f t="shared" si="72"/>
        <v>57.541218637992834</v>
      </c>
      <c r="Q333" s="30">
        <f t="shared" si="73"/>
        <v>279</v>
      </c>
      <c r="R333" s="11" t="str">
        <f t="shared" si="74"/>
        <v>3</v>
      </c>
      <c r="S333" s="10" t="str">
        <f t="shared" si="75"/>
        <v>2</v>
      </c>
      <c r="T333" s="9">
        <f t="shared" si="76"/>
        <v>3</v>
      </c>
      <c r="U333" t="str">
        <f t="shared" si="77"/>
        <v>Mismatch</v>
      </c>
    </row>
    <row r="334" spans="1:21" x14ac:dyDescent="0.2">
      <c r="A334" s="12">
        <v>332</v>
      </c>
      <c r="B334" s="12">
        <v>333</v>
      </c>
      <c r="C334" s="12">
        <v>0.1515</v>
      </c>
      <c r="D334" s="12">
        <v>0.63</v>
      </c>
      <c r="E334" s="12">
        <v>0.1343</v>
      </c>
      <c r="F334" s="12">
        <v>1</v>
      </c>
      <c r="G334" s="12">
        <v>22</v>
      </c>
      <c r="H334" s="12">
        <v>23</v>
      </c>
      <c r="I334" s="22">
        <f t="shared" si="65"/>
        <v>54.15330000000003</v>
      </c>
      <c r="J334" s="23">
        <f t="shared" si="66"/>
        <v>0.19479604316546772</v>
      </c>
      <c r="K334" s="24">
        <f t="shared" si="67"/>
        <v>278</v>
      </c>
      <c r="L334" s="25">
        <f t="shared" si="68"/>
        <v>159.54000000000019</v>
      </c>
      <c r="M334" s="26">
        <f t="shared" si="69"/>
        <v>0.57388489208633164</v>
      </c>
      <c r="N334" s="27">
        <f t="shared" si="70"/>
        <v>278</v>
      </c>
      <c r="O334" s="28">
        <f t="shared" si="71"/>
        <v>16044</v>
      </c>
      <c r="P334" s="29">
        <f t="shared" si="72"/>
        <v>57.71223021582734</v>
      </c>
      <c r="Q334" s="30">
        <f t="shared" si="73"/>
        <v>278</v>
      </c>
      <c r="R334" s="11" t="str">
        <f t="shared" si="74"/>
        <v>3</v>
      </c>
      <c r="S334" s="10" t="str">
        <f t="shared" si="75"/>
        <v>3</v>
      </c>
      <c r="T334" s="9">
        <f t="shared" si="76"/>
        <v>3</v>
      </c>
      <c r="U334" t="str">
        <f t="shared" si="77"/>
        <v>Match</v>
      </c>
    </row>
    <row r="335" spans="1:21" x14ac:dyDescent="0.2">
      <c r="A335" s="12">
        <v>333</v>
      </c>
      <c r="B335" s="12">
        <v>334</v>
      </c>
      <c r="C335" s="12">
        <v>0.18179999999999999</v>
      </c>
      <c r="D335" s="12">
        <v>0.64</v>
      </c>
      <c r="E335" s="12">
        <v>0.1343</v>
      </c>
      <c r="F335" s="12">
        <v>2</v>
      </c>
      <c r="G335" s="12">
        <v>31</v>
      </c>
      <c r="H335" s="12">
        <v>33</v>
      </c>
      <c r="I335" s="22">
        <f t="shared" si="65"/>
        <v>54.001800000000031</v>
      </c>
      <c r="J335" s="23">
        <f t="shared" si="66"/>
        <v>0.19495234657039723</v>
      </c>
      <c r="K335" s="24">
        <f t="shared" si="67"/>
        <v>277</v>
      </c>
      <c r="L335" s="25">
        <f t="shared" si="68"/>
        <v>158.9100000000002</v>
      </c>
      <c r="M335" s="26">
        <f t="shared" si="69"/>
        <v>0.57368231046931484</v>
      </c>
      <c r="N335" s="27">
        <f t="shared" si="70"/>
        <v>277</v>
      </c>
      <c r="O335" s="28">
        <f t="shared" si="71"/>
        <v>16021</v>
      </c>
      <c r="P335" s="29">
        <f t="shared" si="72"/>
        <v>57.837545126353788</v>
      </c>
      <c r="Q335" s="30">
        <f t="shared" si="73"/>
        <v>277</v>
      </c>
      <c r="R335" s="11" t="str">
        <f t="shared" si="74"/>
        <v>3</v>
      </c>
      <c r="S335" s="10" t="str">
        <f t="shared" si="75"/>
        <v>4</v>
      </c>
      <c r="T335" s="9">
        <f t="shared" si="76"/>
        <v>3</v>
      </c>
      <c r="U335" t="str">
        <f t="shared" si="77"/>
        <v>Mismatch</v>
      </c>
    </row>
    <row r="336" spans="1:21" x14ac:dyDescent="0.2">
      <c r="A336" s="12">
        <v>334</v>
      </c>
      <c r="B336" s="12">
        <v>335</v>
      </c>
      <c r="C336" s="12">
        <v>0.19700000000000001</v>
      </c>
      <c r="D336" s="12">
        <v>0.59</v>
      </c>
      <c r="E336" s="12">
        <v>0.16420000000000001</v>
      </c>
      <c r="F336" s="12">
        <v>2</v>
      </c>
      <c r="G336" s="12">
        <v>57</v>
      </c>
      <c r="H336" s="12">
        <v>59</v>
      </c>
      <c r="I336" s="22">
        <f t="shared" si="65"/>
        <v>53.820000000000029</v>
      </c>
      <c r="J336" s="23">
        <f t="shared" si="66"/>
        <v>0.19500000000000012</v>
      </c>
      <c r="K336" s="24">
        <f t="shared" si="67"/>
        <v>276</v>
      </c>
      <c r="L336" s="25">
        <f t="shared" si="68"/>
        <v>158.27000000000021</v>
      </c>
      <c r="M336" s="26">
        <f t="shared" si="69"/>
        <v>0.573442028985508</v>
      </c>
      <c r="N336" s="27">
        <f t="shared" si="70"/>
        <v>276</v>
      </c>
      <c r="O336" s="28">
        <f t="shared" si="71"/>
        <v>15988</v>
      </c>
      <c r="P336" s="29">
        <f t="shared" si="72"/>
        <v>57.927536231884055</v>
      </c>
      <c r="Q336" s="30">
        <f t="shared" si="73"/>
        <v>276</v>
      </c>
      <c r="R336" s="11" t="str">
        <f t="shared" si="74"/>
        <v>3</v>
      </c>
      <c r="S336" s="10" t="str">
        <f t="shared" si="75"/>
        <v>5</v>
      </c>
      <c r="T336" s="9">
        <f t="shared" si="76"/>
        <v>3</v>
      </c>
      <c r="U336" t="str">
        <f t="shared" si="77"/>
        <v>Mismatch</v>
      </c>
    </row>
    <row r="337" spans="1:21" x14ac:dyDescent="0.2">
      <c r="A337" s="12">
        <v>335</v>
      </c>
      <c r="B337" s="12">
        <v>336</v>
      </c>
      <c r="C337" s="12">
        <v>0.19700000000000001</v>
      </c>
      <c r="D337" s="12">
        <v>0.55000000000000004</v>
      </c>
      <c r="E337" s="12">
        <v>0.22389999999999999</v>
      </c>
      <c r="F337" s="12">
        <v>18</v>
      </c>
      <c r="G337" s="12">
        <v>54</v>
      </c>
      <c r="H337" s="12">
        <v>72</v>
      </c>
      <c r="I337" s="22">
        <f t="shared" si="65"/>
        <v>53.623000000000026</v>
      </c>
      <c r="J337" s="23">
        <f t="shared" si="66"/>
        <v>0.19499272727272737</v>
      </c>
      <c r="K337" s="24">
        <f t="shared" si="67"/>
        <v>275</v>
      </c>
      <c r="L337" s="25">
        <f t="shared" si="68"/>
        <v>157.68000000000018</v>
      </c>
      <c r="M337" s="26">
        <f t="shared" si="69"/>
        <v>0.57338181818181888</v>
      </c>
      <c r="N337" s="27">
        <f t="shared" si="70"/>
        <v>275</v>
      </c>
      <c r="O337" s="28">
        <f t="shared" si="71"/>
        <v>15929</v>
      </c>
      <c r="P337" s="29">
        <f t="shared" si="72"/>
        <v>57.923636363636362</v>
      </c>
      <c r="Q337" s="30">
        <f t="shared" si="73"/>
        <v>275</v>
      </c>
      <c r="R337" s="11" t="str">
        <f t="shared" si="74"/>
        <v>3</v>
      </c>
      <c r="S337" s="10" t="str">
        <f t="shared" si="75"/>
        <v>6</v>
      </c>
      <c r="T337" s="9">
        <f t="shared" si="76"/>
        <v>3</v>
      </c>
      <c r="U337" t="str">
        <f t="shared" si="77"/>
        <v>Mismatch</v>
      </c>
    </row>
    <row r="338" spans="1:21" x14ac:dyDescent="0.2">
      <c r="A338" s="12">
        <v>336</v>
      </c>
      <c r="B338" s="12">
        <v>337</v>
      </c>
      <c r="C338" s="12">
        <v>0.2273</v>
      </c>
      <c r="D338" s="12">
        <v>0.48</v>
      </c>
      <c r="E338" s="12">
        <v>0.22389999999999999</v>
      </c>
      <c r="F338" s="12">
        <v>15</v>
      </c>
      <c r="G338" s="12">
        <v>74</v>
      </c>
      <c r="H338" s="12">
        <v>89</v>
      </c>
      <c r="I338" s="22">
        <f t="shared" si="65"/>
        <v>53.426000000000023</v>
      </c>
      <c r="J338" s="23">
        <f t="shared" si="66"/>
        <v>0.1949854014598541</v>
      </c>
      <c r="K338" s="24">
        <f t="shared" si="67"/>
        <v>274</v>
      </c>
      <c r="L338" s="25">
        <f t="shared" si="68"/>
        <v>157.13000000000019</v>
      </c>
      <c r="M338" s="26">
        <f t="shared" si="69"/>
        <v>0.57346715328467224</v>
      </c>
      <c r="N338" s="27">
        <f t="shared" si="70"/>
        <v>274</v>
      </c>
      <c r="O338" s="28">
        <f t="shared" si="71"/>
        <v>15857</v>
      </c>
      <c r="P338" s="29">
        <f t="shared" si="72"/>
        <v>57.872262773722625</v>
      </c>
      <c r="Q338" s="30">
        <f t="shared" si="73"/>
        <v>274</v>
      </c>
      <c r="R338" s="11" t="str">
        <f t="shared" si="74"/>
        <v>3</v>
      </c>
      <c r="S338" s="10" t="str">
        <f t="shared" si="75"/>
        <v>7</v>
      </c>
      <c r="T338" s="9">
        <f t="shared" si="76"/>
        <v>3</v>
      </c>
      <c r="U338" t="str">
        <f t="shared" si="77"/>
        <v>Mismatch</v>
      </c>
    </row>
    <row r="339" spans="1:21" x14ac:dyDescent="0.2">
      <c r="A339" s="12">
        <v>337</v>
      </c>
      <c r="B339" s="12">
        <v>338</v>
      </c>
      <c r="C339" s="12">
        <v>0.2576</v>
      </c>
      <c r="D339" s="12">
        <v>0.38</v>
      </c>
      <c r="E339" s="12">
        <v>0.29849999999999999</v>
      </c>
      <c r="F339" s="12">
        <v>21</v>
      </c>
      <c r="G339" s="12">
        <v>80</v>
      </c>
      <c r="H339" s="12">
        <v>101</v>
      </c>
      <c r="I339" s="22">
        <f t="shared" si="65"/>
        <v>53.198700000000024</v>
      </c>
      <c r="J339" s="23">
        <f t="shared" si="66"/>
        <v>0.19486703296703306</v>
      </c>
      <c r="K339" s="24">
        <f t="shared" si="67"/>
        <v>273</v>
      </c>
      <c r="L339" s="25">
        <f t="shared" si="68"/>
        <v>156.65000000000018</v>
      </c>
      <c r="M339" s="26">
        <f t="shared" si="69"/>
        <v>0.57380952380952444</v>
      </c>
      <c r="N339" s="27">
        <f t="shared" si="70"/>
        <v>273</v>
      </c>
      <c r="O339" s="28">
        <f t="shared" si="71"/>
        <v>15768</v>
      </c>
      <c r="P339" s="29">
        <f t="shared" si="72"/>
        <v>57.758241758241759</v>
      </c>
      <c r="Q339" s="30">
        <f t="shared" si="73"/>
        <v>273</v>
      </c>
      <c r="R339" s="11" t="str">
        <f t="shared" si="74"/>
        <v>3</v>
      </c>
      <c r="S339" s="10" t="str">
        <f t="shared" si="75"/>
        <v>8</v>
      </c>
      <c r="T339" s="9">
        <f t="shared" si="76"/>
        <v>3</v>
      </c>
      <c r="U339" t="str">
        <f t="shared" si="77"/>
        <v>Mismatch</v>
      </c>
    </row>
    <row r="340" spans="1:21" x14ac:dyDescent="0.2">
      <c r="A340" s="12">
        <v>338</v>
      </c>
      <c r="B340" s="12">
        <v>339</v>
      </c>
      <c r="C340" s="12">
        <v>0.28789999999999999</v>
      </c>
      <c r="D340" s="12">
        <v>0.39</v>
      </c>
      <c r="E340" s="12">
        <v>0.28360000000000002</v>
      </c>
      <c r="F340" s="12">
        <v>26</v>
      </c>
      <c r="G340" s="12">
        <v>92</v>
      </c>
      <c r="H340" s="12">
        <v>118</v>
      </c>
      <c r="I340" s="22">
        <f t="shared" si="65"/>
        <v>52.94110000000002</v>
      </c>
      <c r="J340" s="23">
        <f t="shared" si="66"/>
        <v>0.1946363970588236</v>
      </c>
      <c r="K340" s="24">
        <f t="shared" si="67"/>
        <v>272</v>
      </c>
      <c r="L340" s="25">
        <f t="shared" si="68"/>
        <v>156.27000000000018</v>
      </c>
      <c r="M340" s="26">
        <f t="shared" si="69"/>
        <v>0.57452205882353002</v>
      </c>
      <c r="N340" s="27">
        <f t="shared" si="70"/>
        <v>272</v>
      </c>
      <c r="O340" s="28">
        <f t="shared" si="71"/>
        <v>15667</v>
      </c>
      <c r="P340" s="29">
        <f t="shared" si="72"/>
        <v>57.599264705882355</v>
      </c>
      <c r="Q340" s="30">
        <f t="shared" si="73"/>
        <v>272</v>
      </c>
      <c r="R340" s="11" t="str">
        <f t="shared" si="74"/>
        <v>3</v>
      </c>
      <c r="S340" s="10" t="str">
        <f t="shared" si="75"/>
        <v>9</v>
      </c>
      <c r="T340" s="9">
        <f t="shared" si="76"/>
        <v>3</v>
      </c>
      <c r="U340" t="str">
        <f t="shared" si="77"/>
        <v>Mismatch</v>
      </c>
    </row>
    <row r="341" spans="1:21" x14ac:dyDescent="0.2">
      <c r="A341" s="12">
        <v>339</v>
      </c>
      <c r="B341" s="12">
        <v>340</v>
      </c>
      <c r="C341" s="12">
        <v>0.31819999999999998</v>
      </c>
      <c r="D341" s="12">
        <v>0.36</v>
      </c>
      <c r="E341" s="12">
        <v>0.19400000000000001</v>
      </c>
      <c r="F341" s="12">
        <v>21</v>
      </c>
      <c r="G341" s="12">
        <v>108</v>
      </c>
      <c r="H341" s="12">
        <v>129</v>
      </c>
      <c r="I341" s="22">
        <f t="shared" si="65"/>
        <v>52.653200000000027</v>
      </c>
      <c r="J341" s="23">
        <f t="shared" si="66"/>
        <v>0.19429225092250932</v>
      </c>
      <c r="K341" s="24">
        <f t="shared" si="67"/>
        <v>271</v>
      </c>
      <c r="L341" s="25">
        <f t="shared" si="68"/>
        <v>155.88000000000017</v>
      </c>
      <c r="M341" s="26">
        <f t="shared" si="69"/>
        <v>0.57520295202952088</v>
      </c>
      <c r="N341" s="27">
        <f t="shared" si="70"/>
        <v>271</v>
      </c>
      <c r="O341" s="28">
        <f t="shared" si="71"/>
        <v>15549</v>
      </c>
      <c r="P341" s="29">
        <f t="shared" si="72"/>
        <v>57.376383763837637</v>
      </c>
      <c r="Q341" s="30">
        <f t="shared" si="73"/>
        <v>271</v>
      </c>
      <c r="R341" s="11" t="str">
        <f t="shared" si="74"/>
        <v>3</v>
      </c>
      <c r="S341" s="10" t="str">
        <f t="shared" si="75"/>
        <v>0</v>
      </c>
      <c r="T341" s="9">
        <f t="shared" si="76"/>
        <v>3</v>
      </c>
      <c r="U341" t="str">
        <f t="shared" si="77"/>
        <v>Mismatch</v>
      </c>
    </row>
    <row r="342" spans="1:21" x14ac:dyDescent="0.2">
      <c r="A342" s="12">
        <v>340</v>
      </c>
      <c r="B342" s="12">
        <v>341</v>
      </c>
      <c r="C342" s="12">
        <v>0.33329999999999999</v>
      </c>
      <c r="D342" s="12">
        <v>0.34</v>
      </c>
      <c r="E342" s="12">
        <v>0.19400000000000001</v>
      </c>
      <c r="F342" s="12">
        <v>33</v>
      </c>
      <c r="G342" s="12">
        <v>95</v>
      </c>
      <c r="H342" s="12">
        <v>128</v>
      </c>
      <c r="I342" s="22">
        <f t="shared" si="65"/>
        <v>52.335000000000051</v>
      </c>
      <c r="J342" s="23">
        <f t="shared" si="66"/>
        <v>0.19383333333333352</v>
      </c>
      <c r="K342" s="24">
        <f t="shared" si="67"/>
        <v>270</v>
      </c>
      <c r="L342" s="25">
        <f t="shared" si="68"/>
        <v>155.52000000000018</v>
      </c>
      <c r="M342" s="26">
        <f t="shared" si="69"/>
        <v>0.57600000000000062</v>
      </c>
      <c r="N342" s="27">
        <f t="shared" si="70"/>
        <v>270</v>
      </c>
      <c r="O342" s="28">
        <f t="shared" si="71"/>
        <v>15420</v>
      </c>
      <c r="P342" s="29">
        <f t="shared" si="72"/>
        <v>57.111111111111114</v>
      </c>
      <c r="Q342" s="30">
        <f t="shared" si="73"/>
        <v>270</v>
      </c>
      <c r="R342" s="11" t="str">
        <f t="shared" si="74"/>
        <v>3</v>
      </c>
      <c r="S342" s="10" t="str">
        <f t="shared" si="75"/>
        <v>1</v>
      </c>
      <c r="T342" s="9">
        <f t="shared" si="76"/>
        <v>3</v>
      </c>
      <c r="U342" t="str">
        <f t="shared" si="77"/>
        <v>Mismatch</v>
      </c>
    </row>
    <row r="343" spans="1:21" x14ac:dyDescent="0.2">
      <c r="A343" s="12">
        <v>341</v>
      </c>
      <c r="B343" s="12">
        <v>342</v>
      </c>
      <c r="C343" s="12">
        <v>0.30299999999999999</v>
      </c>
      <c r="D343" s="12">
        <v>0.36</v>
      </c>
      <c r="E343" s="12">
        <v>0.28360000000000002</v>
      </c>
      <c r="F343" s="12">
        <v>29</v>
      </c>
      <c r="G343" s="12">
        <v>54</v>
      </c>
      <c r="H343" s="12">
        <v>83</v>
      </c>
      <c r="I343" s="22">
        <f t="shared" si="65"/>
        <v>52.001700000000056</v>
      </c>
      <c r="J343" s="23">
        <f t="shared" si="66"/>
        <v>0.19331486988847604</v>
      </c>
      <c r="K343" s="24">
        <f t="shared" si="67"/>
        <v>269</v>
      </c>
      <c r="L343" s="25">
        <f t="shared" si="68"/>
        <v>155.18000000000018</v>
      </c>
      <c r="M343" s="26">
        <f t="shared" si="69"/>
        <v>0.57687732342007503</v>
      </c>
      <c r="N343" s="27">
        <f t="shared" si="70"/>
        <v>269</v>
      </c>
      <c r="O343" s="28">
        <f t="shared" si="71"/>
        <v>15292</v>
      </c>
      <c r="P343" s="29">
        <f t="shared" si="72"/>
        <v>56.847583643122675</v>
      </c>
      <c r="Q343" s="30">
        <f t="shared" si="73"/>
        <v>269</v>
      </c>
      <c r="R343" s="11" t="str">
        <f t="shared" si="74"/>
        <v>3</v>
      </c>
      <c r="S343" s="10" t="str">
        <f t="shared" si="75"/>
        <v>2</v>
      </c>
      <c r="T343" s="9">
        <f t="shared" si="76"/>
        <v>3</v>
      </c>
      <c r="U343" t="str">
        <f t="shared" si="77"/>
        <v>Mismatch</v>
      </c>
    </row>
    <row r="344" spans="1:21" x14ac:dyDescent="0.2">
      <c r="A344" s="12">
        <v>342</v>
      </c>
      <c r="B344" s="12">
        <v>343</v>
      </c>
      <c r="C344" s="12">
        <v>0.28789999999999999</v>
      </c>
      <c r="D344" s="12">
        <v>0.45</v>
      </c>
      <c r="E344" s="12">
        <v>0.25369999999999998</v>
      </c>
      <c r="F344" s="12">
        <v>15</v>
      </c>
      <c r="G344" s="12">
        <v>69</v>
      </c>
      <c r="H344" s="12">
        <v>84</v>
      </c>
      <c r="I344" s="22">
        <f t="shared" si="65"/>
        <v>51.698700000000052</v>
      </c>
      <c r="J344" s="23">
        <f t="shared" si="66"/>
        <v>0.19290559701492557</v>
      </c>
      <c r="K344" s="24">
        <f t="shared" si="67"/>
        <v>268</v>
      </c>
      <c r="L344" s="25">
        <f t="shared" si="68"/>
        <v>154.82000000000019</v>
      </c>
      <c r="M344" s="26">
        <f t="shared" si="69"/>
        <v>0.57768656716417988</v>
      </c>
      <c r="N344" s="27">
        <f t="shared" si="70"/>
        <v>268</v>
      </c>
      <c r="O344" s="28">
        <f t="shared" si="71"/>
        <v>15209</v>
      </c>
      <c r="P344" s="29">
        <f t="shared" si="72"/>
        <v>56.75</v>
      </c>
      <c r="Q344" s="30">
        <f t="shared" si="73"/>
        <v>268</v>
      </c>
      <c r="R344" s="11" t="str">
        <f t="shared" si="74"/>
        <v>3</v>
      </c>
      <c r="S344" s="10" t="str">
        <f t="shared" si="75"/>
        <v>3</v>
      </c>
      <c r="T344" s="9">
        <f t="shared" si="76"/>
        <v>3</v>
      </c>
      <c r="U344" t="str">
        <f t="shared" si="77"/>
        <v>Match</v>
      </c>
    </row>
    <row r="345" spans="1:21" x14ac:dyDescent="0.2">
      <c r="A345" s="12">
        <v>343</v>
      </c>
      <c r="B345" s="12">
        <v>344</v>
      </c>
      <c r="C345" s="12">
        <v>0.30299999999999999</v>
      </c>
      <c r="D345" s="12">
        <v>0.39</v>
      </c>
      <c r="E345" s="12">
        <v>0.25369999999999998</v>
      </c>
      <c r="F345" s="12">
        <v>14</v>
      </c>
      <c r="G345" s="12">
        <v>60</v>
      </c>
      <c r="H345" s="12">
        <v>74</v>
      </c>
      <c r="I345" s="22">
        <f t="shared" si="65"/>
        <v>51.410800000000044</v>
      </c>
      <c r="J345" s="23">
        <f t="shared" si="66"/>
        <v>0.19254981273408256</v>
      </c>
      <c r="K345" s="24">
        <f t="shared" si="67"/>
        <v>267</v>
      </c>
      <c r="L345" s="25">
        <f t="shared" si="68"/>
        <v>154.37000000000018</v>
      </c>
      <c r="M345" s="26">
        <f t="shared" si="69"/>
        <v>0.57816479400749132</v>
      </c>
      <c r="N345" s="27">
        <f t="shared" si="70"/>
        <v>267</v>
      </c>
      <c r="O345" s="28">
        <f t="shared" si="71"/>
        <v>15125</v>
      </c>
      <c r="P345" s="29">
        <f t="shared" si="72"/>
        <v>56.647940074906366</v>
      </c>
      <c r="Q345" s="30">
        <f t="shared" si="73"/>
        <v>267</v>
      </c>
      <c r="R345" s="11" t="str">
        <f t="shared" si="74"/>
        <v>3</v>
      </c>
      <c r="S345" s="10" t="str">
        <f t="shared" si="75"/>
        <v>4</v>
      </c>
      <c r="T345" s="9">
        <f t="shared" si="76"/>
        <v>3</v>
      </c>
      <c r="U345" t="str">
        <f t="shared" si="77"/>
        <v>Mismatch</v>
      </c>
    </row>
    <row r="346" spans="1:21" x14ac:dyDescent="0.2">
      <c r="A346" s="12">
        <v>344</v>
      </c>
      <c r="B346" s="12">
        <v>345</v>
      </c>
      <c r="C346" s="12">
        <v>0.30299999999999999</v>
      </c>
      <c r="D346" s="12">
        <v>0.39</v>
      </c>
      <c r="E346" s="12">
        <v>0.25369999999999998</v>
      </c>
      <c r="F346" s="12">
        <v>6</v>
      </c>
      <c r="G346" s="12">
        <v>35</v>
      </c>
      <c r="H346" s="12">
        <v>41</v>
      </c>
      <c r="I346" s="22">
        <f t="shared" si="65"/>
        <v>51.107800000000047</v>
      </c>
      <c r="J346" s="23">
        <f t="shared" si="66"/>
        <v>0.1921345864661656</v>
      </c>
      <c r="K346" s="24">
        <f t="shared" si="67"/>
        <v>266</v>
      </c>
      <c r="L346" s="25">
        <f t="shared" si="68"/>
        <v>153.98000000000019</v>
      </c>
      <c r="M346" s="26">
        <f t="shared" si="69"/>
        <v>0.57887218045112854</v>
      </c>
      <c r="N346" s="27">
        <f t="shared" si="70"/>
        <v>266</v>
      </c>
      <c r="O346" s="28">
        <f t="shared" si="71"/>
        <v>15051</v>
      </c>
      <c r="P346" s="29">
        <f t="shared" si="72"/>
        <v>56.582706766917291</v>
      </c>
      <c r="Q346" s="30">
        <f t="shared" si="73"/>
        <v>266</v>
      </c>
      <c r="R346" s="11" t="str">
        <f t="shared" si="74"/>
        <v>3</v>
      </c>
      <c r="S346" s="10" t="str">
        <f t="shared" si="75"/>
        <v>5</v>
      </c>
      <c r="T346" s="9">
        <f t="shared" si="76"/>
        <v>3</v>
      </c>
      <c r="U346" t="str">
        <f t="shared" si="77"/>
        <v>Mismatch</v>
      </c>
    </row>
    <row r="347" spans="1:21" x14ac:dyDescent="0.2">
      <c r="A347" s="12">
        <v>345</v>
      </c>
      <c r="B347" s="12">
        <v>346</v>
      </c>
      <c r="C347" s="12">
        <v>0.30299999999999999</v>
      </c>
      <c r="D347" s="12">
        <v>0.39</v>
      </c>
      <c r="E347" s="12">
        <v>0.22389999999999999</v>
      </c>
      <c r="F347" s="12">
        <v>6</v>
      </c>
      <c r="G347" s="12">
        <v>51</v>
      </c>
      <c r="H347" s="12">
        <v>57</v>
      </c>
      <c r="I347" s="22">
        <f t="shared" si="65"/>
        <v>50.804800000000057</v>
      </c>
      <c r="J347" s="23">
        <f t="shared" si="66"/>
        <v>0.19171622641509456</v>
      </c>
      <c r="K347" s="24">
        <f t="shared" si="67"/>
        <v>265</v>
      </c>
      <c r="L347" s="25">
        <f t="shared" si="68"/>
        <v>153.5900000000002</v>
      </c>
      <c r="M347" s="26">
        <f t="shared" si="69"/>
        <v>0.57958490566037812</v>
      </c>
      <c r="N347" s="27">
        <f t="shared" si="70"/>
        <v>265</v>
      </c>
      <c r="O347" s="28">
        <f t="shared" si="71"/>
        <v>15010</v>
      </c>
      <c r="P347" s="29">
        <f t="shared" si="72"/>
        <v>56.641509433962263</v>
      </c>
      <c r="Q347" s="30">
        <f t="shared" si="73"/>
        <v>265</v>
      </c>
      <c r="R347" s="11" t="str">
        <f t="shared" si="74"/>
        <v>3</v>
      </c>
      <c r="S347" s="10" t="str">
        <f t="shared" si="75"/>
        <v>6</v>
      </c>
      <c r="T347" s="9">
        <f t="shared" si="76"/>
        <v>3</v>
      </c>
      <c r="U347" t="str">
        <f t="shared" si="77"/>
        <v>Mismatch</v>
      </c>
    </row>
    <row r="348" spans="1:21" x14ac:dyDescent="0.2">
      <c r="A348" s="12">
        <v>346</v>
      </c>
      <c r="B348" s="12">
        <v>347</v>
      </c>
      <c r="C348" s="12">
        <v>0.31819999999999998</v>
      </c>
      <c r="D348" s="12">
        <v>0.42</v>
      </c>
      <c r="E348" s="12">
        <v>0.1045</v>
      </c>
      <c r="F348" s="12">
        <v>0</v>
      </c>
      <c r="G348" s="12">
        <v>26</v>
      </c>
      <c r="H348" s="12">
        <v>26</v>
      </c>
      <c r="I348" s="22">
        <f t="shared" si="65"/>
        <v>50.501800000000053</v>
      </c>
      <c r="J348" s="23">
        <f t="shared" si="66"/>
        <v>0.19129469696969717</v>
      </c>
      <c r="K348" s="24">
        <f t="shared" si="67"/>
        <v>264</v>
      </c>
      <c r="L348" s="25">
        <f t="shared" si="68"/>
        <v>153.20000000000019</v>
      </c>
      <c r="M348" s="26">
        <f t="shared" si="69"/>
        <v>0.58030303030303099</v>
      </c>
      <c r="N348" s="27">
        <f t="shared" si="70"/>
        <v>264</v>
      </c>
      <c r="O348" s="28">
        <f t="shared" si="71"/>
        <v>14953</v>
      </c>
      <c r="P348" s="29">
        <f t="shared" si="72"/>
        <v>56.640151515151516</v>
      </c>
      <c r="Q348" s="30">
        <f t="shared" si="73"/>
        <v>264</v>
      </c>
      <c r="R348" s="11" t="str">
        <f t="shared" si="74"/>
        <v>3</v>
      </c>
      <c r="S348" s="10" t="str">
        <f t="shared" si="75"/>
        <v>7</v>
      </c>
      <c r="T348" s="9">
        <f t="shared" si="76"/>
        <v>3</v>
      </c>
      <c r="U348" t="str">
        <f t="shared" si="77"/>
        <v>Mismatch</v>
      </c>
    </row>
    <row r="349" spans="1:21" x14ac:dyDescent="0.2">
      <c r="A349" s="12">
        <v>347</v>
      </c>
      <c r="B349" s="12">
        <v>348</v>
      </c>
      <c r="C349" s="12">
        <v>0.28789999999999999</v>
      </c>
      <c r="D349" s="12">
        <v>0.45</v>
      </c>
      <c r="E349" s="12">
        <v>0.28360000000000002</v>
      </c>
      <c r="F349" s="12">
        <v>5</v>
      </c>
      <c r="G349" s="12">
        <v>39</v>
      </c>
      <c r="H349" s="12">
        <v>44</v>
      </c>
      <c r="I349" s="22">
        <f t="shared" si="65"/>
        <v>50.183600000000055</v>
      </c>
      <c r="J349" s="23">
        <f t="shared" si="66"/>
        <v>0.19081216730038045</v>
      </c>
      <c r="K349" s="24">
        <f t="shared" si="67"/>
        <v>263</v>
      </c>
      <c r="L349" s="25">
        <f t="shared" si="68"/>
        <v>152.7800000000002</v>
      </c>
      <c r="M349" s="26">
        <f t="shared" si="69"/>
        <v>0.58091254752851784</v>
      </c>
      <c r="N349" s="27">
        <f t="shared" si="70"/>
        <v>263</v>
      </c>
      <c r="O349" s="28">
        <f t="shared" si="71"/>
        <v>14927</v>
      </c>
      <c r="P349" s="29">
        <f t="shared" si="72"/>
        <v>56.756653992395435</v>
      </c>
      <c r="Q349" s="30">
        <f t="shared" si="73"/>
        <v>263</v>
      </c>
      <c r="R349" s="11" t="str">
        <f t="shared" si="74"/>
        <v>3</v>
      </c>
      <c r="S349" s="10" t="str">
        <f t="shared" si="75"/>
        <v>8</v>
      </c>
      <c r="T349" s="9">
        <f t="shared" si="76"/>
        <v>3</v>
      </c>
      <c r="U349" t="str">
        <f t="shared" si="77"/>
        <v>Mismatch</v>
      </c>
    </row>
    <row r="350" spans="1:21" x14ac:dyDescent="0.2">
      <c r="A350" s="12">
        <v>348</v>
      </c>
      <c r="B350" s="12">
        <v>349</v>
      </c>
      <c r="C350" s="12">
        <v>0.30299999999999999</v>
      </c>
      <c r="D350" s="12">
        <v>0.56000000000000005</v>
      </c>
      <c r="E350" s="12">
        <v>0</v>
      </c>
      <c r="F350" s="12">
        <v>6</v>
      </c>
      <c r="G350" s="12">
        <v>33</v>
      </c>
      <c r="H350" s="12">
        <v>39</v>
      </c>
      <c r="I350" s="22">
        <f t="shared" si="65"/>
        <v>49.895700000000062</v>
      </c>
      <c r="J350" s="23">
        <f t="shared" si="66"/>
        <v>0.19044160305343535</v>
      </c>
      <c r="K350" s="24">
        <f t="shared" si="67"/>
        <v>262</v>
      </c>
      <c r="L350" s="25">
        <f t="shared" si="68"/>
        <v>152.33000000000021</v>
      </c>
      <c r="M350" s="26">
        <f t="shared" si="69"/>
        <v>0.58141221374045882</v>
      </c>
      <c r="N350" s="27">
        <f t="shared" si="70"/>
        <v>262</v>
      </c>
      <c r="O350" s="28">
        <f t="shared" si="71"/>
        <v>14883</v>
      </c>
      <c r="P350" s="29">
        <f t="shared" si="72"/>
        <v>56.805343511450381</v>
      </c>
      <c r="Q350" s="30">
        <f t="shared" si="73"/>
        <v>262</v>
      </c>
      <c r="R350" s="11" t="str">
        <f t="shared" si="74"/>
        <v>3</v>
      </c>
      <c r="S350" s="10" t="str">
        <f t="shared" si="75"/>
        <v>9</v>
      </c>
      <c r="T350" s="9">
        <f t="shared" si="76"/>
        <v>3</v>
      </c>
      <c r="U350" t="str">
        <f t="shared" si="77"/>
        <v>Mismatch</v>
      </c>
    </row>
    <row r="351" spans="1:21" x14ac:dyDescent="0.2">
      <c r="A351" s="12">
        <v>349</v>
      </c>
      <c r="B351" s="12">
        <v>350</v>
      </c>
      <c r="C351" s="12">
        <v>0.2727</v>
      </c>
      <c r="D351" s="12">
        <v>0.56000000000000005</v>
      </c>
      <c r="E351" s="12">
        <v>0.1343</v>
      </c>
      <c r="F351" s="12">
        <v>4</v>
      </c>
      <c r="G351" s="12">
        <v>19</v>
      </c>
      <c r="H351" s="12">
        <v>23</v>
      </c>
      <c r="I351" s="22">
        <f t="shared" si="65"/>
        <v>49.592700000000065</v>
      </c>
      <c r="J351" s="23">
        <f t="shared" si="66"/>
        <v>0.19001034482758644</v>
      </c>
      <c r="K351" s="24">
        <f t="shared" si="67"/>
        <v>261</v>
      </c>
      <c r="L351" s="25">
        <f t="shared" si="68"/>
        <v>151.77000000000021</v>
      </c>
      <c r="M351" s="26">
        <f t="shared" si="69"/>
        <v>0.58149425287356404</v>
      </c>
      <c r="N351" s="27">
        <f t="shared" si="70"/>
        <v>261</v>
      </c>
      <c r="O351" s="28">
        <f t="shared" si="71"/>
        <v>14844</v>
      </c>
      <c r="P351" s="29">
        <f t="shared" si="72"/>
        <v>56.873563218390807</v>
      </c>
      <c r="Q351" s="30">
        <f t="shared" si="73"/>
        <v>261</v>
      </c>
      <c r="R351" s="11" t="str">
        <f t="shared" si="74"/>
        <v>3</v>
      </c>
      <c r="S351" s="10" t="str">
        <f t="shared" si="75"/>
        <v>0</v>
      </c>
      <c r="T351" s="9">
        <f t="shared" si="76"/>
        <v>3</v>
      </c>
      <c r="U351" t="str">
        <f t="shared" si="77"/>
        <v>Mismatch</v>
      </c>
    </row>
    <row r="352" spans="1:21" x14ac:dyDescent="0.2">
      <c r="A352" s="12">
        <v>350</v>
      </c>
      <c r="B352" s="12">
        <v>351</v>
      </c>
      <c r="C352" s="12">
        <v>0.28789999999999999</v>
      </c>
      <c r="D352" s="12">
        <v>0.56000000000000005</v>
      </c>
      <c r="E352" s="12">
        <v>8.9599999999999999E-2</v>
      </c>
      <c r="F352" s="12">
        <v>3</v>
      </c>
      <c r="G352" s="12">
        <v>13</v>
      </c>
      <c r="H352" s="12">
        <v>16</v>
      </c>
      <c r="I352" s="22">
        <f t="shared" si="65"/>
        <v>49.320000000000064</v>
      </c>
      <c r="J352" s="23">
        <f t="shared" si="66"/>
        <v>0.18969230769230794</v>
      </c>
      <c r="K352" s="24">
        <f t="shared" si="67"/>
        <v>260</v>
      </c>
      <c r="L352" s="25">
        <f t="shared" si="68"/>
        <v>151.21000000000021</v>
      </c>
      <c r="M352" s="26">
        <f t="shared" si="69"/>
        <v>0.58157692307692388</v>
      </c>
      <c r="N352" s="27">
        <f t="shared" si="70"/>
        <v>260</v>
      </c>
      <c r="O352" s="28">
        <f t="shared" si="71"/>
        <v>14821</v>
      </c>
      <c r="P352" s="29">
        <f t="shared" si="72"/>
        <v>57.003846153846155</v>
      </c>
      <c r="Q352" s="30">
        <f t="shared" si="73"/>
        <v>260</v>
      </c>
      <c r="R352" s="11" t="str">
        <f t="shared" si="74"/>
        <v>3</v>
      </c>
      <c r="S352" s="10" t="str">
        <f t="shared" si="75"/>
        <v>1</v>
      </c>
      <c r="T352" s="9">
        <f t="shared" si="76"/>
        <v>3</v>
      </c>
      <c r="U352" t="str">
        <f t="shared" si="77"/>
        <v>Mismatch</v>
      </c>
    </row>
    <row r="353" spans="1:21" x14ac:dyDescent="0.2">
      <c r="A353" s="12">
        <v>351</v>
      </c>
      <c r="B353" s="12">
        <v>352</v>
      </c>
      <c r="C353" s="12">
        <v>0.2727</v>
      </c>
      <c r="D353" s="12">
        <v>0.69</v>
      </c>
      <c r="E353" s="12">
        <v>0</v>
      </c>
      <c r="F353" s="12">
        <v>9</v>
      </c>
      <c r="G353" s="12">
        <v>6</v>
      </c>
      <c r="H353" s="12">
        <v>15</v>
      </c>
      <c r="I353" s="22">
        <f t="shared" si="65"/>
        <v>49.032100000000064</v>
      </c>
      <c r="J353" s="23">
        <f t="shared" si="66"/>
        <v>0.18931312741312767</v>
      </c>
      <c r="K353" s="24">
        <f t="shared" si="67"/>
        <v>259</v>
      </c>
      <c r="L353" s="25">
        <f t="shared" si="68"/>
        <v>150.6500000000002</v>
      </c>
      <c r="M353" s="26">
        <f t="shared" si="69"/>
        <v>0.5816602316602324</v>
      </c>
      <c r="N353" s="27">
        <f t="shared" si="70"/>
        <v>259</v>
      </c>
      <c r="O353" s="28">
        <f t="shared" si="71"/>
        <v>14805</v>
      </c>
      <c r="P353" s="29">
        <f t="shared" si="72"/>
        <v>57.162162162162161</v>
      </c>
      <c r="Q353" s="30">
        <f t="shared" si="73"/>
        <v>259</v>
      </c>
      <c r="R353" s="11" t="str">
        <f t="shared" si="74"/>
        <v>3</v>
      </c>
      <c r="S353" s="10" t="str">
        <f t="shared" si="75"/>
        <v>2</v>
      </c>
      <c r="T353" s="9">
        <f t="shared" si="76"/>
        <v>3</v>
      </c>
      <c r="U353" t="str">
        <f t="shared" si="77"/>
        <v>Mismatch</v>
      </c>
    </row>
    <row r="354" spans="1:21" x14ac:dyDescent="0.2">
      <c r="A354" s="12">
        <v>352</v>
      </c>
      <c r="B354" s="12">
        <v>353</v>
      </c>
      <c r="C354" s="12">
        <v>0.2576</v>
      </c>
      <c r="D354" s="12">
        <v>0.56000000000000005</v>
      </c>
      <c r="E354" s="12">
        <v>0.16420000000000001</v>
      </c>
      <c r="F354" s="12">
        <v>0</v>
      </c>
      <c r="G354" s="12">
        <v>1</v>
      </c>
      <c r="H354" s="12">
        <v>1</v>
      </c>
      <c r="I354" s="22">
        <f t="shared" si="65"/>
        <v>48.759400000000063</v>
      </c>
      <c r="J354" s="23">
        <f t="shared" si="66"/>
        <v>0.18898992248062041</v>
      </c>
      <c r="K354" s="24">
        <f t="shared" si="67"/>
        <v>258</v>
      </c>
      <c r="L354" s="25">
        <f t="shared" si="68"/>
        <v>149.96000000000021</v>
      </c>
      <c r="M354" s="26">
        <f t="shared" si="69"/>
        <v>0.58124031007752019</v>
      </c>
      <c r="N354" s="27">
        <f t="shared" si="70"/>
        <v>258</v>
      </c>
      <c r="O354" s="28">
        <f t="shared" si="71"/>
        <v>14790</v>
      </c>
      <c r="P354" s="29">
        <f t="shared" si="72"/>
        <v>57.325581395348834</v>
      </c>
      <c r="Q354" s="30">
        <f t="shared" si="73"/>
        <v>258</v>
      </c>
      <c r="R354" s="11" t="str">
        <f t="shared" si="74"/>
        <v>3</v>
      </c>
      <c r="S354" s="10" t="str">
        <f t="shared" si="75"/>
        <v>3</v>
      </c>
      <c r="T354" s="9">
        <f t="shared" si="76"/>
        <v>3</v>
      </c>
      <c r="U354" t="str">
        <f t="shared" si="77"/>
        <v>Match</v>
      </c>
    </row>
    <row r="355" spans="1:21" x14ac:dyDescent="0.2">
      <c r="A355" s="12">
        <v>353</v>
      </c>
      <c r="B355" s="12">
        <v>354</v>
      </c>
      <c r="C355" s="12">
        <v>0.2576</v>
      </c>
      <c r="D355" s="12">
        <v>0.56000000000000005</v>
      </c>
      <c r="E355" s="12">
        <v>0.16420000000000001</v>
      </c>
      <c r="F355" s="12">
        <v>1</v>
      </c>
      <c r="G355" s="12">
        <v>1</v>
      </c>
      <c r="H355" s="12">
        <v>2</v>
      </c>
      <c r="I355" s="22">
        <f t="shared" si="65"/>
        <v>48.501800000000074</v>
      </c>
      <c r="J355" s="23">
        <f t="shared" si="66"/>
        <v>0.18872295719844387</v>
      </c>
      <c r="K355" s="24">
        <f t="shared" si="67"/>
        <v>257</v>
      </c>
      <c r="L355" s="25">
        <f t="shared" si="68"/>
        <v>149.4000000000002</v>
      </c>
      <c r="M355" s="26">
        <f t="shared" si="69"/>
        <v>0.5813229571984444</v>
      </c>
      <c r="N355" s="27">
        <f t="shared" si="70"/>
        <v>257</v>
      </c>
      <c r="O355" s="28">
        <f t="shared" si="71"/>
        <v>14789</v>
      </c>
      <c r="P355" s="29">
        <f t="shared" si="72"/>
        <v>57.54474708171206</v>
      </c>
      <c r="Q355" s="30">
        <f t="shared" si="73"/>
        <v>257</v>
      </c>
      <c r="R355" s="11" t="str">
        <f t="shared" si="74"/>
        <v>3</v>
      </c>
      <c r="S355" s="10" t="str">
        <f t="shared" si="75"/>
        <v>4</v>
      </c>
      <c r="T355" s="9">
        <f t="shared" si="76"/>
        <v>3</v>
      </c>
      <c r="U355" t="str">
        <f t="shared" si="77"/>
        <v>Mismatch</v>
      </c>
    </row>
    <row r="356" spans="1:21" x14ac:dyDescent="0.2">
      <c r="A356" s="12">
        <v>354</v>
      </c>
      <c r="B356" s="12">
        <v>355</v>
      </c>
      <c r="C356" s="12">
        <v>0.2576</v>
      </c>
      <c r="D356" s="12">
        <v>0.56000000000000005</v>
      </c>
      <c r="E356" s="12">
        <v>0.16420000000000001</v>
      </c>
      <c r="F356" s="12">
        <v>0</v>
      </c>
      <c r="G356" s="12">
        <v>1</v>
      </c>
      <c r="H356" s="12">
        <v>1</v>
      </c>
      <c r="I356" s="22">
        <f t="shared" si="65"/>
        <v>48.244200000000077</v>
      </c>
      <c r="J356" s="23">
        <f t="shared" si="66"/>
        <v>0.1884539062500003</v>
      </c>
      <c r="K356" s="24">
        <f t="shared" si="67"/>
        <v>256</v>
      </c>
      <c r="L356" s="25">
        <f t="shared" si="68"/>
        <v>148.8400000000002</v>
      </c>
      <c r="M356" s="26">
        <f t="shared" si="69"/>
        <v>0.58140625000000079</v>
      </c>
      <c r="N356" s="27">
        <f t="shared" si="70"/>
        <v>256</v>
      </c>
      <c r="O356" s="28">
        <f t="shared" si="71"/>
        <v>14787</v>
      </c>
      <c r="P356" s="29">
        <f t="shared" si="72"/>
        <v>57.76171875</v>
      </c>
      <c r="Q356" s="30">
        <f t="shared" si="73"/>
        <v>256</v>
      </c>
      <c r="R356" s="11" t="str">
        <f t="shared" si="74"/>
        <v>3</v>
      </c>
      <c r="S356" s="10" t="str">
        <f t="shared" si="75"/>
        <v>5</v>
      </c>
      <c r="T356" s="9">
        <f t="shared" si="76"/>
        <v>3</v>
      </c>
      <c r="U356" t="str">
        <f t="shared" si="77"/>
        <v>Mismatch</v>
      </c>
    </row>
    <row r="357" spans="1:21" x14ac:dyDescent="0.2">
      <c r="A357" s="12">
        <v>355</v>
      </c>
      <c r="B357" s="12">
        <v>356</v>
      </c>
      <c r="C357" s="12">
        <v>0.21210000000000001</v>
      </c>
      <c r="D357" s="12">
        <v>0.56000000000000005</v>
      </c>
      <c r="E357" s="12">
        <v>0.29849999999999999</v>
      </c>
      <c r="F357" s="12">
        <v>0</v>
      </c>
      <c r="G357" s="12">
        <v>3</v>
      </c>
      <c r="H357" s="12">
        <v>3</v>
      </c>
      <c r="I357" s="22">
        <f t="shared" si="65"/>
        <v>47.986600000000074</v>
      </c>
      <c r="J357" s="23">
        <f t="shared" si="66"/>
        <v>0.18818274509803951</v>
      </c>
      <c r="K357" s="24">
        <f t="shared" si="67"/>
        <v>255</v>
      </c>
      <c r="L357" s="25">
        <f t="shared" si="68"/>
        <v>148.2800000000002</v>
      </c>
      <c r="M357" s="26">
        <f t="shared" si="69"/>
        <v>0.58149019607843211</v>
      </c>
      <c r="N357" s="27">
        <f t="shared" si="70"/>
        <v>255</v>
      </c>
      <c r="O357" s="28">
        <f t="shared" si="71"/>
        <v>14786</v>
      </c>
      <c r="P357" s="29">
        <f t="shared" si="72"/>
        <v>57.984313725490196</v>
      </c>
      <c r="Q357" s="30">
        <f t="shared" si="73"/>
        <v>255</v>
      </c>
      <c r="R357" s="11" t="str">
        <f t="shared" si="74"/>
        <v>3</v>
      </c>
      <c r="S357" s="10" t="str">
        <f t="shared" si="75"/>
        <v>6</v>
      </c>
      <c r="T357" s="9">
        <f t="shared" si="76"/>
        <v>3</v>
      </c>
      <c r="U357" t="str">
        <f t="shared" si="77"/>
        <v>Mismatch</v>
      </c>
    </row>
    <row r="358" spans="1:21" x14ac:dyDescent="0.2">
      <c r="A358" s="12">
        <v>356</v>
      </c>
      <c r="B358" s="12">
        <v>357</v>
      </c>
      <c r="C358" s="12">
        <v>0.21210000000000001</v>
      </c>
      <c r="D358" s="12">
        <v>0.55000000000000004</v>
      </c>
      <c r="E358" s="12">
        <v>0.28360000000000002</v>
      </c>
      <c r="F358" s="12">
        <v>0</v>
      </c>
      <c r="G358" s="12">
        <v>18</v>
      </c>
      <c r="H358" s="12">
        <v>18</v>
      </c>
      <c r="I358" s="22">
        <f t="shared" si="65"/>
        <v>47.774500000000074</v>
      </c>
      <c r="J358" s="23">
        <f t="shared" si="66"/>
        <v>0.18808858267716563</v>
      </c>
      <c r="K358" s="24">
        <f t="shared" si="67"/>
        <v>254</v>
      </c>
      <c r="L358" s="25">
        <f t="shared" si="68"/>
        <v>147.7200000000002</v>
      </c>
      <c r="M358" s="26">
        <f t="shared" si="69"/>
        <v>0.58157480314960708</v>
      </c>
      <c r="N358" s="27">
        <f t="shared" si="70"/>
        <v>254</v>
      </c>
      <c r="O358" s="28">
        <f t="shared" si="71"/>
        <v>14783</v>
      </c>
      <c r="P358" s="29">
        <f t="shared" si="72"/>
        <v>58.2007874015748</v>
      </c>
      <c r="Q358" s="30">
        <f t="shared" si="73"/>
        <v>254</v>
      </c>
      <c r="R358" s="11" t="str">
        <f t="shared" si="74"/>
        <v>3</v>
      </c>
      <c r="S358" s="10" t="str">
        <f t="shared" si="75"/>
        <v>7</v>
      </c>
      <c r="T358" s="9">
        <f t="shared" si="76"/>
        <v>3</v>
      </c>
      <c r="U358" t="str">
        <f t="shared" si="77"/>
        <v>Mismatch</v>
      </c>
    </row>
    <row r="359" spans="1:21" x14ac:dyDescent="0.2">
      <c r="A359" s="12">
        <v>357</v>
      </c>
      <c r="B359" s="12">
        <v>358</v>
      </c>
      <c r="C359" s="12">
        <v>0.21210000000000001</v>
      </c>
      <c r="D359" s="12">
        <v>0.51</v>
      </c>
      <c r="E359" s="12">
        <v>0.25369999999999998</v>
      </c>
      <c r="F359" s="12">
        <v>3</v>
      </c>
      <c r="G359" s="12">
        <v>29</v>
      </c>
      <c r="H359" s="12">
        <v>32</v>
      </c>
      <c r="I359" s="22">
        <f t="shared" si="65"/>
        <v>47.562400000000075</v>
      </c>
      <c r="J359" s="23">
        <f t="shared" si="66"/>
        <v>0.18799367588932836</v>
      </c>
      <c r="K359" s="24">
        <f t="shared" si="67"/>
        <v>253</v>
      </c>
      <c r="L359" s="25">
        <f t="shared" si="68"/>
        <v>147.17000000000019</v>
      </c>
      <c r="M359" s="26">
        <f t="shared" si="69"/>
        <v>0.58169960474308369</v>
      </c>
      <c r="N359" s="27">
        <f t="shared" si="70"/>
        <v>253</v>
      </c>
      <c r="O359" s="28">
        <f t="shared" si="71"/>
        <v>14765</v>
      </c>
      <c r="P359" s="29">
        <f t="shared" si="72"/>
        <v>58.359683794466406</v>
      </c>
      <c r="Q359" s="30">
        <f t="shared" si="73"/>
        <v>253</v>
      </c>
      <c r="R359" s="11" t="str">
        <f t="shared" si="74"/>
        <v>3</v>
      </c>
      <c r="S359" s="10" t="str">
        <f t="shared" si="75"/>
        <v>8</v>
      </c>
      <c r="T359" s="9">
        <f t="shared" si="76"/>
        <v>3</v>
      </c>
      <c r="U359" t="str">
        <f t="shared" si="77"/>
        <v>Mismatch</v>
      </c>
    </row>
    <row r="360" spans="1:21" x14ac:dyDescent="0.2">
      <c r="A360" s="12">
        <v>358</v>
      </c>
      <c r="B360" s="12">
        <v>359</v>
      </c>
      <c r="C360" s="12">
        <v>0.21210000000000001</v>
      </c>
      <c r="D360" s="12">
        <v>0.51</v>
      </c>
      <c r="E360" s="12">
        <v>0.28360000000000002</v>
      </c>
      <c r="F360" s="12">
        <v>8</v>
      </c>
      <c r="G360" s="12">
        <v>71</v>
      </c>
      <c r="H360" s="12">
        <v>79</v>
      </c>
      <c r="I360" s="22">
        <f t="shared" si="65"/>
        <v>47.350300000000068</v>
      </c>
      <c r="J360" s="23">
        <f t="shared" si="66"/>
        <v>0.18789801587301613</v>
      </c>
      <c r="K360" s="24">
        <f t="shared" si="67"/>
        <v>252</v>
      </c>
      <c r="L360" s="25">
        <f t="shared" si="68"/>
        <v>146.6600000000002</v>
      </c>
      <c r="M360" s="26">
        <f t="shared" si="69"/>
        <v>0.58198412698412771</v>
      </c>
      <c r="N360" s="27">
        <f t="shared" si="70"/>
        <v>252</v>
      </c>
      <c r="O360" s="28">
        <f t="shared" si="71"/>
        <v>14733</v>
      </c>
      <c r="P360" s="29">
        <f t="shared" si="72"/>
        <v>58.464285714285715</v>
      </c>
      <c r="Q360" s="30">
        <f t="shared" si="73"/>
        <v>252</v>
      </c>
      <c r="R360" s="11" t="str">
        <f t="shared" si="74"/>
        <v>3</v>
      </c>
      <c r="S360" s="10" t="str">
        <f t="shared" si="75"/>
        <v>9</v>
      </c>
      <c r="T360" s="9">
        <f t="shared" si="76"/>
        <v>3</v>
      </c>
      <c r="U360" t="str">
        <f t="shared" si="77"/>
        <v>Mismatch</v>
      </c>
    </row>
    <row r="361" spans="1:21" x14ac:dyDescent="0.2">
      <c r="A361" s="12">
        <v>359</v>
      </c>
      <c r="B361" s="12">
        <v>360</v>
      </c>
      <c r="C361" s="12">
        <v>0.2273</v>
      </c>
      <c r="D361" s="12">
        <v>0.44</v>
      </c>
      <c r="E361" s="12">
        <v>0.25369999999999998</v>
      </c>
      <c r="F361" s="12">
        <v>23</v>
      </c>
      <c r="G361" s="12">
        <v>70</v>
      </c>
      <c r="H361" s="12">
        <v>93</v>
      </c>
      <c r="I361" s="22">
        <f t="shared" si="65"/>
        <v>47.138200000000069</v>
      </c>
      <c r="J361" s="23">
        <f t="shared" si="66"/>
        <v>0.18780159362549828</v>
      </c>
      <c r="K361" s="24">
        <f t="shared" si="67"/>
        <v>251</v>
      </c>
      <c r="L361" s="25">
        <f t="shared" si="68"/>
        <v>146.1500000000002</v>
      </c>
      <c r="M361" s="26">
        <f t="shared" si="69"/>
        <v>0.58227091633466221</v>
      </c>
      <c r="N361" s="27">
        <f t="shared" si="70"/>
        <v>251</v>
      </c>
      <c r="O361" s="28">
        <f t="shared" si="71"/>
        <v>14654</v>
      </c>
      <c r="P361" s="29">
        <f t="shared" si="72"/>
        <v>58.382470119521912</v>
      </c>
      <c r="Q361" s="30">
        <f t="shared" si="73"/>
        <v>251</v>
      </c>
      <c r="R361" s="11" t="str">
        <f t="shared" si="74"/>
        <v>3</v>
      </c>
      <c r="S361" s="10" t="str">
        <f t="shared" si="75"/>
        <v>0</v>
      </c>
      <c r="T361" s="9">
        <f t="shared" si="76"/>
        <v>3</v>
      </c>
      <c r="U361" t="str">
        <f t="shared" si="77"/>
        <v>Mismatch</v>
      </c>
    </row>
    <row r="362" spans="1:21" x14ac:dyDescent="0.2">
      <c r="A362" s="12">
        <v>360</v>
      </c>
      <c r="B362" s="12">
        <v>361</v>
      </c>
      <c r="C362" s="12">
        <v>0.21210000000000001</v>
      </c>
      <c r="D362" s="12">
        <v>0.41</v>
      </c>
      <c r="E362" s="12">
        <v>0.28360000000000002</v>
      </c>
      <c r="F362" s="12">
        <v>29</v>
      </c>
      <c r="G362" s="12">
        <v>75</v>
      </c>
      <c r="H362" s="12">
        <v>104</v>
      </c>
      <c r="I362" s="22">
        <f t="shared" si="65"/>
        <v>46.910900000000062</v>
      </c>
      <c r="J362" s="23">
        <f t="shared" si="66"/>
        <v>0.18764360000000024</v>
      </c>
      <c r="K362" s="24">
        <f t="shared" si="67"/>
        <v>250</v>
      </c>
      <c r="L362" s="25">
        <f t="shared" si="68"/>
        <v>145.71000000000021</v>
      </c>
      <c r="M362" s="26">
        <f t="shared" si="69"/>
        <v>0.5828400000000008</v>
      </c>
      <c r="N362" s="27">
        <f t="shared" si="70"/>
        <v>250</v>
      </c>
      <c r="O362" s="28">
        <f t="shared" si="71"/>
        <v>14561</v>
      </c>
      <c r="P362" s="29">
        <f t="shared" si="72"/>
        <v>58.244</v>
      </c>
      <c r="Q362" s="30">
        <f t="shared" si="73"/>
        <v>250</v>
      </c>
      <c r="R362" s="11" t="str">
        <f t="shared" si="74"/>
        <v>3</v>
      </c>
      <c r="S362" s="10" t="str">
        <f t="shared" si="75"/>
        <v>1</v>
      </c>
      <c r="T362" s="9">
        <f t="shared" si="76"/>
        <v>3</v>
      </c>
      <c r="U362" t="str">
        <f t="shared" si="77"/>
        <v>Mismatch</v>
      </c>
    </row>
    <row r="363" spans="1:21" x14ac:dyDescent="0.2">
      <c r="A363" s="12">
        <v>361</v>
      </c>
      <c r="B363" s="12">
        <v>362</v>
      </c>
      <c r="C363" s="12">
        <v>0.2273</v>
      </c>
      <c r="D363" s="12">
        <v>0.35</v>
      </c>
      <c r="E363" s="12">
        <v>0.29849999999999999</v>
      </c>
      <c r="F363" s="12">
        <v>23</v>
      </c>
      <c r="G363" s="12">
        <v>95</v>
      </c>
      <c r="H363" s="12">
        <v>118</v>
      </c>
      <c r="I363" s="22">
        <f t="shared" si="65"/>
        <v>46.698800000000062</v>
      </c>
      <c r="J363" s="23">
        <f t="shared" si="66"/>
        <v>0.18754538152610467</v>
      </c>
      <c r="K363" s="24">
        <f t="shared" si="67"/>
        <v>249</v>
      </c>
      <c r="L363" s="25">
        <f t="shared" si="68"/>
        <v>145.30000000000018</v>
      </c>
      <c r="M363" s="26">
        <f t="shared" si="69"/>
        <v>0.58353413654618547</v>
      </c>
      <c r="N363" s="27">
        <f t="shared" si="70"/>
        <v>249</v>
      </c>
      <c r="O363" s="28">
        <f t="shared" si="71"/>
        <v>14457</v>
      </c>
      <c r="P363" s="29">
        <f t="shared" si="72"/>
        <v>58.060240963855421</v>
      </c>
      <c r="Q363" s="30">
        <f t="shared" si="73"/>
        <v>249</v>
      </c>
      <c r="R363" s="11" t="str">
        <f t="shared" si="74"/>
        <v>3</v>
      </c>
      <c r="S363" s="10" t="str">
        <f t="shared" si="75"/>
        <v>2</v>
      </c>
      <c r="T363" s="9">
        <f t="shared" si="76"/>
        <v>3</v>
      </c>
      <c r="U363" t="str">
        <f t="shared" si="77"/>
        <v>Mismatch</v>
      </c>
    </row>
    <row r="364" spans="1:21" x14ac:dyDescent="0.2">
      <c r="A364" s="12">
        <v>362</v>
      </c>
      <c r="B364" s="12">
        <v>363</v>
      </c>
      <c r="C364" s="12">
        <v>0.2727</v>
      </c>
      <c r="D364" s="12">
        <v>0.36</v>
      </c>
      <c r="E364" s="12">
        <v>0.25369999999999998</v>
      </c>
      <c r="F364" s="12">
        <v>22</v>
      </c>
      <c r="G364" s="12">
        <v>69</v>
      </c>
      <c r="H364" s="12">
        <v>91</v>
      </c>
      <c r="I364" s="22">
        <f t="shared" si="65"/>
        <v>46.471500000000056</v>
      </c>
      <c r="J364" s="23">
        <f t="shared" si="66"/>
        <v>0.18738508064516152</v>
      </c>
      <c r="K364" s="24">
        <f t="shared" si="67"/>
        <v>248</v>
      </c>
      <c r="L364" s="25">
        <f t="shared" si="68"/>
        <v>144.95000000000019</v>
      </c>
      <c r="M364" s="26">
        <f t="shared" si="69"/>
        <v>0.58447580645161368</v>
      </c>
      <c r="N364" s="27">
        <f t="shared" si="70"/>
        <v>248</v>
      </c>
      <c r="O364" s="28">
        <f t="shared" si="71"/>
        <v>14339</v>
      </c>
      <c r="P364" s="29">
        <f t="shared" si="72"/>
        <v>57.818548387096776</v>
      </c>
      <c r="Q364" s="30">
        <f t="shared" si="73"/>
        <v>248</v>
      </c>
      <c r="R364" s="11" t="str">
        <f t="shared" si="74"/>
        <v>3</v>
      </c>
      <c r="S364" s="10" t="str">
        <f t="shared" si="75"/>
        <v>3</v>
      </c>
      <c r="T364" s="9">
        <f t="shared" si="76"/>
        <v>3</v>
      </c>
      <c r="U364" t="str">
        <f t="shared" si="77"/>
        <v>Match</v>
      </c>
    </row>
    <row r="365" spans="1:21" x14ac:dyDescent="0.2">
      <c r="A365" s="12">
        <v>363</v>
      </c>
      <c r="B365" s="12">
        <v>364</v>
      </c>
      <c r="C365" s="12">
        <v>0.2424</v>
      </c>
      <c r="D365" s="12">
        <v>0.38</v>
      </c>
      <c r="E365" s="12">
        <v>0.25369999999999998</v>
      </c>
      <c r="F365" s="12">
        <v>35</v>
      </c>
      <c r="G365" s="12">
        <v>78</v>
      </c>
      <c r="H365" s="12">
        <v>113</v>
      </c>
      <c r="I365" s="22">
        <f t="shared" si="65"/>
        <v>46.198800000000055</v>
      </c>
      <c r="J365" s="23">
        <f t="shared" si="66"/>
        <v>0.18703967611336056</v>
      </c>
      <c r="K365" s="24">
        <f t="shared" si="67"/>
        <v>247</v>
      </c>
      <c r="L365" s="25">
        <f t="shared" si="68"/>
        <v>144.59000000000017</v>
      </c>
      <c r="M365" s="26">
        <f t="shared" si="69"/>
        <v>0.58538461538461606</v>
      </c>
      <c r="N365" s="27">
        <f t="shared" si="70"/>
        <v>247</v>
      </c>
      <c r="O365" s="28">
        <f t="shared" si="71"/>
        <v>14248</v>
      </c>
      <c r="P365" s="29">
        <f t="shared" si="72"/>
        <v>57.684210526315788</v>
      </c>
      <c r="Q365" s="30">
        <f t="shared" si="73"/>
        <v>247</v>
      </c>
      <c r="R365" s="11" t="str">
        <f t="shared" si="74"/>
        <v>3</v>
      </c>
      <c r="S365" s="10" t="str">
        <f t="shared" si="75"/>
        <v>4</v>
      </c>
      <c r="T365" s="9">
        <f t="shared" si="76"/>
        <v>3</v>
      </c>
      <c r="U365" t="str">
        <f t="shared" si="77"/>
        <v>Mismatch</v>
      </c>
    </row>
    <row r="366" spans="1:21" x14ac:dyDescent="0.2">
      <c r="A366" s="12">
        <v>364</v>
      </c>
      <c r="B366" s="12">
        <v>365</v>
      </c>
      <c r="C366" s="12">
        <v>0.2273</v>
      </c>
      <c r="D366" s="12">
        <v>0.38</v>
      </c>
      <c r="E366" s="12">
        <v>0.22389999999999999</v>
      </c>
      <c r="F366" s="12">
        <v>22</v>
      </c>
      <c r="G366" s="12">
        <v>77</v>
      </c>
      <c r="H366" s="12">
        <v>99</v>
      </c>
      <c r="I366" s="22">
        <f t="shared" si="65"/>
        <v>45.956400000000052</v>
      </c>
      <c r="J366" s="23">
        <f t="shared" si="66"/>
        <v>0.18681463414634167</v>
      </c>
      <c r="K366" s="24">
        <f t="shared" si="67"/>
        <v>246</v>
      </c>
      <c r="L366" s="25">
        <f t="shared" si="68"/>
        <v>144.21000000000018</v>
      </c>
      <c r="M366" s="26">
        <f t="shared" si="69"/>
        <v>0.58621951219512269</v>
      </c>
      <c r="N366" s="27">
        <f t="shared" si="70"/>
        <v>246</v>
      </c>
      <c r="O366" s="28">
        <f t="shared" si="71"/>
        <v>14135</v>
      </c>
      <c r="P366" s="29">
        <f t="shared" si="72"/>
        <v>57.459349593495936</v>
      </c>
      <c r="Q366" s="30">
        <f t="shared" si="73"/>
        <v>246</v>
      </c>
      <c r="R366" s="11" t="str">
        <f t="shared" si="74"/>
        <v>3</v>
      </c>
      <c r="S366" s="10" t="str">
        <f t="shared" si="75"/>
        <v>5</v>
      </c>
      <c r="T366" s="9">
        <f t="shared" si="76"/>
        <v>3</v>
      </c>
      <c r="U366" t="str">
        <f t="shared" si="77"/>
        <v>Mismatch</v>
      </c>
    </row>
    <row r="367" spans="1:21" x14ac:dyDescent="0.2">
      <c r="A367" s="12">
        <v>365</v>
      </c>
      <c r="B367" s="12">
        <v>366</v>
      </c>
      <c r="C367" s="12">
        <v>0.21210000000000001</v>
      </c>
      <c r="D367" s="12">
        <v>0.37</v>
      </c>
      <c r="E367" s="12">
        <v>0.25369999999999998</v>
      </c>
      <c r="F367" s="12">
        <v>23</v>
      </c>
      <c r="G367" s="12">
        <v>82</v>
      </c>
      <c r="H367" s="12">
        <v>105</v>
      </c>
      <c r="I367" s="22">
        <f t="shared" si="65"/>
        <v>45.729100000000045</v>
      </c>
      <c r="J367" s="23">
        <f t="shared" si="66"/>
        <v>0.18664938775510223</v>
      </c>
      <c r="K367" s="24">
        <f t="shared" si="67"/>
        <v>245</v>
      </c>
      <c r="L367" s="25">
        <f t="shared" si="68"/>
        <v>143.83000000000018</v>
      </c>
      <c r="M367" s="26">
        <f t="shared" si="69"/>
        <v>0.5870612244897967</v>
      </c>
      <c r="N367" s="27">
        <f t="shared" si="70"/>
        <v>245</v>
      </c>
      <c r="O367" s="28">
        <f t="shared" si="71"/>
        <v>14036</v>
      </c>
      <c r="P367" s="29">
        <f t="shared" si="72"/>
        <v>57.289795918367346</v>
      </c>
      <c r="Q367" s="30">
        <f t="shared" si="73"/>
        <v>245</v>
      </c>
      <c r="R367" s="11" t="str">
        <f t="shared" si="74"/>
        <v>3</v>
      </c>
      <c r="S367" s="10" t="str">
        <f t="shared" si="75"/>
        <v>6</v>
      </c>
      <c r="T367" s="9">
        <f t="shared" si="76"/>
        <v>3</v>
      </c>
      <c r="U367" t="str">
        <f t="shared" si="77"/>
        <v>Mismatch</v>
      </c>
    </row>
    <row r="368" spans="1:21" x14ac:dyDescent="0.2">
      <c r="A368" s="12">
        <v>366</v>
      </c>
      <c r="B368" s="12">
        <v>367</v>
      </c>
      <c r="C368" s="12">
        <v>0.21210000000000001</v>
      </c>
      <c r="D368" s="12">
        <v>0.4</v>
      </c>
      <c r="E368" s="12">
        <v>0.16420000000000001</v>
      </c>
      <c r="F368" s="12">
        <v>11</v>
      </c>
      <c r="G368" s="12">
        <v>56</v>
      </c>
      <c r="H368" s="12">
        <v>67</v>
      </c>
      <c r="I368" s="22">
        <f t="shared" si="65"/>
        <v>45.517000000000046</v>
      </c>
      <c r="J368" s="23">
        <f t="shared" si="66"/>
        <v>0.18654508196721331</v>
      </c>
      <c r="K368" s="24">
        <f t="shared" si="67"/>
        <v>244</v>
      </c>
      <c r="L368" s="25">
        <f t="shared" si="68"/>
        <v>143.46000000000018</v>
      </c>
      <c r="M368" s="26">
        <f t="shared" si="69"/>
        <v>0.58795081967213192</v>
      </c>
      <c r="N368" s="27">
        <f t="shared" si="70"/>
        <v>244</v>
      </c>
      <c r="O368" s="28">
        <f t="shared" si="71"/>
        <v>13931</v>
      </c>
      <c r="P368" s="29">
        <f t="shared" si="72"/>
        <v>57.094262295081968</v>
      </c>
      <c r="Q368" s="30">
        <f t="shared" si="73"/>
        <v>244</v>
      </c>
      <c r="R368" s="11" t="str">
        <f t="shared" si="74"/>
        <v>3</v>
      </c>
      <c r="S368" s="10" t="str">
        <f t="shared" si="75"/>
        <v>7</v>
      </c>
      <c r="T368" s="9">
        <f t="shared" si="76"/>
        <v>3</v>
      </c>
      <c r="U368" t="str">
        <f t="shared" si="77"/>
        <v>Mismatch</v>
      </c>
    </row>
    <row r="369" spans="1:21" x14ac:dyDescent="0.2">
      <c r="A369" s="12">
        <v>367</v>
      </c>
      <c r="B369" s="12">
        <v>368</v>
      </c>
      <c r="C369" s="12">
        <v>0.19700000000000001</v>
      </c>
      <c r="D369" s="12">
        <v>0.47</v>
      </c>
      <c r="E369" s="12">
        <v>0.1343</v>
      </c>
      <c r="F369" s="12">
        <v>14</v>
      </c>
      <c r="G369" s="12">
        <v>47</v>
      </c>
      <c r="H369" s="12">
        <v>61</v>
      </c>
      <c r="I369" s="22">
        <f t="shared" si="65"/>
        <v>45.304900000000046</v>
      </c>
      <c r="J369" s="23">
        <f t="shared" si="66"/>
        <v>0.18643991769547344</v>
      </c>
      <c r="K369" s="24">
        <f t="shared" si="67"/>
        <v>243</v>
      </c>
      <c r="L369" s="25">
        <f t="shared" si="68"/>
        <v>143.06000000000017</v>
      </c>
      <c r="M369" s="26">
        <f t="shared" si="69"/>
        <v>0.58872427983539166</v>
      </c>
      <c r="N369" s="27">
        <f t="shared" si="70"/>
        <v>243</v>
      </c>
      <c r="O369" s="28">
        <f t="shared" si="71"/>
        <v>13864</v>
      </c>
      <c r="P369" s="29">
        <f t="shared" si="72"/>
        <v>57.053497942386834</v>
      </c>
      <c r="Q369" s="30">
        <f t="shared" si="73"/>
        <v>243</v>
      </c>
      <c r="R369" s="11" t="str">
        <f t="shared" si="74"/>
        <v>3</v>
      </c>
      <c r="S369" s="10" t="str">
        <f t="shared" si="75"/>
        <v>8</v>
      </c>
      <c r="T369" s="9">
        <f t="shared" si="76"/>
        <v>3</v>
      </c>
      <c r="U369" t="str">
        <f t="shared" si="77"/>
        <v>Mismatch</v>
      </c>
    </row>
    <row r="370" spans="1:21" x14ac:dyDescent="0.2">
      <c r="A370" s="12">
        <v>368</v>
      </c>
      <c r="B370" s="12">
        <v>369</v>
      </c>
      <c r="C370" s="12">
        <v>0.19700000000000001</v>
      </c>
      <c r="D370" s="12">
        <v>0.47</v>
      </c>
      <c r="E370" s="12">
        <v>0.16420000000000001</v>
      </c>
      <c r="F370" s="12">
        <v>7</v>
      </c>
      <c r="G370" s="12">
        <v>50</v>
      </c>
      <c r="H370" s="12">
        <v>57</v>
      </c>
      <c r="I370" s="22">
        <f t="shared" si="65"/>
        <v>45.107900000000043</v>
      </c>
      <c r="J370" s="23">
        <f t="shared" si="66"/>
        <v>0.18639628099173572</v>
      </c>
      <c r="K370" s="24">
        <f t="shared" si="67"/>
        <v>242</v>
      </c>
      <c r="L370" s="25">
        <f t="shared" si="68"/>
        <v>142.59000000000015</v>
      </c>
      <c r="M370" s="26">
        <f t="shared" si="69"/>
        <v>0.58921487603305844</v>
      </c>
      <c r="N370" s="27">
        <f t="shared" si="70"/>
        <v>242</v>
      </c>
      <c r="O370" s="28">
        <f t="shared" si="71"/>
        <v>13803</v>
      </c>
      <c r="P370" s="29">
        <f t="shared" si="72"/>
        <v>57.037190082644628</v>
      </c>
      <c r="Q370" s="30">
        <f t="shared" si="73"/>
        <v>242</v>
      </c>
      <c r="R370" s="11" t="str">
        <f t="shared" si="74"/>
        <v>3</v>
      </c>
      <c r="S370" s="10" t="str">
        <f t="shared" si="75"/>
        <v>9</v>
      </c>
      <c r="T370" s="9">
        <f t="shared" si="76"/>
        <v>3</v>
      </c>
      <c r="U370" t="str">
        <f t="shared" si="77"/>
        <v>Mismatch</v>
      </c>
    </row>
    <row r="371" spans="1:21" x14ac:dyDescent="0.2">
      <c r="A371" s="12">
        <v>369</v>
      </c>
      <c r="B371" s="12">
        <v>370</v>
      </c>
      <c r="C371" s="12">
        <v>0.19700000000000001</v>
      </c>
      <c r="D371" s="12">
        <v>0.51</v>
      </c>
      <c r="E371" s="12">
        <v>0.16420000000000001</v>
      </c>
      <c r="F371" s="12">
        <v>6</v>
      </c>
      <c r="G371" s="12">
        <v>22</v>
      </c>
      <c r="H371" s="12">
        <v>28</v>
      </c>
      <c r="I371" s="22">
        <f t="shared" si="65"/>
        <v>44.910900000000041</v>
      </c>
      <c r="J371" s="23">
        <f t="shared" si="66"/>
        <v>0.18635228215767652</v>
      </c>
      <c r="K371" s="24">
        <f t="shared" si="67"/>
        <v>241</v>
      </c>
      <c r="L371" s="25">
        <f t="shared" si="68"/>
        <v>142.12000000000015</v>
      </c>
      <c r="M371" s="26">
        <f t="shared" si="69"/>
        <v>0.58970954356846539</v>
      </c>
      <c r="N371" s="27">
        <f t="shared" si="70"/>
        <v>241</v>
      </c>
      <c r="O371" s="28">
        <f t="shared" si="71"/>
        <v>13746</v>
      </c>
      <c r="P371" s="29">
        <f t="shared" si="72"/>
        <v>57.037344398340252</v>
      </c>
      <c r="Q371" s="30">
        <f t="shared" si="73"/>
        <v>241</v>
      </c>
      <c r="R371" s="11" t="str">
        <f t="shared" si="74"/>
        <v>3</v>
      </c>
      <c r="S371" s="10" t="str">
        <f t="shared" si="75"/>
        <v>0</v>
      </c>
      <c r="T371" s="9">
        <f t="shared" si="76"/>
        <v>3</v>
      </c>
      <c r="U371" t="str">
        <f t="shared" si="77"/>
        <v>Mismatch</v>
      </c>
    </row>
    <row r="372" spans="1:21" x14ac:dyDescent="0.2">
      <c r="A372" s="12">
        <v>370</v>
      </c>
      <c r="B372" s="12">
        <v>371</v>
      </c>
      <c r="C372" s="12">
        <v>0.21210000000000001</v>
      </c>
      <c r="D372" s="12">
        <v>0.49</v>
      </c>
      <c r="E372" s="12">
        <v>0.1343</v>
      </c>
      <c r="F372" s="12">
        <v>2</v>
      </c>
      <c r="G372" s="12">
        <v>19</v>
      </c>
      <c r="H372" s="12">
        <v>21</v>
      </c>
      <c r="I372" s="22">
        <f t="shared" si="65"/>
        <v>44.713900000000038</v>
      </c>
      <c r="J372" s="23">
        <f t="shared" si="66"/>
        <v>0.18630791666666682</v>
      </c>
      <c r="K372" s="24">
        <f t="shared" si="67"/>
        <v>240</v>
      </c>
      <c r="L372" s="25">
        <f t="shared" si="68"/>
        <v>141.61000000000013</v>
      </c>
      <c r="M372" s="26">
        <f t="shared" si="69"/>
        <v>0.59004166666666724</v>
      </c>
      <c r="N372" s="27">
        <f t="shared" si="70"/>
        <v>240</v>
      </c>
      <c r="O372" s="28">
        <f t="shared" si="71"/>
        <v>13718</v>
      </c>
      <c r="P372" s="29">
        <f t="shared" si="72"/>
        <v>57.158333333333331</v>
      </c>
      <c r="Q372" s="30">
        <f t="shared" si="73"/>
        <v>240</v>
      </c>
      <c r="R372" s="11" t="str">
        <f t="shared" si="74"/>
        <v>3</v>
      </c>
      <c r="S372" s="10" t="str">
        <f t="shared" si="75"/>
        <v>1</v>
      </c>
      <c r="T372" s="9">
        <f t="shared" si="76"/>
        <v>3</v>
      </c>
      <c r="U372" t="str">
        <f t="shared" si="77"/>
        <v>Mismatch</v>
      </c>
    </row>
    <row r="373" spans="1:21" x14ac:dyDescent="0.2">
      <c r="A373" s="12">
        <v>371</v>
      </c>
      <c r="B373" s="12">
        <v>372</v>
      </c>
      <c r="C373" s="12">
        <v>0.2273</v>
      </c>
      <c r="D373" s="12">
        <v>0.4</v>
      </c>
      <c r="E373" s="12">
        <v>0.1045</v>
      </c>
      <c r="F373" s="12">
        <v>0</v>
      </c>
      <c r="G373" s="12">
        <v>18</v>
      </c>
      <c r="H373" s="12">
        <v>18</v>
      </c>
      <c r="I373" s="22">
        <f t="shared" si="65"/>
        <v>44.501800000000038</v>
      </c>
      <c r="J373" s="23">
        <f t="shared" si="66"/>
        <v>0.18620000000000017</v>
      </c>
      <c r="K373" s="24">
        <f t="shared" si="67"/>
        <v>239</v>
      </c>
      <c r="L373" s="25">
        <f t="shared" si="68"/>
        <v>141.12000000000012</v>
      </c>
      <c r="M373" s="26">
        <f t="shared" si="69"/>
        <v>0.59046025104602562</v>
      </c>
      <c r="N373" s="27">
        <f t="shared" si="70"/>
        <v>239</v>
      </c>
      <c r="O373" s="28">
        <f t="shared" si="71"/>
        <v>13697</v>
      </c>
      <c r="P373" s="29">
        <f t="shared" si="72"/>
        <v>57.30962343096234</v>
      </c>
      <c r="Q373" s="30">
        <f t="shared" si="73"/>
        <v>239</v>
      </c>
      <c r="R373" s="11" t="str">
        <f t="shared" si="74"/>
        <v>3</v>
      </c>
      <c r="S373" s="10" t="str">
        <f t="shared" si="75"/>
        <v>2</v>
      </c>
      <c r="T373" s="9">
        <f t="shared" si="76"/>
        <v>3</v>
      </c>
      <c r="U373" t="str">
        <f t="shared" si="77"/>
        <v>Mismatch</v>
      </c>
    </row>
    <row r="374" spans="1:21" x14ac:dyDescent="0.2">
      <c r="A374" s="12">
        <v>372</v>
      </c>
      <c r="B374" s="12">
        <v>373</v>
      </c>
      <c r="C374" s="12">
        <v>0.19700000000000001</v>
      </c>
      <c r="D374" s="12">
        <v>0.47</v>
      </c>
      <c r="E374" s="12">
        <v>0.22389999999999999</v>
      </c>
      <c r="F374" s="12">
        <v>1</v>
      </c>
      <c r="G374" s="12">
        <v>16</v>
      </c>
      <c r="H374" s="12">
        <v>17</v>
      </c>
      <c r="I374" s="22">
        <f t="shared" si="65"/>
        <v>44.274500000000032</v>
      </c>
      <c r="J374" s="23">
        <f t="shared" si="66"/>
        <v>0.18602731092436989</v>
      </c>
      <c r="K374" s="24">
        <f t="shared" si="67"/>
        <v>238</v>
      </c>
      <c r="L374" s="25">
        <f t="shared" si="68"/>
        <v>140.72000000000011</v>
      </c>
      <c r="M374" s="26">
        <f t="shared" si="69"/>
        <v>0.59126050420168119</v>
      </c>
      <c r="N374" s="27">
        <f t="shared" si="70"/>
        <v>238</v>
      </c>
      <c r="O374" s="28">
        <f t="shared" si="71"/>
        <v>13679</v>
      </c>
      <c r="P374" s="29">
        <f t="shared" si="72"/>
        <v>57.474789915966383</v>
      </c>
      <c r="Q374" s="30">
        <f t="shared" si="73"/>
        <v>238</v>
      </c>
      <c r="R374" s="11" t="str">
        <f t="shared" si="74"/>
        <v>3</v>
      </c>
      <c r="S374" s="10" t="str">
        <f t="shared" si="75"/>
        <v>3</v>
      </c>
      <c r="T374" s="9">
        <f t="shared" si="76"/>
        <v>3</v>
      </c>
      <c r="U374" t="str">
        <f t="shared" si="77"/>
        <v>Match</v>
      </c>
    </row>
    <row r="375" spans="1:21" x14ac:dyDescent="0.2">
      <c r="A375" s="12">
        <v>373</v>
      </c>
      <c r="B375" s="12">
        <v>374</v>
      </c>
      <c r="C375" s="12">
        <v>0.19700000000000001</v>
      </c>
      <c r="D375" s="12">
        <v>0.44</v>
      </c>
      <c r="E375" s="12">
        <v>0.19400000000000001</v>
      </c>
      <c r="F375" s="12">
        <v>1</v>
      </c>
      <c r="G375" s="12">
        <v>15</v>
      </c>
      <c r="H375" s="12">
        <v>16</v>
      </c>
      <c r="I375" s="22">
        <f t="shared" si="65"/>
        <v>44.077500000000029</v>
      </c>
      <c r="J375" s="23">
        <f t="shared" si="66"/>
        <v>0.18598101265822797</v>
      </c>
      <c r="K375" s="24">
        <f t="shared" si="67"/>
        <v>237</v>
      </c>
      <c r="L375" s="25">
        <f t="shared" si="68"/>
        <v>140.25000000000011</v>
      </c>
      <c r="M375" s="26">
        <f t="shared" si="69"/>
        <v>0.59177215189873467</v>
      </c>
      <c r="N375" s="27">
        <f t="shared" si="70"/>
        <v>237</v>
      </c>
      <c r="O375" s="28">
        <f t="shared" si="71"/>
        <v>13662</v>
      </c>
      <c r="P375" s="29">
        <f t="shared" si="72"/>
        <v>57.645569620253163</v>
      </c>
      <c r="Q375" s="30">
        <f t="shared" si="73"/>
        <v>237</v>
      </c>
      <c r="R375" s="11" t="str">
        <f t="shared" si="74"/>
        <v>3</v>
      </c>
      <c r="S375" s="10" t="str">
        <f t="shared" si="75"/>
        <v>4</v>
      </c>
      <c r="T375" s="9">
        <f t="shared" si="76"/>
        <v>3</v>
      </c>
      <c r="U375" t="str">
        <f t="shared" si="77"/>
        <v>Mismatch</v>
      </c>
    </row>
    <row r="376" spans="1:21" x14ac:dyDescent="0.2">
      <c r="A376" s="12">
        <v>374</v>
      </c>
      <c r="B376" s="12">
        <v>375</v>
      </c>
      <c r="C376" s="12">
        <v>0.16669999999999999</v>
      </c>
      <c r="D376" s="12">
        <v>0.43</v>
      </c>
      <c r="E376" s="12">
        <v>0.25369999999999998</v>
      </c>
      <c r="F376" s="12">
        <v>0</v>
      </c>
      <c r="G376" s="12">
        <v>8</v>
      </c>
      <c r="H376" s="12">
        <v>8</v>
      </c>
      <c r="I376" s="22">
        <f t="shared" si="65"/>
        <v>43.880500000000026</v>
      </c>
      <c r="J376" s="23">
        <f t="shared" si="66"/>
        <v>0.18593432203389842</v>
      </c>
      <c r="K376" s="24">
        <f t="shared" si="67"/>
        <v>236</v>
      </c>
      <c r="L376" s="25">
        <f t="shared" si="68"/>
        <v>139.81000000000012</v>
      </c>
      <c r="M376" s="26">
        <f t="shared" si="69"/>
        <v>0.59241525423728858</v>
      </c>
      <c r="N376" s="27">
        <f t="shared" si="70"/>
        <v>236</v>
      </c>
      <c r="O376" s="28">
        <f t="shared" si="71"/>
        <v>13646</v>
      </c>
      <c r="P376" s="29">
        <f t="shared" si="72"/>
        <v>57.822033898305087</v>
      </c>
      <c r="Q376" s="30">
        <f t="shared" si="73"/>
        <v>236</v>
      </c>
      <c r="R376" s="11" t="str">
        <f t="shared" si="74"/>
        <v>3</v>
      </c>
      <c r="S376" s="10" t="str">
        <f t="shared" si="75"/>
        <v>5</v>
      </c>
      <c r="T376" s="9">
        <f t="shared" si="76"/>
        <v>3</v>
      </c>
      <c r="U376" t="str">
        <f t="shared" si="77"/>
        <v>Mismatch</v>
      </c>
    </row>
    <row r="377" spans="1:21" x14ac:dyDescent="0.2">
      <c r="A377" s="12">
        <v>375</v>
      </c>
      <c r="B377" s="12">
        <v>376</v>
      </c>
      <c r="C377" s="12">
        <v>0.18179999999999999</v>
      </c>
      <c r="D377" s="12">
        <v>0.43</v>
      </c>
      <c r="E377" s="12">
        <v>0.19400000000000001</v>
      </c>
      <c r="F377" s="12">
        <v>0</v>
      </c>
      <c r="G377" s="12">
        <v>2</v>
      </c>
      <c r="H377" s="12">
        <v>2</v>
      </c>
      <c r="I377" s="22">
        <f t="shared" si="65"/>
        <v>43.713800000000028</v>
      </c>
      <c r="J377" s="23">
        <f t="shared" si="66"/>
        <v>0.18601617021276606</v>
      </c>
      <c r="K377" s="24">
        <f t="shared" si="67"/>
        <v>235</v>
      </c>
      <c r="L377" s="25">
        <f t="shared" si="68"/>
        <v>139.38000000000011</v>
      </c>
      <c r="M377" s="26">
        <f t="shared" si="69"/>
        <v>0.59310638297872387</v>
      </c>
      <c r="N377" s="27">
        <f t="shared" si="70"/>
        <v>235</v>
      </c>
      <c r="O377" s="28">
        <f t="shared" si="71"/>
        <v>13638</v>
      </c>
      <c r="P377" s="29">
        <f t="shared" si="72"/>
        <v>58.03404255319149</v>
      </c>
      <c r="Q377" s="30">
        <f t="shared" si="73"/>
        <v>235</v>
      </c>
      <c r="R377" s="11" t="str">
        <f t="shared" si="74"/>
        <v>3</v>
      </c>
      <c r="S377" s="10" t="str">
        <f t="shared" si="75"/>
        <v>6</v>
      </c>
      <c r="T377" s="9">
        <f t="shared" si="76"/>
        <v>3</v>
      </c>
      <c r="U377" t="str">
        <f t="shared" si="77"/>
        <v>Mismatch</v>
      </c>
    </row>
    <row r="378" spans="1:21" x14ac:dyDescent="0.2">
      <c r="A378" s="12">
        <v>376</v>
      </c>
      <c r="B378" s="12">
        <v>377</v>
      </c>
      <c r="C378" s="12">
        <v>0.19700000000000001</v>
      </c>
      <c r="D378" s="12">
        <v>0.43</v>
      </c>
      <c r="E378" s="12">
        <v>0.1343</v>
      </c>
      <c r="F378" s="12">
        <v>1</v>
      </c>
      <c r="G378" s="12">
        <v>2</v>
      </c>
      <c r="H378" s="12">
        <v>3</v>
      </c>
      <c r="I378" s="22">
        <f t="shared" si="65"/>
        <v>43.532000000000025</v>
      </c>
      <c r="J378" s="23">
        <f t="shared" si="66"/>
        <v>0.18603418803418814</v>
      </c>
      <c r="K378" s="24">
        <f t="shared" si="67"/>
        <v>234</v>
      </c>
      <c r="L378" s="25">
        <f t="shared" si="68"/>
        <v>138.9500000000001</v>
      </c>
      <c r="M378" s="26">
        <f t="shared" si="69"/>
        <v>0.59380341880341925</v>
      </c>
      <c r="N378" s="27">
        <f t="shared" si="70"/>
        <v>234</v>
      </c>
      <c r="O378" s="28">
        <f t="shared" si="71"/>
        <v>13636</v>
      </c>
      <c r="P378" s="29">
        <f t="shared" si="72"/>
        <v>58.273504273504273</v>
      </c>
      <c r="Q378" s="30">
        <f t="shared" si="73"/>
        <v>234</v>
      </c>
      <c r="R378" s="11" t="str">
        <f t="shared" si="74"/>
        <v>3</v>
      </c>
      <c r="S378" s="10" t="str">
        <f t="shared" si="75"/>
        <v>7</v>
      </c>
      <c r="T378" s="9">
        <f t="shared" si="76"/>
        <v>3</v>
      </c>
      <c r="U378" t="str">
        <f t="shared" si="77"/>
        <v>Mismatch</v>
      </c>
    </row>
    <row r="379" spans="1:21" x14ac:dyDescent="0.2">
      <c r="A379" s="12">
        <v>377</v>
      </c>
      <c r="B379" s="12">
        <v>378</v>
      </c>
      <c r="C379" s="12">
        <v>0.19700000000000001</v>
      </c>
      <c r="D379" s="12">
        <v>0.43</v>
      </c>
      <c r="E379" s="12">
        <v>0.16420000000000001</v>
      </c>
      <c r="F379" s="12">
        <v>0</v>
      </c>
      <c r="G379" s="12">
        <v>1</v>
      </c>
      <c r="H379" s="12">
        <v>1</v>
      </c>
      <c r="I379" s="22">
        <f t="shared" si="65"/>
        <v>43.335000000000022</v>
      </c>
      <c r="J379" s="23">
        <f t="shared" si="66"/>
        <v>0.18598712446351942</v>
      </c>
      <c r="K379" s="24">
        <f t="shared" si="67"/>
        <v>233</v>
      </c>
      <c r="L379" s="25">
        <f t="shared" si="68"/>
        <v>138.5200000000001</v>
      </c>
      <c r="M379" s="26">
        <f t="shared" si="69"/>
        <v>0.59450643776824075</v>
      </c>
      <c r="N379" s="27">
        <f t="shared" si="70"/>
        <v>233</v>
      </c>
      <c r="O379" s="28">
        <f t="shared" si="71"/>
        <v>13633</v>
      </c>
      <c r="P379" s="29">
        <f t="shared" si="72"/>
        <v>58.510729613733908</v>
      </c>
      <c r="Q379" s="30">
        <f t="shared" si="73"/>
        <v>233</v>
      </c>
      <c r="R379" s="11" t="str">
        <f t="shared" si="74"/>
        <v>3</v>
      </c>
      <c r="S379" s="10" t="str">
        <f t="shared" si="75"/>
        <v>8</v>
      </c>
      <c r="T379" s="9">
        <f t="shared" si="76"/>
        <v>3</v>
      </c>
      <c r="U379" t="str">
        <f t="shared" si="77"/>
        <v>Mismatch</v>
      </c>
    </row>
    <row r="380" spans="1:21" x14ac:dyDescent="0.2">
      <c r="A380" s="12">
        <v>378</v>
      </c>
      <c r="B380" s="12">
        <v>379</v>
      </c>
      <c r="C380" s="12">
        <v>0.18179999999999999</v>
      </c>
      <c r="D380" s="12">
        <v>0.43</v>
      </c>
      <c r="E380" s="12">
        <v>0.19400000000000001</v>
      </c>
      <c r="F380" s="12">
        <v>0</v>
      </c>
      <c r="G380" s="12">
        <v>5</v>
      </c>
      <c r="H380" s="12">
        <v>5</v>
      </c>
      <c r="I380" s="22">
        <f t="shared" si="65"/>
        <v>43.138000000000019</v>
      </c>
      <c r="J380" s="23">
        <f t="shared" si="66"/>
        <v>0.18593965517241387</v>
      </c>
      <c r="K380" s="24">
        <f t="shared" si="67"/>
        <v>232</v>
      </c>
      <c r="L380" s="25">
        <f t="shared" si="68"/>
        <v>138.09000000000012</v>
      </c>
      <c r="M380" s="26">
        <f t="shared" si="69"/>
        <v>0.59521551724137978</v>
      </c>
      <c r="N380" s="27">
        <f t="shared" si="70"/>
        <v>232</v>
      </c>
      <c r="O380" s="28">
        <f t="shared" si="71"/>
        <v>13632</v>
      </c>
      <c r="P380" s="29">
        <f t="shared" si="72"/>
        <v>58.758620689655174</v>
      </c>
      <c r="Q380" s="30">
        <f t="shared" si="73"/>
        <v>232</v>
      </c>
      <c r="R380" s="11" t="str">
        <f t="shared" si="74"/>
        <v>3</v>
      </c>
      <c r="S380" s="10" t="str">
        <f t="shared" si="75"/>
        <v>9</v>
      </c>
      <c r="T380" s="9">
        <f t="shared" si="76"/>
        <v>3</v>
      </c>
      <c r="U380" t="str">
        <f t="shared" si="77"/>
        <v>Mismatch</v>
      </c>
    </row>
    <row r="381" spans="1:21" x14ac:dyDescent="0.2">
      <c r="A381" s="12">
        <v>379</v>
      </c>
      <c r="B381" s="12">
        <v>380</v>
      </c>
      <c r="C381" s="12">
        <v>0.18179999999999999</v>
      </c>
      <c r="D381" s="12">
        <v>0.5</v>
      </c>
      <c r="E381" s="12">
        <v>0.1343</v>
      </c>
      <c r="F381" s="12">
        <v>4</v>
      </c>
      <c r="G381" s="12">
        <v>9</v>
      </c>
      <c r="H381" s="12">
        <v>13</v>
      </c>
      <c r="I381" s="22">
        <f t="shared" si="65"/>
        <v>42.956200000000024</v>
      </c>
      <c r="J381" s="23">
        <f t="shared" si="66"/>
        <v>0.18595757575757585</v>
      </c>
      <c r="K381" s="24">
        <f t="shared" si="67"/>
        <v>231</v>
      </c>
      <c r="L381" s="25">
        <f t="shared" si="68"/>
        <v>137.66000000000011</v>
      </c>
      <c r="M381" s="26">
        <f t="shared" si="69"/>
        <v>0.59593073593073642</v>
      </c>
      <c r="N381" s="27">
        <f t="shared" si="70"/>
        <v>231</v>
      </c>
      <c r="O381" s="28">
        <f t="shared" si="71"/>
        <v>13627</v>
      </c>
      <c r="P381" s="29">
        <f t="shared" si="72"/>
        <v>58.99134199134199</v>
      </c>
      <c r="Q381" s="30">
        <f t="shared" si="73"/>
        <v>231</v>
      </c>
      <c r="R381" s="11" t="str">
        <f t="shared" si="74"/>
        <v>3</v>
      </c>
      <c r="S381" s="10" t="str">
        <f t="shared" si="75"/>
        <v>0</v>
      </c>
      <c r="T381" s="9">
        <f t="shared" si="76"/>
        <v>3</v>
      </c>
      <c r="U381" t="str">
        <f t="shared" si="77"/>
        <v>Mismatch</v>
      </c>
    </row>
    <row r="382" spans="1:21" x14ac:dyDescent="0.2">
      <c r="A382" s="12">
        <v>380</v>
      </c>
      <c r="B382" s="12">
        <v>381</v>
      </c>
      <c r="C382" s="12">
        <v>0.1515</v>
      </c>
      <c r="D382" s="12">
        <v>0.47</v>
      </c>
      <c r="E382" s="12">
        <v>0.22389999999999999</v>
      </c>
      <c r="F382" s="12">
        <v>3</v>
      </c>
      <c r="G382" s="12">
        <v>30</v>
      </c>
      <c r="H382" s="12">
        <v>33</v>
      </c>
      <c r="I382" s="22">
        <f t="shared" si="65"/>
        <v>42.774400000000021</v>
      </c>
      <c r="J382" s="23">
        <f t="shared" si="66"/>
        <v>0.18597565217391313</v>
      </c>
      <c r="K382" s="24">
        <f t="shared" si="67"/>
        <v>230</v>
      </c>
      <c r="L382" s="25">
        <f t="shared" si="68"/>
        <v>137.16000000000011</v>
      </c>
      <c r="M382" s="26">
        <f t="shared" si="69"/>
        <v>0.59634782608695702</v>
      </c>
      <c r="N382" s="27">
        <f t="shared" si="70"/>
        <v>230</v>
      </c>
      <c r="O382" s="28">
        <f t="shared" si="71"/>
        <v>13614</v>
      </c>
      <c r="P382" s="29">
        <f t="shared" si="72"/>
        <v>59.19130434782609</v>
      </c>
      <c r="Q382" s="30">
        <f t="shared" si="73"/>
        <v>230</v>
      </c>
      <c r="R382" s="11" t="str">
        <f t="shared" si="74"/>
        <v>3</v>
      </c>
      <c r="S382" s="10" t="str">
        <f t="shared" si="75"/>
        <v>1</v>
      </c>
      <c r="T382" s="9">
        <f t="shared" si="76"/>
        <v>3</v>
      </c>
      <c r="U382" t="str">
        <f t="shared" si="77"/>
        <v>Mismatch</v>
      </c>
    </row>
    <row r="383" spans="1:21" x14ac:dyDescent="0.2">
      <c r="A383" s="12">
        <v>381</v>
      </c>
      <c r="B383" s="12">
        <v>382</v>
      </c>
      <c r="C383" s="12">
        <v>0.1515</v>
      </c>
      <c r="D383" s="12">
        <v>0.47</v>
      </c>
      <c r="E383" s="12">
        <v>0.22389999999999999</v>
      </c>
      <c r="F383" s="12">
        <v>8</v>
      </c>
      <c r="G383" s="12">
        <v>39</v>
      </c>
      <c r="H383" s="12">
        <v>47</v>
      </c>
      <c r="I383" s="22">
        <f t="shared" si="65"/>
        <v>42.622900000000023</v>
      </c>
      <c r="J383" s="23">
        <f t="shared" si="66"/>
        <v>0.18612620087336254</v>
      </c>
      <c r="K383" s="24">
        <f t="shared" si="67"/>
        <v>229</v>
      </c>
      <c r="L383" s="25">
        <f t="shared" si="68"/>
        <v>136.69000000000008</v>
      </c>
      <c r="M383" s="26">
        <f t="shared" si="69"/>
        <v>0.59689956331877769</v>
      </c>
      <c r="N383" s="27">
        <f t="shared" si="70"/>
        <v>229</v>
      </c>
      <c r="O383" s="28">
        <f t="shared" si="71"/>
        <v>13581</v>
      </c>
      <c r="P383" s="29">
        <f t="shared" si="72"/>
        <v>59.305676855895193</v>
      </c>
      <c r="Q383" s="30">
        <f t="shared" si="73"/>
        <v>229</v>
      </c>
      <c r="R383" s="11" t="str">
        <f t="shared" si="74"/>
        <v>3</v>
      </c>
      <c r="S383" s="10" t="str">
        <f t="shared" si="75"/>
        <v>2</v>
      </c>
      <c r="T383" s="9">
        <f t="shared" si="76"/>
        <v>3</v>
      </c>
      <c r="U383" t="str">
        <f t="shared" si="77"/>
        <v>Mismatch</v>
      </c>
    </row>
    <row r="384" spans="1:21" x14ac:dyDescent="0.2">
      <c r="A384" s="12">
        <v>382</v>
      </c>
      <c r="B384" s="12">
        <v>383</v>
      </c>
      <c r="C384" s="12">
        <v>0.1515</v>
      </c>
      <c r="D384" s="12">
        <v>0.5</v>
      </c>
      <c r="E384" s="12">
        <v>0.25369999999999998</v>
      </c>
      <c r="F384" s="12">
        <v>7</v>
      </c>
      <c r="G384" s="12">
        <v>50</v>
      </c>
      <c r="H384" s="12">
        <v>57</v>
      </c>
      <c r="I384" s="22">
        <f t="shared" si="65"/>
        <v>42.471400000000024</v>
      </c>
      <c r="J384" s="23">
        <f t="shared" si="66"/>
        <v>0.18627807017543871</v>
      </c>
      <c r="K384" s="24">
        <f t="shared" si="67"/>
        <v>228</v>
      </c>
      <c r="L384" s="25">
        <f t="shared" si="68"/>
        <v>136.22000000000008</v>
      </c>
      <c r="M384" s="26">
        <f t="shared" si="69"/>
        <v>0.59745614035087757</v>
      </c>
      <c r="N384" s="27">
        <f t="shared" si="70"/>
        <v>228</v>
      </c>
      <c r="O384" s="28">
        <f t="shared" si="71"/>
        <v>13534</v>
      </c>
      <c r="P384" s="29">
        <f t="shared" si="72"/>
        <v>59.359649122807021</v>
      </c>
      <c r="Q384" s="30">
        <f t="shared" si="73"/>
        <v>228</v>
      </c>
      <c r="R384" s="11" t="str">
        <f t="shared" si="74"/>
        <v>3</v>
      </c>
      <c r="S384" s="10" t="str">
        <f t="shared" si="75"/>
        <v>3</v>
      </c>
      <c r="T384" s="9">
        <f t="shared" si="76"/>
        <v>3</v>
      </c>
      <c r="U384" t="str">
        <f t="shared" si="77"/>
        <v>Match</v>
      </c>
    </row>
    <row r="385" spans="1:21" x14ac:dyDescent="0.2">
      <c r="A385" s="12">
        <v>383</v>
      </c>
      <c r="B385" s="12">
        <v>384</v>
      </c>
      <c r="C385" s="12">
        <v>0.1515</v>
      </c>
      <c r="D385" s="12">
        <v>0.55000000000000004</v>
      </c>
      <c r="E385" s="12">
        <v>0.19400000000000001</v>
      </c>
      <c r="F385" s="12">
        <v>9</v>
      </c>
      <c r="G385" s="12">
        <v>55</v>
      </c>
      <c r="H385" s="12">
        <v>64</v>
      </c>
      <c r="I385" s="22">
        <f t="shared" si="65"/>
        <v>42.319900000000025</v>
      </c>
      <c r="J385" s="23">
        <f t="shared" si="66"/>
        <v>0.18643127753303976</v>
      </c>
      <c r="K385" s="24">
        <f t="shared" si="67"/>
        <v>227</v>
      </c>
      <c r="L385" s="25">
        <f t="shared" si="68"/>
        <v>135.72000000000008</v>
      </c>
      <c r="M385" s="26">
        <f t="shared" si="69"/>
        <v>0.59788546255506647</v>
      </c>
      <c r="N385" s="27">
        <f t="shared" si="70"/>
        <v>227</v>
      </c>
      <c r="O385" s="28">
        <f t="shared" si="71"/>
        <v>13477</v>
      </c>
      <c r="P385" s="29">
        <f t="shared" si="72"/>
        <v>59.370044052863435</v>
      </c>
      <c r="Q385" s="30">
        <f t="shared" si="73"/>
        <v>227</v>
      </c>
      <c r="R385" s="11" t="str">
        <f t="shared" si="74"/>
        <v>3</v>
      </c>
      <c r="S385" s="10" t="str">
        <f t="shared" si="75"/>
        <v>4</v>
      </c>
      <c r="T385" s="9">
        <f t="shared" si="76"/>
        <v>3</v>
      </c>
      <c r="U385" t="str">
        <f t="shared" si="77"/>
        <v>Mismatch</v>
      </c>
    </row>
    <row r="386" spans="1:21" x14ac:dyDescent="0.2">
      <c r="A386" s="12">
        <v>384</v>
      </c>
      <c r="B386" s="12">
        <v>385</v>
      </c>
      <c r="C386" s="12">
        <v>0.19700000000000001</v>
      </c>
      <c r="D386" s="12">
        <v>0.47</v>
      </c>
      <c r="E386" s="12">
        <v>0.1343</v>
      </c>
      <c r="F386" s="12">
        <v>10</v>
      </c>
      <c r="G386" s="12">
        <v>70</v>
      </c>
      <c r="H386" s="12">
        <v>80</v>
      </c>
      <c r="I386" s="22">
        <f t="shared" si="65"/>
        <v>42.16840000000002</v>
      </c>
      <c r="J386" s="23">
        <f t="shared" si="66"/>
        <v>0.18658584070796469</v>
      </c>
      <c r="K386" s="24">
        <f t="shared" si="67"/>
        <v>226</v>
      </c>
      <c r="L386" s="25">
        <f t="shared" si="68"/>
        <v>135.1700000000001</v>
      </c>
      <c r="M386" s="26">
        <f t="shared" si="69"/>
        <v>0.59809734513274382</v>
      </c>
      <c r="N386" s="27">
        <f t="shared" si="70"/>
        <v>226</v>
      </c>
      <c r="O386" s="28">
        <f t="shared" si="71"/>
        <v>13413</v>
      </c>
      <c r="P386" s="29">
        <f t="shared" si="72"/>
        <v>59.349557522123895</v>
      </c>
      <c r="Q386" s="30">
        <f t="shared" si="73"/>
        <v>226</v>
      </c>
      <c r="R386" s="11" t="str">
        <f t="shared" si="74"/>
        <v>3</v>
      </c>
      <c r="S386" s="10" t="str">
        <f t="shared" si="75"/>
        <v>5</v>
      </c>
      <c r="T386" s="9">
        <f t="shared" si="76"/>
        <v>3</v>
      </c>
      <c r="U386" t="str">
        <f t="shared" si="77"/>
        <v>Mismatch</v>
      </c>
    </row>
    <row r="387" spans="1:21" x14ac:dyDescent="0.2">
      <c r="A387" s="12">
        <v>385</v>
      </c>
      <c r="B387" s="12">
        <v>386</v>
      </c>
      <c r="C387" s="12">
        <v>0.19700000000000001</v>
      </c>
      <c r="D387" s="12">
        <v>0.47</v>
      </c>
      <c r="E387" s="12">
        <v>0.1343</v>
      </c>
      <c r="F387" s="12">
        <v>13</v>
      </c>
      <c r="G387" s="12">
        <v>80</v>
      </c>
      <c r="H387" s="12">
        <v>93</v>
      </c>
      <c r="I387" s="22">
        <f t="shared" ref="I387:I450" si="78">SUM(C387:C996)</f>
        <v>41.971400000000024</v>
      </c>
      <c r="J387" s="23">
        <f t="shared" ref="J387:J450" si="79">AVERAGE(C387:C996)</f>
        <v>0.18653955555555565</v>
      </c>
      <c r="K387" s="24">
        <f t="shared" ref="K387:K450" si="80">COUNT(C387:C996)</f>
        <v>225</v>
      </c>
      <c r="L387" s="25">
        <f t="shared" ref="L387:L450" si="81">SUM(D387:D996)</f>
        <v>134.70000000000007</v>
      </c>
      <c r="M387" s="26">
        <f t="shared" ref="M387:M450" si="82">AVERAGE(D387:D996)</f>
        <v>0.59866666666666701</v>
      </c>
      <c r="N387" s="27">
        <f t="shared" ref="N387:N450" si="83">COUNT(D387:D996)</f>
        <v>225</v>
      </c>
      <c r="O387" s="28">
        <f t="shared" ref="O387:O450" si="84">SUM(H387:H996)</f>
        <v>13333</v>
      </c>
      <c r="P387" s="29">
        <f t="shared" ref="P387:P450" si="85">AVERAGE(H387:H996)</f>
        <v>59.257777777777775</v>
      </c>
      <c r="Q387" s="30">
        <f t="shared" ref="Q387:Q450" si="86">COUNT(H387:H996)</f>
        <v>225</v>
      </c>
      <c r="R387" s="11" t="str">
        <f t="shared" ref="R387:R450" si="87">LEFT(B387,1)</f>
        <v>3</v>
      </c>
      <c r="S387" s="10" t="str">
        <f t="shared" ref="S387:S450" si="88">RIGHT(B387,1)</f>
        <v>6</v>
      </c>
      <c r="T387" s="9">
        <f t="shared" ref="T387:T450" si="89">LEN(B387)</f>
        <v>3</v>
      </c>
      <c r="U387" t="str">
        <f t="shared" ref="U387:U450" si="90">IF(R387=S387,"Match","Mismatch")</f>
        <v>Mismatch</v>
      </c>
    </row>
    <row r="388" spans="1:21" x14ac:dyDescent="0.2">
      <c r="A388" s="12">
        <v>386</v>
      </c>
      <c r="B388" s="12">
        <v>387</v>
      </c>
      <c r="C388" s="12">
        <v>0.21210000000000001</v>
      </c>
      <c r="D388" s="12">
        <v>0.43</v>
      </c>
      <c r="E388" s="12">
        <v>0.1045</v>
      </c>
      <c r="F388" s="12">
        <v>12</v>
      </c>
      <c r="G388" s="12">
        <v>74</v>
      </c>
      <c r="H388" s="12">
        <v>86</v>
      </c>
      <c r="I388" s="22">
        <f t="shared" si="78"/>
        <v>41.774400000000021</v>
      </c>
      <c r="J388" s="23">
        <f t="shared" si="79"/>
        <v>0.18649285714285724</v>
      </c>
      <c r="K388" s="24">
        <f t="shared" si="80"/>
        <v>224</v>
      </c>
      <c r="L388" s="25">
        <f t="shared" si="81"/>
        <v>134.23000000000008</v>
      </c>
      <c r="M388" s="26">
        <f t="shared" si="82"/>
        <v>0.59924107142857175</v>
      </c>
      <c r="N388" s="27">
        <f t="shared" si="83"/>
        <v>224</v>
      </c>
      <c r="O388" s="28">
        <f t="shared" si="84"/>
        <v>13240</v>
      </c>
      <c r="P388" s="29">
        <f t="shared" si="85"/>
        <v>59.107142857142854</v>
      </c>
      <c r="Q388" s="30">
        <f t="shared" si="86"/>
        <v>224</v>
      </c>
      <c r="R388" s="11" t="str">
        <f t="shared" si="87"/>
        <v>3</v>
      </c>
      <c r="S388" s="10" t="str">
        <f t="shared" si="88"/>
        <v>7</v>
      </c>
      <c r="T388" s="9">
        <f t="shared" si="89"/>
        <v>3</v>
      </c>
      <c r="U388" t="str">
        <f t="shared" si="90"/>
        <v>Mismatch</v>
      </c>
    </row>
    <row r="389" spans="1:21" x14ac:dyDescent="0.2">
      <c r="A389" s="12">
        <v>387</v>
      </c>
      <c r="B389" s="12">
        <v>388</v>
      </c>
      <c r="C389" s="12">
        <v>0.21210000000000001</v>
      </c>
      <c r="D389" s="12">
        <v>0.47</v>
      </c>
      <c r="E389" s="12">
        <v>0.16420000000000001</v>
      </c>
      <c r="F389" s="12">
        <v>21</v>
      </c>
      <c r="G389" s="12">
        <v>72</v>
      </c>
      <c r="H389" s="12">
        <v>93</v>
      </c>
      <c r="I389" s="22">
        <f t="shared" si="78"/>
        <v>41.562300000000022</v>
      </c>
      <c r="J389" s="23">
        <f t="shared" si="79"/>
        <v>0.18637802690582969</v>
      </c>
      <c r="K389" s="24">
        <f t="shared" si="80"/>
        <v>223</v>
      </c>
      <c r="L389" s="25">
        <f t="shared" si="81"/>
        <v>133.80000000000007</v>
      </c>
      <c r="M389" s="26">
        <f t="shared" si="82"/>
        <v>0.60000000000000031</v>
      </c>
      <c r="N389" s="27">
        <f t="shared" si="83"/>
        <v>223</v>
      </c>
      <c r="O389" s="28">
        <f t="shared" si="84"/>
        <v>13154</v>
      </c>
      <c r="P389" s="29">
        <f t="shared" si="85"/>
        <v>58.986547085201792</v>
      </c>
      <c r="Q389" s="30">
        <f t="shared" si="86"/>
        <v>223</v>
      </c>
      <c r="R389" s="11" t="str">
        <f t="shared" si="87"/>
        <v>3</v>
      </c>
      <c r="S389" s="10" t="str">
        <f t="shared" si="88"/>
        <v>8</v>
      </c>
      <c r="T389" s="9">
        <f t="shared" si="89"/>
        <v>3</v>
      </c>
      <c r="U389" t="str">
        <f t="shared" si="90"/>
        <v>Mismatch</v>
      </c>
    </row>
    <row r="390" spans="1:21" x14ac:dyDescent="0.2">
      <c r="A390" s="12">
        <v>388</v>
      </c>
      <c r="B390" s="12">
        <v>389</v>
      </c>
      <c r="C390" s="12">
        <v>0.21210000000000001</v>
      </c>
      <c r="D390" s="12">
        <v>0.47</v>
      </c>
      <c r="E390" s="12">
        <v>0.16420000000000001</v>
      </c>
      <c r="F390" s="12">
        <v>6</v>
      </c>
      <c r="G390" s="12">
        <v>76</v>
      </c>
      <c r="H390" s="12">
        <v>82</v>
      </c>
      <c r="I390" s="22">
        <f t="shared" si="78"/>
        <v>41.350200000000029</v>
      </c>
      <c r="J390" s="23">
        <f t="shared" si="79"/>
        <v>0.18626216216216229</v>
      </c>
      <c r="K390" s="24">
        <f t="shared" si="80"/>
        <v>222</v>
      </c>
      <c r="L390" s="25">
        <f t="shared" si="81"/>
        <v>133.33000000000007</v>
      </c>
      <c r="M390" s="26">
        <f t="shared" si="82"/>
        <v>0.60058558558558595</v>
      </c>
      <c r="N390" s="27">
        <f t="shared" si="83"/>
        <v>222</v>
      </c>
      <c r="O390" s="28">
        <f t="shared" si="84"/>
        <v>13061</v>
      </c>
      <c r="P390" s="29">
        <f t="shared" si="85"/>
        <v>58.833333333333336</v>
      </c>
      <c r="Q390" s="30">
        <f t="shared" si="86"/>
        <v>222</v>
      </c>
      <c r="R390" s="11" t="str">
        <f t="shared" si="87"/>
        <v>3</v>
      </c>
      <c r="S390" s="10" t="str">
        <f t="shared" si="88"/>
        <v>9</v>
      </c>
      <c r="T390" s="9">
        <f t="shared" si="89"/>
        <v>3</v>
      </c>
      <c r="U390" t="str">
        <f t="shared" si="90"/>
        <v>Mismatch</v>
      </c>
    </row>
    <row r="391" spans="1:21" x14ac:dyDescent="0.2">
      <c r="A391" s="12">
        <v>389</v>
      </c>
      <c r="B391" s="12">
        <v>390</v>
      </c>
      <c r="C391" s="12">
        <v>0.19700000000000001</v>
      </c>
      <c r="D391" s="12">
        <v>0.51</v>
      </c>
      <c r="E391" s="12">
        <v>0.19400000000000001</v>
      </c>
      <c r="F391" s="12">
        <v>4</v>
      </c>
      <c r="G391" s="12">
        <v>67</v>
      </c>
      <c r="H391" s="12">
        <v>71</v>
      </c>
      <c r="I391" s="22">
        <f t="shared" si="78"/>
        <v>41.13810000000003</v>
      </c>
      <c r="J391" s="23">
        <f t="shared" si="79"/>
        <v>0.18614524886877842</v>
      </c>
      <c r="K391" s="24">
        <f t="shared" si="80"/>
        <v>221</v>
      </c>
      <c r="L391" s="25">
        <f t="shared" si="81"/>
        <v>132.86000000000004</v>
      </c>
      <c r="M391" s="26">
        <f t="shared" si="82"/>
        <v>0.60117647058823553</v>
      </c>
      <c r="N391" s="27">
        <f t="shared" si="83"/>
        <v>221</v>
      </c>
      <c r="O391" s="28">
        <f t="shared" si="84"/>
        <v>12979</v>
      </c>
      <c r="P391" s="29">
        <f t="shared" si="85"/>
        <v>58.728506787330318</v>
      </c>
      <c r="Q391" s="30">
        <f t="shared" si="86"/>
        <v>221</v>
      </c>
      <c r="R391" s="11" t="str">
        <f t="shared" si="87"/>
        <v>3</v>
      </c>
      <c r="S391" s="10" t="str">
        <f t="shared" si="88"/>
        <v>0</v>
      </c>
      <c r="T391" s="9">
        <f t="shared" si="89"/>
        <v>3</v>
      </c>
      <c r="U391" t="str">
        <f t="shared" si="90"/>
        <v>Mismatch</v>
      </c>
    </row>
    <row r="392" spans="1:21" x14ac:dyDescent="0.2">
      <c r="A392" s="12">
        <v>390</v>
      </c>
      <c r="B392" s="12">
        <v>391</v>
      </c>
      <c r="C392" s="12">
        <v>0.16669999999999999</v>
      </c>
      <c r="D392" s="12">
        <v>0.55000000000000004</v>
      </c>
      <c r="E392" s="12">
        <v>0.25369999999999998</v>
      </c>
      <c r="F392" s="12">
        <v>7</v>
      </c>
      <c r="G392" s="12">
        <v>85</v>
      </c>
      <c r="H392" s="12">
        <v>92</v>
      </c>
      <c r="I392" s="22">
        <f t="shared" si="78"/>
        <v>40.941100000000027</v>
      </c>
      <c r="J392" s="23">
        <f t="shared" si="79"/>
        <v>0.1860959090909092</v>
      </c>
      <c r="K392" s="24">
        <f t="shared" si="80"/>
        <v>220</v>
      </c>
      <c r="L392" s="25">
        <f t="shared" si="81"/>
        <v>132.35000000000005</v>
      </c>
      <c r="M392" s="26">
        <f t="shared" si="82"/>
        <v>0.60159090909090929</v>
      </c>
      <c r="N392" s="27">
        <f t="shared" si="83"/>
        <v>220</v>
      </c>
      <c r="O392" s="28">
        <f t="shared" si="84"/>
        <v>12908</v>
      </c>
      <c r="P392" s="29">
        <f t="shared" si="85"/>
        <v>58.672727272727272</v>
      </c>
      <c r="Q392" s="30">
        <f t="shared" si="86"/>
        <v>220</v>
      </c>
      <c r="R392" s="11" t="str">
        <f t="shared" si="87"/>
        <v>3</v>
      </c>
      <c r="S392" s="10" t="str">
        <f t="shared" si="88"/>
        <v>1</v>
      </c>
      <c r="T392" s="9">
        <f t="shared" si="89"/>
        <v>3</v>
      </c>
      <c r="U392" t="str">
        <f t="shared" si="90"/>
        <v>Mismatch</v>
      </c>
    </row>
    <row r="393" spans="1:21" x14ac:dyDescent="0.2">
      <c r="A393" s="12">
        <v>391</v>
      </c>
      <c r="B393" s="12">
        <v>392</v>
      </c>
      <c r="C393" s="12">
        <v>0.18179999999999999</v>
      </c>
      <c r="D393" s="12">
        <v>0.59</v>
      </c>
      <c r="E393" s="12">
        <v>0.19400000000000001</v>
      </c>
      <c r="F393" s="12">
        <v>2</v>
      </c>
      <c r="G393" s="12">
        <v>58</v>
      </c>
      <c r="H393" s="12">
        <v>60</v>
      </c>
      <c r="I393" s="22">
        <f t="shared" si="78"/>
        <v>40.774400000000028</v>
      </c>
      <c r="J393" s="23">
        <f t="shared" si="79"/>
        <v>0.18618447488584489</v>
      </c>
      <c r="K393" s="24">
        <f t="shared" si="80"/>
        <v>219</v>
      </c>
      <c r="L393" s="25">
        <f t="shared" si="81"/>
        <v>131.80000000000004</v>
      </c>
      <c r="M393" s="26">
        <f t="shared" si="82"/>
        <v>0.601826484018265</v>
      </c>
      <c r="N393" s="27">
        <f t="shared" si="83"/>
        <v>219</v>
      </c>
      <c r="O393" s="28">
        <f t="shared" si="84"/>
        <v>12816</v>
      </c>
      <c r="P393" s="29">
        <f t="shared" si="85"/>
        <v>58.520547945205479</v>
      </c>
      <c r="Q393" s="30">
        <f t="shared" si="86"/>
        <v>219</v>
      </c>
      <c r="R393" s="11" t="str">
        <f t="shared" si="87"/>
        <v>3</v>
      </c>
      <c r="S393" s="10" t="str">
        <f t="shared" si="88"/>
        <v>2</v>
      </c>
      <c r="T393" s="9">
        <f t="shared" si="89"/>
        <v>3</v>
      </c>
      <c r="U393" t="str">
        <f t="shared" si="90"/>
        <v>Mismatch</v>
      </c>
    </row>
    <row r="394" spans="1:21" x14ac:dyDescent="0.2">
      <c r="A394" s="12">
        <v>392</v>
      </c>
      <c r="B394" s="12">
        <v>393</v>
      </c>
      <c r="C394" s="12">
        <v>0.1515</v>
      </c>
      <c r="D394" s="12">
        <v>0.8</v>
      </c>
      <c r="E394" s="12">
        <v>0.19400000000000001</v>
      </c>
      <c r="F394" s="12">
        <v>4</v>
      </c>
      <c r="G394" s="12">
        <v>29</v>
      </c>
      <c r="H394" s="12">
        <v>33</v>
      </c>
      <c r="I394" s="22">
        <f t="shared" si="78"/>
        <v>40.592600000000033</v>
      </c>
      <c r="J394" s="23">
        <f t="shared" si="79"/>
        <v>0.18620458715596344</v>
      </c>
      <c r="K394" s="24">
        <f t="shared" si="80"/>
        <v>218</v>
      </c>
      <c r="L394" s="25">
        <f t="shared" si="81"/>
        <v>131.21000000000006</v>
      </c>
      <c r="M394" s="26">
        <f t="shared" si="82"/>
        <v>0.60188073394495445</v>
      </c>
      <c r="N394" s="27">
        <f t="shared" si="83"/>
        <v>218</v>
      </c>
      <c r="O394" s="28">
        <f t="shared" si="84"/>
        <v>12756</v>
      </c>
      <c r="P394" s="29">
        <f t="shared" si="85"/>
        <v>58.513761467889907</v>
      </c>
      <c r="Q394" s="30">
        <f t="shared" si="86"/>
        <v>218</v>
      </c>
      <c r="R394" s="11" t="str">
        <f t="shared" si="87"/>
        <v>3</v>
      </c>
      <c r="S394" s="10" t="str">
        <f t="shared" si="88"/>
        <v>3</v>
      </c>
      <c r="T394" s="9">
        <f t="shared" si="89"/>
        <v>3</v>
      </c>
      <c r="U394" t="str">
        <f t="shared" si="90"/>
        <v>Match</v>
      </c>
    </row>
    <row r="395" spans="1:21" x14ac:dyDescent="0.2">
      <c r="A395" s="12">
        <v>393</v>
      </c>
      <c r="B395" s="12">
        <v>394</v>
      </c>
      <c r="C395" s="12">
        <v>0.1515</v>
      </c>
      <c r="D395" s="12">
        <v>0.8</v>
      </c>
      <c r="E395" s="12">
        <v>0.19400000000000001</v>
      </c>
      <c r="F395" s="12">
        <v>3</v>
      </c>
      <c r="G395" s="12">
        <v>24</v>
      </c>
      <c r="H395" s="12">
        <v>27</v>
      </c>
      <c r="I395" s="22">
        <f t="shared" si="78"/>
        <v>40.441100000000034</v>
      </c>
      <c r="J395" s="23">
        <f t="shared" si="79"/>
        <v>0.1863645161290324</v>
      </c>
      <c r="K395" s="24">
        <f t="shared" si="80"/>
        <v>217</v>
      </c>
      <c r="L395" s="25">
        <f t="shared" si="81"/>
        <v>130.41000000000005</v>
      </c>
      <c r="M395" s="26">
        <f t="shared" si="82"/>
        <v>0.60096774193548408</v>
      </c>
      <c r="N395" s="27">
        <f t="shared" si="83"/>
        <v>217</v>
      </c>
      <c r="O395" s="28">
        <f t="shared" si="84"/>
        <v>12723</v>
      </c>
      <c r="P395" s="29">
        <f t="shared" si="85"/>
        <v>58.631336405529957</v>
      </c>
      <c r="Q395" s="30">
        <f t="shared" si="86"/>
        <v>217</v>
      </c>
      <c r="R395" s="11" t="str">
        <f t="shared" si="87"/>
        <v>3</v>
      </c>
      <c r="S395" s="10" t="str">
        <f t="shared" si="88"/>
        <v>4</v>
      </c>
      <c r="T395" s="9">
        <f t="shared" si="89"/>
        <v>3</v>
      </c>
      <c r="U395" t="str">
        <f t="shared" si="90"/>
        <v>Mismatch</v>
      </c>
    </row>
    <row r="396" spans="1:21" x14ac:dyDescent="0.2">
      <c r="A396" s="12">
        <v>394</v>
      </c>
      <c r="B396" s="12">
        <v>395</v>
      </c>
      <c r="C396" s="12">
        <v>0.1212</v>
      </c>
      <c r="D396" s="12">
        <v>0.93</v>
      </c>
      <c r="E396" s="12">
        <v>0.25369999999999998</v>
      </c>
      <c r="F396" s="12">
        <v>0</v>
      </c>
      <c r="G396" s="12">
        <v>13</v>
      </c>
      <c r="H396" s="12">
        <v>13</v>
      </c>
      <c r="I396" s="22">
        <f t="shared" si="78"/>
        <v>40.289600000000029</v>
      </c>
      <c r="J396" s="23">
        <f t="shared" si="79"/>
        <v>0.18652592592592607</v>
      </c>
      <c r="K396" s="24">
        <f t="shared" si="80"/>
        <v>216</v>
      </c>
      <c r="L396" s="25">
        <f t="shared" si="81"/>
        <v>129.61000000000004</v>
      </c>
      <c r="M396" s="26">
        <f t="shared" si="82"/>
        <v>0.60004629629629647</v>
      </c>
      <c r="N396" s="27">
        <f t="shared" si="83"/>
        <v>216</v>
      </c>
      <c r="O396" s="28">
        <f t="shared" si="84"/>
        <v>12696</v>
      </c>
      <c r="P396" s="29">
        <f t="shared" si="85"/>
        <v>58.777777777777779</v>
      </c>
      <c r="Q396" s="30">
        <f t="shared" si="86"/>
        <v>216</v>
      </c>
      <c r="R396" s="11" t="str">
        <f t="shared" si="87"/>
        <v>3</v>
      </c>
      <c r="S396" s="10" t="str">
        <f t="shared" si="88"/>
        <v>5</v>
      </c>
      <c r="T396" s="9">
        <f t="shared" si="89"/>
        <v>3</v>
      </c>
      <c r="U396" t="str">
        <f t="shared" si="90"/>
        <v>Mismatch</v>
      </c>
    </row>
    <row r="397" spans="1:21" x14ac:dyDescent="0.2">
      <c r="A397" s="12">
        <v>395</v>
      </c>
      <c r="B397" s="12">
        <v>396</v>
      </c>
      <c r="C397" s="12">
        <v>0.13639999999999999</v>
      </c>
      <c r="D397" s="12">
        <v>0.86</v>
      </c>
      <c r="E397" s="12">
        <v>0.28360000000000002</v>
      </c>
      <c r="F397" s="12">
        <v>1</v>
      </c>
      <c r="G397" s="12">
        <v>3</v>
      </c>
      <c r="H397" s="12">
        <v>4</v>
      </c>
      <c r="I397" s="22">
        <f t="shared" si="78"/>
        <v>40.168400000000034</v>
      </c>
      <c r="J397" s="23">
        <f t="shared" si="79"/>
        <v>0.18682976744186061</v>
      </c>
      <c r="K397" s="24">
        <f t="shared" si="80"/>
        <v>215</v>
      </c>
      <c r="L397" s="25">
        <f t="shared" si="81"/>
        <v>128.68000000000004</v>
      </c>
      <c r="M397" s="26">
        <f t="shared" si="82"/>
        <v>0.59851162790697687</v>
      </c>
      <c r="N397" s="27">
        <f t="shared" si="83"/>
        <v>215</v>
      </c>
      <c r="O397" s="28">
        <f t="shared" si="84"/>
        <v>12683</v>
      </c>
      <c r="P397" s="29">
        <f t="shared" si="85"/>
        <v>58.990697674418605</v>
      </c>
      <c r="Q397" s="30">
        <f t="shared" si="86"/>
        <v>215</v>
      </c>
      <c r="R397" s="11" t="str">
        <f t="shared" si="87"/>
        <v>3</v>
      </c>
      <c r="S397" s="10" t="str">
        <f t="shared" si="88"/>
        <v>6</v>
      </c>
      <c r="T397" s="9">
        <f t="shared" si="89"/>
        <v>3</v>
      </c>
      <c r="U397" t="str">
        <f t="shared" si="90"/>
        <v>Mismatch</v>
      </c>
    </row>
    <row r="398" spans="1:21" x14ac:dyDescent="0.2">
      <c r="A398" s="12">
        <v>396</v>
      </c>
      <c r="B398" s="12">
        <v>397</v>
      </c>
      <c r="C398" s="12">
        <v>0.18179999999999999</v>
      </c>
      <c r="D398" s="12">
        <v>0.86</v>
      </c>
      <c r="E398" s="12">
        <v>0.32840000000000003</v>
      </c>
      <c r="F398" s="12">
        <v>0</v>
      </c>
      <c r="G398" s="12">
        <v>3</v>
      </c>
      <c r="H398" s="12">
        <v>3</v>
      </c>
      <c r="I398" s="22">
        <f t="shared" si="78"/>
        <v>40.032000000000032</v>
      </c>
      <c r="J398" s="23">
        <f t="shared" si="79"/>
        <v>0.18706542056074782</v>
      </c>
      <c r="K398" s="24">
        <f t="shared" si="80"/>
        <v>214</v>
      </c>
      <c r="L398" s="25">
        <f t="shared" si="81"/>
        <v>127.82000000000004</v>
      </c>
      <c r="M398" s="26">
        <f t="shared" si="82"/>
        <v>0.59728971962616839</v>
      </c>
      <c r="N398" s="27">
        <f t="shared" si="83"/>
        <v>214</v>
      </c>
      <c r="O398" s="28">
        <f t="shared" si="84"/>
        <v>12679</v>
      </c>
      <c r="P398" s="29">
        <f t="shared" si="85"/>
        <v>59.247663551401871</v>
      </c>
      <c r="Q398" s="30">
        <f t="shared" si="86"/>
        <v>214</v>
      </c>
      <c r="R398" s="11" t="str">
        <f t="shared" si="87"/>
        <v>3</v>
      </c>
      <c r="S398" s="10" t="str">
        <f t="shared" si="88"/>
        <v>7</v>
      </c>
      <c r="T398" s="9">
        <f t="shared" si="89"/>
        <v>3</v>
      </c>
      <c r="U398" t="str">
        <f t="shared" si="90"/>
        <v>Mismatch</v>
      </c>
    </row>
    <row r="399" spans="1:21" x14ac:dyDescent="0.2">
      <c r="A399" s="12">
        <v>397</v>
      </c>
      <c r="B399" s="12">
        <v>398</v>
      </c>
      <c r="C399" s="12">
        <v>0.19700000000000001</v>
      </c>
      <c r="D399" s="12">
        <v>0.86</v>
      </c>
      <c r="E399" s="12">
        <v>0.22389999999999999</v>
      </c>
      <c r="F399" s="12">
        <v>0</v>
      </c>
      <c r="G399" s="12">
        <v>22</v>
      </c>
      <c r="H399" s="12">
        <v>22</v>
      </c>
      <c r="I399" s="22">
        <f t="shared" si="78"/>
        <v>39.850200000000029</v>
      </c>
      <c r="J399" s="23">
        <f t="shared" si="79"/>
        <v>0.18709014084507056</v>
      </c>
      <c r="K399" s="24">
        <f t="shared" si="80"/>
        <v>213</v>
      </c>
      <c r="L399" s="25">
        <f t="shared" si="81"/>
        <v>126.96000000000004</v>
      </c>
      <c r="M399" s="26">
        <f t="shared" si="82"/>
        <v>0.59605633802816915</v>
      </c>
      <c r="N399" s="27">
        <f t="shared" si="83"/>
        <v>213</v>
      </c>
      <c r="O399" s="28">
        <f t="shared" si="84"/>
        <v>12676</v>
      </c>
      <c r="P399" s="29">
        <f t="shared" si="85"/>
        <v>59.51173708920188</v>
      </c>
      <c r="Q399" s="30">
        <f t="shared" si="86"/>
        <v>213</v>
      </c>
      <c r="R399" s="11" t="str">
        <f t="shared" si="87"/>
        <v>3</v>
      </c>
      <c r="S399" s="10" t="str">
        <f t="shared" si="88"/>
        <v>8</v>
      </c>
      <c r="T399" s="9">
        <f t="shared" si="89"/>
        <v>3</v>
      </c>
      <c r="U399" t="str">
        <f t="shared" si="90"/>
        <v>Mismatch</v>
      </c>
    </row>
    <row r="400" spans="1:21" x14ac:dyDescent="0.2">
      <c r="A400" s="12">
        <v>398</v>
      </c>
      <c r="B400" s="12">
        <v>399</v>
      </c>
      <c r="C400" s="12">
        <v>0.2273</v>
      </c>
      <c r="D400" s="12">
        <v>0.8</v>
      </c>
      <c r="E400" s="12">
        <v>0.16420000000000001</v>
      </c>
      <c r="F400" s="12">
        <v>2</v>
      </c>
      <c r="G400" s="12">
        <v>26</v>
      </c>
      <c r="H400" s="12">
        <v>28</v>
      </c>
      <c r="I400" s="22">
        <f t="shared" si="78"/>
        <v>39.653200000000027</v>
      </c>
      <c r="J400" s="23">
        <f t="shared" si="79"/>
        <v>0.18704339622641522</v>
      </c>
      <c r="K400" s="24">
        <f t="shared" si="80"/>
        <v>212</v>
      </c>
      <c r="L400" s="25">
        <f t="shared" si="81"/>
        <v>126.10000000000002</v>
      </c>
      <c r="M400" s="26">
        <f t="shared" si="82"/>
        <v>0.5948113207547171</v>
      </c>
      <c r="N400" s="27">
        <f t="shared" si="83"/>
        <v>212</v>
      </c>
      <c r="O400" s="28">
        <f t="shared" si="84"/>
        <v>12654</v>
      </c>
      <c r="P400" s="29">
        <f t="shared" si="85"/>
        <v>59.688679245283019</v>
      </c>
      <c r="Q400" s="30">
        <f t="shared" si="86"/>
        <v>212</v>
      </c>
      <c r="R400" s="11" t="str">
        <f t="shared" si="87"/>
        <v>3</v>
      </c>
      <c r="S400" s="10" t="str">
        <f t="shared" si="88"/>
        <v>9</v>
      </c>
      <c r="T400" s="9">
        <f t="shared" si="89"/>
        <v>3</v>
      </c>
      <c r="U400" t="str">
        <f t="shared" si="90"/>
        <v>Mismatch</v>
      </c>
    </row>
    <row r="401" spans="1:21" x14ac:dyDescent="0.2">
      <c r="A401" s="12">
        <v>399</v>
      </c>
      <c r="B401" s="12">
        <v>400</v>
      </c>
      <c r="C401" s="12">
        <v>0.2273</v>
      </c>
      <c r="D401" s="12">
        <v>0.87</v>
      </c>
      <c r="E401" s="12">
        <v>0.16420000000000001</v>
      </c>
      <c r="F401" s="12">
        <v>3</v>
      </c>
      <c r="G401" s="12">
        <v>32</v>
      </c>
      <c r="H401" s="12">
        <v>35</v>
      </c>
      <c r="I401" s="22">
        <f t="shared" si="78"/>
        <v>39.425900000000027</v>
      </c>
      <c r="J401" s="23">
        <f t="shared" si="79"/>
        <v>0.18685260663507122</v>
      </c>
      <c r="K401" s="24">
        <f t="shared" si="80"/>
        <v>211</v>
      </c>
      <c r="L401" s="25">
        <f t="shared" si="81"/>
        <v>125.30000000000003</v>
      </c>
      <c r="M401" s="26">
        <f t="shared" si="82"/>
        <v>0.59383886255924179</v>
      </c>
      <c r="N401" s="27">
        <f t="shared" si="83"/>
        <v>211</v>
      </c>
      <c r="O401" s="28">
        <f t="shared" si="84"/>
        <v>12626</v>
      </c>
      <c r="P401" s="29">
        <f t="shared" si="85"/>
        <v>59.838862559241704</v>
      </c>
      <c r="Q401" s="30">
        <f t="shared" si="86"/>
        <v>211</v>
      </c>
      <c r="R401" s="11" t="str">
        <f t="shared" si="87"/>
        <v>4</v>
      </c>
      <c r="S401" s="10" t="str">
        <f t="shared" si="88"/>
        <v>0</v>
      </c>
      <c r="T401" s="9">
        <f t="shared" si="89"/>
        <v>3</v>
      </c>
      <c r="U401" t="str">
        <f t="shared" si="90"/>
        <v>Mismatch</v>
      </c>
    </row>
    <row r="402" spans="1:21" x14ac:dyDescent="0.2">
      <c r="A402" s="12">
        <v>400</v>
      </c>
      <c r="B402" s="12">
        <v>401</v>
      </c>
      <c r="C402" s="12">
        <v>0.2273</v>
      </c>
      <c r="D402" s="12">
        <v>0.87</v>
      </c>
      <c r="E402" s="12">
        <v>0.19400000000000001</v>
      </c>
      <c r="F402" s="12">
        <v>0</v>
      </c>
      <c r="G402" s="12">
        <v>61</v>
      </c>
      <c r="H402" s="12">
        <v>61</v>
      </c>
      <c r="I402" s="22">
        <f t="shared" si="78"/>
        <v>39.19860000000002</v>
      </c>
      <c r="J402" s="23">
        <f t="shared" si="79"/>
        <v>0.1866600000000001</v>
      </c>
      <c r="K402" s="24">
        <f t="shared" si="80"/>
        <v>210</v>
      </c>
      <c r="L402" s="25">
        <f t="shared" si="81"/>
        <v>124.43</v>
      </c>
      <c r="M402" s="26">
        <f t="shared" si="82"/>
        <v>0.59252380952380956</v>
      </c>
      <c r="N402" s="27">
        <f t="shared" si="83"/>
        <v>210</v>
      </c>
      <c r="O402" s="28">
        <f t="shared" si="84"/>
        <v>12591</v>
      </c>
      <c r="P402" s="29">
        <f t="shared" si="85"/>
        <v>59.957142857142856</v>
      </c>
      <c r="Q402" s="30">
        <f t="shared" si="86"/>
        <v>210</v>
      </c>
      <c r="R402" s="11" t="str">
        <f t="shared" si="87"/>
        <v>4</v>
      </c>
      <c r="S402" s="10" t="str">
        <f t="shared" si="88"/>
        <v>1</v>
      </c>
      <c r="T402" s="9">
        <f t="shared" si="89"/>
        <v>3</v>
      </c>
      <c r="U402" t="str">
        <f t="shared" si="90"/>
        <v>Mismatch</v>
      </c>
    </row>
    <row r="403" spans="1:21" x14ac:dyDescent="0.2">
      <c r="A403" s="12">
        <v>401</v>
      </c>
      <c r="B403" s="12">
        <v>402</v>
      </c>
      <c r="C403" s="12">
        <v>0.2273</v>
      </c>
      <c r="D403" s="12">
        <v>0.82</v>
      </c>
      <c r="E403" s="12">
        <v>0.19400000000000001</v>
      </c>
      <c r="F403" s="12">
        <v>1</v>
      </c>
      <c r="G403" s="12">
        <v>124</v>
      </c>
      <c r="H403" s="12">
        <v>125</v>
      </c>
      <c r="I403" s="22">
        <f t="shared" si="78"/>
        <v>38.971300000000021</v>
      </c>
      <c r="J403" s="23">
        <f t="shared" si="79"/>
        <v>0.18646555023923456</v>
      </c>
      <c r="K403" s="24">
        <f t="shared" si="80"/>
        <v>209</v>
      </c>
      <c r="L403" s="25">
        <f t="shared" si="81"/>
        <v>123.55999999999999</v>
      </c>
      <c r="M403" s="26">
        <f t="shared" si="82"/>
        <v>0.59119617224880372</v>
      </c>
      <c r="N403" s="27">
        <f t="shared" si="83"/>
        <v>209</v>
      </c>
      <c r="O403" s="28">
        <f t="shared" si="84"/>
        <v>12530</v>
      </c>
      <c r="P403" s="29">
        <f t="shared" si="85"/>
        <v>59.952153110047846</v>
      </c>
      <c r="Q403" s="30">
        <f t="shared" si="86"/>
        <v>209</v>
      </c>
      <c r="R403" s="11" t="str">
        <f t="shared" si="87"/>
        <v>4</v>
      </c>
      <c r="S403" s="10" t="str">
        <f t="shared" si="88"/>
        <v>2</v>
      </c>
      <c r="T403" s="9">
        <f t="shared" si="89"/>
        <v>3</v>
      </c>
      <c r="U403" t="str">
        <f t="shared" si="90"/>
        <v>Mismatch</v>
      </c>
    </row>
    <row r="404" spans="1:21" x14ac:dyDescent="0.2">
      <c r="A404" s="12">
        <v>402</v>
      </c>
      <c r="B404" s="12">
        <v>403</v>
      </c>
      <c r="C404" s="12">
        <v>0.2273</v>
      </c>
      <c r="D404" s="12">
        <v>0.8</v>
      </c>
      <c r="E404" s="12">
        <v>0.16420000000000001</v>
      </c>
      <c r="F404" s="12">
        <v>1</v>
      </c>
      <c r="G404" s="12">
        <v>132</v>
      </c>
      <c r="H404" s="12">
        <v>133</v>
      </c>
      <c r="I404" s="22">
        <f t="shared" si="78"/>
        <v>38.744000000000021</v>
      </c>
      <c r="J404" s="23">
        <f t="shared" si="79"/>
        <v>0.18626923076923088</v>
      </c>
      <c r="K404" s="24">
        <f t="shared" si="80"/>
        <v>208</v>
      </c>
      <c r="L404" s="25">
        <f t="shared" si="81"/>
        <v>122.73999999999998</v>
      </c>
      <c r="M404" s="26">
        <f t="shared" si="82"/>
        <v>0.59009615384615377</v>
      </c>
      <c r="N404" s="27">
        <f t="shared" si="83"/>
        <v>208</v>
      </c>
      <c r="O404" s="28">
        <f t="shared" si="84"/>
        <v>12405</v>
      </c>
      <c r="P404" s="29">
        <f t="shared" si="85"/>
        <v>59.63942307692308</v>
      </c>
      <c r="Q404" s="30">
        <f t="shared" si="86"/>
        <v>208</v>
      </c>
      <c r="R404" s="11" t="str">
        <f t="shared" si="87"/>
        <v>4</v>
      </c>
      <c r="S404" s="10" t="str">
        <f t="shared" si="88"/>
        <v>3</v>
      </c>
      <c r="T404" s="9">
        <f t="shared" si="89"/>
        <v>3</v>
      </c>
      <c r="U404" t="str">
        <f t="shared" si="90"/>
        <v>Mismatch</v>
      </c>
    </row>
    <row r="405" spans="1:21" x14ac:dyDescent="0.2">
      <c r="A405" s="12">
        <v>403</v>
      </c>
      <c r="B405" s="12">
        <v>404</v>
      </c>
      <c r="C405" s="12">
        <v>0.2273</v>
      </c>
      <c r="D405" s="12">
        <v>0.8</v>
      </c>
      <c r="E405" s="12">
        <v>0.1343</v>
      </c>
      <c r="F405" s="12">
        <v>1</v>
      </c>
      <c r="G405" s="12">
        <v>98</v>
      </c>
      <c r="H405" s="12">
        <v>99</v>
      </c>
      <c r="I405" s="22">
        <f t="shared" si="78"/>
        <v>38.516700000000021</v>
      </c>
      <c r="J405" s="23">
        <f t="shared" si="79"/>
        <v>0.18607101449275373</v>
      </c>
      <c r="K405" s="24">
        <f t="shared" si="80"/>
        <v>207</v>
      </c>
      <c r="L405" s="25">
        <f t="shared" si="81"/>
        <v>121.93999999999997</v>
      </c>
      <c r="M405" s="26">
        <f t="shared" si="82"/>
        <v>0.58908212560386464</v>
      </c>
      <c r="N405" s="27">
        <f t="shared" si="83"/>
        <v>207</v>
      </c>
      <c r="O405" s="28">
        <f t="shared" si="84"/>
        <v>12272</v>
      </c>
      <c r="P405" s="29">
        <f t="shared" si="85"/>
        <v>59.285024154589372</v>
      </c>
      <c r="Q405" s="30">
        <f t="shared" si="86"/>
        <v>207</v>
      </c>
      <c r="R405" s="11" t="str">
        <f t="shared" si="87"/>
        <v>4</v>
      </c>
      <c r="S405" s="10" t="str">
        <f t="shared" si="88"/>
        <v>4</v>
      </c>
      <c r="T405" s="9">
        <f t="shared" si="89"/>
        <v>3</v>
      </c>
      <c r="U405" t="str">
        <f t="shared" si="90"/>
        <v>Match</v>
      </c>
    </row>
    <row r="406" spans="1:21" x14ac:dyDescent="0.2">
      <c r="A406" s="12">
        <v>404</v>
      </c>
      <c r="B406" s="12">
        <v>405</v>
      </c>
      <c r="C406" s="12">
        <v>0.2727</v>
      </c>
      <c r="D406" s="12">
        <v>0.87</v>
      </c>
      <c r="E406" s="12">
        <v>0</v>
      </c>
      <c r="F406" s="12">
        <v>0</v>
      </c>
      <c r="G406" s="12">
        <v>83</v>
      </c>
      <c r="H406" s="12">
        <v>83</v>
      </c>
      <c r="I406" s="22">
        <f t="shared" si="78"/>
        <v>38.289400000000015</v>
      </c>
      <c r="J406" s="23">
        <f t="shared" si="79"/>
        <v>0.18587087378640785</v>
      </c>
      <c r="K406" s="24">
        <f t="shared" si="80"/>
        <v>206</v>
      </c>
      <c r="L406" s="25">
        <f t="shared" si="81"/>
        <v>121.13999999999999</v>
      </c>
      <c r="M406" s="26">
        <f t="shared" si="82"/>
        <v>0.58805825242718435</v>
      </c>
      <c r="N406" s="27">
        <f t="shared" si="83"/>
        <v>206</v>
      </c>
      <c r="O406" s="28">
        <f t="shared" si="84"/>
        <v>12173</v>
      </c>
      <c r="P406" s="29">
        <f t="shared" si="85"/>
        <v>59.092233009708735</v>
      </c>
      <c r="Q406" s="30">
        <f t="shared" si="86"/>
        <v>206</v>
      </c>
      <c r="R406" s="11" t="str">
        <f t="shared" si="87"/>
        <v>4</v>
      </c>
      <c r="S406" s="10" t="str">
        <f t="shared" si="88"/>
        <v>5</v>
      </c>
      <c r="T406" s="9">
        <f t="shared" si="89"/>
        <v>3</v>
      </c>
      <c r="U406" t="str">
        <f t="shared" si="90"/>
        <v>Mismatch</v>
      </c>
    </row>
    <row r="407" spans="1:21" x14ac:dyDescent="0.2">
      <c r="A407" s="12">
        <v>405</v>
      </c>
      <c r="B407" s="12">
        <v>406</v>
      </c>
      <c r="C407" s="12">
        <v>0.2424</v>
      </c>
      <c r="D407" s="12">
        <v>0.93</v>
      </c>
      <c r="E407" s="12">
        <v>0.1045</v>
      </c>
      <c r="F407" s="12">
        <v>0</v>
      </c>
      <c r="G407" s="12">
        <v>41</v>
      </c>
      <c r="H407" s="12">
        <v>41</v>
      </c>
      <c r="I407" s="22">
        <f t="shared" si="78"/>
        <v>38.016700000000014</v>
      </c>
      <c r="J407" s="23">
        <f t="shared" si="79"/>
        <v>0.1854473170731708</v>
      </c>
      <c r="K407" s="24">
        <f t="shared" si="80"/>
        <v>205</v>
      </c>
      <c r="L407" s="25">
        <f t="shared" si="81"/>
        <v>120.26999999999998</v>
      </c>
      <c r="M407" s="26">
        <f t="shared" si="82"/>
        <v>0.58668292682926826</v>
      </c>
      <c r="N407" s="27">
        <f t="shared" si="83"/>
        <v>205</v>
      </c>
      <c r="O407" s="28">
        <f t="shared" si="84"/>
        <v>12090</v>
      </c>
      <c r="P407" s="29">
        <f t="shared" si="85"/>
        <v>58.975609756097562</v>
      </c>
      <c r="Q407" s="30">
        <f t="shared" si="86"/>
        <v>205</v>
      </c>
      <c r="R407" s="11" t="str">
        <f t="shared" si="87"/>
        <v>4</v>
      </c>
      <c r="S407" s="10" t="str">
        <f t="shared" si="88"/>
        <v>6</v>
      </c>
      <c r="T407" s="9">
        <f t="shared" si="89"/>
        <v>3</v>
      </c>
      <c r="U407" t="str">
        <f t="shared" si="90"/>
        <v>Mismatch</v>
      </c>
    </row>
    <row r="408" spans="1:21" x14ac:dyDescent="0.2">
      <c r="A408" s="12">
        <v>406</v>
      </c>
      <c r="B408" s="12">
        <v>407</v>
      </c>
      <c r="C408" s="12">
        <v>0.2576</v>
      </c>
      <c r="D408" s="12">
        <v>0.93</v>
      </c>
      <c r="E408" s="12">
        <v>8.9599999999999999E-2</v>
      </c>
      <c r="F408" s="12">
        <v>0</v>
      </c>
      <c r="G408" s="12">
        <v>33</v>
      </c>
      <c r="H408" s="12">
        <v>33</v>
      </c>
      <c r="I408" s="22">
        <f t="shared" si="78"/>
        <v>37.774300000000018</v>
      </c>
      <c r="J408" s="23">
        <f t="shared" si="79"/>
        <v>0.18516813725490205</v>
      </c>
      <c r="K408" s="24">
        <f t="shared" si="80"/>
        <v>204</v>
      </c>
      <c r="L408" s="25">
        <f t="shared" si="81"/>
        <v>119.33999999999997</v>
      </c>
      <c r="M408" s="26">
        <f t="shared" si="82"/>
        <v>0.58499999999999985</v>
      </c>
      <c r="N408" s="27">
        <f t="shared" si="83"/>
        <v>204</v>
      </c>
      <c r="O408" s="28">
        <f t="shared" si="84"/>
        <v>12049</v>
      </c>
      <c r="P408" s="29">
        <f t="shared" si="85"/>
        <v>59.063725490196077</v>
      </c>
      <c r="Q408" s="30">
        <f t="shared" si="86"/>
        <v>204</v>
      </c>
      <c r="R408" s="11" t="str">
        <f t="shared" si="87"/>
        <v>4</v>
      </c>
      <c r="S408" s="10" t="str">
        <f t="shared" si="88"/>
        <v>7</v>
      </c>
      <c r="T408" s="9">
        <f t="shared" si="89"/>
        <v>3</v>
      </c>
      <c r="U408" t="str">
        <f t="shared" si="90"/>
        <v>Mismatch</v>
      </c>
    </row>
    <row r="409" spans="1:21" x14ac:dyDescent="0.2">
      <c r="A409" s="12">
        <v>407</v>
      </c>
      <c r="B409" s="12">
        <v>408</v>
      </c>
      <c r="C409" s="12">
        <v>0.2727</v>
      </c>
      <c r="D409" s="12">
        <v>0.93</v>
      </c>
      <c r="E409" s="12">
        <v>0</v>
      </c>
      <c r="F409" s="12">
        <v>1</v>
      </c>
      <c r="G409" s="12">
        <v>19</v>
      </c>
      <c r="H409" s="12">
        <v>20</v>
      </c>
      <c r="I409" s="22">
        <f t="shared" si="78"/>
        <v>37.516700000000007</v>
      </c>
      <c r="J409" s="23">
        <f t="shared" si="79"/>
        <v>0.18481133004926112</v>
      </c>
      <c r="K409" s="24">
        <f t="shared" si="80"/>
        <v>203</v>
      </c>
      <c r="L409" s="25">
        <f t="shared" si="81"/>
        <v>118.40999999999995</v>
      </c>
      <c r="M409" s="26">
        <f t="shared" si="82"/>
        <v>0.58330049261083716</v>
      </c>
      <c r="N409" s="27">
        <f t="shared" si="83"/>
        <v>203</v>
      </c>
      <c r="O409" s="28">
        <f t="shared" si="84"/>
        <v>12016</v>
      </c>
      <c r="P409" s="29">
        <f t="shared" si="85"/>
        <v>59.192118226600982</v>
      </c>
      <c r="Q409" s="30">
        <f t="shared" si="86"/>
        <v>203</v>
      </c>
      <c r="R409" s="11" t="str">
        <f t="shared" si="87"/>
        <v>4</v>
      </c>
      <c r="S409" s="10" t="str">
        <f t="shared" si="88"/>
        <v>8</v>
      </c>
      <c r="T409" s="9">
        <f t="shared" si="89"/>
        <v>3</v>
      </c>
      <c r="U409" t="str">
        <f t="shared" si="90"/>
        <v>Mismatch</v>
      </c>
    </row>
    <row r="410" spans="1:21" x14ac:dyDescent="0.2">
      <c r="A410" s="12">
        <v>408</v>
      </c>
      <c r="B410" s="12">
        <v>409</v>
      </c>
      <c r="C410" s="12">
        <v>0.2727</v>
      </c>
      <c r="D410" s="12">
        <v>0.93</v>
      </c>
      <c r="E410" s="12">
        <v>0</v>
      </c>
      <c r="F410" s="12">
        <v>0</v>
      </c>
      <c r="G410" s="12">
        <v>3</v>
      </c>
      <c r="H410" s="12">
        <v>3</v>
      </c>
      <c r="I410" s="22">
        <f t="shared" si="78"/>
        <v>37.244000000000007</v>
      </c>
      <c r="J410" s="23">
        <f t="shared" si="79"/>
        <v>0.1843762376237624</v>
      </c>
      <c r="K410" s="24">
        <f t="shared" si="80"/>
        <v>202</v>
      </c>
      <c r="L410" s="25">
        <f t="shared" si="81"/>
        <v>117.47999999999996</v>
      </c>
      <c r="M410" s="26">
        <f t="shared" si="82"/>
        <v>0.58158415841584143</v>
      </c>
      <c r="N410" s="27">
        <f t="shared" si="83"/>
        <v>202</v>
      </c>
      <c r="O410" s="28">
        <f t="shared" si="84"/>
        <v>11996</v>
      </c>
      <c r="P410" s="29">
        <f t="shared" si="85"/>
        <v>59.386138613861384</v>
      </c>
      <c r="Q410" s="30">
        <f t="shared" si="86"/>
        <v>202</v>
      </c>
      <c r="R410" s="11" t="str">
        <f t="shared" si="87"/>
        <v>4</v>
      </c>
      <c r="S410" s="10" t="str">
        <f t="shared" si="88"/>
        <v>9</v>
      </c>
      <c r="T410" s="9">
        <f t="shared" si="89"/>
        <v>3</v>
      </c>
      <c r="U410" t="str">
        <f t="shared" si="90"/>
        <v>Mismatch</v>
      </c>
    </row>
    <row r="411" spans="1:21" x14ac:dyDescent="0.2">
      <c r="A411" s="12">
        <v>409</v>
      </c>
      <c r="B411" s="12">
        <v>410</v>
      </c>
      <c r="C411" s="12">
        <v>0.2273</v>
      </c>
      <c r="D411" s="12">
        <v>0.93</v>
      </c>
      <c r="E411" s="12">
        <v>0.1343</v>
      </c>
      <c r="F411" s="12">
        <v>1</v>
      </c>
      <c r="G411" s="12">
        <v>6</v>
      </c>
      <c r="H411" s="12">
        <v>7</v>
      </c>
      <c r="I411" s="22">
        <f t="shared" si="78"/>
        <v>36.971300000000006</v>
      </c>
      <c r="J411" s="23">
        <f t="shared" si="79"/>
        <v>0.18393681592039804</v>
      </c>
      <c r="K411" s="24">
        <f t="shared" si="80"/>
        <v>201</v>
      </c>
      <c r="L411" s="25">
        <f t="shared" si="81"/>
        <v>116.54999999999997</v>
      </c>
      <c r="M411" s="26">
        <f t="shared" si="82"/>
        <v>0.57985074626865651</v>
      </c>
      <c r="N411" s="27">
        <f t="shared" si="83"/>
        <v>201</v>
      </c>
      <c r="O411" s="28">
        <f t="shared" si="84"/>
        <v>11993</v>
      </c>
      <c r="P411" s="29">
        <f t="shared" si="85"/>
        <v>59.666666666666664</v>
      </c>
      <c r="Q411" s="30">
        <f t="shared" si="86"/>
        <v>201</v>
      </c>
      <c r="R411" s="11" t="str">
        <f t="shared" si="87"/>
        <v>4</v>
      </c>
      <c r="S411" s="10" t="str">
        <f t="shared" si="88"/>
        <v>0</v>
      </c>
      <c r="T411" s="9">
        <f t="shared" si="89"/>
        <v>3</v>
      </c>
      <c r="U411" t="str">
        <f t="shared" si="90"/>
        <v>Mismatch</v>
      </c>
    </row>
    <row r="412" spans="1:21" x14ac:dyDescent="0.2">
      <c r="A412" s="12">
        <v>410</v>
      </c>
      <c r="B412" s="12">
        <v>411</v>
      </c>
      <c r="C412" s="12">
        <v>0.2273</v>
      </c>
      <c r="D412" s="12">
        <v>0.93</v>
      </c>
      <c r="E412" s="12">
        <v>0.1343</v>
      </c>
      <c r="F412" s="12">
        <v>0</v>
      </c>
      <c r="G412" s="12">
        <v>3</v>
      </c>
      <c r="H412" s="12">
        <v>3</v>
      </c>
      <c r="I412" s="22">
        <f t="shared" si="78"/>
        <v>36.744</v>
      </c>
      <c r="J412" s="23">
        <f t="shared" si="79"/>
        <v>0.18371999999999999</v>
      </c>
      <c r="K412" s="24">
        <f t="shared" si="80"/>
        <v>200</v>
      </c>
      <c r="L412" s="25">
        <f t="shared" si="81"/>
        <v>115.61999999999998</v>
      </c>
      <c r="M412" s="26">
        <f t="shared" si="82"/>
        <v>0.57809999999999984</v>
      </c>
      <c r="N412" s="27">
        <f t="shared" si="83"/>
        <v>200</v>
      </c>
      <c r="O412" s="28">
        <f t="shared" si="84"/>
        <v>11986</v>
      </c>
      <c r="P412" s="29">
        <f t="shared" si="85"/>
        <v>59.93</v>
      </c>
      <c r="Q412" s="30">
        <f t="shared" si="86"/>
        <v>200</v>
      </c>
      <c r="R412" s="11" t="str">
        <f t="shared" si="87"/>
        <v>4</v>
      </c>
      <c r="S412" s="10" t="str">
        <f t="shared" si="88"/>
        <v>1</v>
      </c>
      <c r="T412" s="9">
        <f t="shared" si="89"/>
        <v>3</v>
      </c>
      <c r="U412" t="str">
        <f t="shared" si="90"/>
        <v>Mismatch</v>
      </c>
    </row>
    <row r="413" spans="1:21" x14ac:dyDescent="0.2">
      <c r="A413" s="12">
        <v>411</v>
      </c>
      <c r="B413" s="12">
        <v>412</v>
      </c>
      <c r="C413" s="12">
        <v>0.2273</v>
      </c>
      <c r="D413" s="12">
        <v>0.93</v>
      </c>
      <c r="E413" s="12">
        <v>0.1343</v>
      </c>
      <c r="F413" s="12">
        <v>1</v>
      </c>
      <c r="G413" s="12">
        <v>1</v>
      </c>
      <c r="H413" s="12">
        <v>2</v>
      </c>
      <c r="I413" s="22">
        <f t="shared" si="78"/>
        <v>36.516699999999993</v>
      </c>
      <c r="J413" s="23">
        <f t="shared" si="79"/>
        <v>0.18350100502512559</v>
      </c>
      <c r="K413" s="24">
        <f t="shared" si="80"/>
        <v>199</v>
      </c>
      <c r="L413" s="25">
        <f t="shared" si="81"/>
        <v>114.68999999999998</v>
      </c>
      <c r="M413" s="26">
        <f t="shared" si="82"/>
        <v>0.57633165829145716</v>
      </c>
      <c r="N413" s="27">
        <f t="shared" si="83"/>
        <v>199</v>
      </c>
      <c r="O413" s="28">
        <f t="shared" si="84"/>
        <v>11983</v>
      </c>
      <c r="P413" s="29">
        <f t="shared" si="85"/>
        <v>60.21608040201005</v>
      </c>
      <c r="Q413" s="30">
        <f t="shared" si="86"/>
        <v>199</v>
      </c>
      <c r="R413" s="11" t="str">
        <f t="shared" si="87"/>
        <v>4</v>
      </c>
      <c r="S413" s="10" t="str">
        <f t="shared" si="88"/>
        <v>2</v>
      </c>
      <c r="T413" s="9">
        <f t="shared" si="89"/>
        <v>3</v>
      </c>
      <c r="U413" t="str">
        <f t="shared" si="90"/>
        <v>Mismatch</v>
      </c>
    </row>
    <row r="414" spans="1:21" x14ac:dyDescent="0.2">
      <c r="A414" s="12">
        <v>412</v>
      </c>
      <c r="B414" s="12">
        <v>413</v>
      </c>
      <c r="C414" s="12">
        <v>0.2576</v>
      </c>
      <c r="D414" s="12">
        <v>0.93</v>
      </c>
      <c r="E414" s="12">
        <v>8.9599999999999999E-2</v>
      </c>
      <c r="F414" s="12">
        <v>0</v>
      </c>
      <c r="G414" s="12">
        <v>7</v>
      </c>
      <c r="H414" s="12">
        <v>7</v>
      </c>
      <c r="I414" s="22">
        <f t="shared" si="78"/>
        <v>36.289399999999993</v>
      </c>
      <c r="J414" s="23">
        <f t="shared" si="79"/>
        <v>0.18327979797979796</v>
      </c>
      <c r="K414" s="24">
        <f t="shared" si="80"/>
        <v>198</v>
      </c>
      <c r="L414" s="25">
        <f t="shared" si="81"/>
        <v>113.75999999999998</v>
      </c>
      <c r="M414" s="26">
        <f t="shared" si="82"/>
        <v>0.57454545454545447</v>
      </c>
      <c r="N414" s="27">
        <f t="shared" si="83"/>
        <v>198</v>
      </c>
      <c r="O414" s="28">
        <f t="shared" si="84"/>
        <v>11981</v>
      </c>
      <c r="P414" s="29">
        <f t="shared" si="85"/>
        <v>60.51010101010101</v>
      </c>
      <c r="Q414" s="30">
        <f t="shared" si="86"/>
        <v>198</v>
      </c>
      <c r="R414" s="11" t="str">
        <f t="shared" si="87"/>
        <v>4</v>
      </c>
      <c r="S414" s="10" t="str">
        <f t="shared" si="88"/>
        <v>3</v>
      </c>
      <c r="T414" s="9">
        <f t="shared" si="89"/>
        <v>3</v>
      </c>
      <c r="U414" t="str">
        <f t="shared" si="90"/>
        <v>Mismatch</v>
      </c>
    </row>
    <row r="415" spans="1:21" x14ac:dyDescent="0.2">
      <c r="A415" s="12">
        <v>413</v>
      </c>
      <c r="B415" s="12">
        <v>414</v>
      </c>
      <c r="C415" s="12">
        <v>0.2576</v>
      </c>
      <c r="D415" s="12">
        <v>0.93</v>
      </c>
      <c r="E415" s="12">
        <v>8.9599999999999999E-2</v>
      </c>
      <c r="F415" s="12">
        <v>0</v>
      </c>
      <c r="G415" s="12">
        <v>32</v>
      </c>
      <c r="H415" s="12">
        <v>32</v>
      </c>
      <c r="I415" s="22">
        <f t="shared" si="78"/>
        <v>36.03179999999999</v>
      </c>
      <c r="J415" s="23">
        <f t="shared" si="79"/>
        <v>0.18290253807106593</v>
      </c>
      <c r="K415" s="24">
        <f t="shared" si="80"/>
        <v>197</v>
      </c>
      <c r="L415" s="25">
        <f t="shared" si="81"/>
        <v>112.82999999999998</v>
      </c>
      <c r="M415" s="26">
        <f t="shared" si="82"/>
        <v>0.57274111675126893</v>
      </c>
      <c r="N415" s="27">
        <f t="shared" si="83"/>
        <v>197</v>
      </c>
      <c r="O415" s="28">
        <f t="shared" si="84"/>
        <v>11974</v>
      </c>
      <c r="P415" s="29">
        <f t="shared" si="85"/>
        <v>60.781725888324871</v>
      </c>
      <c r="Q415" s="30">
        <f t="shared" si="86"/>
        <v>197</v>
      </c>
      <c r="R415" s="11" t="str">
        <f t="shared" si="87"/>
        <v>4</v>
      </c>
      <c r="S415" s="10" t="str">
        <f t="shared" si="88"/>
        <v>4</v>
      </c>
      <c r="T415" s="9">
        <f t="shared" si="89"/>
        <v>3</v>
      </c>
      <c r="U415" t="str">
        <f t="shared" si="90"/>
        <v>Match</v>
      </c>
    </row>
    <row r="416" spans="1:21" x14ac:dyDescent="0.2">
      <c r="A416" s="12">
        <v>414</v>
      </c>
      <c r="B416" s="12">
        <v>415</v>
      </c>
      <c r="C416" s="12">
        <v>0.2576</v>
      </c>
      <c r="D416" s="12">
        <v>0.92</v>
      </c>
      <c r="E416" s="12">
        <v>0.1045</v>
      </c>
      <c r="F416" s="12">
        <v>1</v>
      </c>
      <c r="G416" s="12">
        <v>89</v>
      </c>
      <c r="H416" s="12">
        <v>90</v>
      </c>
      <c r="I416" s="22">
        <f t="shared" si="78"/>
        <v>35.774199999999993</v>
      </c>
      <c r="J416" s="23">
        <f t="shared" si="79"/>
        <v>0.18252142857142853</v>
      </c>
      <c r="K416" s="24">
        <f t="shared" si="80"/>
        <v>196</v>
      </c>
      <c r="L416" s="25">
        <f t="shared" si="81"/>
        <v>111.89999999999998</v>
      </c>
      <c r="M416" s="26">
        <f t="shared" si="82"/>
        <v>0.57091836734693868</v>
      </c>
      <c r="N416" s="27">
        <f t="shared" si="83"/>
        <v>196</v>
      </c>
      <c r="O416" s="28">
        <f t="shared" si="84"/>
        <v>11942</v>
      </c>
      <c r="P416" s="29">
        <f t="shared" si="85"/>
        <v>60.928571428571431</v>
      </c>
      <c r="Q416" s="30">
        <f t="shared" si="86"/>
        <v>196</v>
      </c>
      <c r="R416" s="11" t="str">
        <f t="shared" si="87"/>
        <v>4</v>
      </c>
      <c r="S416" s="10" t="str">
        <f t="shared" si="88"/>
        <v>5</v>
      </c>
      <c r="T416" s="9">
        <f t="shared" si="89"/>
        <v>3</v>
      </c>
      <c r="U416" t="str">
        <f t="shared" si="90"/>
        <v>Mismatch</v>
      </c>
    </row>
    <row r="417" spans="1:21" x14ac:dyDescent="0.2">
      <c r="A417" s="12">
        <v>415</v>
      </c>
      <c r="B417" s="12">
        <v>416</v>
      </c>
      <c r="C417" s="12">
        <v>0.2576</v>
      </c>
      <c r="D417" s="12">
        <v>0.93</v>
      </c>
      <c r="E417" s="12">
        <v>0.1045</v>
      </c>
      <c r="F417" s="12">
        <v>1</v>
      </c>
      <c r="G417" s="12">
        <v>196</v>
      </c>
      <c r="H417" s="12">
        <v>197</v>
      </c>
      <c r="I417" s="22">
        <f t="shared" si="78"/>
        <v>35.516599999999997</v>
      </c>
      <c r="J417" s="23">
        <f t="shared" si="79"/>
        <v>0.18213641025641025</v>
      </c>
      <c r="K417" s="24">
        <f t="shared" si="80"/>
        <v>195</v>
      </c>
      <c r="L417" s="25">
        <f t="shared" si="81"/>
        <v>110.97999999999999</v>
      </c>
      <c r="M417" s="26">
        <f t="shared" si="82"/>
        <v>0.56912820512820506</v>
      </c>
      <c r="N417" s="27">
        <f t="shared" si="83"/>
        <v>195</v>
      </c>
      <c r="O417" s="28">
        <f t="shared" si="84"/>
        <v>11852</v>
      </c>
      <c r="P417" s="29">
        <f t="shared" si="85"/>
        <v>60.779487179487177</v>
      </c>
      <c r="Q417" s="30">
        <f t="shared" si="86"/>
        <v>195</v>
      </c>
      <c r="R417" s="11" t="str">
        <f t="shared" si="87"/>
        <v>4</v>
      </c>
      <c r="S417" s="10" t="str">
        <f t="shared" si="88"/>
        <v>6</v>
      </c>
      <c r="T417" s="9">
        <f t="shared" si="89"/>
        <v>3</v>
      </c>
      <c r="U417" t="str">
        <f t="shared" si="90"/>
        <v>Mismatch</v>
      </c>
    </row>
    <row r="418" spans="1:21" x14ac:dyDescent="0.2">
      <c r="A418" s="12">
        <v>416</v>
      </c>
      <c r="B418" s="12">
        <v>417</v>
      </c>
      <c r="C418" s="12">
        <v>0.2576</v>
      </c>
      <c r="D418" s="12">
        <v>0.93</v>
      </c>
      <c r="E418" s="12">
        <v>0.1045</v>
      </c>
      <c r="F418" s="12">
        <v>2</v>
      </c>
      <c r="G418" s="12">
        <v>107</v>
      </c>
      <c r="H418" s="12">
        <v>109</v>
      </c>
      <c r="I418" s="22">
        <f t="shared" si="78"/>
        <v>35.259</v>
      </c>
      <c r="J418" s="23">
        <f t="shared" si="79"/>
        <v>0.18174742268041238</v>
      </c>
      <c r="K418" s="24">
        <f t="shared" si="80"/>
        <v>194</v>
      </c>
      <c r="L418" s="25">
        <f t="shared" si="81"/>
        <v>110.05</v>
      </c>
      <c r="M418" s="26">
        <f t="shared" si="82"/>
        <v>0.56726804123711339</v>
      </c>
      <c r="N418" s="27">
        <f t="shared" si="83"/>
        <v>194</v>
      </c>
      <c r="O418" s="28">
        <f t="shared" si="84"/>
        <v>11655</v>
      </c>
      <c r="P418" s="29">
        <f t="shared" si="85"/>
        <v>60.077319587628864</v>
      </c>
      <c r="Q418" s="30">
        <f t="shared" si="86"/>
        <v>194</v>
      </c>
      <c r="R418" s="11" t="str">
        <f t="shared" si="87"/>
        <v>4</v>
      </c>
      <c r="S418" s="10" t="str">
        <f t="shared" si="88"/>
        <v>7</v>
      </c>
      <c r="T418" s="9">
        <f t="shared" si="89"/>
        <v>3</v>
      </c>
      <c r="U418" t="str">
        <f t="shared" si="90"/>
        <v>Mismatch</v>
      </c>
    </row>
    <row r="419" spans="1:21" x14ac:dyDescent="0.2">
      <c r="A419" s="12">
        <v>417</v>
      </c>
      <c r="B419" s="12">
        <v>418</v>
      </c>
      <c r="C419" s="12">
        <v>0.2727</v>
      </c>
      <c r="D419" s="12">
        <v>0.93</v>
      </c>
      <c r="E419" s="12">
        <v>0.1343</v>
      </c>
      <c r="F419" s="12">
        <v>1</v>
      </c>
      <c r="G419" s="12">
        <v>46</v>
      </c>
      <c r="H419" s="12">
        <v>47</v>
      </c>
      <c r="I419" s="22">
        <f t="shared" si="78"/>
        <v>35.00139999999999</v>
      </c>
      <c r="J419" s="23">
        <f t="shared" si="79"/>
        <v>0.18135440414507767</v>
      </c>
      <c r="K419" s="24">
        <f t="shared" si="80"/>
        <v>193</v>
      </c>
      <c r="L419" s="25">
        <f t="shared" si="81"/>
        <v>109.12</v>
      </c>
      <c r="M419" s="26">
        <f t="shared" si="82"/>
        <v>0.56538860103626942</v>
      </c>
      <c r="N419" s="27">
        <f t="shared" si="83"/>
        <v>193</v>
      </c>
      <c r="O419" s="28">
        <f t="shared" si="84"/>
        <v>11546</v>
      </c>
      <c r="P419" s="29">
        <f t="shared" si="85"/>
        <v>59.823834196891191</v>
      </c>
      <c r="Q419" s="30">
        <f t="shared" si="86"/>
        <v>193</v>
      </c>
      <c r="R419" s="11" t="str">
        <f t="shared" si="87"/>
        <v>4</v>
      </c>
      <c r="S419" s="10" t="str">
        <f t="shared" si="88"/>
        <v>8</v>
      </c>
      <c r="T419" s="9">
        <f t="shared" si="89"/>
        <v>3</v>
      </c>
      <c r="U419" t="str">
        <f t="shared" si="90"/>
        <v>Mismatch</v>
      </c>
    </row>
    <row r="420" spans="1:21" x14ac:dyDescent="0.2">
      <c r="A420" s="12">
        <v>418</v>
      </c>
      <c r="B420" s="12">
        <v>419</v>
      </c>
      <c r="C420" s="12">
        <v>0.30299999999999999</v>
      </c>
      <c r="D420" s="12">
        <v>0.87</v>
      </c>
      <c r="E420" s="12">
        <v>8.9599999999999999E-2</v>
      </c>
      <c r="F420" s="12">
        <v>5</v>
      </c>
      <c r="G420" s="12">
        <v>47</v>
      </c>
      <c r="H420" s="12">
        <v>52</v>
      </c>
      <c r="I420" s="22">
        <f t="shared" si="78"/>
        <v>34.728699999999989</v>
      </c>
      <c r="J420" s="23">
        <f t="shared" si="79"/>
        <v>0.18087864583333327</v>
      </c>
      <c r="K420" s="24">
        <f t="shared" si="80"/>
        <v>192</v>
      </c>
      <c r="L420" s="25">
        <f t="shared" si="81"/>
        <v>108.19000000000001</v>
      </c>
      <c r="M420" s="26">
        <f t="shared" si="82"/>
        <v>0.56348958333333343</v>
      </c>
      <c r="N420" s="27">
        <f t="shared" si="83"/>
        <v>192</v>
      </c>
      <c r="O420" s="28">
        <f t="shared" si="84"/>
        <v>11499</v>
      </c>
      <c r="P420" s="29">
        <f t="shared" si="85"/>
        <v>59.890625</v>
      </c>
      <c r="Q420" s="30">
        <f t="shared" si="86"/>
        <v>192</v>
      </c>
      <c r="R420" s="11" t="str">
        <f t="shared" si="87"/>
        <v>4</v>
      </c>
      <c r="S420" s="10" t="str">
        <f t="shared" si="88"/>
        <v>9</v>
      </c>
      <c r="T420" s="9">
        <f t="shared" si="89"/>
        <v>3</v>
      </c>
      <c r="U420" t="str">
        <f t="shared" si="90"/>
        <v>Mismatch</v>
      </c>
    </row>
    <row r="421" spans="1:21" x14ac:dyDescent="0.2">
      <c r="A421" s="12">
        <v>419</v>
      </c>
      <c r="B421" s="12">
        <v>420</v>
      </c>
      <c r="C421" s="12">
        <v>0.31819999999999998</v>
      </c>
      <c r="D421" s="12">
        <v>0.81</v>
      </c>
      <c r="E421" s="12">
        <v>8.9599999999999999E-2</v>
      </c>
      <c r="F421" s="12">
        <v>5</v>
      </c>
      <c r="G421" s="12">
        <v>65</v>
      </c>
      <c r="H421" s="12">
        <v>70</v>
      </c>
      <c r="I421" s="22">
        <f t="shared" si="78"/>
        <v>34.425699999999985</v>
      </c>
      <c r="J421" s="23">
        <f t="shared" si="79"/>
        <v>0.18023926701570672</v>
      </c>
      <c r="K421" s="24">
        <f t="shared" si="80"/>
        <v>191</v>
      </c>
      <c r="L421" s="25">
        <f t="shared" si="81"/>
        <v>107.32000000000001</v>
      </c>
      <c r="M421" s="26">
        <f t="shared" si="82"/>
        <v>0.56188481675392676</v>
      </c>
      <c r="N421" s="27">
        <f t="shared" si="83"/>
        <v>191</v>
      </c>
      <c r="O421" s="28">
        <f t="shared" si="84"/>
        <v>11447</v>
      </c>
      <c r="P421" s="29">
        <f t="shared" si="85"/>
        <v>59.931937172774866</v>
      </c>
      <c r="Q421" s="30">
        <f t="shared" si="86"/>
        <v>191</v>
      </c>
      <c r="R421" s="11" t="str">
        <f t="shared" si="87"/>
        <v>4</v>
      </c>
      <c r="S421" s="10" t="str">
        <f t="shared" si="88"/>
        <v>0</v>
      </c>
      <c r="T421" s="9">
        <f t="shared" si="89"/>
        <v>3</v>
      </c>
      <c r="U421" t="str">
        <f t="shared" si="90"/>
        <v>Mismatch</v>
      </c>
    </row>
    <row r="422" spans="1:21" x14ac:dyDescent="0.2">
      <c r="A422" s="12">
        <v>420</v>
      </c>
      <c r="B422" s="12">
        <v>421</v>
      </c>
      <c r="C422" s="12">
        <v>0.40910000000000002</v>
      </c>
      <c r="D422" s="12">
        <v>0.62</v>
      </c>
      <c r="E422" s="12">
        <v>0.28360000000000002</v>
      </c>
      <c r="F422" s="12">
        <v>11</v>
      </c>
      <c r="G422" s="12">
        <v>67</v>
      </c>
      <c r="H422" s="12">
        <v>78</v>
      </c>
      <c r="I422" s="22">
        <f t="shared" si="78"/>
        <v>34.107499999999973</v>
      </c>
      <c r="J422" s="23">
        <f t="shared" si="79"/>
        <v>0.17951315789473671</v>
      </c>
      <c r="K422" s="24">
        <f t="shared" si="80"/>
        <v>190</v>
      </c>
      <c r="L422" s="25">
        <f t="shared" si="81"/>
        <v>106.51000000000003</v>
      </c>
      <c r="M422" s="26">
        <f t="shared" si="82"/>
        <v>0.56057894736842118</v>
      </c>
      <c r="N422" s="27">
        <f t="shared" si="83"/>
        <v>190</v>
      </c>
      <c r="O422" s="28">
        <f t="shared" si="84"/>
        <v>11377</v>
      </c>
      <c r="P422" s="29">
        <f t="shared" si="85"/>
        <v>59.878947368421052</v>
      </c>
      <c r="Q422" s="30">
        <f t="shared" si="86"/>
        <v>190</v>
      </c>
      <c r="R422" s="11" t="str">
        <f t="shared" si="87"/>
        <v>4</v>
      </c>
      <c r="S422" s="10" t="str">
        <f t="shared" si="88"/>
        <v>1</v>
      </c>
      <c r="T422" s="9">
        <f t="shared" si="89"/>
        <v>3</v>
      </c>
      <c r="U422" t="str">
        <f t="shared" si="90"/>
        <v>Mismatch</v>
      </c>
    </row>
    <row r="423" spans="1:21" x14ac:dyDescent="0.2">
      <c r="A423" s="12">
        <v>421</v>
      </c>
      <c r="B423" s="12">
        <v>422</v>
      </c>
      <c r="C423" s="12">
        <v>0.40910000000000002</v>
      </c>
      <c r="D423" s="12">
        <v>0.57999999999999996</v>
      </c>
      <c r="E423" s="12">
        <v>0.25369999999999998</v>
      </c>
      <c r="F423" s="12">
        <v>7</v>
      </c>
      <c r="G423" s="12">
        <v>68</v>
      </c>
      <c r="H423" s="12">
        <v>75</v>
      </c>
      <c r="I423" s="22">
        <f t="shared" si="78"/>
        <v>33.698399999999964</v>
      </c>
      <c r="J423" s="23">
        <f t="shared" si="79"/>
        <v>0.17829841269841251</v>
      </c>
      <c r="K423" s="24">
        <f t="shared" si="80"/>
        <v>189</v>
      </c>
      <c r="L423" s="25">
        <f t="shared" si="81"/>
        <v>105.89000000000004</v>
      </c>
      <c r="M423" s="26">
        <f t="shared" si="82"/>
        <v>0.56026455026455046</v>
      </c>
      <c r="N423" s="27">
        <f t="shared" si="83"/>
        <v>189</v>
      </c>
      <c r="O423" s="28">
        <f t="shared" si="84"/>
        <v>11299</v>
      </c>
      <c r="P423" s="29">
        <f t="shared" si="85"/>
        <v>59.783068783068785</v>
      </c>
      <c r="Q423" s="30">
        <f t="shared" si="86"/>
        <v>189</v>
      </c>
      <c r="R423" s="11" t="str">
        <f t="shared" si="87"/>
        <v>4</v>
      </c>
      <c r="S423" s="10" t="str">
        <f t="shared" si="88"/>
        <v>2</v>
      </c>
      <c r="T423" s="9">
        <f t="shared" si="89"/>
        <v>3</v>
      </c>
      <c r="U423" t="str">
        <f t="shared" si="90"/>
        <v>Mismatch</v>
      </c>
    </row>
    <row r="424" spans="1:21" x14ac:dyDescent="0.2">
      <c r="A424" s="12">
        <v>422</v>
      </c>
      <c r="B424" s="12">
        <v>423</v>
      </c>
      <c r="C424" s="12">
        <v>0.40910000000000002</v>
      </c>
      <c r="D424" s="12">
        <v>0.54</v>
      </c>
      <c r="E424" s="12">
        <v>0.28360000000000002</v>
      </c>
      <c r="F424" s="12">
        <v>4</v>
      </c>
      <c r="G424" s="12">
        <v>78</v>
      </c>
      <c r="H424" s="12">
        <v>82</v>
      </c>
      <c r="I424" s="22">
        <f t="shared" si="78"/>
        <v>33.289299999999962</v>
      </c>
      <c r="J424" s="23">
        <f t="shared" si="79"/>
        <v>0.17707074468085085</v>
      </c>
      <c r="K424" s="24">
        <f t="shared" si="80"/>
        <v>188</v>
      </c>
      <c r="L424" s="25">
        <f t="shared" si="81"/>
        <v>105.31000000000004</v>
      </c>
      <c r="M424" s="26">
        <f t="shared" si="82"/>
        <v>0.5601595744680854</v>
      </c>
      <c r="N424" s="27">
        <f t="shared" si="83"/>
        <v>188</v>
      </c>
      <c r="O424" s="28">
        <f t="shared" si="84"/>
        <v>11224</v>
      </c>
      <c r="P424" s="29">
        <f t="shared" si="85"/>
        <v>59.702127659574465</v>
      </c>
      <c r="Q424" s="30">
        <f t="shared" si="86"/>
        <v>188</v>
      </c>
      <c r="R424" s="11" t="str">
        <f t="shared" si="87"/>
        <v>4</v>
      </c>
      <c r="S424" s="10" t="str">
        <f t="shared" si="88"/>
        <v>3</v>
      </c>
      <c r="T424" s="9">
        <f t="shared" si="89"/>
        <v>3</v>
      </c>
      <c r="U424" t="str">
        <f t="shared" si="90"/>
        <v>Mismatch</v>
      </c>
    </row>
    <row r="425" spans="1:21" x14ac:dyDescent="0.2">
      <c r="A425" s="12">
        <v>423</v>
      </c>
      <c r="B425" s="12">
        <v>424</v>
      </c>
      <c r="C425" s="12">
        <v>0.39389999999999997</v>
      </c>
      <c r="D425" s="12">
        <v>0.57999999999999996</v>
      </c>
      <c r="E425" s="12">
        <v>0.3881</v>
      </c>
      <c r="F425" s="12">
        <v>10</v>
      </c>
      <c r="G425" s="12">
        <v>94</v>
      </c>
      <c r="H425" s="12">
        <v>104</v>
      </c>
      <c r="I425" s="22">
        <f t="shared" si="78"/>
        <v>32.880199999999967</v>
      </c>
      <c r="J425" s="23">
        <f t="shared" si="79"/>
        <v>0.175829946524064</v>
      </c>
      <c r="K425" s="24">
        <f t="shared" si="80"/>
        <v>187</v>
      </c>
      <c r="L425" s="25">
        <f t="shared" si="81"/>
        <v>104.77000000000007</v>
      </c>
      <c r="M425" s="26">
        <f t="shared" si="82"/>
        <v>0.56026737967914475</v>
      </c>
      <c r="N425" s="27">
        <f t="shared" si="83"/>
        <v>187</v>
      </c>
      <c r="O425" s="28">
        <f t="shared" si="84"/>
        <v>11142</v>
      </c>
      <c r="P425" s="29">
        <f t="shared" si="85"/>
        <v>59.582887700534762</v>
      </c>
      <c r="Q425" s="30">
        <f t="shared" si="86"/>
        <v>187</v>
      </c>
      <c r="R425" s="11" t="str">
        <f t="shared" si="87"/>
        <v>4</v>
      </c>
      <c r="S425" s="10" t="str">
        <f t="shared" si="88"/>
        <v>4</v>
      </c>
      <c r="T425" s="9">
        <f t="shared" si="89"/>
        <v>3</v>
      </c>
      <c r="U425" t="str">
        <f t="shared" si="90"/>
        <v>Match</v>
      </c>
    </row>
    <row r="426" spans="1:21" x14ac:dyDescent="0.2">
      <c r="A426" s="12">
        <v>424</v>
      </c>
      <c r="B426" s="12">
        <v>425</v>
      </c>
      <c r="C426" s="12">
        <v>0.33329999999999999</v>
      </c>
      <c r="D426" s="12">
        <v>0.56999999999999995</v>
      </c>
      <c r="E426" s="12">
        <v>0.32840000000000003</v>
      </c>
      <c r="F426" s="12">
        <v>7</v>
      </c>
      <c r="G426" s="12">
        <v>190</v>
      </c>
      <c r="H426" s="12">
        <v>197</v>
      </c>
      <c r="I426" s="22">
        <f t="shared" si="78"/>
        <v>32.48629999999995</v>
      </c>
      <c r="J426" s="23">
        <f t="shared" si="79"/>
        <v>0.17465752688172015</v>
      </c>
      <c r="K426" s="24">
        <f t="shared" si="80"/>
        <v>186</v>
      </c>
      <c r="L426" s="25">
        <f t="shared" si="81"/>
        <v>104.19000000000007</v>
      </c>
      <c r="M426" s="26">
        <f t="shared" si="82"/>
        <v>0.560161290322581</v>
      </c>
      <c r="N426" s="27">
        <f t="shared" si="83"/>
        <v>186</v>
      </c>
      <c r="O426" s="28">
        <f t="shared" si="84"/>
        <v>11038</v>
      </c>
      <c r="P426" s="29">
        <f t="shared" si="85"/>
        <v>59.344086021505376</v>
      </c>
      <c r="Q426" s="30">
        <f t="shared" si="86"/>
        <v>186</v>
      </c>
      <c r="R426" s="11" t="str">
        <f t="shared" si="87"/>
        <v>4</v>
      </c>
      <c r="S426" s="10" t="str">
        <f t="shared" si="88"/>
        <v>5</v>
      </c>
      <c r="T426" s="9">
        <f t="shared" si="89"/>
        <v>3</v>
      </c>
      <c r="U426" t="str">
        <f t="shared" si="90"/>
        <v>Mismatch</v>
      </c>
    </row>
    <row r="427" spans="1:21" x14ac:dyDescent="0.2">
      <c r="A427" s="12">
        <v>425</v>
      </c>
      <c r="B427" s="12">
        <v>426</v>
      </c>
      <c r="C427" s="12">
        <v>0.31819999999999998</v>
      </c>
      <c r="D427" s="12">
        <v>0.61</v>
      </c>
      <c r="E427" s="12">
        <v>0.28360000000000002</v>
      </c>
      <c r="F427" s="12">
        <v>5</v>
      </c>
      <c r="G427" s="12">
        <v>156</v>
      </c>
      <c r="H427" s="12">
        <v>161</v>
      </c>
      <c r="I427" s="22">
        <f t="shared" si="78"/>
        <v>32.152999999999956</v>
      </c>
      <c r="J427" s="23">
        <f t="shared" si="79"/>
        <v>0.17379999999999976</v>
      </c>
      <c r="K427" s="24">
        <f t="shared" si="80"/>
        <v>185</v>
      </c>
      <c r="L427" s="25">
        <f t="shared" si="81"/>
        <v>103.62000000000006</v>
      </c>
      <c r="M427" s="26">
        <f t="shared" si="82"/>
        <v>0.5601081081081084</v>
      </c>
      <c r="N427" s="27">
        <f t="shared" si="83"/>
        <v>185</v>
      </c>
      <c r="O427" s="28">
        <f t="shared" si="84"/>
        <v>10841</v>
      </c>
      <c r="P427" s="29">
        <f t="shared" si="85"/>
        <v>58.6</v>
      </c>
      <c r="Q427" s="30">
        <f t="shared" si="86"/>
        <v>185</v>
      </c>
      <c r="R427" s="11" t="str">
        <f t="shared" si="87"/>
        <v>4</v>
      </c>
      <c r="S427" s="10" t="str">
        <f t="shared" si="88"/>
        <v>6</v>
      </c>
      <c r="T427" s="9">
        <f t="shared" si="89"/>
        <v>3</v>
      </c>
      <c r="U427" t="str">
        <f t="shared" si="90"/>
        <v>Mismatch</v>
      </c>
    </row>
    <row r="428" spans="1:21" x14ac:dyDescent="0.2">
      <c r="A428" s="12">
        <v>426</v>
      </c>
      <c r="B428" s="12">
        <v>427</v>
      </c>
      <c r="C428" s="12">
        <v>0.28789999999999999</v>
      </c>
      <c r="D428" s="12">
        <v>0.56999999999999995</v>
      </c>
      <c r="E428" s="12">
        <v>0.41789999999999999</v>
      </c>
      <c r="F428" s="12">
        <v>4</v>
      </c>
      <c r="G428" s="12">
        <v>108</v>
      </c>
      <c r="H428" s="12">
        <v>112</v>
      </c>
      <c r="I428" s="22">
        <f t="shared" si="78"/>
        <v>31.834799999999959</v>
      </c>
      <c r="J428" s="23">
        <f t="shared" si="79"/>
        <v>0.17301521739130413</v>
      </c>
      <c r="K428" s="24">
        <f t="shared" si="80"/>
        <v>184</v>
      </c>
      <c r="L428" s="25">
        <f t="shared" si="81"/>
        <v>103.01000000000006</v>
      </c>
      <c r="M428" s="26">
        <f t="shared" si="82"/>
        <v>0.55983695652173948</v>
      </c>
      <c r="N428" s="27">
        <f t="shared" si="83"/>
        <v>184</v>
      </c>
      <c r="O428" s="28">
        <f t="shared" si="84"/>
        <v>10680</v>
      </c>
      <c r="P428" s="29">
        <f t="shared" si="85"/>
        <v>58.043478260869563</v>
      </c>
      <c r="Q428" s="30">
        <f t="shared" si="86"/>
        <v>184</v>
      </c>
      <c r="R428" s="11" t="str">
        <f t="shared" si="87"/>
        <v>4</v>
      </c>
      <c r="S428" s="10" t="str">
        <f t="shared" si="88"/>
        <v>7</v>
      </c>
      <c r="T428" s="9">
        <f t="shared" si="89"/>
        <v>3</v>
      </c>
      <c r="U428" t="str">
        <f t="shared" si="90"/>
        <v>Mismatch</v>
      </c>
    </row>
    <row r="429" spans="1:21" x14ac:dyDescent="0.2">
      <c r="A429" s="12">
        <v>427</v>
      </c>
      <c r="B429" s="12">
        <v>428</v>
      </c>
      <c r="C429" s="12">
        <v>0.30299999999999999</v>
      </c>
      <c r="D429" s="12">
        <v>0.49</v>
      </c>
      <c r="E429" s="12">
        <v>0.29849999999999999</v>
      </c>
      <c r="F429" s="12">
        <v>2</v>
      </c>
      <c r="G429" s="12">
        <v>74</v>
      </c>
      <c r="H429" s="12">
        <v>76</v>
      </c>
      <c r="I429" s="22">
        <f t="shared" si="78"/>
        <v>31.546899999999962</v>
      </c>
      <c r="J429" s="23">
        <f t="shared" si="79"/>
        <v>0.17238743169398887</v>
      </c>
      <c r="K429" s="24">
        <f t="shared" si="80"/>
        <v>183</v>
      </c>
      <c r="L429" s="25">
        <f t="shared" si="81"/>
        <v>102.44000000000007</v>
      </c>
      <c r="M429" s="26">
        <f t="shared" si="82"/>
        <v>0.55978142076502768</v>
      </c>
      <c r="N429" s="27">
        <f t="shared" si="83"/>
        <v>183</v>
      </c>
      <c r="O429" s="28">
        <f t="shared" si="84"/>
        <v>10568</v>
      </c>
      <c r="P429" s="29">
        <f t="shared" si="85"/>
        <v>57.748633879781423</v>
      </c>
      <c r="Q429" s="30">
        <f t="shared" si="86"/>
        <v>183</v>
      </c>
      <c r="R429" s="11" t="str">
        <f t="shared" si="87"/>
        <v>4</v>
      </c>
      <c r="S429" s="10" t="str">
        <f t="shared" si="88"/>
        <v>8</v>
      </c>
      <c r="T429" s="9">
        <f t="shared" si="89"/>
        <v>3</v>
      </c>
      <c r="U429" t="str">
        <f t="shared" si="90"/>
        <v>Mismatch</v>
      </c>
    </row>
    <row r="430" spans="1:21" x14ac:dyDescent="0.2">
      <c r="A430" s="12">
        <v>428</v>
      </c>
      <c r="B430" s="12">
        <v>429</v>
      </c>
      <c r="C430" s="12">
        <v>0.28789999999999999</v>
      </c>
      <c r="D430" s="12">
        <v>0.49</v>
      </c>
      <c r="E430" s="12">
        <v>0.41789999999999999</v>
      </c>
      <c r="F430" s="12">
        <v>4</v>
      </c>
      <c r="G430" s="12">
        <v>55</v>
      </c>
      <c r="H430" s="12">
        <v>59</v>
      </c>
      <c r="I430" s="22">
        <f t="shared" si="78"/>
        <v>31.243899999999961</v>
      </c>
      <c r="J430" s="23">
        <f t="shared" si="79"/>
        <v>0.17166978021977999</v>
      </c>
      <c r="K430" s="24">
        <f t="shared" si="80"/>
        <v>182</v>
      </c>
      <c r="L430" s="25">
        <f t="shared" si="81"/>
        <v>101.95000000000007</v>
      </c>
      <c r="M430" s="26">
        <f t="shared" si="82"/>
        <v>0.56016483516483562</v>
      </c>
      <c r="N430" s="27">
        <f t="shared" si="83"/>
        <v>182</v>
      </c>
      <c r="O430" s="28">
        <f t="shared" si="84"/>
        <v>10492</v>
      </c>
      <c r="P430" s="29">
        <f t="shared" si="85"/>
        <v>57.64835164835165</v>
      </c>
      <c r="Q430" s="30">
        <f t="shared" si="86"/>
        <v>182</v>
      </c>
      <c r="R430" s="11" t="str">
        <f t="shared" si="87"/>
        <v>4</v>
      </c>
      <c r="S430" s="10" t="str">
        <f t="shared" si="88"/>
        <v>9</v>
      </c>
      <c r="T430" s="9">
        <f t="shared" si="89"/>
        <v>3</v>
      </c>
      <c r="U430" t="str">
        <f t="shared" si="90"/>
        <v>Mismatch</v>
      </c>
    </row>
    <row r="431" spans="1:21" x14ac:dyDescent="0.2">
      <c r="A431" s="12">
        <v>429</v>
      </c>
      <c r="B431" s="12">
        <v>430</v>
      </c>
      <c r="C431" s="12">
        <v>0.30299999999999999</v>
      </c>
      <c r="D431" s="12">
        <v>0.52</v>
      </c>
      <c r="E431" s="12">
        <v>0.16420000000000001</v>
      </c>
      <c r="F431" s="12">
        <v>6</v>
      </c>
      <c r="G431" s="12">
        <v>53</v>
      </c>
      <c r="H431" s="12">
        <v>59</v>
      </c>
      <c r="I431" s="22">
        <f t="shared" si="78"/>
        <v>30.955999999999968</v>
      </c>
      <c r="J431" s="23">
        <f t="shared" si="79"/>
        <v>0.17102762430939208</v>
      </c>
      <c r="K431" s="24">
        <f t="shared" si="80"/>
        <v>181</v>
      </c>
      <c r="L431" s="25">
        <f t="shared" si="81"/>
        <v>101.46000000000008</v>
      </c>
      <c r="M431" s="26">
        <f t="shared" si="82"/>
        <v>0.5605524861878457</v>
      </c>
      <c r="N431" s="27">
        <f t="shared" si="83"/>
        <v>181</v>
      </c>
      <c r="O431" s="28">
        <f t="shared" si="84"/>
        <v>10433</v>
      </c>
      <c r="P431" s="29">
        <f t="shared" si="85"/>
        <v>57.64088397790055</v>
      </c>
      <c r="Q431" s="30">
        <f t="shared" si="86"/>
        <v>181</v>
      </c>
      <c r="R431" s="11" t="str">
        <f t="shared" si="87"/>
        <v>4</v>
      </c>
      <c r="S431" s="10" t="str">
        <f t="shared" si="88"/>
        <v>0</v>
      </c>
      <c r="T431" s="9">
        <f t="shared" si="89"/>
        <v>3</v>
      </c>
      <c r="U431" t="str">
        <f t="shared" si="90"/>
        <v>Mismatch</v>
      </c>
    </row>
    <row r="432" spans="1:21" x14ac:dyDescent="0.2">
      <c r="A432" s="12">
        <v>430</v>
      </c>
      <c r="B432" s="12">
        <v>431</v>
      </c>
      <c r="C432" s="12">
        <v>0.2727</v>
      </c>
      <c r="D432" s="12">
        <v>0.52</v>
      </c>
      <c r="E432" s="12">
        <v>0.4627</v>
      </c>
      <c r="F432" s="12">
        <v>1</v>
      </c>
      <c r="G432" s="12">
        <v>27</v>
      </c>
      <c r="H432" s="12">
        <v>28</v>
      </c>
      <c r="I432" s="22">
        <f t="shared" si="78"/>
        <v>30.65299999999997</v>
      </c>
      <c r="J432" s="23">
        <f t="shared" si="79"/>
        <v>0.17029444444444428</v>
      </c>
      <c r="K432" s="24">
        <f t="shared" si="80"/>
        <v>180</v>
      </c>
      <c r="L432" s="25">
        <f t="shared" si="81"/>
        <v>100.94000000000007</v>
      </c>
      <c r="M432" s="26">
        <f t="shared" si="82"/>
        <v>0.56077777777777815</v>
      </c>
      <c r="N432" s="27">
        <f t="shared" si="83"/>
        <v>180</v>
      </c>
      <c r="O432" s="28">
        <f t="shared" si="84"/>
        <v>10374</v>
      </c>
      <c r="P432" s="29">
        <f t="shared" si="85"/>
        <v>57.633333333333333</v>
      </c>
      <c r="Q432" s="30">
        <f t="shared" si="86"/>
        <v>180</v>
      </c>
      <c r="R432" s="11" t="str">
        <f t="shared" si="87"/>
        <v>4</v>
      </c>
      <c r="S432" s="10" t="str">
        <f t="shared" si="88"/>
        <v>1</v>
      </c>
      <c r="T432" s="9">
        <f t="shared" si="89"/>
        <v>3</v>
      </c>
      <c r="U432" t="str">
        <f t="shared" si="90"/>
        <v>Mismatch</v>
      </c>
    </row>
    <row r="433" spans="1:21" x14ac:dyDescent="0.2">
      <c r="A433" s="12">
        <v>431</v>
      </c>
      <c r="B433" s="12">
        <v>432</v>
      </c>
      <c r="C433" s="12">
        <v>0.2273</v>
      </c>
      <c r="D433" s="12">
        <v>0.56000000000000005</v>
      </c>
      <c r="E433" s="12">
        <v>0.3881</v>
      </c>
      <c r="F433" s="12">
        <v>5</v>
      </c>
      <c r="G433" s="12">
        <v>8</v>
      </c>
      <c r="H433" s="12">
        <v>13</v>
      </c>
      <c r="I433" s="22">
        <f t="shared" si="78"/>
        <v>30.38029999999997</v>
      </c>
      <c r="J433" s="23">
        <f t="shared" si="79"/>
        <v>0.16972234636871492</v>
      </c>
      <c r="K433" s="24">
        <f t="shared" si="80"/>
        <v>179</v>
      </c>
      <c r="L433" s="25">
        <f t="shared" si="81"/>
        <v>100.42000000000007</v>
      </c>
      <c r="M433" s="26">
        <f t="shared" si="82"/>
        <v>0.56100558659217914</v>
      </c>
      <c r="N433" s="27">
        <f t="shared" si="83"/>
        <v>179</v>
      </c>
      <c r="O433" s="28">
        <f t="shared" si="84"/>
        <v>10346</v>
      </c>
      <c r="P433" s="29">
        <f t="shared" si="85"/>
        <v>57.798882681564244</v>
      </c>
      <c r="Q433" s="30">
        <f t="shared" si="86"/>
        <v>179</v>
      </c>
      <c r="R433" s="11" t="str">
        <f t="shared" si="87"/>
        <v>4</v>
      </c>
      <c r="S433" s="10" t="str">
        <f t="shared" si="88"/>
        <v>2</v>
      </c>
      <c r="T433" s="9">
        <f t="shared" si="89"/>
        <v>3</v>
      </c>
      <c r="U433" t="str">
        <f t="shared" si="90"/>
        <v>Mismatch</v>
      </c>
    </row>
    <row r="434" spans="1:21" x14ac:dyDescent="0.2">
      <c r="A434" s="12">
        <v>432</v>
      </c>
      <c r="B434" s="12">
        <v>433</v>
      </c>
      <c r="C434" s="12">
        <v>0.2727</v>
      </c>
      <c r="D434" s="12">
        <v>0.56000000000000005</v>
      </c>
      <c r="E434" s="12">
        <v>0</v>
      </c>
      <c r="F434" s="12">
        <v>2</v>
      </c>
      <c r="G434" s="12">
        <v>3</v>
      </c>
      <c r="H434" s="12">
        <v>5</v>
      </c>
      <c r="I434" s="22">
        <f t="shared" si="78"/>
        <v>30.15299999999997</v>
      </c>
      <c r="J434" s="23">
        <f t="shared" si="79"/>
        <v>0.16939887640449422</v>
      </c>
      <c r="K434" s="24">
        <f t="shared" si="80"/>
        <v>178</v>
      </c>
      <c r="L434" s="25">
        <f t="shared" si="81"/>
        <v>99.86000000000007</v>
      </c>
      <c r="M434" s="26">
        <f t="shared" si="82"/>
        <v>0.56101123595505653</v>
      </c>
      <c r="N434" s="27">
        <f t="shared" si="83"/>
        <v>178</v>
      </c>
      <c r="O434" s="28">
        <f t="shared" si="84"/>
        <v>10333</v>
      </c>
      <c r="P434" s="29">
        <f t="shared" si="85"/>
        <v>58.050561797752806</v>
      </c>
      <c r="Q434" s="30">
        <f t="shared" si="86"/>
        <v>178</v>
      </c>
      <c r="R434" s="11" t="str">
        <f t="shared" si="87"/>
        <v>4</v>
      </c>
      <c r="S434" s="10" t="str">
        <f t="shared" si="88"/>
        <v>3</v>
      </c>
      <c r="T434" s="9">
        <f t="shared" si="89"/>
        <v>3</v>
      </c>
      <c r="U434" t="str">
        <f t="shared" si="90"/>
        <v>Mismatch</v>
      </c>
    </row>
    <row r="435" spans="1:21" x14ac:dyDescent="0.2">
      <c r="A435" s="12">
        <v>433</v>
      </c>
      <c r="B435" s="12">
        <v>434</v>
      </c>
      <c r="C435" s="12">
        <v>0.2727</v>
      </c>
      <c r="D435" s="12">
        <v>0.56000000000000005</v>
      </c>
      <c r="E435" s="12">
        <v>0</v>
      </c>
      <c r="F435" s="12">
        <v>0</v>
      </c>
      <c r="G435" s="12">
        <v>2</v>
      </c>
      <c r="H435" s="12">
        <v>2</v>
      </c>
      <c r="I435" s="22">
        <f t="shared" si="78"/>
        <v>29.880299999999973</v>
      </c>
      <c r="J435" s="23">
        <f t="shared" si="79"/>
        <v>0.16881525423728799</v>
      </c>
      <c r="K435" s="24">
        <f t="shared" si="80"/>
        <v>177</v>
      </c>
      <c r="L435" s="25">
        <f t="shared" si="81"/>
        <v>99.300000000000082</v>
      </c>
      <c r="M435" s="26">
        <f t="shared" si="82"/>
        <v>0.56101694915254285</v>
      </c>
      <c r="N435" s="27">
        <f t="shared" si="83"/>
        <v>177</v>
      </c>
      <c r="O435" s="28">
        <f t="shared" si="84"/>
        <v>10328</v>
      </c>
      <c r="P435" s="29">
        <f t="shared" si="85"/>
        <v>58.350282485875709</v>
      </c>
      <c r="Q435" s="30">
        <f t="shared" si="86"/>
        <v>177</v>
      </c>
      <c r="R435" s="11" t="str">
        <f t="shared" si="87"/>
        <v>4</v>
      </c>
      <c r="S435" s="10" t="str">
        <f t="shared" si="88"/>
        <v>4</v>
      </c>
      <c r="T435" s="9">
        <f t="shared" si="89"/>
        <v>3</v>
      </c>
      <c r="U435" t="str">
        <f t="shared" si="90"/>
        <v>Match</v>
      </c>
    </row>
    <row r="436" spans="1:21" x14ac:dyDescent="0.2">
      <c r="A436" s="12">
        <v>434</v>
      </c>
      <c r="B436" s="12">
        <v>435</v>
      </c>
      <c r="C436" s="12">
        <v>0.2576</v>
      </c>
      <c r="D436" s="12">
        <v>0.56000000000000005</v>
      </c>
      <c r="E436" s="12">
        <v>0.16420000000000001</v>
      </c>
      <c r="F436" s="12">
        <v>0</v>
      </c>
      <c r="G436" s="12">
        <v>1</v>
      </c>
      <c r="H436" s="12">
        <v>1</v>
      </c>
      <c r="I436" s="22">
        <f t="shared" si="78"/>
        <v>29.607599999999973</v>
      </c>
      <c r="J436" s="23">
        <f t="shared" si="79"/>
        <v>0.16822499999999985</v>
      </c>
      <c r="K436" s="24">
        <f t="shared" si="80"/>
        <v>176</v>
      </c>
      <c r="L436" s="25">
        <f t="shared" si="81"/>
        <v>98.74000000000008</v>
      </c>
      <c r="M436" s="26">
        <f t="shared" si="82"/>
        <v>0.56102272727272773</v>
      </c>
      <c r="N436" s="27">
        <f t="shared" si="83"/>
        <v>176</v>
      </c>
      <c r="O436" s="28">
        <f t="shared" si="84"/>
        <v>10326</v>
      </c>
      <c r="P436" s="29">
        <f t="shared" si="85"/>
        <v>58.670454545454547</v>
      </c>
      <c r="Q436" s="30">
        <f t="shared" si="86"/>
        <v>176</v>
      </c>
      <c r="R436" s="11" t="str">
        <f t="shared" si="87"/>
        <v>4</v>
      </c>
      <c r="S436" s="10" t="str">
        <f t="shared" si="88"/>
        <v>5</v>
      </c>
      <c r="T436" s="9">
        <f t="shared" si="89"/>
        <v>3</v>
      </c>
      <c r="U436" t="str">
        <f t="shared" si="90"/>
        <v>Mismatch</v>
      </c>
    </row>
    <row r="437" spans="1:21" x14ac:dyDescent="0.2">
      <c r="A437" s="12">
        <v>435</v>
      </c>
      <c r="B437" s="12">
        <v>436</v>
      </c>
      <c r="C437" s="12">
        <v>0.2576</v>
      </c>
      <c r="D437" s="12">
        <v>0.56000000000000005</v>
      </c>
      <c r="E437" s="12">
        <v>0.16420000000000001</v>
      </c>
      <c r="F437" s="12">
        <v>0</v>
      </c>
      <c r="G437" s="12">
        <v>1</v>
      </c>
      <c r="H437" s="12">
        <v>1</v>
      </c>
      <c r="I437" s="22">
        <f t="shared" si="78"/>
        <v>29.34999999999998</v>
      </c>
      <c r="J437" s="23">
        <f t="shared" si="79"/>
        <v>0.16771428571428559</v>
      </c>
      <c r="K437" s="24">
        <f t="shared" si="80"/>
        <v>175</v>
      </c>
      <c r="L437" s="25">
        <f t="shared" si="81"/>
        <v>98.180000000000064</v>
      </c>
      <c r="M437" s="26">
        <f t="shared" si="82"/>
        <v>0.56102857142857177</v>
      </c>
      <c r="N437" s="27">
        <f t="shared" si="83"/>
        <v>175</v>
      </c>
      <c r="O437" s="28">
        <f t="shared" si="84"/>
        <v>10325</v>
      </c>
      <c r="P437" s="29">
        <f t="shared" si="85"/>
        <v>59</v>
      </c>
      <c r="Q437" s="30">
        <f t="shared" si="86"/>
        <v>175</v>
      </c>
      <c r="R437" s="11" t="str">
        <f t="shared" si="87"/>
        <v>4</v>
      </c>
      <c r="S437" s="10" t="str">
        <f t="shared" si="88"/>
        <v>6</v>
      </c>
      <c r="T437" s="9">
        <f t="shared" si="89"/>
        <v>3</v>
      </c>
      <c r="U437" t="str">
        <f t="shared" si="90"/>
        <v>Mismatch</v>
      </c>
    </row>
    <row r="438" spans="1:21" x14ac:dyDescent="0.2">
      <c r="A438" s="12">
        <v>436</v>
      </c>
      <c r="B438" s="12">
        <v>437</v>
      </c>
      <c r="C438" s="12">
        <v>0.2273</v>
      </c>
      <c r="D438" s="12">
        <v>0.6</v>
      </c>
      <c r="E438" s="12">
        <v>0.22389999999999999</v>
      </c>
      <c r="F438" s="12">
        <v>0</v>
      </c>
      <c r="G438" s="12">
        <v>6</v>
      </c>
      <c r="H438" s="12">
        <v>6</v>
      </c>
      <c r="I438" s="22">
        <f t="shared" si="78"/>
        <v>29.09239999999998</v>
      </c>
      <c r="J438" s="23">
        <f t="shared" si="79"/>
        <v>0.16719770114942517</v>
      </c>
      <c r="K438" s="24">
        <f t="shared" si="80"/>
        <v>174</v>
      </c>
      <c r="L438" s="25">
        <f t="shared" si="81"/>
        <v>97.620000000000061</v>
      </c>
      <c r="M438" s="26">
        <f t="shared" si="82"/>
        <v>0.561034482758621</v>
      </c>
      <c r="N438" s="27">
        <f t="shared" si="83"/>
        <v>174</v>
      </c>
      <c r="O438" s="28">
        <f t="shared" si="84"/>
        <v>10324</v>
      </c>
      <c r="P438" s="29">
        <f t="shared" si="85"/>
        <v>59.333333333333336</v>
      </c>
      <c r="Q438" s="30">
        <f t="shared" si="86"/>
        <v>174</v>
      </c>
      <c r="R438" s="11" t="str">
        <f t="shared" si="87"/>
        <v>4</v>
      </c>
      <c r="S438" s="10" t="str">
        <f t="shared" si="88"/>
        <v>7</v>
      </c>
      <c r="T438" s="9">
        <f t="shared" si="89"/>
        <v>3</v>
      </c>
      <c r="U438" t="str">
        <f t="shared" si="90"/>
        <v>Mismatch</v>
      </c>
    </row>
    <row r="439" spans="1:21" x14ac:dyDescent="0.2">
      <c r="A439" s="12">
        <v>437</v>
      </c>
      <c r="B439" s="12">
        <v>438</v>
      </c>
      <c r="C439" s="12">
        <v>0.21210000000000001</v>
      </c>
      <c r="D439" s="12">
        <v>0.6</v>
      </c>
      <c r="E439" s="12">
        <v>0.22389999999999999</v>
      </c>
      <c r="F439" s="12">
        <v>0</v>
      </c>
      <c r="G439" s="12">
        <v>35</v>
      </c>
      <c r="H439" s="12">
        <v>35</v>
      </c>
      <c r="I439" s="22">
        <f t="shared" si="78"/>
        <v>28.865099999999984</v>
      </c>
      <c r="J439" s="23">
        <f t="shared" si="79"/>
        <v>0.16685028901734095</v>
      </c>
      <c r="K439" s="24">
        <f t="shared" si="80"/>
        <v>173</v>
      </c>
      <c r="L439" s="25">
        <f t="shared" si="81"/>
        <v>97.020000000000053</v>
      </c>
      <c r="M439" s="26">
        <f t="shared" si="82"/>
        <v>0.56080924855491365</v>
      </c>
      <c r="N439" s="27">
        <f t="shared" si="83"/>
        <v>173</v>
      </c>
      <c r="O439" s="28">
        <f t="shared" si="84"/>
        <v>10318</v>
      </c>
      <c r="P439" s="29">
        <f t="shared" si="85"/>
        <v>59.641618497109825</v>
      </c>
      <c r="Q439" s="30">
        <f t="shared" si="86"/>
        <v>173</v>
      </c>
      <c r="R439" s="11" t="str">
        <f t="shared" si="87"/>
        <v>4</v>
      </c>
      <c r="S439" s="10" t="str">
        <f t="shared" si="88"/>
        <v>8</v>
      </c>
      <c r="T439" s="9">
        <f t="shared" si="89"/>
        <v>3</v>
      </c>
      <c r="U439" t="str">
        <f t="shared" si="90"/>
        <v>Mismatch</v>
      </c>
    </row>
    <row r="440" spans="1:21" x14ac:dyDescent="0.2">
      <c r="A440" s="12">
        <v>438</v>
      </c>
      <c r="B440" s="12">
        <v>439</v>
      </c>
      <c r="C440" s="12">
        <v>0.21210000000000001</v>
      </c>
      <c r="D440" s="12">
        <v>0.55000000000000004</v>
      </c>
      <c r="E440" s="12">
        <v>0.22389999999999999</v>
      </c>
      <c r="F440" s="12">
        <v>1</v>
      </c>
      <c r="G440" s="12">
        <v>100</v>
      </c>
      <c r="H440" s="12">
        <v>101</v>
      </c>
      <c r="I440" s="22">
        <f t="shared" si="78"/>
        <v>28.652999999999988</v>
      </c>
      <c r="J440" s="23">
        <f t="shared" si="79"/>
        <v>0.16658720930232551</v>
      </c>
      <c r="K440" s="24">
        <f t="shared" si="80"/>
        <v>172</v>
      </c>
      <c r="L440" s="25">
        <f t="shared" si="81"/>
        <v>96.420000000000059</v>
      </c>
      <c r="M440" s="26">
        <f t="shared" si="82"/>
        <v>0.56058139534883755</v>
      </c>
      <c r="N440" s="27">
        <f t="shared" si="83"/>
        <v>172</v>
      </c>
      <c r="O440" s="28">
        <f t="shared" si="84"/>
        <v>10283</v>
      </c>
      <c r="P440" s="29">
        <f t="shared" si="85"/>
        <v>59.784883720930232</v>
      </c>
      <c r="Q440" s="30">
        <f t="shared" si="86"/>
        <v>172</v>
      </c>
      <c r="R440" s="11" t="str">
        <f t="shared" si="87"/>
        <v>4</v>
      </c>
      <c r="S440" s="10" t="str">
        <f t="shared" si="88"/>
        <v>9</v>
      </c>
      <c r="T440" s="9">
        <f t="shared" si="89"/>
        <v>3</v>
      </c>
      <c r="U440" t="str">
        <f t="shared" si="90"/>
        <v>Mismatch</v>
      </c>
    </row>
    <row r="441" spans="1:21" x14ac:dyDescent="0.2">
      <c r="A441" s="12">
        <v>439</v>
      </c>
      <c r="B441" s="12">
        <v>440</v>
      </c>
      <c r="C441" s="12">
        <v>0.21210000000000001</v>
      </c>
      <c r="D441" s="12">
        <v>0.55000000000000004</v>
      </c>
      <c r="E441" s="12">
        <v>0.28360000000000002</v>
      </c>
      <c r="F441" s="12">
        <v>2</v>
      </c>
      <c r="G441" s="12">
        <v>247</v>
      </c>
      <c r="H441" s="12">
        <v>249</v>
      </c>
      <c r="I441" s="22">
        <f t="shared" si="78"/>
        <v>28.440899999999989</v>
      </c>
      <c r="J441" s="23">
        <f t="shared" si="79"/>
        <v>0.16632105263157887</v>
      </c>
      <c r="K441" s="24">
        <f t="shared" si="80"/>
        <v>171</v>
      </c>
      <c r="L441" s="25">
        <f t="shared" si="81"/>
        <v>95.870000000000061</v>
      </c>
      <c r="M441" s="26">
        <f t="shared" si="82"/>
        <v>0.5606432748538015</v>
      </c>
      <c r="N441" s="27">
        <f t="shared" si="83"/>
        <v>171</v>
      </c>
      <c r="O441" s="28">
        <f t="shared" si="84"/>
        <v>10182</v>
      </c>
      <c r="P441" s="29">
        <f t="shared" si="85"/>
        <v>59.543859649122808</v>
      </c>
      <c r="Q441" s="30">
        <f t="shared" si="86"/>
        <v>171</v>
      </c>
      <c r="R441" s="11" t="str">
        <f t="shared" si="87"/>
        <v>4</v>
      </c>
      <c r="S441" s="10" t="str">
        <f t="shared" si="88"/>
        <v>0</v>
      </c>
      <c r="T441" s="9">
        <f t="shared" si="89"/>
        <v>3</v>
      </c>
      <c r="U441" t="str">
        <f t="shared" si="90"/>
        <v>Mismatch</v>
      </c>
    </row>
    <row r="442" spans="1:21" x14ac:dyDescent="0.2">
      <c r="A442" s="12">
        <v>440</v>
      </c>
      <c r="B442" s="12">
        <v>441</v>
      </c>
      <c r="C442" s="12">
        <v>0.2273</v>
      </c>
      <c r="D442" s="12">
        <v>0.52</v>
      </c>
      <c r="E442" s="12">
        <v>0.22389999999999999</v>
      </c>
      <c r="F442" s="12">
        <v>3</v>
      </c>
      <c r="G442" s="12">
        <v>140</v>
      </c>
      <c r="H442" s="12">
        <v>143</v>
      </c>
      <c r="I442" s="22">
        <f t="shared" si="78"/>
        <v>28.228799999999989</v>
      </c>
      <c r="J442" s="23">
        <f t="shared" si="79"/>
        <v>0.16605176470588229</v>
      </c>
      <c r="K442" s="24">
        <f t="shared" si="80"/>
        <v>170</v>
      </c>
      <c r="L442" s="25">
        <f t="shared" si="81"/>
        <v>95.320000000000064</v>
      </c>
      <c r="M442" s="26">
        <f t="shared" si="82"/>
        <v>0.56070588235294161</v>
      </c>
      <c r="N442" s="27">
        <f t="shared" si="83"/>
        <v>170</v>
      </c>
      <c r="O442" s="28">
        <f t="shared" si="84"/>
        <v>9933</v>
      </c>
      <c r="P442" s="29">
        <f t="shared" si="85"/>
        <v>58.429411764705883</v>
      </c>
      <c r="Q442" s="30">
        <f t="shared" si="86"/>
        <v>170</v>
      </c>
      <c r="R442" s="11" t="str">
        <f t="shared" si="87"/>
        <v>4</v>
      </c>
      <c r="S442" s="10" t="str">
        <f t="shared" si="88"/>
        <v>1</v>
      </c>
      <c r="T442" s="9">
        <f t="shared" si="89"/>
        <v>3</v>
      </c>
      <c r="U442" t="str">
        <f t="shared" si="90"/>
        <v>Mismatch</v>
      </c>
    </row>
    <row r="443" spans="1:21" x14ac:dyDescent="0.2">
      <c r="A443" s="12">
        <v>441</v>
      </c>
      <c r="B443" s="12">
        <v>442</v>
      </c>
      <c r="C443" s="12">
        <v>0.2273</v>
      </c>
      <c r="D443" s="12">
        <v>0.48</v>
      </c>
      <c r="E443" s="12">
        <v>0.29849999999999999</v>
      </c>
      <c r="F443" s="12">
        <v>1</v>
      </c>
      <c r="G443" s="12">
        <v>56</v>
      </c>
      <c r="H443" s="12">
        <v>57</v>
      </c>
      <c r="I443" s="22">
        <f t="shared" si="78"/>
        <v>28.001499999999989</v>
      </c>
      <c r="J443" s="23">
        <f t="shared" si="79"/>
        <v>0.16568934911242597</v>
      </c>
      <c r="K443" s="24">
        <f t="shared" si="80"/>
        <v>169</v>
      </c>
      <c r="L443" s="25">
        <f t="shared" si="81"/>
        <v>94.800000000000054</v>
      </c>
      <c r="M443" s="26">
        <f t="shared" si="82"/>
        <v>0.56094674556213053</v>
      </c>
      <c r="N443" s="27">
        <f t="shared" si="83"/>
        <v>169</v>
      </c>
      <c r="O443" s="28">
        <f t="shared" si="84"/>
        <v>9790</v>
      </c>
      <c r="P443" s="29">
        <f t="shared" si="85"/>
        <v>57.928994082840234</v>
      </c>
      <c r="Q443" s="30">
        <f t="shared" si="86"/>
        <v>169</v>
      </c>
      <c r="R443" s="11" t="str">
        <f t="shared" si="87"/>
        <v>4</v>
      </c>
      <c r="S443" s="10" t="str">
        <f t="shared" si="88"/>
        <v>2</v>
      </c>
      <c r="T443" s="9">
        <f t="shared" si="89"/>
        <v>3</v>
      </c>
      <c r="U443" t="str">
        <f t="shared" si="90"/>
        <v>Mismatch</v>
      </c>
    </row>
    <row r="444" spans="1:21" x14ac:dyDescent="0.2">
      <c r="A444" s="12">
        <v>442</v>
      </c>
      <c r="B444" s="12">
        <v>443</v>
      </c>
      <c r="C444" s="12">
        <v>0.2727</v>
      </c>
      <c r="D444" s="12">
        <v>0.45</v>
      </c>
      <c r="E444" s="12">
        <v>0.16420000000000001</v>
      </c>
      <c r="F444" s="12">
        <v>5</v>
      </c>
      <c r="G444" s="12">
        <v>63</v>
      </c>
      <c r="H444" s="12">
        <v>68</v>
      </c>
      <c r="I444" s="22">
        <f t="shared" si="78"/>
        <v>27.77419999999999</v>
      </c>
      <c r="J444" s="23">
        <f t="shared" si="79"/>
        <v>0.165322619047619</v>
      </c>
      <c r="K444" s="24">
        <f t="shared" si="80"/>
        <v>168</v>
      </c>
      <c r="L444" s="25">
        <f t="shared" si="81"/>
        <v>94.320000000000064</v>
      </c>
      <c r="M444" s="26">
        <f t="shared" si="82"/>
        <v>0.56142857142857183</v>
      </c>
      <c r="N444" s="27">
        <f t="shared" si="83"/>
        <v>168</v>
      </c>
      <c r="O444" s="28">
        <f t="shared" si="84"/>
        <v>9733</v>
      </c>
      <c r="P444" s="29">
        <f t="shared" si="85"/>
        <v>57.93452380952381</v>
      </c>
      <c r="Q444" s="30">
        <f t="shared" si="86"/>
        <v>168</v>
      </c>
      <c r="R444" s="11" t="str">
        <f t="shared" si="87"/>
        <v>4</v>
      </c>
      <c r="S444" s="10" t="str">
        <f t="shared" si="88"/>
        <v>3</v>
      </c>
      <c r="T444" s="9">
        <f t="shared" si="89"/>
        <v>3</v>
      </c>
      <c r="U444" t="str">
        <f t="shared" si="90"/>
        <v>Mismatch</v>
      </c>
    </row>
    <row r="445" spans="1:21" x14ac:dyDescent="0.2">
      <c r="A445" s="12">
        <v>443</v>
      </c>
      <c r="B445" s="12">
        <v>444</v>
      </c>
      <c r="C445" s="12">
        <v>0.33329999999999999</v>
      </c>
      <c r="D445" s="12">
        <v>0.42</v>
      </c>
      <c r="E445" s="12">
        <v>0</v>
      </c>
      <c r="F445" s="12">
        <v>7</v>
      </c>
      <c r="G445" s="12">
        <v>77</v>
      </c>
      <c r="H445" s="12">
        <v>84</v>
      </c>
      <c r="I445" s="22">
        <f t="shared" si="78"/>
        <v>27.501499999999989</v>
      </c>
      <c r="J445" s="23">
        <f t="shared" si="79"/>
        <v>0.16467964071856281</v>
      </c>
      <c r="K445" s="24">
        <f t="shared" si="80"/>
        <v>167</v>
      </c>
      <c r="L445" s="25">
        <f t="shared" si="81"/>
        <v>93.870000000000061</v>
      </c>
      <c r="M445" s="26">
        <f t="shared" si="82"/>
        <v>0.56209580838323392</v>
      </c>
      <c r="N445" s="27">
        <f t="shared" si="83"/>
        <v>167</v>
      </c>
      <c r="O445" s="28">
        <f t="shared" si="84"/>
        <v>9665</v>
      </c>
      <c r="P445" s="29">
        <f t="shared" si="85"/>
        <v>57.874251497005986</v>
      </c>
      <c r="Q445" s="30">
        <f t="shared" si="86"/>
        <v>167</v>
      </c>
      <c r="R445" s="11" t="str">
        <f t="shared" si="87"/>
        <v>4</v>
      </c>
      <c r="S445" s="10" t="str">
        <f t="shared" si="88"/>
        <v>4</v>
      </c>
      <c r="T445" s="9">
        <f t="shared" si="89"/>
        <v>3</v>
      </c>
      <c r="U445" t="str">
        <f t="shared" si="90"/>
        <v>Match</v>
      </c>
    </row>
    <row r="446" spans="1:21" x14ac:dyDescent="0.2">
      <c r="A446" s="12">
        <v>444</v>
      </c>
      <c r="B446" s="12">
        <v>445</v>
      </c>
      <c r="C446" s="12">
        <v>0.28789999999999999</v>
      </c>
      <c r="D446" s="12">
        <v>0.45</v>
      </c>
      <c r="E446" s="12">
        <v>0.1045</v>
      </c>
      <c r="F446" s="12">
        <v>12</v>
      </c>
      <c r="G446" s="12">
        <v>86</v>
      </c>
      <c r="H446" s="12">
        <v>98</v>
      </c>
      <c r="I446" s="22">
        <f t="shared" si="78"/>
        <v>27.168199999999988</v>
      </c>
      <c r="J446" s="23">
        <f t="shared" si="79"/>
        <v>0.16366385542168668</v>
      </c>
      <c r="K446" s="24">
        <f t="shared" si="80"/>
        <v>166</v>
      </c>
      <c r="L446" s="25">
        <f t="shared" si="81"/>
        <v>93.45000000000006</v>
      </c>
      <c r="M446" s="26">
        <f t="shared" si="82"/>
        <v>0.56295180722891602</v>
      </c>
      <c r="N446" s="27">
        <f t="shared" si="83"/>
        <v>166</v>
      </c>
      <c r="O446" s="28">
        <f t="shared" si="84"/>
        <v>9581</v>
      </c>
      <c r="P446" s="29">
        <f t="shared" si="85"/>
        <v>57.716867469879517</v>
      </c>
      <c r="Q446" s="30">
        <f t="shared" si="86"/>
        <v>166</v>
      </c>
      <c r="R446" s="11" t="str">
        <f t="shared" si="87"/>
        <v>4</v>
      </c>
      <c r="S446" s="10" t="str">
        <f t="shared" si="88"/>
        <v>5</v>
      </c>
      <c r="T446" s="9">
        <f t="shared" si="89"/>
        <v>3</v>
      </c>
      <c r="U446" t="str">
        <f t="shared" si="90"/>
        <v>Mismatch</v>
      </c>
    </row>
    <row r="447" spans="1:21" x14ac:dyDescent="0.2">
      <c r="A447" s="12">
        <v>445</v>
      </c>
      <c r="B447" s="12">
        <v>446</v>
      </c>
      <c r="C447" s="12">
        <v>0.30299999999999999</v>
      </c>
      <c r="D447" s="12">
        <v>0.45</v>
      </c>
      <c r="E447" s="12">
        <v>0.1343</v>
      </c>
      <c r="F447" s="12">
        <v>6</v>
      </c>
      <c r="G447" s="12">
        <v>75</v>
      </c>
      <c r="H447" s="12">
        <v>81</v>
      </c>
      <c r="I447" s="22">
        <f t="shared" si="78"/>
        <v>26.880299999999991</v>
      </c>
      <c r="J447" s="23">
        <f t="shared" si="79"/>
        <v>0.16291090909090905</v>
      </c>
      <c r="K447" s="24">
        <f t="shared" si="80"/>
        <v>165</v>
      </c>
      <c r="L447" s="25">
        <f t="shared" si="81"/>
        <v>93.000000000000071</v>
      </c>
      <c r="M447" s="26">
        <f t="shared" si="82"/>
        <v>0.56363636363636405</v>
      </c>
      <c r="N447" s="27">
        <f t="shared" si="83"/>
        <v>165</v>
      </c>
      <c r="O447" s="28">
        <f t="shared" si="84"/>
        <v>9483</v>
      </c>
      <c r="P447" s="29">
        <f t="shared" si="85"/>
        <v>57.472727272727276</v>
      </c>
      <c r="Q447" s="30">
        <f t="shared" si="86"/>
        <v>165</v>
      </c>
      <c r="R447" s="11" t="str">
        <f t="shared" si="87"/>
        <v>4</v>
      </c>
      <c r="S447" s="10" t="str">
        <f t="shared" si="88"/>
        <v>6</v>
      </c>
      <c r="T447" s="9">
        <f t="shared" si="89"/>
        <v>3</v>
      </c>
      <c r="U447" t="str">
        <f t="shared" si="90"/>
        <v>Mismatch</v>
      </c>
    </row>
    <row r="448" spans="1:21" x14ac:dyDescent="0.2">
      <c r="A448" s="12">
        <v>446</v>
      </c>
      <c r="B448" s="12">
        <v>447</v>
      </c>
      <c r="C448" s="12">
        <v>0.31819999999999998</v>
      </c>
      <c r="D448" s="12">
        <v>0.45</v>
      </c>
      <c r="E448" s="12">
        <v>0.19400000000000001</v>
      </c>
      <c r="F448" s="12">
        <v>8</v>
      </c>
      <c r="G448" s="12">
        <v>62</v>
      </c>
      <c r="H448" s="12">
        <v>70</v>
      </c>
      <c r="I448" s="22">
        <f t="shared" si="78"/>
        <v>26.57729999999999</v>
      </c>
      <c r="J448" s="23">
        <f t="shared" si="79"/>
        <v>0.16205670731707311</v>
      </c>
      <c r="K448" s="24">
        <f t="shared" si="80"/>
        <v>164</v>
      </c>
      <c r="L448" s="25">
        <f t="shared" si="81"/>
        <v>92.550000000000068</v>
      </c>
      <c r="M448" s="26">
        <f t="shared" si="82"/>
        <v>0.56432926829268337</v>
      </c>
      <c r="N448" s="27">
        <f t="shared" si="83"/>
        <v>164</v>
      </c>
      <c r="O448" s="28">
        <f t="shared" si="84"/>
        <v>9402</v>
      </c>
      <c r="P448" s="29">
        <f t="shared" si="85"/>
        <v>57.329268292682926</v>
      </c>
      <c r="Q448" s="30">
        <f t="shared" si="86"/>
        <v>164</v>
      </c>
      <c r="R448" s="11" t="str">
        <f t="shared" si="87"/>
        <v>4</v>
      </c>
      <c r="S448" s="10" t="str">
        <f t="shared" si="88"/>
        <v>7</v>
      </c>
      <c r="T448" s="9">
        <f t="shared" si="89"/>
        <v>3</v>
      </c>
      <c r="U448" t="str">
        <f t="shared" si="90"/>
        <v>Mismatch</v>
      </c>
    </row>
    <row r="449" spans="1:21" x14ac:dyDescent="0.2">
      <c r="A449" s="12">
        <v>447</v>
      </c>
      <c r="B449" s="12">
        <v>448</v>
      </c>
      <c r="C449" s="12">
        <v>0.30299999999999999</v>
      </c>
      <c r="D449" s="12">
        <v>0.49</v>
      </c>
      <c r="E449" s="12">
        <v>0.1343</v>
      </c>
      <c r="F449" s="12">
        <v>8</v>
      </c>
      <c r="G449" s="12">
        <v>83</v>
      </c>
      <c r="H449" s="12">
        <v>91</v>
      </c>
      <c r="I449" s="22">
        <f t="shared" si="78"/>
        <v>26.259099999999989</v>
      </c>
      <c r="J449" s="23">
        <f t="shared" si="79"/>
        <v>0.1610987730061349</v>
      </c>
      <c r="K449" s="24">
        <f t="shared" si="80"/>
        <v>163</v>
      </c>
      <c r="L449" s="25">
        <f t="shared" si="81"/>
        <v>92.100000000000065</v>
      </c>
      <c r="M449" s="26">
        <f t="shared" si="82"/>
        <v>0.56503067484662617</v>
      </c>
      <c r="N449" s="27">
        <f t="shared" si="83"/>
        <v>163</v>
      </c>
      <c r="O449" s="28">
        <f t="shared" si="84"/>
        <v>9332</v>
      </c>
      <c r="P449" s="29">
        <f t="shared" si="85"/>
        <v>57.25153374233129</v>
      </c>
      <c r="Q449" s="30">
        <f t="shared" si="86"/>
        <v>163</v>
      </c>
      <c r="R449" s="11" t="str">
        <f t="shared" si="87"/>
        <v>4</v>
      </c>
      <c r="S449" s="10" t="str">
        <f t="shared" si="88"/>
        <v>8</v>
      </c>
      <c r="T449" s="9">
        <f t="shared" si="89"/>
        <v>3</v>
      </c>
      <c r="U449" t="str">
        <f t="shared" si="90"/>
        <v>Mismatch</v>
      </c>
    </row>
    <row r="450" spans="1:21" x14ac:dyDescent="0.2">
      <c r="A450" s="12">
        <v>448</v>
      </c>
      <c r="B450" s="12">
        <v>449</v>
      </c>
      <c r="C450" s="12">
        <v>0.31819999999999998</v>
      </c>
      <c r="D450" s="12">
        <v>0.49</v>
      </c>
      <c r="E450" s="12">
        <v>0.1045</v>
      </c>
      <c r="F450" s="12">
        <v>8</v>
      </c>
      <c r="G450" s="12">
        <v>207</v>
      </c>
      <c r="H450" s="12">
        <v>215</v>
      </c>
      <c r="I450" s="22">
        <f t="shared" si="78"/>
        <v>25.956099999999989</v>
      </c>
      <c r="J450" s="23">
        <f t="shared" si="79"/>
        <v>0.16022283950617278</v>
      </c>
      <c r="K450" s="24">
        <f t="shared" si="80"/>
        <v>162</v>
      </c>
      <c r="L450" s="25">
        <f t="shared" si="81"/>
        <v>91.61000000000007</v>
      </c>
      <c r="M450" s="26">
        <f t="shared" si="82"/>
        <v>0.56549382716049423</v>
      </c>
      <c r="N450" s="27">
        <f t="shared" si="83"/>
        <v>162</v>
      </c>
      <c r="O450" s="28">
        <f t="shared" si="84"/>
        <v>9241</v>
      </c>
      <c r="P450" s="29">
        <f t="shared" si="85"/>
        <v>57.043209876543209</v>
      </c>
      <c r="Q450" s="30">
        <f t="shared" si="86"/>
        <v>162</v>
      </c>
      <c r="R450" s="11" t="str">
        <f t="shared" si="87"/>
        <v>4</v>
      </c>
      <c r="S450" s="10" t="str">
        <f t="shared" si="88"/>
        <v>9</v>
      </c>
      <c r="T450" s="9">
        <f t="shared" si="89"/>
        <v>3</v>
      </c>
      <c r="U450" t="str">
        <f t="shared" si="90"/>
        <v>Mismatch</v>
      </c>
    </row>
    <row r="451" spans="1:21" x14ac:dyDescent="0.2">
      <c r="A451" s="12">
        <v>449</v>
      </c>
      <c r="B451" s="12">
        <v>450</v>
      </c>
      <c r="C451" s="12">
        <v>0.2576</v>
      </c>
      <c r="D451" s="12">
        <v>0.56000000000000005</v>
      </c>
      <c r="E451" s="12">
        <v>0.19400000000000001</v>
      </c>
      <c r="F451" s="12">
        <v>1</v>
      </c>
      <c r="G451" s="12">
        <v>184</v>
      </c>
      <c r="H451" s="12">
        <v>185</v>
      </c>
      <c r="I451" s="22">
        <f t="shared" ref="I451:I514" si="91">SUM(C451:C1060)</f>
        <v>25.637899999999988</v>
      </c>
      <c r="J451" s="23">
        <f t="shared" ref="J451:J514" si="92">AVERAGE(C451:C1060)</f>
        <v>0.15924161490683222</v>
      </c>
      <c r="K451" s="24">
        <f t="shared" ref="K451:K514" si="93">COUNT(C451:C1060)</f>
        <v>161</v>
      </c>
      <c r="L451" s="25">
        <f t="shared" ref="L451:L514" si="94">SUM(D451:D1060)</f>
        <v>91.120000000000061</v>
      </c>
      <c r="M451" s="26">
        <f t="shared" ref="M451:M514" si="95">AVERAGE(D451:D1060)</f>
        <v>0.56596273291925503</v>
      </c>
      <c r="N451" s="27">
        <f t="shared" ref="N451:N514" si="96">COUNT(D451:D1060)</f>
        <v>161</v>
      </c>
      <c r="O451" s="28">
        <f t="shared" ref="O451:O514" si="97">SUM(H451:H1060)</f>
        <v>9026</v>
      </c>
      <c r="P451" s="29">
        <f t="shared" ref="P451:P514" si="98">AVERAGE(H451:H1060)</f>
        <v>56.062111801242239</v>
      </c>
      <c r="Q451" s="30">
        <f t="shared" ref="Q451:Q514" si="99">COUNT(H451:H1060)</f>
        <v>161</v>
      </c>
      <c r="R451" s="11" t="str">
        <f t="shared" ref="R451:R514" si="100">LEFT(B451,1)</f>
        <v>4</v>
      </c>
      <c r="S451" s="10" t="str">
        <f t="shared" ref="S451:S514" si="101">RIGHT(B451,1)</f>
        <v>0</v>
      </c>
      <c r="T451" s="9">
        <f t="shared" ref="T451:T514" si="102">LEN(B451)</f>
        <v>3</v>
      </c>
      <c r="U451" t="str">
        <f t="shared" ref="U451:U514" si="103">IF(R451=S451,"Match","Mismatch")</f>
        <v>Mismatch</v>
      </c>
    </row>
    <row r="452" spans="1:21" x14ac:dyDescent="0.2">
      <c r="A452" s="12">
        <v>450</v>
      </c>
      <c r="B452" s="12">
        <v>451</v>
      </c>
      <c r="C452" s="12">
        <v>0.2273</v>
      </c>
      <c r="D452" s="12">
        <v>0.56000000000000005</v>
      </c>
      <c r="E452" s="12">
        <v>0.32840000000000003</v>
      </c>
      <c r="F452" s="12">
        <v>6</v>
      </c>
      <c r="G452" s="12">
        <v>146</v>
      </c>
      <c r="H452" s="12">
        <v>152</v>
      </c>
      <c r="I452" s="22">
        <f t="shared" si="91"/>
        <v>25.380299999999984</v>
      </c>
      <c r="J452" s="23">
        <f t="shared" si="92"/>
        <v>0.15862687499999989</v>
      </c>
      <c r="K452" s="24">
        <f t="shared" si="93"/>
        <v>160</v>
      </c>
      <c r="L452" s="25">
        <f t="shared" si="94"/>
        <v>90.560000000000073</v>
      </c>
      <c r="M452" s="26">
        <f t="shared" si="95"/>
        <v>0.5660000000000005</v>
      </c>
      <c r="N452" s="27">
        <f t="shared" si="96"/>
        <v>160</v>
      </c>
      <c r="O452" s="28">
        <f t="shared" si="97"/>
        <v>8841</v>
      </c>
      <c r="P452" s="29">
        <f t="shared" si="98"/>
        <v>55.256250000000001</v>
      </c>
      <c r="Q452" s="30">
        <f t="shared" si="99"/>
        <v>160</v>
      </c>
      <c r="R452" s="11" t="str">
        <f t="shared" si="100"/>
        <v>4</v>
      </c>
      <c r="S452" s="10" t="str">
        <f t="shared" si="101"/>
        <v>1</v>
      </c>
      <c r="T452" s="9">
        <f t="shared" si="102"/>
        <v>3</v>
      </c>
      <c r="U452" t="str">
        <f t="shared" si="103"/>
        <v>Mismatch</v>
      </c>
    </row>
    <row r="453" spans="1:21" x14ac:dyDescent="0.2">
      <c r="A453" s="12">
        <v>451</v>
      </c>
      <c r="B453" s="12">
        <v>452</v>
      </c>
      <c r="C453" s="12">
        <v>0.2424</v>
      </c>
      <c r="D453" s="12">
        <v>0.6</v>
      </c>
      <c r="E453" s="12">
        <v>0.28360000000000002</v>
      </c>
      <c r="F453" s="12">
        <v>2</v>
      </c>
      <c r="G453" s="12">
        <v>124</v>
      </c>
      <c r="H453" s="12">
        <v>126</v>
      </c>
      <c r="I453" s="22">
        <f t="shared" si="91"/>
        <v>25.152999999999988</v>
      </c>
      <c r="J453" s="23">
        <f t="shared" si="92"/>
        <v>0.15819496855345905</v>
      </c>
      <c r="K453" s="24">
        <f t="shared" si="93"/>
        <v>159</v>
      </c>
      <c r="L453" s="25">
        <f t="shared" si="94"/>
        <v>90.000000000000057</v>
      </c>
      <c r="M453" s="26">
        <f t="shared" si="95"/>
        <v>0.56603773584905692</v>
      </c>
      <c r="N453" s="27">
        <f t="shared" si="96"/>
        <v>159</v>
      </c>
      <c r="O453" s="28">
        <f t="shared" si="97"/>
        <v>8689</v>
      </c>
      <c r="P453" s="29">
        <f t="shared" si="98"/>
        <v>54.647798742138363</v>
      </c>
      <c r="Q453" s="30">
        <f t="shared" si="99"/>
        <v>159</v>
      </c>
      <c r="R453" s="11" t="str">
        <f t="shared" si="100"/>
        <v>4</v>
      </c>
      <c r="S453" s="10" t="str">
        <f t="shared" si="101"/>
        <v>2</v>
      </c>
      <c r="T453" s="9">
        <f t="shared" si="102"/>
        <v>3</v>
      </c>
      <c r="U453" t="str">
        <f t="shared" si="103"/>
        <v>Mismatch</v>
      </c>
    </row>
    <row r="454" spans="1:21" x14ac:dyDescent="0.2">
      <c r="A454" s="12">
        <v>452</v>
      </c>
      <c r="B454" s="12">
        <v>453</v>
      </c>
      <c r="C454" s="12">
        <v>0.2273</v>
      </c>
      <c r="D454" s="12">
        <v>0.6</v>
      </c>
      <c r="E454" s="12">
        <v>0.25369999999999998</v>
      </c>
      <c r="F454" s="12">
        <v>3</v>
      </c>
      <c r="G454" s="12">
        <v>54</v>
      </c>
      <c r="H454" s="12">
        <v>57</v>
      </c>
      <c r="I454" s="22">
        <f t="shared" si="91"/>
        <v>24.910599999999988</v>
      </c>
      <c r="J454" s="23">
        <f t="shared" si="92"/>
        <v>0.15766202531645562</v>
      </c>
      <c r="K454" s="24">
        <f t="shared" si="93"/>
        <v>158</v>
      </c>
      <c r="L454" s="25">
        <f t="shared" si="94"/>
        <v>89.400000000000048</v>
      </c>
      <c r="M454" s="26">
        <f t="shared" si="95"/>
        <v>0.56582278481012693</v>
      </c>
      <c r="N454" s="27">
        <f t="shared" si="96"/>
        <v>158</v>
      </c>
      <c r="O454" s="28">
        <f t="shared" si="97"/>
        <v>8563</v>
      </c>
      <c r="P454" s="29">
        <f t="shared" si="98"/>
        <v>54.196202531645568</v>
      </c>
      <c r="Q454" s="30">
        <f t="shared" si="99"/>
        <v>158</v>
      </c>
      <c r="R454" s="11" t="str">
        <f t="shared" si="100"/>
        <v>4</v>
      </c>
      <c r="S454" s="10" t="str">
        <f t="shared" si="101"/>
        <v>3</v>
      </c>
      <c r="T454" s="9">
        <f t="shared" si="102"/>
        <v>3</v>
      </c>
      <c r="U454" t="str">
        <f t="shared" si="103"/>
        <v>Mismatch</v>
      </c>
    </row>
    <row r="455" spans="1:21" x14ac:dyDescent="0.2">
      <c r="A455" s="12">
        <v>453</v>
      </c>
      <c r="B455" s="12">
        <v>454</v>
      </c>
      <c r="C455" s="12">
        <v>0.21210000000000001</v>
      </c>
      <c r="D455" s="12">
        <v>0.65</v>
      </c>
      <c r="E455" s="12">
        <v>0.28360000000000002</v>
      </c>
      <c r="F455" s="12">
        <v>0</v>
      </c>
      <c r="G455" s="12">
        <v>56</v>
      </c>
      <c r="H455" s="12">
        <v>56</v>
      </c>
      <c r="I455" s="22">
        <f t="shared" si="91"/>
        <v>24.683299999999988</v>
      </c>
      <c r="J455" s="23">
        <f t="shared" si="92"/>
        <v>0.15721847133757955</v>
      </c>
      <c r="K455" s="24">
        <f t="shared" si="93"/>
        <v>157</v>
      </c>
      <c r="L455" s="25">
        <f t="shared" si="94"/>
        <v>88.800000000000054</v>
      </c>
      <c r="M455" s="26">
        <f t="shared" si="95"/>
        <v>0.56560509554140159</v>
      </c>
      <c r="N455" s="27">
        <f t="shared" si="96"/>
        <v>157</v>
      </c>
      <c r="O455" s="28">
        <f t="shared" si="97"/>
        <v>8506</v>
      </c>
      <c r="P455" s="29">
        <f t="shared" si="98"/>
        <v>54.178343949044589</v>
      </c>
      <c r="Q455" s="30">
        <f t="shared" si="99"/>
        <v>157</v>
      </c>
      <c r="R455" s="11" t="str">
        <f t="shared" si="100"/>
        <v>4</v>
      </c>
      <c r="S455" s="10" t="str">
        <f t="shared" si="101"/>
        <v>4</v>
      </c>
      <c r="T455" s="9">
        <f t="shared" si="102"/>
        <v>3</v>
      </c>
      <c r="U455" t="str">
        <f t="shared" si="103"/>
        <v>Match</v>
      </c>
    </row>
    <row r="456" spans="1:21" x14ac:dyDescent="0.2">
      <c r="A456" s="12">
        <v>454</v>
      </c>
      <c r="B456" s="12">
        <v>455</v>
      </c>
      <c r="C456" s="12">
        <v>0.21210000000000001</v>
      </c>
      <c r="D456" s="12">
        <v>0.65</v>
      </c>
      <c r="E456" s="12">
        <v>0.32840000000000003</v>
      </c>
      <c r="F456" s="12">
        <v>3</v>
      </c>
      <c r="G456" s="12">
        <v>28</v>
      </c>
      <c r="H456" s="12">
        <v>31</v>
      </c>
      <c r="I456" s="22">
        <f t="shared" si="91"/>
        <v>24.471199999999989</v>
      </c>
      <c r="J456" s="23">
        <f t="shared" si="92"/>
        <v>0.1568666666666666</v>
      </c>
      <c r="K456" s="24">
        <f t="shared" si="93"/>
        <v>156</v>
      </c>
      <c r="L456" s="25">
        <f t="shared" si="94"/>
        <v>88.150000000000034</v>
      </c>
      <c r="M456" s="26">
        <f t="shared" si="95"/>
        <v>0.56506410256410278</v>
      </c>
      <c r="N456" s="27">
        <f t="shared" si="96"/>
        <v>156</v>
      </c>
      <c r="O456" s="28">
        <f t="shared" si="97"/>
        <v>8450</v>
      </c>
      <c r="P456" s="29">
        <f t="shared" si="98"/>
        <v>54.166666666666664</v>
      </c>
      <c r="Q456" s="30">
        <f t="shared" si="99"/>
        <v>156</v>
      </c>
      <c r="R456" s="11" t="str">
        <f t="shared" si="100"/>
        <v>4</v>
      </c>
      <c r="S456" s="10" t="str">
        <f t="shared" si="101"/>
        <v>5</v>
      </c>
      <c r="T456" s="9">
        <f t="shared" si="102"/>
        <v>3</v>
      </c>
      <c r="U456" t="str">
        <f t="shared" si="103"/>
        <v>Mismatch</v>
      </c>
    </row>
    <row r="457" spans="1:21" x14ac:dyDescent="0.2">
      <c r="A457" s="12">
        <v>455</v>
      </c>
      <c r="B457" s="12">
        <v>456</v>
      </c>
      <c r="C457" s="12">
        <v>0.2273</v>
      </c>
      <c r="D457" s="12">
        <v>0.7</v>
      </c>
      <c r="E457" s="12">
        <v>0.25369999999999998</v>
      </c>
      <c r="F457" s="12">
        <v>1</v>
      </c>
      <c r="G457" s="12">
        <v>20</v>
      </c>
      <c r="H457" s="12">
        <v>21</v>
      </c>
      <c r="I457" s="22">
        <f t="shared" si="91"/>
        <v>24.259099999999982</v>
      </c>
      <c r="J457" s="23">
        <f t="shared" si="92"/>
        <v>0.15651032258064504</v>
      </c>
      <c r="K457" s="24">
        <f t="shared" si="93"/>
        <v>155</v>
      </c>
      <c r="L457" s="25">
        <f t="shared" si="94"/>
        <v>87.500000000000028</v>
      </c>
      <c r="M457" s="26">
        <f t="shared" si="95"/>
        <v>0.56451612903225823</v>
      </c>
      <c r="N457" s="27">
        <f t="shared" si="96"/>
        <v>155</v>
      </c>
      <c r="O457" s="28">
        <f t="shared" si="97"/>
        <v>8419</v>
      </c>
      <c r="P457" s="29">
        <f t="shared" si="98"/>
        <v>54.316129032258061</v>
      </c>
      <c r="Q457" s="30">
        <f t="shared" si="99"/>
        <v>155</v>
      </c>
      <c r="R457" s="11" t="str">
        <f t="shared" si="100"/>
        <v>4</v>
      </c>
      <c r="S457" s="10" t="str">
        <f t="shared" si="101"/>
        <v>6</v>
      </c>
      <c r="T457" s="9">
        <f t="shared" si="102"/>
        <v>3</v>
      </c>
      <c r="U457" t="str">
        <f t="shared" si="103"/>
        <v>Mismatch</v>
      </c>
    </row>
    <row r="458" spans="1:21" x14ac:dyDescent="0.2">
      <c r="A458" s="12">
        <v>456</v>
      </c>
      <c r="B458" s="12">
        <v>457</v>
      </c>
      <c r="C458" s="12">
        <v>0.2273</v>
      </c>
      <c r="D458" s="12">
        <v>0.7</v>
      </c>
      <c r="E458" s="12">
        <v>0.25369999999999998</v>
      </c>
      <c r="F458" s="12">
        <v>0</v>
      </c>
      <c r="G458" s="12">
        <v>6</v>
      </c>
      <c r="H458" s="12">
        <v>6</v>
      </c>
      <c r="I458" s="22">
        <f t="shared" si="91"/>
        <v>24.031799999999983</v>
      </c>
      <c r="J458" s="23">
        <f t="shared" si="92"/>
        <v>0.15605064935064925</v>
      </c>
      <c r="K458" s="24">
        <f t="shared" si="93"/>
        <v>154</v>
      </c>
      <c r="L458" s="25">
        <f t="shared" si="94"/>
        <v>86.80000000000004</v>
      </c>
      <c r="M458" s="26">
        <f t="shared" si="95"/>
        <v>0.56363636363636394</v>
      </c>
      <c r="N458" s="27">
        <f t="shared" si="96"/>
        <v>154</v>
      </c>
      <c r="O458" s="28">
        <f t="shared" si="97"/>
        <v>8398</v>
      </c>
      <c r="P458" s="29">
        <f t="shared" si="98"/>
        <v>54.532467532467535</v>
      </c>
      <c r="Q458" s="30">
        <f t="shared" si="99"/>
        <v>154</v>
      </c>
      <c r="R458" s="11" t="str">
        <f t="shared" si="100"/>
        <v>4</v>
      </c>
      <c r="S458" s="10" t="str">
        <f t="shared" si="101"/>
        <v>7</v>
      </c>
      <c r="T458" s="9">
        <f t="shared" si="102"/>
        <v>3</v>
      </c>
      <c r="U458" t="str">
        <f t="shared" si="103"/>
        <v>Mismatch</v>
      </c>
    </row>
    <row r="459" spans="1:21" x14ac:dyDescent="0.2">
      <c r="A459" s="12">
        <v>457</v>
      </c>
      <c r="B459" s="12">
        <v>458</v>
      </c>
      <c r="C459" s="12">
        <v>0.2424</v>
      </c>
      <c r="D459" s="12">
        <v>0.75</v>
      </c>
      <c r="E459" s="12">
        <v>0.16420000000000001</v>
      </c>
      <c r="F459" s="12">
        <v>0</v>
      </c>
      <c r="G459" s="12">
        <v>2</v>
      </c>
      <c r="H459" s="12">
        <v>2</v>
      </c>
      <c r="I459" s="22">
        <f t="shared" si="91"/>
        <v>23.804499999999983</v>
      </c>
      <c r="J459" s="23">
        <f t="shared" si="92"/>
        <v>0.15558496732026134</v>
      </c>
      <c r="K459" s="24">
        <f t="shared" si="93"/>
        <v>153</v>
      </c>
      <c r="L459" s="25">
        <f t="shared" si="94"/>
        <v>86.100000000000037</v>
      </c>
      <c r="M459" s="26">
        <f t="shared" si="95"/>
        <v>0.56274509803921591</v>
      </c>
      <c r="N459" s="27">
        <f t="shared" si="96"/>
        <v>153</v>
      </c>
      <c r="O459" s="28">
        <f t="shared" si="97"/>
        <v>8392</v>
      </c>
      <c r="P459" s="29">
        <f t="shared" si="98"/>
        <v>54.849673202614376</v>
      </c>
      <c r="Q459" s="30">
        <f t="shared" si="99"/>
        <v>153</v>
      </c>
      <c r="R459" s="11" t="str">
        <f t="shared" si="100"/>
        <v>4</v>
      </c>
      <c r="S459" s="10" t="str">
        <f t="shared" si="101"/>
        <v>8</v>
      </c>
      <c r="T459" s="9">
        <f t="shared" si="102"/>
        <v>3</v>
      </c>
      <c r="U459" t="str">
        <f t="shared" si="103"/>
        <v>Mismatch</v>
      </c>
    </row>
    <row r="460" spans="1:21" x14ac:dyDescent="0.2">
      <c r="A460" s="12">
        <v>458</v>
      </c>
      <c r="B460" s="12">
        <v>459</v>
      </c>
      <c r="C460" s="12">
        <v>0.21210000000000001</v>
      </c>
      <c r="D460" s="12">
        <v>0.8</v>
      </c>
      <c r="E460" s="12">
        <v>0.29849999999999999</v>
      </c>
      <c r="F460" s="12">
        <v>0</v>
      </c>
      <c r="G460" s="12">
        <v>1</v>
      </c>
      <c r="H460" s="12">
        <v>1</v>
      </c>
      <c r="I460" s="22">
        <f t="shared" si="91"/>
        <v>23.562099999999983</v>
      </c>
      <c r="J460" s="23">
        <f t="shared" si="92"/>
        <v>0.15501381578947357</v>
      </c>
      <c r="K460" s="24">
        <f t="shared" si="93"/>
        <v>152</v>
      </c>
      <c r="L460" s="25">
        <f t="shared" si="94"/>
        <v>85.350000000000023</v>
      </c>
      <c r="M460" s="26">
        <f t="shared" si="95"/>
        <v>0.56151315789473699</v>
      </c>
      <c r="N460" s="27">
        <f t="shared" si="96"/>
        <v>152</v>
      </c>
      <c r="O460" s="28">
        <f t="shared" si="97"/>
        <v>8390</v>
      </c>
      <c r="P460" s="29">
        <f t="shared" si="98"/>
        <v>55.19736842105263</v>
      </c>
      <c r="Q460" s="30">
        <f t="shared" si="99"/>
        <v>152</v>
      </c>
      <c r="R460" s="11" t="str">
        <f t="shared" si="100"/>
        <v>4</v>
      </c>
      <c r="S460" s="10" t="str">
        <f t="shared" si="101"/>
        <v>9</v>
      </c>
      <c r="T460" s="9">
        <f t="shared" si="102"/>
        <v>3</v>
      </c>
      <c r="U460" t="str">
        <f t="shared" si="103"/>
        <v>Mismatch</v>
      </c>
    </row>
    <row r="461" spans="1:21" x14ac:dyDescent="0.2">
      <c r="A461" s="12">
        <v>459</v>
      </c>
      <c r="B461" s="12">
        <v>460</v>
      </c>
      <c r="C461" s="12">
        <v>0.2576</v>
      </c>
      <c r="D461" s="12">
        <v>0.87</v>
      </c>
      <c r="E461" s="12">
        <v>8.9599999999999999E-2</v>
      </c>
      <c r="F461" s="12">
        <v>0</v>
      </c>
      <c r="G461" s="12">
        <v>1</v>
      </c>
      <c r="H461" s="12">
        <v>1</v>
      </c>
      <c r="I461" s="22">
        <f t="shared" si="91"/>
        <v>23.349999999999984</v>
      </c>
      <c r="J461" s="23">
        <f t="shared" si="92"/>
        <v>0.15463576158940387</v>
      </c>
      <c r="K461" s="24">
        <f t="shared" si="93"/>
        <v>151</v>
      </c>
      <c r="L461" s="25">
        <f t="shared" si="94"/>
        <v>84.550000000000011</v>
      </c>
      <c r="M461" s="26">
        <f t="shared" si="95"/>
        <v>0.55993377483443718</v>
      </c>
      <c r="N461" s="27">
        <f t="shared" si="96"/>
        <v>151</v>
      </c>
      <c r="O461" s="28">
        <f t="shared" si="97"/>
        <v>8389</v>
      </c>
      <c r="P461" s="29">
        <f t="shared" si="98"/>
        <v>55.556291390728475</v>
      </c>
      <c r="Q461" s="30">
        <f t="shared" si="99"/>
        <v>151</v>
      </c>
      <c r="R461" s="11" t="str">
        <f t="shared" si="100"/>
        <v>4</v>
      </c>
      <c r="S461" s="10" t="str">
        <f t="shared" si="101"/>
        <v>0</v>
      </c>
      <c r="T461" s="9">
        <f t="shared" si="102"/>
        <v>3</v>
      </c>
      <c r="U461" t="str">
        <f t="shared" si="103"/>
        <v>Mismatch</v>
      </c>
    </row>
    <row r="462" spans="1:21" x14ac:dyDescent="0.2">
      <c r="A462" s="12">
        <v>460</v>
      </c>
      <c r="B462" s="12">
        <v>461</v>
      </c>
      <c r="C462" s="12">
        <v>0.19700000000000001</v>
      </c>
      <c r="D462" s="12">
        <v>0.6</v>
      </c>
      <c r="E462" s="12">
        <v>0.41789999999999999</v>
      </c>
      <c r="F462" s="12">
        <v>1</v>
      </c>
      <c r="G462" s="12">
        <v>4</v>
      </c>
      <c r="H462" s="12">
        <v>5</v>
      </c>
      <c r="I462" s="22">
        <f t="shared" si="91"/>
        <v>23.092399999999987</v>
      </c>
      <c r="J462" s="23">
        <f t="shared" si="92"/>
        <v>0.15394933333333324</v>
      </c>
      <c r="K462" s="24">
        <f t="shared" si="93"/>
        <v>150</v>
      </c>
      <c r="L462" s="25">
        <f t="shared" si="94"/>
        <v>83.68</v>
      </c>
      <c r="M462" s="26">
        <f t="shared" si="95"/>
        <v>0.55786666666666673</v>
      </c>
      <c r="N462" s="27">
        <f t="shared" si="96"/>
        <v>150</v>
      </c>
      <c r="O462" s="28">
        <f t="shared" si="97"/>
        <v>8388</v>
      </c>
      <c r="P462" s="29">
        <f t="shared" si="98"/>
        <v>55.92</v>
      </c>
      <c r="Q462" s="30">
        <f t="shared" si="99"/>
        <v>150</v>
      </c>
      <c r="R462" s="11" t="str">
        <f t="shared" si="100"/>
        <v>4</v>
      </c>
      <c r="S462" s="10" t="str">
        <f t="shared" si="101"/>
        <v>1</v>
      </c>
      <c r="T462" s="9">
        <f t="shared" si="102"/>
        <v>3</v>
      </c>
      <c r="U462" t="str">
        <f t="shared" si="103"/>
        <v>Mismatch</v>
      </c>
    </row>
    <row r="463" spans="1:21" x14ac:dyDescent="0.2">
      <c r="A463" s="12">
        <v>461</v>
      </c>
      <c r="B463" s="12">
        <v>462</v>
      </c>
      <c r="C463" s="12">
        <v>0.21210000000000001</v>
      </c>
      <c r="D463" s="12">
        <v>0.55000000000000004</v>
      </c>
      <c r="E463" s="12">
        <v>0.25369999999999998</v>
      </c>
      <c r="F463" s="12">
        <v>0</v>
      </c>
      <c r="G463" s="12">
        <v>27</v>
      </c>
      <c r="H463" s="12">
        <v>27</v>
      </c>
      <c r="I463" s="22">
        <f t="shared" si="91"/>
        <v>22.895399999999988</v>
      </c>
      <c r="J463" s="23">
        <f t="shared" si="92"/>
        <v>0.15366040268456369</v>
      </c>
      <c r="K463" s="24">
        <f t="shared" si="93"/>
        <v>149</v>
      </c>
      <c r="L463" s="25">
        <f t="shared" si="94"/>
        <v>83.080000000000013</v>
      </c>
      <c r="M463" s="26">
        <f t="shared" si="95"/>
        <v>0.55758389261744978</v>
      </c>
      <c r="N463" s="27">
        <f t="shared" si="96"/>
        <v>149</v>
      </c>
      <c r="O463" s="28">
        <f t="shared" si="97"/>
        <v>8383</v>
      </c>
      <c r="P463" s="29">
        <f t="shared" si="98"/>
        <v>56.261744966442954</v>
      </c>
      <c r="Q463" s="30">
        <f t="shared" si="99"/>
        <v>149</v>
      </c>
      <c r="R463" s="11" t="str">
        <f t="shared" si="100"/>
        <v>4</v>
      </c>
      <c r="S463" s="10" t="str">
        <f t="shared" si="101"/>
        <v>2</v>
      </c>
      <c r="T463" s="9">
        <f t="shared" si="102"/>
        <v>3</v>
      </c>
      <c r="U463" t="str">
        <f t="shared" si="103"/>
        <v>Mismatch</v>
      </c>
    </row>
    <row r="464" spans="1:21" x14ac:dyDescent="0.2">
      <c r="A464" s="12">
        <v>462</v>
      </c>
      <c r="B464" s="12">
        <v>463</v>
      </c>
      <c r="C464" s="12">
        <v>0.18179999999999999</v>
      </c>
      <c r="D464" s="12">
        <v>0.51</v>
      </c>
      <c r="E464" s="12">
        <v>0.28360000000000002</v>
      </c>
      <c r="F464" s="12">
        <v>2</v>
      </c>
      <c r="G464" s="12">
        <v>66</v>
      </c>
      <c r="H464" s="12">
        <v>68</v>
      </c>
      <c r="I464" s="22">
        <f t="shared" si="91"/>
        <v>22.683299999999985</v>
      </c>
      <c r="J464" s="23">
        <f t="shared" si="92"/>
        <v>0.15326554054054045</v>
      </c>
      <c r="K464" s="24">
        <f t="shared" si="93"/>
        <v>148</v>
      </c>
      <c r="L464" s="25">
        <f t="shared" si="94"/>
        <v>82.53</v>
      </c>
      <c r="M464" s="26">
        <f t="shared" si="95"/>
        <v>0.55763513513513518</v>
      </c>
      <c r="N464" s="27">
        <f t="shared" si="96"/>
        <v>148</v>
      </c>
      <c r="O464" s="28">
        <f t="shared" si="97"/>
        <v>8356</v>
      </c>
      <c r="P464" s="29">
        <f t="shared" si="98"/>
        <v>56.45945945945946</v>
      </c>
      <c r="Q464" s="30">
        <f t="shared" si="99"/>
        <v>148</v>
      </c>
      <c r="R464" s="11" t="str">
        <f t="shared" si="100"/>
        <v>4</v>
      </c>
      <c r="S464" s="10" t="str">
        <f t="shared" si="101"/>
        <v>3</v>
      </c>
      <c r="T464" s="9">
        <f t="shared" si="102"/>
        <v>3</v>
      </c>
      <c r="U464" t="str">
        <f t="shared" si="103"/>
        <v>Mismatch</v>
      </c>
    </row>
    <row r="465" spans="1:21" x14ac:dyDescent="0.2">
      <c r="A465" s="12">
        <v>463</v>
      </c>
      <c r="B465" s="12">
        <v>464</v>
      </c>
      <c r="C465" s="12">
        <v>0.18179999999999999</v>
      </c>
      <c r="D465" s="12">
        <v>0.47</v>
      </c>
      <c r="E465" s="12">
        <v>0.32840000000000003</v>
      </c>
      <c r="F465" s="12">
        <v>7</v>
      </c>
      <c r="G465" s="12">
        <v>210</v>
      </c>
      <c r="H465" s="12">
        <v>217</v>
      </c>
      <c r="I465" s="22">
        <f t="shared" si="91"/>
        <v>22.501499999999986</v>
      </c>
      <c r="J465" s="23">
        <f t="shared" si="92"/>
        <v>0.15307142857142847</v>
      </c>
      <c r="K465" s="24">
        <f t="shared" si="93"/>
        <v>147</v>
      </c>
      <c r="L465" s="25">
        <f t="shared" si="94"/>
        <v>82.02</v>
      </c>
      <c r="M465" s="26">
        <f t="shared" si="95"/>
        <v>0.55795918367346931</v>
      </c>
      <c r="N465" s="27">
        <f t="shared" si="96"/>
        <v>147</v>
      </c>
      <c r="O465" s="28">
        <f t="shared" si="97"/>
        <v>8288</v>
      </c>
      <c r="P465" s="29">
        <f t="shared" si="98"/>
        <v>56.38095238095238</v>
      </c>
      <c r="Q465" s="30">
        <f t="shared" si="99"/>
        <v>147</v>
      </c>
      <c r="R465" s="11" t="str">
        <f t="shared" si="100"/>
        <v>4</v>
      </c>
      <c r="S465" s="10" t="str">
        <f t="shared" si="101"/>
        <v>4</v>
      </c>
      <c r="T465" s="9">
        <f t="shared" si="102"/>
        <v>3</v>
      </c>
      <c r="U465" t="str">
        <f t="shared" si="103"/>
        <v>Match</v>
      </c>
    </row>
    <row r="466" spans="1:21" x14ac:dyDescent="0.2">
      <c r="A466" s="12">
        <v>464</v>
      </c>
      <c r="B466" s="12">
        <v>465</v>
      </c>
      <c r="C466" s="12">
        <v>0.18179999999999999</v>
      </c>
      <c r="D466" s="12">
        <v>0.51</v>
      </c>
      <c r="E466" s="12">
        <v>0.35820000000000002</v>
      </c>
      <c r="F466" s="12">
        <v>7</v>
      </c>
      <c r="G466" s="12">
        <v>159</v>
      </c>
      <c r="H466" s="12">
        <v>166</v>
      </c>
      <c r="I466" s="22">
        <f t="shared" si="91"/>
        <v>22.319699999999987</v>
      </c>
      <c r="J466" s="23">
        <f t="shared" si="92"/>
        <v>0.15287465753424648</v>
      </c>
      <c r="K466" s="24">
        <f t="shared" si="93"/>
        <v>146</v>
      </c>
      <c r="L466" s="25">
        <f t="shared" si="94"/>
        <v>81.55</v>
      </c>
      <c r="M466" s="26">
        <f t="shared" si="95"/>
        <v>0.55856164383561646</v>
      </c>
      <c r="N466" s="27">
        <f t="shared" si="96"/>
        <v>146</v>
      </c>
      <c r="O466" s="28">
        <f t="shared" si="97"/>
        <v>8071</v>
      </c>
      <c r="P466" s="29">
        <f t="shared" si="98"/>
        <v>55.280821917808218</v>
      </c>
      <c r="Q466" s="30">
        <f t="shared" si="99"/>
        <v>146</v>
      </c>
      <c r="R466" s="11" t="str">
        <f t="shared" si="100"/>
        <v>4</v>
      </c>
      <c r="S466" s="10" t="str">
        <f t="shared" si="101"/>
        <v>5</v>
      </c>
      <c r="T466" s="9">
        <f t="shared" si="102"/>
        <v>3</v>
      </c>
      <c r="U466" t="str">
        <f t="shared" si="103"/>
        <v>Mismatch</v>
      </c>
    </row>
    <row r="467" spans="1:21" x14ac:dyDescent="0.2">
      <c r="A467" s="12">
        <v>465</v>
      </c>
      <c r="B467" s="12">
        <v>466</v>
      </c>
      <c r="C467" s="12">
        <v>0.16669999999999999</v>
      </c>
      <c r="D467" s="12">
        <v>0.47</v>
      </c>
      <c r="E467" s="12">
        <v>0.4627</v>
      </c>
      <c r="F467" s="12">
        <v>6</v>
      </c>
      <c r="G467" s="12">
        <v>57</v>
      </c>
      <c r="H467" s="12">
        <v>63</v>
      </c>
      <c r="I467" s="22">
        <f t="shared" si="91"/>
        <v>22.137899999999984</v>
      </c>
      <c r="J467" s="23">
        <f t="shared" si="92"/>
        <v>0.152675172413793</v>
      </c>
      <c r="K467" s="24">
        <f t="shared" si="93"/>
        <v>145</v>
      </c>
      <c r="L467" s="25">
        <f t="shared" si="94"/>
        <v>81.040000000000006</v>
      </c>
      <c r="M467" s="26">
        <f t="shared" si="95"/>
        <v>0.55889655172413799</v>
      </c>
      <c r="N467" s="27">
        <f t="shared" si="96"/>
        <v>145</v>
      </c>
      <c r="O467" s="28">
        <f t="shared" si="97"/>
        <v>7905</v>
      </c>
      <c r="P467" s="29">
        <f t="shared" si="98"/>
        <v>54.517241379310342</v>
      </c>
      <c r="Q467" s="30">
        <f t="shared" si="99"/>
        <v>145</v>
      </c>
      <c r="R467" s="11" t="str">
        <f t="shared" si="100"/>
        <v>4</v>
      </c>
      <c r="S467" s="10" t="str">
        <f t="shared" si="101"/>
        <v>6</v>
      </c>
      <c r="T467" s="9">
        <f t="shared" si="102"/>
        <v>3</v>
      </c>
      <c r="U467" t="str">
        <f t="shared" si="103"/>
        <v>Mismatch</v>
      </c>
    </row>
    <row r="468" spans="1:21" x14ac:dyDescent="0.2">
      <c r="A468" s="12">
        <v>466</v>
      </c>
      <c r="B468" s="12">
        <v>467</v>
      </c>
      <c r="C468" s="12">
        <v>0.18179999999999999</v>
      </c>
      <c r="D468" s="12">
        <v>0.41</v>
      </c>
      <c r="E468" s="12">
        <v>0.4627</v>
      </c>
      <c r="F468" s="12">
        <v>6</v>
      </c>
      <c r="G468" s="12">
        <v>53</v>
      </c>
      <c r="H468" s="12">
        <v>59</v>
      </c>
      <c r="I468" s="22">
        <f t="shared" si="91"/>
        <v>21.971199999999985</v>
      </c>
      <c r="J468" s="23">
        <f t="shared" si="92"/>
        <v>0.15257777777777767</v>
      </c>
      <c r="K468" s="24">
        <f t="shared" si="93"/>
        <v>144</v>
      </c>
      <c r="L468" s="25">
        <f t="shared" si="94"/>
        <v>80.569999999999993</v>
      </c>
      <c r="M468" s="26">
        <f t="shared" si="95"/>
        <v>0.55951388888888887</v>
      </c>
      <c r="N468" s="27">
        <f t="shared" si="96"/>
        <v>144</v>
      </c>
      <c r="O468" s="28">
        <f t="shared" si="97"/>
        <v>7842</v>
      </c>
      <c r="P468" s="29">
        <f t="shared" si="98"/>
        <v>54.458333333333336</v>
      </c>
      <c r="Q468" s="30">
        <f t="shared" si="99"/>
        <v>144</v>
      </c>
      <c r="R468" s="11" t="str">
        <f t="shared" si="100"/>
        <v>4</v>
      </c>
      <c r="S468" s="10" t="str">
        <f t="shared" si="101"/>
        <v>7</v>
      </c>
      <c r="T468" s="9">
        <f t="shared" si="102"/>
        <v>3</v>
      </c>
      <c r="U468" t="str">
        <f t="shared" si="103"/>
        <v>Mismatch</v>
      </c>
    </row>
    <row r="469" spans="1:21" x14ac:dyDescent="0.2">
      <c r="A469" s="12">
        <v>467</v>
      </c>
      <c r="B469" s="12">
        <v>468</v>
      </c>
      <c r="C469" s="12">
        <v>0.18179999999999999</v>
      </c>
      <c r="D469" s="12">
        <v>0.27</v>
      </c>
      <c r="E469" s="12">
        <v>0.58209999999999995</v>
      </c>
      <c r="F469" s="12">
        <v>11</v>
      </c>
      <c r="G469" s="12">
        <v>67</v>
      </c>
      <c r="H469" s="12">
        <v>78</v>
      </c>
      <c r="I469" s="22">
        <f t="shared" si="91"/>
        <v>21.789399999999986</v>
      </c>
      <c r="J469" s="23">
        <f t="shared" si="92"/>
        <v>0.15237342657342648</v>
      </c>
      <c r="K469" s="24">
        <f t="shared" si="93"/>
        <v>143</v>
      </c>
      <c r="L469" s="25">
        <f t="shared" si="94"/>
        <v>80.16</v>
      </c>
      <c r="M469" s="26">
        <f t="shared" si="95"/>
        <v>0.56055944055944051</v>
      </c>
      <c r="N469" s="27">
        <f t="shared" si="96"/>
        <v>143</v>
      </c>
      <c r="O469" s="28">
        <f t="shared" si="97"/>
        <v>7783</v>
      </c>
      <c r="P469" s="29">
        <f t="shared" si="98"/>
        <v>54.426573426573427</v>
      </c>
      <c r="Q469" s="30">
        <f t="shared" si="99"/>
        <v>143</v>
      </c>
      <c r="R469" s="11" t="str">
        <f t="shared" si="100"/>
        <v>4</v>
      </c>
      <c r="S469" s="10" t="str">
        <f t="shared" si="101"/>
        <v>8</v>
      </c>
      <c r="T469" s="9">
        <f t="shared" si="102"/>
        <v>3</v>
      </c>
      <c r="U469" t="str">
        <f t="shared" si="103"/>
        <v>Mismatch</v>
      </c>
    </row>
    <row r="470" spans="1:21" x14ac:dyDescent="0.2">
      <c r="A470" s="12">
        <v>468</v>
      </c>
      <c r="B470" s="12">
        <v>469</v>
      </c>
      <c r="C470" s="12">
        <v>0.1515</v>
      </c>
      <c r="D470" s="12">
        <v>0.21</v>
      </c>
      <c r="E470" s="12">
        <v>0.58209999999999995</v>
      </c>
      <c r="F470" s="12">
        <v>8</v>
      </c>
      <c r="G470" s="12">
        <v>65</v>
      </c>
      <c r="H470" s="12">
        <v>73</v>
      </c>
      <c r="I470" s="22">
        <f t="shared" si="91"/>
        <v>21.607599999999987</v>
      </c>
      <c r="J470" s="23">
        <f t="shared" si="92"/>
        <v>0.15216619718309851</v>
      </c>
      <c r="K470" s="24">
        <f t="shared" si="93"/>
        <v>142</v>
      </c>
      <c r="L470" s="25">
        <f t="shared" si="94"/>
        <v>79.89</v>
      </c>
      <c r="M470" s="26">
        <f t="shared" si="95"/>
        <v>0.56260563380281692</v>
      </c>
      <c r="N470" s="27">
        <f t="shared" si="96"/>
        <v>142</v>
      </c>
      <c r="O470" s="28">
        <f t="shared" si="97"/>
        <v>7705</v>
      </c>
      <c r="P470" s="29">
        <f t="shared" si="98"/>
        <v>54.260563380281688</v>
      </c>
      <c r="Q470" s="30">
        <f t="shared" si="99"/>
        <v>142</v>
      </c>
      <c r="R470" s="11" t="str">
        <f t="shared" si="100"/>
        <v>4</v>
      </c>
      <c r="S470" s="10" t="str">
        <f t="shared" si="101"/>
        <v>9</v>
      </c>
      <c r="T470" s="9">
        <f t="shared" si="102"/>
        <v>3</v>
      </c>
      <c r="U470" t="str">
        <f t="shared" si="103"/>
        <v>Mismatch</v>
      </c>
    </row>
    <row r="471" spans="1:21" x14ac:dyDescent="0.2">
      <c r="A471" s="12">
        <v>469</v>
      </c>
      <c r="B471" s="12">
        <v>470</v>
      </c>
      <c r="C471" s="12">
        <v>0.1515</v>
      </c>
      <c r="D471" s="12">
        <v>0.25</v>
      </c>
      <c r="E471" s="12">
        <v>0.52239999999999998</v>
      </c>
      <c r="F471" s="12">
        <v>6</v>
      </c>
      <c r="G471" s="12">
        <v>56</v>
      </c>
      <c r="H471" s="12">
        <v>62</v>
      </c>
      <c r="I471" s="22">
        <f t="shared" si="91"/>
        <v>21.456099999999985</v>
      </c>
      <c r="J471" s="23">
        <f t="shared" si="92"/>
        <v>0.1521709219858155</v>
      </c>
      <c r="K471" s="24">
        <f t="shared" si="93"/>
        <v>141</v>
      </c>
      <c r="L471" s="25">
        <f t="shared" si="94"/>
        <v>79.679999999999993</v>
      </c>
      <c r="M471" s="26">
        <f t="shared" si="95"/>
        <v>0.5651063829787234</v>
      </c>
      <c r="N471" s="27">
        <f t="shared" si="96"/>
        <v>141</v>
      </c>
      <c r="O471" s="28">
        <f t="shared" si="97"/>
        <v>7632</v>
      </c>
      <c r="P471" s="29">
        <f t="shared" si="98"/>
        <v>54.127659574468083</v>
      </c>
      <c r="Q471" s="30">
        <f t="shared" si="99"/>
        <v>141</v>
      </c>
      <c r="R471" s="11" t="str">
        <f t="shared" si="100"/>
        <v>4</v>
      </c>
      <c r="S471" s="10" t="str">
        <f t="shared" si="101"/>
        <v>0</v>
      </c>
      <c r="T471" s="9">
        <f t="shared" si="102"/>
        <v>3</v>
      </c>
      <c r="U471" t="str">
        <f t="shared" si="103"/>
        <v>Mismatch</v>
      </c>
    </row>
    <row r="472" spans="1:21" x14ac:dyDescent="0.2">
      <c r="A472" s="12">
        <v>470</v>
      </c>
      <c r="B472" s="12">
        <v>471</v>
      </c>
      <c r="C472" s="12">
        <v>0.1212</v>
      </c>
      <c r="D472" s="12">
        <v>0.26</v>
      </c>
      <c r="E472" s="12">
        <v>0.44779999999999998</v>
      </c>
      <c r="F472" s="12">
        <v>4</v>
      </c>
      <c r="G472" s="12">
        <v>61</v>
      </c>
      <c r="H472" s="12">
        <v>65</v>
      </c>
      <c r="I472" s="22">
        <f t="shared" si="91"/>
        <v>21.304599999999986</v>
      </c>
      <c r="J472" s="23">
        <f t="shared" si="92"/>
        <v>0.15217571428571419</v>
      </c>
      <c r="K472" s="24">
        <f t="shared" si="93"/>
        <v>140</v>
      </c>
      <c r="L472" s="25">
        <f t="shared" si="94"/>
        <v>79.429999999999993</v>
      </c>
      <c r="M472" s="26">
        <f t="shared" si="95"/>
        <v>0.56735714285714278</v>
      </c>
      <c r="N472" s="27">
        <f t="shared" si="96"/>
        <v>140</v>
      </c>
      <c r="O472" s="28">
        <f t="shared" si="97"/>
        <v>7570</v>
      </c>
      <c r="P472" s="29">
        <f t="shared" si="98"/>
        <v>54.071428571428569</v>
      </c>
      <c r="Q472" s="30">
        <f t="shared" si="99"/>
        <v>140</v>
      </c>
      <c r="R472" s="11" t="str">
        <f t="shared" si="100"/>
        <v>4</v>
      </c>
      <c r="S472" s="10" t="str">
        <f t="shared" si="101"/>
        <v>1</v>
      </c>
      <c r="T472" s="9">
        <f t="shared" si="102"/>
        <v>3</v>
      </c>
      <c r="U472" t="str">
        <f t="shared" si="103"/>
        <v>Mismatch</v>
      </c>
    </row>
    <row r="473" spans="1:21" x14ac:dyDescent="0.2">
      <c r="A473" s="12">
        <v>471</v>
      </c>
      <c r="B473" s="12">
        <v>472</v>
      </c>
      <c r="C473" s="12">
        <v>0.13639999999999999</v>
      </c>
      <c r="D473" s="12">
        <v>0.26</v>
      </c>
      <c r="E473" s="12">
        <v>0.35820000000000002</v>
      </c>
      <c r="F473" s="12">
        <v>0</v>
      </c>
      <c r="G473" s="12">
        <v>97</v>
      </c>
      <c r="H473" s="12">
        <v>97</v>
      </c>
      <c r="I473" s="22">
        <f t="shared" si="91"/>
        <v>21.183399999999988</v>
      </c>
      <c r="J473" s="23">
        <f t="shared" si="92"/>
        <v>0.15239856115107905</v>
      </c>
      <c r="K473" s="24">
        <f t="shared" si="93"/>
        <v>139</v>
      </c>
      <c r="L473" s="25">
        <f t="shared" si="94"/>
        <v>79.169999999999987</v>
      </c>
      <c r="M473" s="26">
        <f t="shared" si="95"/>
        <v>0.5695683453237409</v>
      </c>
      <c r="N473" s="27">
        <f t="shared" si="96"/>
        <v>139</v>
      </c>
      <c r="O473" s="28">
        <f t="shared" si="97"/>
        <v>7505</v>
      </c>
      <c r="P473" s="29">
        <f t="shared" si="98"/>
        <v>53.992805755395686</v>
      </c>
      <c r="Q473" s="30">
        <f t="shared" si="99"/>
        <v>139</v>
      </c>
      <c r="R473" s="11" t="str">
        <f t="shared" si="100"/>
        <v>4</v>
      </c>
      <c r="S473" s="10" t="str">
        <f t="shared" si="101"/>
        <v>2</v>
      </c>
      <c r="T473" s="9">
        <f t="shared" si="102"/>
        <v>3</v>
      </c>
      <c r="U473" t="str">
        <f t="shared" si="103"/>
        <v>Mismatch</v>
      </c>
    </row>
    <row r="474" spans="1:21" x14ac:dyDescent="0.2">
      <c r="A474" s="12">
        <v>472</v>
      </c>
      <c r="B474" s="12">
        <v>473</v>
      </c>
      <c r="C474" s="12">
        <v>0.1212</v>
      </c>
      <c r="D474" s="12">
        <v>0.28000000000000003</v>
      </c>
      <c r="E474" s="12">
        <v>0.35820000000000002</v>
      </c>
      <c r="F474" s="12">
        <v>10</v>
      </c>
      <c r="G474" s="12">
        <v>151</v>
      </c>
      <c r="H474" s="12">
        <v>161</v>
      </c>
      <c r="I474" s="22">
        <f t="shared" si="91"/>
        <v>21.046999999999986</v>
      </c>
      <c r="J474" s="23">
        <f t="shared" si="92"/>
        <v>0.15251449275362308</v>
      </c>
      <c r="K474" s="24">
        <f t="shared" si="93"/>
        <v>138</v>
      </c>
      <c r="L474" s="25">
        <f t="shared" si="94"/>
        <v>78.909999999999982</v>
      </c>
      <c r="M474" s="26">
        <f t="shared" si="95"/>
        <v>0.5718115942028984</v>
      </c>
      <c r="N474" s="27">
        <f t="shared" si="96"/>
        <v>138</v>
      </c>
      <c r="O474" s="28">
        <f t="shared" si="97"/>
        <v>7408</v>
      </c>
      <c r="P474" s="29">
        <f t="shared" si="98"/>
        <v>53.681159420289852</v>
      </c>
      <c r="Q474" s="30">
        <f t="shared" si="99"/>
        <v>138</v>
      </c>
      <c r="R474" s="11" t="str">
        <f t="shared" si="100"/>
        <v>4</v>
      </c>
      <c r="S474" s="10" t="str">
        <f t="shared" si="101"/>
        <v>3</v>
      </c>
      <c r="T474" s="9">
        <f t="shared" si="102"/>
        <v>3</v>
      </c>
      <c r="U474" t="str">
        <f t="shared" si="103"/>
        <v>Mismatch</v>
      </c>
    </row>
    <row r="475" spans="1:21" x14ac:dyDescent="0.2">
      <c r="A475" s="12">
        <v>473</v>
      </c>
      <c r="B475" s="12">
        <v>474</v>
      </c>
      <c r="C475" s="12">
        <v>0.1212</v>
      </c>
      <c r="D475" s="12">
        <v>0.3</v>
      </c>
      <c r="E475" s="12">
        <v>0.25369999999999998</v>
      </c>
      <c r="F475" s="12">
        <v>1</v>
      </c>
      <c r="G475" s="12">
        <v>119</v>
      </c>
      <c r="H475" s="12">
        <v>120</v>
      </c>
      <c r="I475" s="22">
        <f t="shared" si="91"/>
        <v>20.925799999999988</v>
      </c>
      <c r="J475" s="23">
        <f t="shared" si="92"/>
        <v>0.15274306569343057</v>
      </c>
      <c r="K475" s="24">
        <f t="shared" si="93"/>
        <v>137</v>
      </c>
      <c r="L475" s="25">
        <f t="shared" si="94"/>
        <v>78.63</v>
      </c>
      <c r="M475" s="26">
        <f t="shared" si="95"/>
        <v>0.573941605839416</v>
      </c>
      <c r="N475" s="27">
        <f t="shared" si="96"/>
        <v>137</v>
      </c>
      <c r="O475" s="28">
        <f t="shared" si="97"/>
        <v>7247</v>
      </c>
      <c r="P475" s="29">
        <f t="shared" si="98"/>
        <v>52.897810218978101</v>
      </c>
      <c r="Q475" s="30">
        <f t="shared" si="99"/>
        <v>137</v>
      </c>
      <c r="R475" s="11" t="str">
        <f t="shared" si="100"/>
        <v>4</v>
      </c>
      <c r="S475" s="10" t="str">
        <f t="shared" si="101"/>
        <v>4</v>
      </c>
      <c r="T475" s="9">
        <f t="shared" si="102"/>
        <v>3</v>
      </c>
      <c r="U475" t="str">
        <f t="shared" si="103"/>
        <v>Match</v>
      </c>
    </row>
    <row r="476" spans="1:21" x14ac:dyDescent="0.2">
      <c r="A476" s="12">
        <v>474</v>
      </c>
      <c r="B476" s="12">
        <v>475</v>
      </c>
      <c r="C476" s="12">
        <v>0.1061</v>
      </c>
      <c r="D476" s="12">
        <v>0.3</v>
      </c>
      <c r="E476" s="12">
        <v>0.32840000000000003</v>
      </c>
      <c r="F476" s="12">
        <v>3</v>
      </c>
      <c r="G476" s="12">
        <v>93</v>
      </c>
      <c r="H476" s="12">
        <v>96</v>
      </c>
      <c r="I476" s="22">
        <f t="shared" si="91"/>
        <v>20.80459999999999</v>
      </c>
      <c r="J476" s="23">
        <f t="shared" si="92"/>
        <v>0.15297499999999992</v>
      </c>
      <c r="K476" s="24">
        <f t="shared" si="93"/>
        <v>136</v>
      </c>
      <c r="L476" s="25">
        <f t="shared" si="94"/>
        <v>78.33</v>
      </c>
      <c r="M476" s="26">
        <f t="shared" si="95"/>
        <v>0.57595588235294115</v>
      </c>
      <c r="N476" s="27">
        <f t="shared" si="96"/>
        <v>136</v>
      </c>
      <c r="O476" s="28">
        <f t="shared" si="97"/>
        <v>7127</v>
      </c>
      <c r="P476" s="29">
        <f t="shared" si="98"/>
        <v>52.404411764705884</v>
      </c>
      <c r="Q476" s="30">
        <f t="shared" si="99"/>
        <v>136</v>
      </c>
      <c r="R476" s="11" t="str">
        <f t="shared" si="100"/>
        <v>4</v>
      </c>
      <c r="S476" s="10" t="str">
        <f t="shared" si="101"/>
        <v>5</v>
      </c>
      <c r="T476" s="9">
        <f t="shared" si="102"/>
        <v>3</v>
      </c>
      <c r="U476" t="str">
        <f t="shared" si="103"/>
        <v>Mismatch</v>
      </c>
    </row>
    <row r="477" spans="1:21" x14ac:dyDescent="0.2">
      <c r="A477" s="12">
        <v>475</v>
      </c>
      <c r="B477" s="12">
        <v>476</v>
      </c>
      <c r="C477" s="12">
        <v>7.5800000000000006E-2</v>
      </c>
      <c r="D477" s="12">
        <v>0.33</v>
      </c>
      <c r="E477" s="12">
        <v>0.41789999999999999</v>
      </c>
      <c r="F477" s="12">
        <v>1</v>
      </c>
      <c r="G477" s="12">
        <v>52</v>
      </c>
      <c r="H477" s="12">
        <v>53</v>
      </c>
      <c r="I477" s="22">
        <f t="shared" si="91"/>
        <v>20.698499999999989</v>
      </c>
      <c r="J477" s="23">
        <f t="shared" si="92"/>
        <v>0.15332222222222214</v>
      </c>
      <c r="K477" s="24">
        <f t="shared" si="93"/>
        <v>135</v>
      </c>
      <c r="L477" s="25">
        <f t="shared" si="94"/>
        <v>78.03</v>
      </c>
      <c r="M477" s="26">
        <f t="shared" si="95"/>
        <v>0.57799999999999996</v>
      </c>
      <c r="N477" s="27">
        <f t="shared" si="96"/>
        <v>135</v>
      </c>
      <c r="O477" s="28">
        <f t="shared" si="97"/>
        <v>7031</v>
      </c>
      <c r="P477" s="29">
        <f t="shared" si="98"/>
        <v>52.081481481481482</v>
      </c>
      <c r="Q477" s="30">
        <f t="shared" si="99"/>
        <v>135</v>
      </c>
      <c r="R477" s="11" t="str">
        <f t="shared" si="100"/>
        <v>4</v>
      </c>
      <c r="S477" s="10" t="str">
        <f t="shared" si="101"/>
        <v>6</v>
      </c>
      <c r="T477" s="9">
        <f t="shared" si="102"/>
        <v>3</v>
      </c>
      <c r="U477" t="str">
        <f t="shared" si="103"/>
        <v>Mismatch</v>
      </c>
    </row>
    <row r="478" spans="1:21" x14ac:dyDescent="0.2">
      <c r="A478" s="12">
        <v>476</v>
      </c>
      <c r="B478" s="12">
        <v>477</v>
      </c>
      <c r="C478" s="12">
        <v>7.5800000000000006E-2</v>
      </c>
      <c r="D478" s="12">
        <v>0.38</v>
      </c>
      <c r="E478" s="12">
        <v>0.28360000000000002</v>
      </c>
      <c r="F478" s="12">
        <v>0</v>
      </c>
      <c r="G478" s="12">
        <v>41</v>
      </c>
      <c r="H478" s="12">
        <v>41</v>
      </c>
      <c r="I478" s="22">
        <f t="shared" si="91"/>
        <v>20.622699999999988</v>
      </c>
      <c r="J478" s="23">
        <f t="shared" si="92"/>
        <v>0.15390074626865663</v>
      </c>
      <c r="K478" s="24">
        <f t="shared" si="93"/>
        <v>134</v>
      </c>
      <c r="L478" s="25">
        <f t="shared" si="94"/>
        <v>77.7</v>
      </c>
      <c r="M478" s="26">
        <f t="shared" si="95"/>
        <v>0.57985074626865674</v>
      </c>
      <c r="N478" s="27">
        <f t="shared" si="96"/>
        <v>134</v>
      </c>
      <c r="O478" s="28">
        <f t="shared" si="97"/>
        <v>6978</v>
      </c>
      <c r="P478" s="29">
        <f t="shared" si="98"/>
        <v>52.07462686567164</v>
      </c>
      <c r="Q478" s="30">
        <f t="shared" si="99"/>
        <v>134</v>
      </c>
      <c r="R478" s="11" t="str">
        <f t="shared" si="100"/>
        <v>4</v>
      </c>
      <c r="S478" s="10" t="str">
        <f t="shared" si="101"/>
        <v>7</v>
      </c>
      <c r="T478" s="9">
        <f t="shared" si="102"/>
        <v>3</v>
      </c>
      <c r="U478" t="str">
        <f t="shared" si="103"/>
        <v>Mismatch</v>
      </c>
    </row>
    <row r="479" spans="1:21" x14ac:dyDescent="0.2">
      <c r="A479" s="12">
        <v>477</v>
      </c>
      <c r="B479" s="12">
        <v>478</v>
      </c>
      <c r="C479" s="12">
        <v>3.0300000000000001E-2</v>
      </c>
      <c r="D479" s="12">
        <v>0.41</v>
      </c>
      <c r="E479" s="12">
        <v>0.3881</v>
      </c>
      <c r="F479" s="12">
        <v>1</v>
      </c>
      <c r="G479" s="12">
        <v>33</v>
      </c>
      <c r="H479" s="12">
        <v>34</v>
      </c>
      <c r="I479" s="22">
        <f t="shared" si="91"/>
        <v>20.546899999999987</v>
      </c>
      <c r="J479" s="23">
        <f t="shared" si="92"/>
        <v>0.15448796992481192</v>
      </c>
      <c r="K479" s="24">
        <f t="shared" si="93"/>
        <v>133</v>
      </c>
      <c r="L479" s="25">
        <f t="shared" si="94"/>
        <v>77.320000000000007</v>
      </c>
      <c r="M479" s="26">
        <f t="shared" si="95"/>
        <v>0.58135338345864662</v>
      </c>
      <c r="N479" s="27">
        <f t="shared" si="96"/>
        <v>133</v>
      </c>
      <c r="O479" s="28">
        <f t="shared" si="97"/>
        <v>6937</v>
      </c>
      <c r="P479" s="29">
        <f t="shared" si="98"/>
        <v>52.157894736842103</v>
      </c>
      <c r="Q479" s="30">
        <f t="shared" si="99"/>
        <v>133</v>
      </c>
      <c r="R479" s="11" t="str">
        <f t="shared" si="100"/>
        <v>4</v>
      </c>
      <c r="S479" s="10" t="str">
        <f t="shared" si="101"/>
        <v>8</v>
      </c>
      <c r="T479" s="9">
        <f t="shared" si="102"/>
        <v>3</v>
      </c>
      <c r="U479" t="str">
        <f t="shared" si="103"/>
        <v>Mismatch</v>
      </c>
    </row>
    <row r="480" spans="1:21" x14ac:dyDescent="0.2">
      <c r="A480" s="12">
        <v>478</v>
      </c>
      <c r="B480" s="12">
        <v>479</v>
      </c>
      <c r="C480" s="12">
        <v>4.5499999999999999E-2</v>
      </c>
      <c r="D480" s="12">
        <v>0.38</v>
      </c>
      <c r="E480" s="12">
        <v>0.32840000000000003</v>
      </c>
      <c r="F480" s="12">
        <v>0</v>
      </c>
      <c r="G480" s="12">
        <v>27</v>
      </c>
      <c r="H480" s="12">
        <v>27</v>
      </c>
      <c r="I480" s="22">
        <f t="shared" si="91"/>
        <v>20.516599999999986</v>
      </c>
      <c r="J480" s="23">
        <f t="shared" si="92"/>
        <v>0.15542878787878778</v>
      </c>
      <c r="K480" s="24">
        <f t="shared" si="93"/>
        <v>132</v>
      </c>
      <c r="L480" s="25">
        <f t="shared" si="94"/>
        <v>76.910000000000011</v>
      </c>
      <c r="M480" s="26">
        <f t="shared" si="95"/>
        <v>0.58265151515151525</v>
      </c>
      <c r="N480" s="27">
        <f t="shared" si="96"/>
        <v>132</v>
      </c>
      <c r="O480" s="28">
        <f t="shared" si="97"/>
        <v>6903</v>
      </c>
      <c r="P480" s="29">
        <f t="shared" si="98"/>
        <v>52.295454545454547</v>
      </c>
      <c r="Q480" s="30">
        <f t="shared" si="99"/>
        <v>132</v>
      </c>
      <c r="R480" s="11" t="str">
        <f t="shared" si="100"/>
        <v>4</v>
      </c>
      <c r="S480" s="10" t="str">
        <f t="shared" si="101"/>
        <v>9</v>
      </c>
      <c r="T480" s="9">
        <f t="shared" si="102"/>
        <v>3</v>
      </c>
      <c r="U480" t="str">
        <f t="shared" si="103"/>
        <v>Mismatch</v>
      </c>
    </row>
    <row r="481" spans="1:21" x14ac:dyDescent="0.2">
      <c r="A481" s="12">
        <v>479</v>
      </c>
      <c r="B481" s="12">
        <v>480</v>
      </c>
      <c r="C481" s="12">
        <v>3.0300000000000001E-2</v>
      </c>
      <c r="D481" s="12">
        <v>0.45</v>
      </c>
      <c r="E481" s="12">
        <v>0.25369999999999998</v>
      </c>
      <c r="F481" s="12">
        <v>0</v>
      </c>
      <c r="G481" s="12">
        <v>13</v>
      </c>
      <c r="H481" s="12">
        <v>13</v>
      </c>
      <c r="I481" s="22">
        <f t="shared" si="91"/>
        <v>20.471099999999989</v>
      </c>
      <c r="J481" s="23">
        <f t="shared" si="92"/>
        <v>0.15626793893129762</v>
      </c>
      <c r="K481" s="24">
        <f t="shared" si="93"/>
        <v>131</v>
      </c>
      <c r="L481" s="25">
        <f t="shared" si="94"/>
        <v>76.530000000000015</v>
      </c>
      <c r="M481" s="26">
        <f t="shared" si="95"/>
        <v>0.5841984732824429</v>
      </c>
      <c r="N481" s="27">
        <f t="shared" si="96"/>
        <v>131</v>
      </c>
      <c r="O481" s="28">
        <f t="shared" si="97"/>
        <v>6876</v>
      </c>
      <c r="P481" s="29">
        <f t="shared" si="98"/>
        <v>52.488549618320612</v>
      </c>
      <c r="Q481" s="30">
        <f t="shared" si="99"/>
        <v>131</v>
      </c>
      <c r="R481" s="11" t="str">
        <f t="shared" si="100"/>
        <v>4</v>
      </c>
      <c r="S481" s="10" t="str">
        <f t="shared" si="101"/>
        <v>0</v>
      </c>
      <c r="T481" s="9">
        <f t="shared" si="102"/>
        <v>3</v>
      </c>
      <c r="U481" t="str">
        <f t="shared" si="103"/>
        <v>Mismatch</v>
      </c>
    </row>
    <row r="482" spans="1:21" x14ac:dyDescent="0.2">
      <c r="A482" s="12">
        <v>480</v>
      </c>
      <c r="B482" s="12">
        <v>481</v>
      </c>
      <c r="C482" s="12">
        <v>0</v>
      </c>
      <c r="D482" s="12">
        <v>0.41</v>
      </c>
      <c r="E482" s="12">
        <v>0.3881</v>
      </c>
      <c r="F482" s="12">
        <v>3</v>
      </c>
      <c r="G482" s="12">
        <v>9</v>
      </c>
      <c r="H482" s="12">
        <v>12</v>
      </c>
      <c r="I482" s="22">
        <f t="shared" si="91"/>
        <v>20.440799999999989</v>
      </c>
      <c r="J482" s="23">
        <f t="shared" si="92"/>
        <v>0.157236923076923</v>
      </c>
      <c r="K482" s="24">
        <f t="shared" si="93"/>
        <v>130</v>
      </c>
      <c r="L482" s="25">
        <f t="shared" si="94"/>
        <v>76.080000000000013</v>
      </c>
      <c r="M482" s="26">
        <f t="shared" si="95"/>
        <v>0.58523076923076933</v>
      </c>
      <c r="N482" s="27">
        <f t="shared" si="96"/>
        <v>130</v>
      </c>
      <c r="O482" s="28">
        <f t="shared" si="97"/>
        <v>6863</v>
      </c>
      <c r="P482" s="29">
        <f t="shared" si="98"/>
        <v>52.792307692307695</v>
      </c>
      <c r="Q482" s="30">
        <f t="shared" si="99"/>
        <v>130</v>
      </c>
      <c r="R482" s="11" t="str">
        <f t="shared" si="100"/>
        <v>4</v>
      </c>
      <c r="S482" s="10" t="str">
        <f t="shared" si="101"/>
        <v>1</v>
      </c>
      <c r="T482" s="9">
        <f t="shared" si="102"/>
        <v>3</v>
      </c>
      <c r="U482" t="str">
        <f t="shared" si="103"/>
        <v>Mismatch</v>
      </c>
    </row>
    <row r="483" spans="1:21" x14ac:dyDescent="0.2">
      <c r="A483" s="12">
        <v>481</v>
      </c>
      <c r="B483" s="12">
        <v>482</v>
      </c>
      <c r="C483" s="12">
        <v>3.0300000000000001E-2</v>
      </c>
      <c r="D483" s="12">
        <v>0.41</v>
      </c>
      <c r="E483" s="12">
        <v>0.25369999999999998</v>
      </c>
      <c r="F483" s="12">
        <v>0</v>
      </c>
      <c r="G483" s="12">
        <v>11</v>
      </c>
      <c r="H483" s="12">
        <v>11</v>
      </c>
      <c r="I483" s="22">
        <f t="shared" si="91"/>
        <v>20.440799999999989</v>
      </c>
      <c r="J483" s="23">
        <f t="shared" si="92"/>
        <v>0.15845581395348829</v>
      </c>
      <c r="K483" s="24">
        <f t="shared" si="93"/>
        <v>129</v>
      </c>
      <c r="L483" s="25">
        <f t="shared" si="94"/>
        <v>75.670000000000016</v>
      </c>
      <c r="M483" s="26">
        <f t="shared" si="95"/>
        <v>0.58658914728682188</v>
      </c>
      <c r="N483" s="27">
        <f t="shared" si="96"/>
        <v>129</v>
      </c>
      <c r="O483" s="28">
        <f t="shared" si="97"/>
        <v>6851</v>
      </c>
      <c r="P483" s="29">
        <f t="shared" si="98"/>
        <v>53.108527131782942</v>
      </c>
      <c r="Q483" s="30">
        <f t="shared" si="99"/>
        <v>129</v>
      </c>
      <c r="R483" s="11" t="str">
        <f t="shared" si="100"/>
        <v>4</v>
      </c>
      <c r="S483" s="10" t="str">
        <f t="shared" si="101"/>
        <v>2</v>
      </c>
      <c r="T483" s="9">
        <f t="shared" si="102"/>
        <v>3</v>
      </c>
      <c r="U483" t="str">
        <f t="shared" si="103"/>
        <v>Mismatch</v>
      </c>
    </row>
    <row r="484" spans="1:21" x14ac:dyDescent="0.2">
      <c r="A484" s="12">
        <v>482</v>
      </c>
      <c r="B484" s="12">
        <v>483</v>
      </c>
      <c r="C484" s="12">
        <v>3.0300000000000001E-2</v>
      </c>
      <c r="D484" s="12">
        <v>0.41</v>
      </c>
      <c r="E484" s="12">
        <v>0.28360000000000002</v>
      </c>
      <c r="F484" s="12">
        <v>1</v>
      </c>
      <c r="G484" s="12">
        <v>6</v>
      </c>
      <c r="H484" s="12">
        <v>7</v>
      </c>
      <c r="I484" s="22">
        <f t="shared" si="91"/>
        <v>20.410499999999988</v>
      </c>
      <c r="J484" s="23">
        <f t="shared" si="92"/>
        <v>0.15945703124999991</v>
      </c>
      <c r="K484" s="24">
        <f t="shared" si="93"/>
        <v>128</v>
      </c>
      <c r="L484" s="25">
        <f t="shared" si="94"/>
        <v>75.260000000000005</v>
      </c>
      <c r="M484" s="26">
        <f t="shared" si="95"/>
        <v>0.58796875000000004</v>
      </c>
      <c r="N484" s="27">
        <f t="shared" si="96"/>
        <v>128</v>
      </c>
      <c r="O484" s="28">
        <f t="shared" si="97"/>
        <v>6840</v>
      </c>
      <c r="P484" s="29">
        <f t="shared" si="98"/>
        <v>53.4375</v>
      </c>
      <c r="Q484" s="30">
        <f t="shared" si="99"/>
        <v>128</v>
      </c>
      <c r="R484" s="11" t="str">
        <f t="shared" si="100"/>
        <v>4</v>
      </c>
      <c r="S484" s="10" t="str">
        <f t="shared" si="101"/>
        <v>3</v>
      </c>
      <c r="T484" s="9">
        <f t="shared" si="102"/>
        <v>3</v>
      </c>
      <c r="U484" t="str">
        <f t="shared" si="103"/>
        <v>Mismatch</v>
      </c>
    </row>
    <row r="485" spans="1:21" x14ac:dyDescent="0.2">
      <c r="A485" s="12">
        <v>483</v>
      </c>
      <c r="B485" s="12">
        <v>484</v>
      </c>
      <c r="C485" s="12">
        <v>1.52E-2</v>
      </c>
      <c r="D485" s="12">
        <v>0.48</v>
      </c>
      <c r="E485" s="12">
        <v>0.29849999999999999</v>
      </c>
      <c r="F485" s="12">
        <v>0</v>
      </c>
      <c r="G485" s="12">
        <v>3</v>
      </c>
      <c r="H485" s="12">
        <v>3</v>
      </c>
      <c r="I485" s="22">
        <f t="shared" si="91"/>
        <v>20.380199999999988</v>
      </c>
      <c r="J485" s="23">
        <f t="shared" si="92"/>
        <v>0.16047401574803141</v>
      </c>
      <c r="K485" s="24">
        <f t="shared" si="93"/>
        <v>127</v>
      </c>
      <c r="L485" s="25">
        <f t="shared" si="94"/>
        <v>74.849999999999994</v>
      </c>
      <c r="M485" s="26">
        <f t="shared" si="95"/>
        <v>0.58937007874015745</v>
      </c>
      <c r="N485" s="27">
        <f t="shared" si="96"/>
        <v>127</v>
      </c>
      <c r="O485" s="28">
        <f t="shared" si="97"/>
        <v>6833</v>
      </c>
      <c r="P485" s="29">
        <f t="shared" si="98"/>
        <v>53.803149606299215</v>
      </c>
      <c r="Q485" s="30">
        <f t="shared" si="99"/>
        <v>127</v>
      </c>
      <c r="R485" s="11" t="str">
        <f t="shared" si="100"/>
        <v>4</v>
      </c>
      <c r="S485" s="10" t="str">
        <f t="shared" si="101"/>
        <v>4</v>
      </c>
      <c r="T485" s="9">
        <f t="shared" si="102"/>
        <v>3</v>
      </c>
      <c r="U485" t="str">
        <f t="shared" si="103"/>
        <v>Match</v>
      </c>
    </row>
    <row r="486" spans="1:21" x14ac:dyDescent="0.2">
      <c r="A486" s="12">
        <v>484</v>
      </c>
      <c r="B486" s="12">
        <v>485</v>
      </c>
      <c r="C486" s="12">
        <v>3.0300000000000001E-2</v>
      </c>
      <c r="D486" s="12">
        <v>0.44</v>
      </c>
      <c r="E486" s="12">
        <v>0.22389999999999999</v>
      </c>
      <c r="F486" s="12">
        <v>0</v>
      </c>
      <c r="G486" s="12">
        <v>2</v>
      </c>
      <c r="H486" s="12">
        <v>2</v>
      </c>
      <c r="I486" s="22">
        <f t="shared" si="91"/>
        <v>20.364999999999988</v>
      </c>
      <c r="J486" s="23">
        <f t="shared" si="92"/>
        <v>0.16162698412698404</v>
      </c>
      <c r="K486" s="24">
        <f t="shared" si="93"/>
        <v>126</v>
      </c>
      <c r="L486" s="25">
        <f t="shared" si="94"/>
        <v>74.37</v>
      </c>
      <c r="M486" s="26">
        <f t="shared" si="95"/>
        <v>0.59023809523809523</v>
      </c>
      <c r="N486" s="27">
        <f t="shared" si="96"/>
        <v>126</v>
      </c>
      <c r="O486" s="28">
        <f t="shared" si="97"/>
        <v>6830</v>
      </c>
      <c r="P486" s="29">
        <f t="shared" si="98"/>
        <v>54.206349206349209</v>
      </c>
      <c r="Q486" s="30">
        <f t="shared" si="99"/>
        <v>126</v>
      </c>
      <c r="R486" s="11" t="str">
        <f t="shared" si="100"/>
        <v>4</v>
      </c>
      <c r="S486" s="10" t="str">
        <f t="shared" si="101"/>
        <v>5</v>
      </c>
      <c r="T486" s="9">
        <f t="shared" si="102"/>
        <v>3</v>
      </c>
      <c r="U486" t="str">
        <f t="shared" si="103"/>
        <v>Mismatch</v>
      </c>
    </row>
    <row r="487" spans="1:21" x14ac:dyDescent="0.2">
      <c r="A487" s="12">
        <v>485</v>
      </c>
      <c r="B487" s="12">
        <v>486</v>
      </c>
      <c r="C487" s="12">
        <v>1.52E-2</v>
      </c>
      <c r="D487" s="12">
        <v>0.44</v>
      </c>
      <c r="E487" s="12">
        <v>0.28360000000000002</v>
      </c>
      <c r="F487" s="12">
        <v>0</v>
      </c>
      <c r="G487" s="12">
        <v>8</v>
      </c>
      <c r="H487" s="12">
        <v>8</v>
      </c>
      <c r="I487" s="22">
        <f t="shared" si="91"/>
        <v>20.334699999999987</v>
      </c>
      <c r="J487" s="23">
        <f t="shared" si="92"/>
        <v>0.16267759999999989</v>
      </c>
      <c r="K487" s="24">
        <f t="shared" si="93"/>
        <v>125</v>
      </c>
      <c r="L487" s="25">
        <f t="shared" si="94"/>
        <v>73.930000000000007</v>
      </c>
      <c r="M487" s="26">
        <f t="shared" si="95"/>
        <v>0.59144000000000008</v>
      </c>
      <c r="N487" s="27">
        <f t="shared" si="96"/>
        <v>125</v>
      </c>
      <c r="O487" s="28">
        <f t="shared" si="97"/>
        <v>6828</v>
      </c>
      <c r="P487" s="29">
        <f t="shared" si="98"/>
        <v>54.624000000000002</v>
      </c>
      <c r="Q487" s="30">
        <f t="shared" si="99"/>
        <v>125</v>
      </c>
      <c r="R487" s="11" t="str">
        <f t="shared" si="100"/>
        <v>4</v>
      </c>
      <c r="S487" s="10" t="str">
        <f t="shared" si="101"/>
        <v>6</v>
      </c>
      <c r="T487" s="9">
        <f t="shared" si="102"/>
        <v>3</v>
      </c>
      <c r="U487" t="str">
        <f t="shared" si="103"/>
        <v>Mismatch</v>
      </c>
    </row>
    <row r="488" spans="1:21" x14ac:dyDescent="0.2">
      <c r="A488" s="12">
        <v>486</v>
      </c>
      <c r="B488" s="12">
        <v>487</v>
      </c>
      <c r="C488" s="12">
        <v>0</v>
      </c>
      <c r="D488" s="12">
        <v>0.44</v>
      </c>
      <c r="E488" s="12">
        <v>0.32840000000000003</v>
      </c>
      <c r="F488" s="12">
        <v>1</v>
      </c>
      <c r="G488" s="12">
        <v>26</v>
      </c>
      <c r="H488" s="12">
        <v>27</v>
      </c>
      <c r="I488" s="22">
        <f t="shared" si="91"/>
        <v>20.319499999999987</v>
      </c>
      <c r="J488" s="23">
        <f t="shared" si="92"/>
        <v>0.16386693548387085</v>
      </c>
      <c r="K488" s="24">
        <f t="shared" si="93"/>
        <v>124</v>
      </c>
      <c r="L488" s="25">
        <f t="shared" si="94"/>
        <v>73.490000000000009</v>
      </c>
      <c r="M488" s="26">
        <f t="shared" si="95"/>
        <v>0.59266129032258075</v>
      </c>
      <c r="N488" s="27">
        <f t="shared" si="96"/>
        <v>124</v>
      </c>
      <c r="O488" s="28">
        <f t="shared" si="97"/>
        <v>6820</v>
      </c>
      <c r="P488" s="29">
        <f t="shared" si="98"/>
        <v>55</v>
      </c>
      <c r="Q488" s="30">
        <f t="shared" si="99"/>
        <v>124</v>
      </c>
      <c r="R488" s="11" t="str">
        <f t="shared" si="100"/>
        <v>4</v>
      </c>
      <c r="S488" s="10" t="str">
        <f t="shared" si="101"/>
        <v>7</v>
      </c>
      <c r="T488" s="9">
        <f t="shared" si="102"/>
        <v>3</v>
      </c>
      <c r="U488" t="str">
        <f t="shared" si="103"/>
        <v>Mismatch</v>
      </c>
    </row>
    <row r="489" spans="1:21" x14ac:dyDescent="0.2">
      <c r="A489" s="12">
        <v>487</v>
      </c>
      <c r="B489" s="12">
        <v>488</v>
      </c>
      <c r="C489" s="12">
        <v>3.0300000000000001E-2</v>
      </c>
      <c r="D489" s="12">
        <v>0.41</v>
      </c>
      <c r="E489" s="12">
        <v>0.25369999999999998</v>
      </c>
      <c r="F489" s="12">
        <v>3</v>
      </c>
      <c r="G489" s="12">
        <v>37</v>
      </c>
      <c r="H489" s="12">
        <v>40</v>
      </c>
      <c r="I489" s="22">
        <f t="shared" si="91"/>
        <v>20.319499999999987</v>
      </c>
      <c r="J489" s="23">
        <f t="shared" si="92"/>
        <v>0.16519918699186981</v>
      </c>
      <c r="K489" s="24">
        <f t="shared" si="93"/>
        <v>123</v>
      </c>
      <c r="L489" s="25">
        <f t="shared" si="94"/>
        <v>73.05</v>
      </c>
      <c r="M489" s="26">
        <f t="shared" si="95"/>
        <v>0.59390243902439022</v>
      </c>
      <c r="N489" s="27">
        <f t="shared" si="96"/>
        <v>123</v>
      </c>
      <c r="O489" s="28">
        <f t="shared" si="97"/>
        <v>6793</v>
      </c>
      <c r="P489" s="29">
        <f t="shared" si="98"/>
        <v>55.227642276422763</v>
      </c>
      <c r="Q489" s="30">
        <f t="shared" si="99"/>
        <v>123</v>
      </c>
      <c r="R489" s="11" t="str">
        <f t="shared" si="100"/>
        <v>4</v>
      </c>
      <c r="S489" s="10" t="str">
        <f t="shared" si="101"/>
        <v>8</v>
      </c>
      <c r="T489" s="9">
        <f t="shared" si="102"/>
        <v>3</v>
      </c>
      <c r="U489" t="str">
        <f t="shared" si="103"/>
        <v>Mismatch</v>
      </c>
    </row>
    <row r="490" spans="1:21" x14ac:dyDescent="0.2">
      <c r="A490" s="12">
        <v>488</v>
      </c>
      <c r="B490" s="12">
        <v>489</v>
      </c>
      <c r="C490" s="12">
        <v>6.0600000000000001E-2</v>
      </c>
      <c r="D490" s="12">
        <v>0.41</v>
      </c>
      <c r="E490" s="12">
        <v>0.16420000000000001</v>
      </c>
      <c r="F490" s="12">
        <v>3</v>
      </c>
      <c r="G490" s="12">
        <v>50</v>
      </c>
      <c r="H490" s="12">
        <v>53</v>
      </c>
      <c r="I490" s="22">
        <f t="shared" si="91"/>
        <v>20.289199999999987</v>
      </c>
      <c r="J490" s="23">
        <f t="shared" si="92"/>
        <v>0.16630491803278677</v>
      </c>
      <c r="K490" s="24">
        <f t="shared" si="93"/>
        <v>122</v>
      </c>
      <c r="L490" s="25">
        <f t="shared" si="94"/>
        <v>72.64</v>
      </c>
      <c r="M490" s="26">
        <f t="shared" si="95"/>
        <v>0.59540983606557374</v>
      </c>
      <c r="N490" s="27">
        <f t="shared" si="96"/>
        <v>122</v>
      </c>
      <c r="O490" s="28">
        <f t="shared" si="97"/>
        <v>6753</v>
      </c>
      <c r="P490" s="29">
        <f t="shared" si="98"/>
        <v>55.352459016393439</v>
      </c>
      <c r="Q490" s="30">
        <f t="shared" si="99"/>
        <v>122</v>
      </c>
      <c r="R490" s="11" t="str">
        <f t="shared" si="100"/>
        <v>4</v>
      </c>
      <c r="S490" s="10" t="str">
        <f t="shared" si="101"/>
        <v>9</v>
      </c>
      <c r="T490" s="9">
        <f t="shared" si="102"/>
        <v>3</v>
      </c>
      <c r="U490" t="str">
        <f t="shared" si="103"/>
        <v>Mismatch</v>
      </c>
    </row>
    <row r="491" spans="1:21" x14ac:dyDescent="0.2">
      <c r="A491" s="12">
        <v>489</v>
      </c>
      <c r="B491" s="12">
        <v>490</v>
      </c>
      <c r="C491" s="12">
        <v>7.5800000000000006E-2</v>
      </c>
      <c r="D491" s="12">
        <v>0.38</v>
      </c>
      <c r="E491" s="12">
        <v>0.1343</v>
      </c>
      <c r="F491" s="12">
        <v>4</v>
      </c>
      <c r="G491" s="12">
        <v>59</v>
      </c>
      <c r="H491" s="12">
        <v>63</v>
      </c>
      <c r="I491" s="22">
        <f t="shared" si="91"/>
        <v>20.228599999999989</v>
      </c>
      <c r="J491" s="23">
        <f t="shared" si="92"/>
        <v>0.16717851239669412</v>
      </c>
      <c r="K491" s="24">
        <f t="shared" si="93"/>
        <v>121</v>
      </c>
      <c r="L491" s="25">
        <f t="shared" si="94"/>
        <v>72.23</v>
      </c>
      <c r="M491" s="26">
        <f t="shared" si="95"/>
        <v>0.59694214876033058</v>
      </c>
      <c r="N491" s="27">
        <f t="shared" si="96"/>
        <v>121</v>
      </c>
      <c r="O491" s="28">
        <f t="shared" si="97"/>
        <v>6700</v>
      </c>
      <c r="P491" s="29">
        <f t="shared" si="98"/>
        <v>55.371900826446279</v>
      </c>
      <c r="Q491" s="30">
        <f t="shared" si="99"/>
        <v>121</v>
      </c>
      <c r="R491" s="11" t="str">
        <f t="shared" si="100"/>
        <v>4</v>
      </c>
      <c r="S491" s="10" t="str">
        <f t="shared" si="101"/>
        <v>0</v>
      </c>
      <c r="T491" s="9">
        <f t="shared" si="102"/>
        <v>3</v>
      </c>
      <c r="U491" t="str">
        <f t="shared" si="103"/>
        <v>Mismatch</v>
      </c>
    </row>
    <row r="492" spans="1:21" x14ac:dyDescent="0.2">
      <c r="A492" s="12">
        <v>490</v>
      </c>
      <c r="B492" s="12">
        <v>491</v>
      </c>
      <c r="C492" s="12">
        <v>0.1061</v>
      </c>
      <c r="D492" s="12">
        <v>0.38</v>
      </c>
      <c r="E492" s="12">
        <v>0.1045</v>
      </c>
      <c r="F492" s="12">
        <v>10</v>
      </c>
      <c r="G492" s="12">
        <v>60</v>
      </c>
      <c r="H492" s="12">
        <v>70</v>
      </c>
      <c r="I492" s="22">
        <f t="shared" si="91"/>
        <v>20.152799999999989</v>
      </c>
      <c r="J492" s="23">
        <f t="shared" si="92"/>
        <v>0.16793999999999989</v>
      </c>
      <c r="K492" s="24">
        <f t="shared" si="93"/>
        <v>120</v>
      </c>
      <c r="L492" s="25">
        <f t="shared" si="94"/>
        <v>71.849999999999994</v>
      </c>
      <c r="M492" s="26">
        <f t="shared" si="95"/>
        <v>0.59875</v>
      </c>
      <c r="N492" s="27">
        <f t="shared" si="96"/>
        <v>120</v>
      </c>
      <c r="O492" s="28">
        <f t="shared" si="97"/>
        <v>6637</v>
      </c>
      <c r="P492" s="29">
        <f t="shared" si="98"/>
        <v>55.30833333333333</v>
      </c>
      <c r="Q492" s="30">
        <f t="shared" si="99"/>
        <v>120</v>
      </c>
      <c r="R492" s="11" t="str">
        <f t="shared" si="100"/>
        <v>4</v>
      </c>
      <c r="S492" s="10" t="str">
        <f t="shared" si="101"/>
        <v>1</v>
      </c>
      <c r="T492" s="9">
        <f t="shared" si="102"/>
        <v>3</v>
      </c>
      <c r="U492" t="str">
        <f t="shared" si="103"/>
        <v>Mismatch</v>
      </c>
    </row>
    <row r="493" spans="1:21" x14ac:dyDescent="0.2">
      <c r="A493" s="12">
        <v>491</v>
      </c>
      <c r="B493" s="12">
        <v>492</v>
      </c>
      <c r="C493" s="12">
        <v>0.16669999999999999</v>
      </c>
      <c r="D493" s="12">
        <v>0.35</v>
      </c>
      <c r="E493" s="12">
        <v>0</v>
      </c>
      <c r="F493" s="12">
        <v>12</v>
      </c>
      <c r="G493" s="12">
        <v>72</v>
      </c>
      <c r="H493" s="12">
        <v>84</v>
      </c>
      <c r="I493" s="22">
        <f t="shared" si="91"/>
        <v>20.046699999999987</v>
      </c>
      <c r="J493" s="23">
        <f t="shared" si="92"/>
        <v>0.16845966386554612</v>
      </c>
      <c r="K493" s="24">
        <f t="shared" si="93"/>
        <v>119</v>
      </c>
      <c r="L493" s="25">
        <f t="shared" si="94"/>
        <v>71.47</v>
      </c>
      <c r="M493" s="26">
        <f t="shared" si="95"/>
        <v>0.60058823529411764</v>
      </c>
      <c r="N493" s="27">
        <f t="shared" si="96"/>
        <v>119</v>
      </c>
      <c r="O493" s="28">
        <f t="shared" si="97"/>
        <v>6567</v>
      </c>
      <c r="P493" s="29">
        <f t="shared" si="98"/>
        <v>55.184873949579831</v>
      </c>
      <c r="Q493" s="30">
        <f t="shared" si="99"/>
        <v>119</v>
      </c>
      <c r="R493" s="11" t="str">
        <f t="shared" si="100"/>
        <v>4</v>
      </c>
      <c r="S493" s="10" t="str">
        <f t="shared" si="101"/>
        <v>2</v>
      </c>
      <c r="T493" s="9">
        <f t="shared" si="102"/>
        <v>3</v>
      </c>
      <c r="U493" t="str">
        <f t="shared" si="103"/>
        <v>Mismatch</v>
      </c>
    </row>
    <row r="494" spans="1:21" x14ac:dyDescent="0.2">
      <c r="A494" s="12">
        <v>492</v>
      </c>
      <c r="B494" s="12">
        <v>493</v>
      </c>
      <c r="C494" s="12">
        <v>0.13639999999999999</v>
      </c>
      <c r="D494" s="12">
        <v>0.33</v>
      </c>
      <c r="E494" s="12">
        <v>0.1045</v>
      </c>
      <c r="F494" s="12">
        <v>11</v>
      </c>
      <c r="G494" s="12">
        <v>64</v>
      </c>
      <c r="H494" s="12">
        <v>75</v>
      </c>
      <c r="I494" s="22">
        <f t="shared" si="91"/>
        <v>19.879999999999988</v>
      </c>
      <c r="J494" s="23">
        <f t="shared" si="92"/>
        <v>0.16847457627118634</v>
      </c>
      <c r="K494" s="24">
        <f t="shared" si="93"/>
        <v>118</v>
      </c>
      <c r="L494" s="25">
        <f t="shared" si="94"/>
        <v>71.11999999999999</v>
      </c>
      <c r="M494" s="26">
        <f t="shared" si="95"/>
        <v>0.6027118644067796</v>
      </c>
      <c r="N494" s="27">
        <f t="shared" si="96"/>
        <v>118</v>
      </c>
      <c r="O494" s="28">
        <f t="shared" si="97"/>
        <v>6483</v>
      </c>
      <c r="P494" s="29">
        <f t="shared" si="98"/>
        <v>54.940677966101696</v>
      </c>
      <c r="Q494" s="30">
        <f t="shared" si="99"/>
        <v>118</v>
      </c>
      <c r="R494" s="11" t="str">
        <f t="shared" si="100"/>
        <v>4</v>
      </c>
      <c r="S494" s="10" t="str">
        <f t="shared" si="101"/>
        <v>3</v>
      </c>
      <c r="T494" s="9">
        <f t="shared" si="102"/>
        <v>3</v>
      </c>
      <c r="U494" t="str">
        <f t="shared" si="103"/>
        <v>Mismatch</v>
      </c>
    </row>
    <row r="495" spans="1:21" x14ac:dyDescent="0.2">
      <c r="A495" s="12">
        <v>493</v>
      </c>
      <c r="B495" s="12">
        <v>494</v>
      </c>
      <c r="C495" s="12">
        <v>0.1515</v>
      </c>
      <c r="D495" s="12">
        <v>0.28000000000000003</v>
      </c>
      <c r="E495" s="12">
        <v>0</v>
      </c>
      <c r="F495" s="12">
        <v>10</v>
      </c>
      <c r="G495" s="12">
        <v>93</v>
      </c>
      <c r="H495" s="12">
        <v>103</v>
      </c>
      <c r="I495" s="22">
        <f t="shared" si="91"/>
        <v>19.743599999999986</v>
      </c>
      <c r="J495" s="23">
        <f t="shared" si="92"/>
        <v>0.16874871794871785</v>
      </c>
      <c r="K495" s="24">
        <f t="shared" si="93"/>
        <v>117</v>
      </c>
      <c r="L495" s="25">
        <f t="shared" si="94"/>
        <v>70.789999999999992</v>
      </c>
      <c r="M495" s="26">
        <f t="shared" si="95"/>
        <v>0.60504273504273498</v>
      </c>
      <c r="N495" s="27">
        <f t="shared" si="96"/>
        <v>117</v>
      </c>
      <c r="O495" s="28">
        <f t="shared" si="97"/>
        <v>6408</v>
      </c>
      <c r="P495" s="29">
        <f t="shared" si="98"/>
        <v>54.769230769230766</v>
      </c>
      <c r="Q495" s="30">
        <f t="shared" si="99"/>
        <v>117</v>
      </c>
      <c r="R495" s="11" t="str">
        <f t="shared" si="100"/>
        <v>4</v>
      </c>
      <c r="S495" s="10" t="str">
        <f t="shared" si="101"/>
        <v>4</v>
      </c>
      <c r="T495" s="9">
        <f t="shared" si="102"/>
        <v>3</v>
      </c>
      <c r="U495" t="str">
        <f t="shared" si="103"/>
        <v>Match</v>
      </c>
    </row>
    <row r="496" spans="1:21" x14ac:dyDescent="0.2">
      <c r="A496" s="12">
        <v>494</v>
      </c>
      <c r="B496" s="12">
        <v>495</v>
      </c>
      <c r="C496" s="12">
        <v>0.13639999999999999</v>
      </c>
      <c r="D496" s="12">
        <v>0.28000000000000003</v>
      </c>
      <c r="E496" s="12">
        <v>0.19400000000000001</v>
      </c>
      <c r="F496" s="12">
        <v>11</v>
      </c>
      <c r="G496" s="12">
        <v>72</v>
      </c>
      <c r="H496" s="12">
        <v>83</v>
      </c>
      <c r="I496" s="22">
        <f t="shared" si="91"/>
        <v>19.592099999999984</v>
      </c>
      <c r="J496" s="23">
        <f t="shared" si="92"/>
        <v>0.1688974137931033</v>
      </c>
      <c r="K496" s="24">
        <f t="shared" si="93"/>
        <v>116</v>
      </c>
      <c r="L496" s="25">
        <f t="shared" si="94"/>
        <v>70.509999999999991</v>
      </c>
      <c r="M496" s="26">
        <f t="shared" si="95"/>
        <v>0.60784482758620684</v>
      </c>
      <c r="N496" s="27">
        <f t="shared" si="96"/>
        <v>116</v>
      </c>
      <c r="O496" s="28">
        <f t="shared" si="97"/>
        <v>6305</v>
      </c>
      <c r="P496" s="29">
        <f t="shared" si="98"/>
        <v>54.353448275862071</v>
      </c>
      <c r="Q496" s="30">
        <f t="shared" si="99"/>
        <v>116</v>
      </c>
      <c r="R496" s="11" t="str">
        <f t="shared" si="100"/>
        <v>4</v>
      </c>
      <c r="S496" s="10" t="str">
        <f t="shared" si="101"/>
        <v>5</v>
      </c>
      <c r="T496" s="9">
        <f t="shared" si="102"/>
        <v>3</v>
      </c>
      <c r="U496" t="str">
        <f t="shared" si="103"/>
        <v>Mismatch</v>
      </c>
    </row>
    <row r="497" spans="1:21" x14ac:dyDescent="0.2">
      <c r="A497" s="12">
        <v>495</v>
      </c>
      <c r="B497" s="12">
        <v>496</v>
      </c>
      <c r="C497" s="12">
        <v>0.19700000000000001</v>
      </c>
      <c r="D497" s="12">
        <v>0.28000000000000003</v>
      </c>
      <c r="E497" s="12">
        <v>0</v>
      </c>
      <c r="F497" s="12">
        <v>8</v>
      </c>
      <c r="G497" s="12">
        <v>59</v>
      </c>
      <c r="H497" s="12">
        <v>67</v>
      </c>
      <c r="I497" s="22">
        <f t="shared" si="91"/>
        <v>19.455699999999986</v>
      </c>
      <c r="J497" s="23">
        <f t="shared" si="92"/>
        <v>0.16917999999999989</v>
      </c>
      <c r="K497" s="24">
        <f t="shared" si="93"/>
        <v>115</v>
      </c>
      <c r="L497" s="25">
        <f t="shared" si="94"/>
        <v>70.22999999999999</v>
      </c>
      <c r="M497" s="26">
        <f t="shared" si="95"/>
        <v>0.61069565217391297</v>
      </c>
      <c r="N497" s="27">
        <f t="shared" si="96"/>
        <v>115</v>
      </c>
      <c r="O497" s="28">
        <f t="shared" si="97"/>
        <v>6222</v>
      </c>
      <c r="P497" s="29">
        <f t="shared" si="98"/>
        <v>54.104347826086958</v>
      </c>
      <c r="Q497" s="30">
        <f t="shared" si="99"/>
        <v>115</v>
      </c>
      <c r="R497" s="11" t="str">
        <f t="shared" si="100"/>
        <v>4</v>
      </c>
      <c r="S497" s="10" t="str">
        <f t="shared" si="101"/>
        <v>6</v>
      </c>
      <c r="T497" s="9">
        <f t="shared" si="102"/>
        <v>3</v>
      </c>
      <c r="U497" t="str">
        <f t="shared" si="103"/>
        <v>Mismatch</v>
      </c>
    </row>
    <row r="498" spans="1:21" x14ac:dyDescent="0.2">
      <c r="A498" s="12">
        <v>496</v>
      </c>
      <c r="B498" s="12">
        <v>497</v>
      </c>
      <c r="C498" s="12">
        <v>9.0899999999999995E-2</v>
      </c>
      <c r="D498" s="12">
        <v>0.35</v>
      </c>
      <c r="E498" s="12">
        <v>0.19400000000000001</v>
      </c>
      <c r="F498" s="12">
        <v>0</v>
      </c>
      <c r="G498" s="12">
        <v>54</v>
      </c>
      <c r="H498" s="12">
        <v>54</v>
      </c>
      <c r="I498" s="22">
        <f t="shared" si="91"/>
        <v>19.258699999999983</v>
      </c>
      <c r="J498" s="23">
        <f t="shared" si="92"/>
        <v>0.16893596491228055</v>
      </c>
      <c r="K498" s="24">
        <f t="shared" si="93"/>
        <v>114</v>
      </c>
      <c r="L498" s="25">
        <f t="shared" si="94"/>
        <v>69.95</v>
      </c>
      <c r="M498" s="26">
        <f t="shared" si="95"/>
        <v>0.61359649122807025</v>
      </c>
      <c r="N498" s="27">
        <f t="shared" si="96"/>
        <v>114</v>
      </c>
      <c r="O498" s="28">
        <f t="shared" si="97"/>
        <v>6155</v>
      </c>
      <c r="P498" s="29">
        <f t="shared" si="98"/>
        <v>53.991228070175438</v>
      </c>
      <c r="Q498" s="30">
        <f t="shared" si="99"/>
        <v>114</v>
      </c>
      <c r="R498" s="11" t="str">
        <f t="shared" si="100"/>
        <v>4</v>
      </c>
      <c r="S498" s="10" t="str">
        <f t="shared" si="101"/>
        <v>7</v>
      </c>
      <c r="T498" s="9">
        <f t="shared" si="102"/>
        <v>3</v>
      </c>
      <c r="U498" t="str">
        <f t="shared" si="103"/>
        <v>Mismatch</v>
      </c>
    </row>
    <row r="499" spans="1:21" x14ac:dyDescent="0.2">
      <c r="A499" s="12">
        <v>497</v>
      </c>
      <c r="B499" s="12">
        <v>498</v>
      </c>
      <c r="C499" s="12">
        <v>0.1061</v>
      </c>
      <c r="D499" s="12">
        <v>0.35</v>
      </c>
      <c r="E499" s="12">
        <v>0.1343</v>
      </c>
      <c r="F499" s="12">
        <v>6</v>
      </c>
      <c r="G499" s="12">
        <v>53</v>
      </c>
      <c r="H499" s="12">
        <v>59</v>
      </c>
      <c r="I499" s="22">
        <f t="shared" si="91"/>
        <v>19.167799999999986</v>
      </c>
      <c r="J499" s="23">
        <f t="shared" si="92"/>
        <v>0.16962654867256624</v>
      </c>
      <c r="K499" s="24">
        <f t="shared" si="93"/>
        <v>113</v>
      </c>
      <c r="L499" s="25">
        <f t="shared" si="94"/>
        <v>69.599999999999994</v>
      </c>
      <c r="M499" s="26">
        <f t="shared" si="95"/>
        <v>0.61592920353982294</v>
      </c>
      <c r="N499" s="27">
        <f t="shared" si="96"/>
        <v>113</v>
      </c>
      <c r="O499" s="28">
        <f t="shared" si="97"/>
        <v>6101</v>
      </c>
      <c r="P499" s="29">
        <f t="shared" si="98"/>
        <v>53.991150442477874</v>
      </c>
      <c r="Q499" s="30">
        <f t="shared" si="99"/>
        <v>113</v>
      </c>
      <c r="R499" s="11" t="str">
        <f t="shared" si="100"/>
        <v>4</v>
      </c>
      <c r="S499" s="10" t="str">
        <f t="shared" si="101"/>
        <v>8</v>
      </c>
      <c r="T499" s="9">
        <f t="shared" si="102"/>
        <v>3</v>
      </c>
      <c r="U499" t="str">
        <f t="shared" si="103"/>
        <v>Mismatch</v>
      </c>
    </row>
    <row r="500" spans="1:21" x14ac:dyDescent="0.2">
      <c r="A500" s="12">
        <v>498</v>
      </c>
      <c r="B500" s="12">
        <v>499</v>
      </c>
      <c r="C500" s="12">
        <v>7.5800000000000006E-2</v>
      </c>
      <c r="D500" s="12">
        <v>0.45</v>
      </c>
      <c r="E500" s="12">
        <v>0.16420000000000001</v>
      </c>
      <c r="F500" s="12">
        <v>1</v>
      </c>
      <c r="G500" s="12">
        <v>44</v>
      </c>
      <c r="H500" s="12">
        <v>45</v>
      </c>
      <c r="I500" s="22">
        <f t="shared" si="91"/>
        <v>19.061699999999984</v>
      </c>
      <c r="J500" s="23">
        <f t="shared" si="92"/>
        <v>0.17019374999999987</v>
      </c>
      <c r="K500" s="24">
        <f t="shared" si="93"/>
        <v>112</v>
      </c>
      <c r="L500" s="25">
        <f t="shared" si="94"/>
        <v>69.249999999999986</v>
      </c>
      <c r="M500" s="26">
        <f t="shared" si="95"/>
        <v>0.61830357142857129</v>
      </c>
      <c r="N500" s="27">
        <f t="shared" si="96"/>
        <v>112</v>
      </c>
      <c r="O500" s="28">
        <f t="shared" si="97"/>
        <v>6042</v>
      </c>
      <c r="P500" s="29">
        <f t="shared" si="98"/>
        <v>53.946428571428569</v>
      </c>
      <c r="Q500" s="30">
        <f t="shared" si="99"/>
        <v>112</v>
      </c>
      <c r="R500" s="11" t="str">
        <f t="shared" si="100"/>
        <v>4</v>
      </c>
      <c r="S500" s="10" t="str">
        <f t="shared" si="101"/>
        <v>9</v>
      </c>
      <c r="T500" s="9">
        <f t="shared" si="102"/>
        <v>3</v>
      </c>
      <c r="U500" t="str">
        <f t="shared" si="103"/>
        <v>Mismatch</v>
      </c>
    </row>
    <row r="501" spans="1:21" x14ac:dyDescent="0.2">
      <c r="A501" s="12">
        <v>499</v>
      </c>
      <c r="B501" s="12">
        <v>500</v>
      </c>
      <c r="C501" s="12">
        <v>0.1061</v>
      </c>
      <c r="D501" s="12">
        <v>0.41</v>
      </c>
      <c r="E501" s="12">
        <v>8.9599999999999999E-2</v>
      </c>
      <c r="F501" s="12">
        <v>0</v>
      </c>
      <c r="G501" s="12">
        <v>39</v>
      </c>
      <c r="H501" s="12">
        <v>39</v>
      </c>
      <c r="I501" s="22">
        <f t="shared" si="91"/>
        <v>18.985899999999987</v>
      </c>
      <c r="J501" s="23">
        <f t="shared" si="92"/>
        <v>0.17104414414414401</v>
      </c>
      <c r="K501" s="24">
        <f t="shared" si="93"/>
        <v>111</v>
      </c>
      <c r="L501" s="25">
        <f t="shared" si="94"/>
        <v>68.799999999999983</v>
      </c>
      <c r="M501" s="26">
        <f t="shared" si="95"/>
        <v>0.61981981981981971</v>
      </c>
      <c r="N501" s="27">
        <f t="shared" si="96"/>
        <v>111</v>
      </c>
      <c r="O501" s="28">
        <f t="shared" si="97"/>
        <v>5997</v>
      </c>
      <c r="P501" s="29">
        <f t="shared" si="98"/>
        <v>54.027027027027025</v>
      </c>
      <c r="Q501" s="30">
        <f t="shared" si="99"/>
        <v>111</v>
      </c>
      <c r="R501" s="11" t="str">
        <f t="shared" si="100"/>
        <v>5</v>
      </c>
      <c r="S501" s="10" t="str">
        <f t="shared" si="101"/>
        <v>0</v>
      </c>
      <c r="T501" s="9">
        <f t="shared" si="102"/>
        <v>3</v>
      </c>
      <c r="U501" t="str">
        <f t="shared" si="103"/>
        <v>Mismatch</v>
      </c>
    </row>
    <row r="502" spans="1:21" x14ac:dyDescent="0.2">
      <c r="A502" s="12">
        <v>500</v>
      </c>
      <c r="B502" s="12">
        <v>501</v>
      </c>
      <c r="C502" s="12">
        <v>0.1515</v>
      </c>
      <c r="D502" s="12">
        <v>0.49</v>
      </c>
      <c r="E502" s="12">
        <v>0</v>
      </c>
      <c r="F502" s="12">
        <v>7</v>
      </c>
      <c r="G502" s="12">
        <v>23</v>
      </c>
      <c r="H502" s="12">
        <v>30</v>
      </c>
      <c r="I502" s="22">
        <f t="shared" si="91"/>
        <v>18.879799999999985</v>
      </c>
      <c r="J502" s="23">
        <f t="shared" si="92"/>
        <v>0.17163454545454532</v>
      </c>
      <c r="K502" s="24">
        <f t="shared" si="93"/>
        <v>110</v>
      </c>
      <c r="L502" s="25">
        <f t="shared" si="94"/>
        <v>68.389999999999972</v>
      </c>
      <c r="M502" s="26">
        <f t="shared" si="95"/>
        <v>0.62172727272727246</v>
      </c>
      <c r="N502" s="27">
        <f t="shared" si="96"/>
        <v>110</v>
      </c>
      <c r="O502" s="28">
        <f t="shared" si="97"/>
        <v>5958</v>
      </c>
      <c r="P502" s="29">
        <f t="shared" si="98"/>
        <v>54.163636363636364</v>
      </c>
      <c r="Q502" s="30">
        <f t="shared" si="99"/>
        <v>110</v>
      </c>
      <c r="R502" s="11" t="str">
        <f t="shared" si="100"/>
        <v>5</v>
      </c>
      <c r="S502" s="10" t="str">
        <f t="shared" si="101"/>
        <v>1</v>
      </c>
      <c r="T502" s="9">
        <f t="shared" si="102"/>
        <v>3</v>
      </c>
      <c r="U502" t="str">
        <f t="shared" si="103"/>
        <v>Mismatch</v>
      </c>
    </row>
    <row r="503" spans="1:21" x14ac:dyDescent="0.2">
      <c r="A503" s="12">
        <v>501</v>
      </c>
      <c r="B503" s="12">
        <v>502</v>
      </c>
      <c r="C503" s="12">
        <v>7.5800000000000006E-2</v>
      </c>
      <c r="D503" s="12">
        <v>0.56999999999999995</v>
      </c>
      <c r="E503" s="12">
        <v>0.1045</v>
      </c>
      <c r="F503" s="12">
        <v>2</v>
      </c>
      <c r="G503" s="12">
        <v>31</v>
      </c>
      <c r="H503" s="12">
        <v>33</v>
      </c>
      <c r="I503" s="22">
        <f t="shared" si="91"/>
        <v>18.728299999999987</v>
      </c>
      <c r="J503" s="23">
        <f t="shared" si="92"/>
        <v>0.17181926605504574</v>
      </c>
      <c r="K503" s="24">
        <f t="shared" si="93"/>
        <v>109</v>
      </c>
      <c r="L503" s="25">
        <f t="shared" si="94"/>
        <v>67.899999999999977</v>
      </c>
      <c r="M503" s="26">
        <f t="shared" si="95"/>
        <v>0.6229357798165136</v>
      </c>
      <c r="N503" s="27">
        <f t="shared" si="96"/>
        <v>109</v>
      </c>
      <c r="O503" s="28">
        <f t="shared" si="97"/>
        <v>5928</v>
      </c>
      <c r="P503" s="29">
        <f t="shared" si="98"/>
        <v>54.38532110091743</v>
      </c>
      <c r="Q503" s="30">
        <f t="shared" si="99"/>
        <v>109</v>
      </c>
      <c r="R503" s="11" t="str">
        <f t="shared" si="100"/>
        <v>5</v>
      </c>
      <c r="S503" s="10" t="str">
        <f t="shared" si="101"/>
        <v>2</v>
      </c>
      <c r="T503" s="9">
        <f t="shared" si="102"/>
        <v>3</v>
      </c>
      <c r="U503" t="str">
        <f t="shared" si="103"/>
        <v>Mismatch</v>
      </c>
    </row>
    <row r="504" spans="1:21" x14ac:dyDescent="0.2">
      <c r="A504" s="12">
        <v>502</v>
      </c>
      <c r="B504" s="12">
        <v>503</v>
      </c>
      <c r="C504" s="12">
        <v>7.5800000000000006E-2</v>
      </c>
      <c r="D504" s="12">
        <v>0.56999999999999995</v>
      </c>
      <c r="E504" s="12">
        <v>0.1045</v>
      </c>
      <c r="F504" s="12">
        <v>2</v>
      </c>
      <c r="G504" s="12">
        <v>20</v>
      </c>
      <c r="H504" s="12">
        <v>22</v>
      </c>
      <c r="I504" s="22">
        <f t="shared" si="91"/>
        <v>18.652499999999986</v>
      </c>
      <c r="J504" s="23">
        <f t="shared" si="92"/>
        <v>0.17270833333333321</v>
      </c>
      <c r="K504" s="24">
        <f t="shared" si="93"/>
        <v>108</v>
      </c>
      <c r="L504" s="25">
        <f t="shared" si="94"/>
        <v>67.32999999999997</v>
      </c>
      <c r="M504" s="26">
        <f t="shared" si="95"/>
        <v>0.62342592592592561</v>
      </c>
      <c r="N504" s="27">
        <f t="shared" si="96"/>
        <v>108</v>
      </c>
      <c r="O504" s="28">
        <f t="shared" si="97"/>
        <v>5895</v>
      </c>
      <c r="P504" s="29">
        <f t="shared" si="98"/>
        <v>54.583333333333336</v>
      </c>
      <c r="Q504" s="30">
        <f t="shared" si="99"/>
        <v>108</v>
      </c>
      <c r="R504" s="11" t="str">
        <f t="shared" si="100"/>
        <v>5</v>
      </c>
      <c r="S504" s="10" t="str">
        <f t="shared" si="101"/>
        <v>3</v>
      </c>
      <c r="T504" s="9">
        <f t="shared" si="102"/>
        <v>3</v>
      </c>
      <c r="U504" t="str">
        <f t="shared" si="103"/>
        <v>Mismatch</v>
      </c>
    </row>
    <row r="505" spans="1:21" x14ac:dyDescent="0.2">
      <c r="A505" s="12">
        <v>503</v>
      </c>
      <c r="B505" s="12">
        <v>504</v>
      </c>
      <c r="C505" s="12">
        <v>7.5800000000000006E-2</v>
      </c>
      <c r="D505" s="12">
        <v>0.56999999999999995</v>
      </c>
      <c r="E505" s="12">
        <v>0.1045</v>
      </c>
      <c r="F505" s="12">
        <v>1</v>
      </c>
      <c r="G505" s="12">
        <v>12</v>
      </c>
      <c r="H505" s="12">
        <v>13</v>
      </c>
      <c r="I505" s="22">
        <f t="shared" si="91"/>
        <v>18.576699999999985</v>
      </c>
      <c r="J505" s="23">
        <f t="shared" si="92"/>
        <v>0.17361401869158863</v>
      </c>
      <c r="K505" s="24">
        <f t="shared" si="93"/>
        <v>107</v>
      </c>
      <c r="L505" s="25">
        <f t="shared" si="94"/>
        <v>66.759999999999962</v>
      </c>
      <c r="M505" s="26">
        <f t="shared" si="95"/>
        <v>0.62392523364485941</v>
      </c>
      <c r="N505" s="27">
        <f t="shared" si="96"/>
        <v>107</v>
      </c>
      <c r="O505" s="28">
        <f t="shared" si="97"/>
        <v>5873</v>
      </c>
      <c r="P505" s="29">
        <f t="shared" si="98"/>
        <v>54.887850467289717</v>
      </c>
      <c r="Q505" s="30">
        <f t="shared" si="99"/>
        <v>107</v>
      </c>
      <c r="R505" s="11" t="str">
        <f t="shared" si="100"/>
        <v>5</v>
      </c>
      <c r="S505" s="10" t="str">
        <f t="shared" si="101"/>
        <v>4</v>
      </c>
      <c r="T505" s="9">
        <f t="shared" si="102"/>
        <v>3</v>
      </c>
      <c r="U505" t="str">
        <f t="shared" si="103"/>
        <v>Mismatch</v>
      </c>
    </row>
    <row r="506" spans="1:21" x14ac:dyDescent="0.2">
      <c r="A506" s="12">
        <v>504</v>
      </c>
      <c r="B506" s="12">
        <v>505</v>
      </c>
      <c r="C506" s="12">
        <v>6.0600000000000001E-2</v>
      </c>
      <c r="D506" s="12">
        <v>0.62</v>
      </c>
      <c r="E506" s="12">
        <v>0.1343</v>
      </c>
      <c r="F506" s="12">
        <v>3</v>
      </c>
      <c r="G506" s="12">
        <v>15</v>
      </c>
      <c r="H506" s="12">
        <v>18</v>
      </c>
      <c r="I506" s="22">
        <f t="shared" si="91"/>
        <v>18.500899999999987</v>
      </c>
      <c r="J506" s="23">
        <f t="shared" si="92"/>
        <v>0.17453679245283008</v>
      </c>
      <c r="K506" s="24">
        <f t="shared" si="93"/>
        <v>106</v>
      </c>
      <c r="L506" s="25">
        <f t="shared" si="94"/>
        <v>66.189999999999969</v>
      </c>
      <c r="M506" s="26">
        <f t="shared" si="95"/>
        <v>0.6244339622641506</v>
      </c>
      <c r="N506" s="27">
        <f t="shared" si="96"/>
        <v>106</v>
      </c>
      <c r="O506" s="28">
        <f t="shared" si="97"/>
        <v>5860</v>
      </c>
      <c r="P506" s="29">
        <f t="shared" si="98"/>
        <v>55.283018867924525</v>
      </c>
      <c r="Q506" s="30">
        <f t="shared" si="99"/>
        <v>106</v>
      </c>
      <c r="R506" s="11" t="str">
        <f t="shared" si="100"/>
        <v>5</v>
      </c>
      <c r="S506" s="10" t="str">
        <f t="shared" si="101"/>
        <v>5</v>
      </c>
      <c r="T506" s="9">
        <f t="shared" si="102"/>
        <v>3</v>
      </c>
      <c r="U506" t="str">
        <f t="shared" si="103"/>
        <v>Match</v>
      </c>
    </row>
    <row r="507" spans="1:21" x14ac:dyDescent="0.2">
      <c r="A507" s="12">
        <v>505</v>
      </c>
      <c r="B507" s="12">
        <v>506</v>
      </c>
      <c r="C507" s="12">
        <v>6.0600000000000001E-2</v>
      </c>
      <c r="D507" s="12">
        <v>0.62</v>
      </c>
      <c r="E507" s="12">
        <v>0.1343</v>
      </c>
      <c r="F507" s="12">
        <v>1</v>
      </c>
      <c r="G507" s="12">
        <v>4</v>
      </c>
      <c r="H507" s="12">
        <v>5</v>
      </c>
      <c r="I507" s="22">
        <f t="shared" si="91"/>
        <v>18.440299999999986</v>
      </c>
      <c r="J507" s="23">
        <f t="shared" si="92"/>
        <v>0.17562190476190465</v>
      </c>
      <c r="K507" s="24">
        <f t="shared" si="93"/>
        <v>105</v>
      </c>
      <c r="L507" s="25">
        <f t="shared" si="94"/>
        <v>65.569999999999965</v>
      </c>
      <c r="M507" s="26">
        <f t="shared" si="95"/>
        <v>0.62447619047619018</v>
      </c>
      <c r="N507" s="27">
        <f t="shared" si="96"/>
        <v>105</v>
      </c>
      <c r="O507" s="28">
        <f t="shared" si="97"/>
        <v>5842</v>
      </c>
      <c r="P507" s="29">
        <f t="shared" si="98"/>
        <v>55.638095238095239</v>
      </c>
      <c r="Q507" s="30">
        <f t="shared" si="99"/>
        <v>105</v>
      </c>
      <c r="R507" s="11" t="str">
        <f t="shared" si="100"/>
        <v>5</v>
      </c>
      <c r="S507" s="10" t="str">
        <f t="shared" si="101"/>
        <v>6</v>
      </c>
      <c r="T507" s="9">
        <f t="shared" si="102"/>
        <v>3</v>
      </c>
      <c r="U507" t="str">
        <f t="shared" si="103"/>
        <v>Mismatch</v>
      </c>
    </row>
    <row r="508" spans="1:21" x14ac:dyDescent="0.2">
      <c r="A508" s="12">
        <v>506</v>
      </c>
      <c r="B508" s="12">
        <v>507</v>
      </c>
      <c r="C508" s="12">
        <v>7.5800000000000006E-2</v>
      </c>
      <c r="D508" s="12">
        <v>0.56999999999999995</v>
      </c>
      <c r="E508" s="12">
        <v>0.1045</v>
      </c>
      <c r="F508" s="12">
        <v>0</v>
      </c>
      <c r="G508" s="12">
        <v>3</v>
      </c>
      <c r="H508" s="12">
        <v>3</v>
      </c>
      <c r="I508" s="22">
        <f t="shared" si="91"/>
        <v>18.379699999999985</v>
      </c>
      <c r="J508" s="23">
        <f t="shared" si="92"/>
        <v>0.17672788461538447</v>
      </c>
      <c r="K508" s="24">
        <f t="shared" si="93"/>
        <v>104</v>
      </c>
      <c r="L508" s="25">
        <f t="shared" si="94"/>
        <v>64.94999999999996</v>
      </c>
      <c r="M508" s="26">
        <f t="shared" si="95"/>
        <v>0.62451923076923044</v>
      </c>
      <c r="N508" s="27">
        <f t="shared" si="96"/>
        <v>104</v>
      </c>
      <c r="O508" s="28">
        <f t="shared" si="97"/>
        <v>5837</v>
      </c>
      <c r="P508" s="29">
        <f t="shared" si="98"/>
        <v>56.125</v>
      </c>
      <c r="Q508" s="30">
        <f t="shared" si="99"/>
        <v>104</v>
      </c>
      <c r="R508" s="11" t="str">
        <f t="shared" si="100"/>
        <v>5</v>
      </c>
      <c r="S508" s="10" t="str">
        <f t="shared" si="101"/>
        <v>7</v>
      </c>
      <c r="T508" s="9">
        <f t="shared" si="102"/>
        <v>3</v>
      </c>
      <c r="U508" t="str">
        <f t="shared" si="103"/>
        <v>Mismatch</v>
      </c>
    </row>
    <row r="509" spans="1:21" x14ac:dyDescent="0.2">
      <c r="A509" s="12">
        <v>507</v>
      </c>
      <c r="B509" s="12">
        <v>508</v>
      </c>
      <c r="C509" s="12">
        <v>7.5800000000000006E-2</v>
      </c>
      <c r="D509" s="12">
        <v>0.56999999999999995</v>
      </c>
      <c r="E509" s="12">
        <v>0.1045</v>
      </c>
      <c r="F509" s="12">
        <v>0</v>
      </c>
      <c r="G509" s="12">
        <v>1</v>
      </c>
      <c r="H509" s="12">
        <v>1</v>
      </c>
      <c r="I509" s="22">
        <f t="shared" si="91"/>
        <v>18.303899999999985</v>
      </c>
      <c r="J509" s="23">
        <f t="shared" si="92"/>
        <v>0.17770776699029112</v>
      </c>
      <c r="K509" s="24">
        <f t="shared" si="93"/>
        <v>103</v>
      </c>
      <c r="L509" s="25">
        <f t="shared" si="94"/>
        <v>64.379999999999967</v>
      </c>
      <c r="M509" s="26">
        <f t="shared" si="95"/>
        <v>0.62504854368932006</v>
      </c>
      <c r="N509" s="27">
        <f t="shared" si="96"/>
        <v>103</v>
      </c>
      <c r="O509" s="28">
        <f t="shared" si="97"/>
        <v>5834</v>
      </c>
      <c r="P509" s="29">
        <f t="shared" si="98"/>
        <v>56.640776699029125</v>
      </c>
      <c r="Q509" s="30">
        <f t="shared" si="99"/>
        <v>103</v>
      </c>
      <c r="R509" s="11" t="str">
        <f t="shared" si="100"/>
        <v>5</v>
      </c>
      <c r="S509" s="10" t="str">
        <f t="shared" si="101"/>
        <v>8</v>
      </c>
      <c r="T509" s="9">
        <f t="shared" si="102"/>
        <v>3</v>
      </c>
      <c r="U509" t="str">
        <f t="shared" si="103"/>
        <v>Mismatch</v>
      </c>
    </row>
    <row r="510" spans="1:21" x14ac:dyDescent="0.2">
      <c r="A510" s="12">
        <v>508</v>
      </c>
      <c r="B510" s="12">
        <v>509</v>
      </c>
      <c r="C510" s="12">
        <v>0.1061</v>
      </c>
      <c r="D510" s="12">
        <v>0.57999999999999996</v>
      </c>
      <c r="E510" s="12">
        <v>0.16420000000000001</v>
      </c>
      <c r="F510" s="12">
        <v>1</v>
      </c>
      <c r="G510" s="12">
        <v>1</v>
      </c>
      <c r="H510" s="12">
        <v>2</v>
      </c>
      <c r="I510" s="22">
        <f t="shared" si="91"/>
        <v>18.228099999999987</v>
      </c>
      <c r="J510" s="23">
        <f t="shared" si="92"/>
        <v>0.17870686274509792</v>
      </c>
      <c r="K510" s="24">
        <f t="shared" si="93"/>
        <v>102</v>
      </c>
      <c r="L510" s="25">
        <f t="shared" si="94"/>
        <v>63.80999999999996</v>
      </c>
      <c r="M510" s="26">
        <f t="shared" si="95"/>
        <v>0.62558823529411722</v>
      </c>
      <c r="N510" s="27">
        <f t="shared" si="96"/>
        <v>102</v>
      </c>
      <c r="O510" s="28">
        <f t="shared" si="97"/>
        <v>5833</v>
      </c>
      <c r="P510" s="29">
        <f t="shared" si="98"/>
        <v>57.186274509803923</v>
      </c>
      <c r="Q510" s="30">
        <f t="shared" si="99"/>
        <v>102</v>
      </c>
      <c r="R510" s="11" t="str">
        <f t="shared" si="100"/>
        <v>5</v>
      </c>
      <c r="S510" s="10" t="str">
        <f t="shared" si="101"/>
        <v>9</v>
      </c>
      <c r="T510" s="9">
        <f t="shared" si="102"/>
        <v>3</v>
      </c>
      <c r="U510" t="str">
        <f t="shared" si="103"/>
        <v>Mismatch</v>
      </c>
    </row>
    <row r="511" spans="1:21" x14ac:dyDescent="0.2">
      <c r="A511" s="12">
        <v>509</v>
      </c>
      <c r="B511" s="12">
        <v>510</v>
      </c>
      <c r="C511" s="12">
        <v>7.5800000000000006E-2</v>
      </c>
      <c r="D511" s="12">
        <v>0.62</v>
      </c>
      <c r="E511" s="12">
        <v>0.16420000000000001</v>
      </c>
      <c r="F511" s="12">
        <v>2</v>
      </c>
      <c r="G511" s="12">
        <v>17</v>
      </c>
      <c r="H511" s="12">
        <v>19</v>
      </c>
      <c r="I511" s="22">
        <f t="shared" si="91"/>
        <v>18.121999999999986</v>
      </c>
      <c r="J511" s="23">
        <f t="shared" si="92"/>
        <v>0.17942574257425728</v>
      </c>
      <c r="K511" s="24">
        <f t="shared" si="93"/>
        <v>101</v>
      </c>
      <c r="L511" s="25">
        <f t="shared" si="94"/>
        <v>63.229999999999968</v>
      </c>
      <c r="M511" s="26">
        <f t="shared" si="95"/>
        <v>0.62603960396039571</v>
      </c>
      <c r="N511" s="27">
        <f t="shared" si="96"/>
        <v>101</v>
      </c>
      <c r="O511" s="28">
        <f t="shared" si="97"/>
        <v>5831</v>
      </c>
      <c r="P511" s="29">
        <f t="shared" si="98"/>
        <v>57.732673267326732</v>
      </c>
      <c r="Q511" s="30">
        <f t="shared" si="99"/>
        <v>101</v>
      </c>
      <c r="R511" s="11" t="str">
        <f t="shared" si="100"/>
        <v>5</v>
      </c>
      <c r="S511" s="10" t="str">
        <f t="shared" si="101"/>
        <v>0</v>
      </c>
      <c r="T511" s="9">
        <f t="shared" si="102"/>
        <v>3</v>
      </c>
      <c r="U511" t="str">
        <f t="shared" si="103"/>
        <v>Mismatch</v>
      </c>
    </row>
    <row r="512" spans="1:21" x14ac:dyDescent="0.2">
      <c r="A512" s="12">
        <v>510</v>
      </c>
      <c r="B512" s="12">
        <v>511</v>
      </c>
      <c r="C512" s="12">
        <v>7.5800000000000006E-2</v>
      </c>
      <c r="D512" s="12">
        <v>0.54</v>
      </c>
      <c r="E512" s="12">
        <v>0.35820000000000002</v>
      </c>
      <c r="F512" s="12">
        <v>3</v>
      </c>
      <c r="G512" s="12">
        <v>25</v>
      </c>
      <c r="H512" s="12">
        <v>28</v>
      </c>
      <c r="I512" s="22">
        <f t="shared" si="91"/>
        <v>18.046199999999985</v>
      </c>
      <c r="J512" s="23">
        <f t="shared" si="92"/>
        <v>0.18046199999999984</v>
      </c>
      <c r="K512" s="24">
        <f t="shared" si="93"/>
        <v>100</v>
      </c>
      <c r="L512" s="25">
        <f t="shared" si="94"/>
        <v>62.609999999999971</v>
      </c>
      <c r="M512" s="26">
        <f t="shared" si="95"/>
        <v>0.62609999999999966</v>
      </c>
      <c r="N512" s="27">
        <f t="shared" si="96"/>
        <v>100</v>
      </c>
      <c r="O512" s="28">
        <f t="shared" si="97"/>
        <v>5812</v>
      </c>
      <c r="P512" s="29">
        <f t="shared" si="98"/>
        <v>58.12</v>
      </c>
      <c r="Q512" s="30">
        <f t="shared" si="99"/>
        <v>100</v>
      </c>
      <c r="R512" s="11" t="str">
        <f t="shared" si="100"/>
        <v>5</v>
      </c>
      <c r="S512" s="10" t="str">
        <f t="shared" si="101"/>
        <v>1</v>
      </c>
      <c r="T512" s="9">
        <f t="shared" si="102"/>
        <v>3</v>
      </c>
      <c r="U512" t="str">
        <f t="shared" si="103"/>
        <v>Mismatch</v>
      </c>
    </row>
    <row r="513" spans="1:21" x14ac:dyDescent="0.2">
      <c r="A513" s="12">
        <v>511</v>
      </c>
      <c r="B513" s="12">
        <v>512</v>
      </c>
      <c r="C513" s="12">
        <v>0.1061</v>
      </c>
      <c r="D513" s="12">
        <v>0.46</v>
      </c>
      <c r="E513" s="12">
        <v>0.3881</v>
      </c>
      <c r="F513" s="12">
        <v>7</v>
      </c>
      <c r="G513" s="12">
        <v>51</v>
      </c>
      <c r="H513" s="12">
        <v>58</v>
      </c>
      <c r="I513" s="22">
        <f t="shared" si="91"/>
        <v>17.970399999999984</v>
      </c>
      <c r="J513" s="23">
        <f t="shared" si="92"/>
        <v>0.18151919191919175</v>
      </c>
      <c r="K513" s="24">
        <f t="shared" si="93"/>
        <v>99</v>
      </c>
      <c r="L513" s="25">
        <f t="shared" si="94"/>
        <v>62.069999999999972</v>
      </c>
      <c r="M513" s="26">
        <f t="shared" si="95"/>
        <v>0.62696969696969673</v>
      </c>
      <c r="N513" s="27">
        <f t="shared" si="96"/>
        <v>99</v>
      </c>
      <c r="O513" s="28">
        <f t="shared" si="97"/>
        <v>5784</v>
      </c>
      <c r="P513" s="29">
        <f t="shared" si="98"/>
        <v>58.424242424242422</v>
      </c>
      <c r="Q513" s="30">
        <f t="shared" si="99"/>
        <v>99</v>
      </c>
      <c r="R513" s="11" t="str">
        <f t="shared" si="100"/>
        <v>5</v>
      </c>
      <c r="S513" s="10" t="str">
        <f t="shared" si="101"/>
        <v>2</v>
      </c>
      <c r="T513" s="9">
        <f t="shared" si="102"/>
        <v>3</v>
      </c>
      <c r="U513" t="str">
        <f t="shared" si="103"/>
        <v>Mismatch</v>
      </c>
    </row>
    <row r="514" spans="1:21" x14ac:dyDescent="0.2">
      <c r="A514" s="12">
        <v>512</v>
      </c>
      <c r="B514" s="12">
        <v>513</v>
      </c>
      <c r="C514" s="12">
        <v>0.13639999999999999</v>
      </c>
      <c r="D514" s="12">
        <v>0.43</v>
      </c>
      <c r="E514" s="12">
        <v>0.22389999999999999</v>
      </c>
      <c r="F514" s="12">
        <v>22</v>
      </c>
      <c r="G514" s="12">
        <v>77</v>
      </c>
      <c r="H514" s="12">
        <v>99</v>
      </c>
      <c r="I514" s="22">
        <f t="shared" si="91"/>
        <v>17.864299999999986</v>
      </c>
      <c r="J514" s="23">
        <f t="shared" si="92"/>
        <v>0.18228877551020395</v>
      </c>
      <c r="K514" s="24">
        <f t="shared" si="93"/>
        <v>98</v>
      </c>
      <c r="L514" s="25">
        <f t="shared" si="94"/>
        <v>61.609999999999971</v>
      </c>
      <c r="M514" s="26">
        <f t="shared" si="95"/>
        <v>0.62867346938775481</v>
      </c>
      <c r="N514" s="27">
        <f t="shared" si="96"/>
        <v>98</v>
      </c>
      <c r="O514" s="28">
        <f t="shared" si="97"/>
        <v>5726</v>
      </c>
      <c r="P514" s="29">
        <f t="shared" si="98"/>
        <v>58.428571428571431</v>
      </c>
      <c r="Q514" s="30">
        <f t="shared" si="99"/>
        <v>98</v>
      </c>
      <c r="R514" s="11" t="str">
        <f t="shared" si="100"/>
        <v>5</v>
      </c>
      <c r="S514" s="10" t="str">
        <f t="shared" si="101"/>
        <v>3</v>
      </c>
      <c r="T514" s="9">
        <f t="shared" si="102"/>
        <v>3</v>
      </c>
      <c r="U514" t="str">
        <f t="shared" si="103"/>
        <v>Mismatch</v>
      </c>
    </row>
    <row r="515" spans="1:21" x14ac:dyDescent="0.2">
      <c r="A515" s="12">
        <v>513</v>
      </c>
      <c r="B515" s="12">
        <v>514</v>
      </c>
      <c r="C515" s="12">
        <v>0.1212</v>
      </c>
      <c r="D515" s="12">
        <v>0.37</v>
      </c>
      <c r="E515" s="12">
        <v>0.4627</v>
      </c>
      <c r="F515" s="12">
        <v>24</v>
      </c>
      <c r="G515" s="12">
        <v>92</v>
      </c>
      <c r="H515" s="12">
        <v>116</v>
      </c>
      <c r="I515" s="22">
        <f t="shared" ref="I515:I578" si="104">SUM(C515:C1124)</f>
        <v>17.727899999999984</v>
      </c>
      <c r="J515" s="23">
        <f t="shared" ref="J515:J578" si="105">AVERAGE(C515:C1124)</f>
        <v>0.18276185567010292</v>
      </c>
      <c r="K515" s="24">
        <f t="shared" ref="K515:K578" si="106">COUNT(C515:C1124)</f>
        <v>97</v>
      </c>
      <c r="L515" s="25">
        <f t="shared" ref="L515:L578" si="107">SUM(D515:D1124)</f>
        <v>61.179999999999971</v>
      </c>
      <c r="M515" s="26">
        <f t="shared" ref="M515:M578" si="108">AVERAGE(D515:D1124)</f>
        <v>0.6307216494845358</v>
      </c>
      <c r="N515" s="27">
        <f t="shared" ref="N515:N578" si="109">COUNT(D515:D1124)</f>
        <v>97</v>
      </c>
      <c r="O515" s="28">
        <f t="shared" ref="O515:O578" si="110">SUM(H515:H1124)</f>
        <v>5627</v>
      </c>
      <c r="P515" s="29">
        <f t="shared" ref="P515:P578" si="111">AVERAGE(H515:H1124)</f>
        <v>58.010309278350519</v>
      </c>
      <c r="Q515" s="30">
        <f t="shared" ref="Q515:Q578" si="112">COUNT(H515:H1124)</f>
        <v>97</v>
      </c>
      <c r="R515" s="11" t="str">
        <f t="shared" ref="R515:R578" si="113">LEFT(B515,1)</f>
        <v>5</v>
      </c>
      <c r="S515" s="10" t="str">
        <f t="shared" ref="S515:S578" si="114">RIGHT(B515,1)</f>
        <v>4</v>
      </c>
      <c r="T515" s="9">
        <f t="shared" ref="T515:T578" si="115">LEN(B515)</f>
        <v>3</v>
      </c>
      <c r="U515" t="str">
        <f t="shared" ref="U515:U578" si="116">IF(R515=S515,"Match","Mismatch")</f>
        <v>Mismatch</v>
      </c>
    </row>
    <row r="516" spans="1:21" x14ac:dyDescent="0.2">
      <c r="A516" s="12">
        <v>514</v>
      </c>
      <c r="B516" s="12">
        <v>515</v>
      </c>
      <c r="C516" s="12">
        <v>0.1061</v>
      </c>
      <c r="D516" s="12">
        <v>0.33</v>
      </c>
      <c r="E516" s="12">
        <v>0.3881</v>
      </c>
      <c r="F516" s="12">
        <v>12</v>
      </c>
      <c r="G516" s="12">
        <v>75</v>
      </c>
      <c r="H516" s="12">
        <v>87</v>
      </c>
      <c r="I516" s="22">
        <f t="shared" si="104"/>
        <v>17.606699999999986</v>
      </c>
      <c r="J516" s="23">
        <f t="shared" si="105"/>
        <v>0.18340312499999986</v>
      </c>
      <c r="K516" s="24">
        <f t="shared" si="106"/>
        <v>96</v>
      </c>
      <c r="L516" s="25">
        <f t="shared" si="107"/>
        <v>60.809999999999967</v>
      </c>
      <c r="M516" s="26">
        <f t="shared" si="108"/>
        <v>0.63343749999999965</v>
      </c>
      <c r="N516" s="27">
        <f t="shared" si="109"/>
        <v>96</v>
      </c>
      <c r="O516" s="28">
        <f t="shared" si="110"/>
        <v>5511</v>
      </c>
      <c r="P516" s="29">
        <f t="shared" si="111"/>
        <v>57.40625</v>
      </c>
      <c r="Q516" s="30">
        <f t="shared" si="112"/>
        <v>96</v>
      </c>
      <c r="R516" s="11" t="str">
        <f t="shared" si="113"/>
        <v>5</v>
      </c>
      <c r="S516" s="10" t="str">
        <f t="shared" si="114"/>
        <v>5</v>
      </c>
      <c r="T516" s="9">
        <f t="shared" si="115"/>
        <v>3</v>
      </c>
      <c r="U516" t="str">
        <f t="shared" si="116"/>
        <v>Match</v>
      </c>
    </row>
    <row r="517" spans="1:21" x14ac:dyDescent="0.2">
      <c r="A517" s="12">
        <v>515</v>
      </c>
      <c r="B517" s="12">
        <v>516</v>
      </c>
      <c r="C517" s="12">
        <v>0.13639999999999999</v>
      </c>
      <c r="D517" s="12">
        <v>0.28000000000000003</v>
      </c>
      <c r="E517" s="12">
        <v>0.35820000000000002</v>
      </c>
      <c r="F517" s="12">
        <v>17</v>
      </c>
      <c r="G517" s="12">
        <v>93</v>
      </c>
      <c r="H517" s="12">
        <v>110</v>
      </c>
      <c r="I517" s="22">
        <f t="shared" si="104"/>
        <v>17.500599999999984</v>
      </c>
      <c r="J517" s="23">
        <f t="shared" si="105"/>
        <v>0.18421684210526298</v>
      </c>
      <c r="K517" s="24">
        <f t="shared" si="106"/>
        <v>95</v>
      </c>
      <c r="L517" s="25">
        <f t="shared" si="107"/>
        <v>60.479999999999968</v>
      </c>
      <c r="M517" s="26">
        <f t="shared" si="108"/>
        <v>0.6366315789473681</v>
      </c>
      <c r="N517" s="27">
        <f t="shared" si="109"/>
        <v>95</v>
      </c>
      <c r="O517" s="28">
        <f t="shared" si="110"/>
        <v>5424</v>
      </c>
      <c r="P517" s="29">
        <f t="shared" si="111"/>
        <v>57.094736842105263</v>
      </c>
      <c r="Q517" s="30">
        <f t="shared" si="112"/>
        <v>95</v>
      </c>
      <c r="R517" s="11" t="str">
        <f t="shared" si="113"/>
        <v>5</v>
      </c>
      <c r="S517" s="10" t="str">
        <f t="shared" si="114"/>
        <v>6</v>
      </c>
      <c r="T517" s="9">
        <f t="shared" si="115"/>
        <v>3</v>
      </c>
      <c r="U517" t="str">
        <f t="shared" si="116"/>
        <v>Mismatch</v>
      </c>
    </row>
    <row r="518" spans="1:21" x14ac:dyDescent="0.2">
      <c r="A518" s="12">
        <v>516</v>
      </c>
      <c r="B518" s="12">
        <v>517</v>
      </c>
      <c r="C518" s="12">
        <v>0.13639999999999999</v>
      </c>
      <c r="D518" s="12">
        <v>0.28000000000000003</v>
      </c>
      <c r="E518" s="12">
        <v>0.35820000000000002</v>
      </c>
      <c r="F518" s="12">
        <v>13</v>
      </c>
      <c r="G518" s="12">
        <v>64</v>
      </c>
      <c r="H518" s="12">
        <v>77</v>
      </c>
      <c r="I518" s="22">
        <f t="shared" si="104"/>
        <v>17.364199999999986</v>
      </c>
      <c r="J518" s="23">
        <f t="shared" si="105"/>
        <v>0.18472553191489346</v>
      </c>
      <c r="K518" s="24">
        <f t="shared" si="106"/>
        <v>94</v>
      </c>
      <c r="L518" s="25">
        <f t="shared" si="107"/>
        <v>60.199999999999967</v>
      </c>
      <c r="M518" s="26">
        <f t="shared" si="108"/>
        <v>0.64042553191489326</v>
      </c>
      <c r="N518" s="27">
        <f t="shared" si="109"/>
        <v>94</v>
      </c>
      <c r="O518" s="28">
        <f t="shared" si="110"/>
        <v>5314</v>
      </c>
      <c r="P518" s="29">
        <f t="shared" si="111"/>
        <v>56.531914893617021</v>
      </c>
      <c r="Q518" s="30">
        <f t="shared" si="112"/>
        <v>94</v>
      </c>
      <c r="R518" s="11" t="str">
        <f t="shared" si="113"/>
        <v>5</v>
      </c>
      <c r="S518" s="10" t="str">
        <f t="shared" si="114"/>
        <v>7</v>
      </c>
      <c r="T518" s="9">
        <f t="shared" si="115"/>
        <v>3</v>
      </c>
      <c r="U518" t="str">
        <f t="shared" si="116"/>
        <v>Mismatch</v>
      </c>
    </row>
    <row r="519" spans="1:21" x14ac:dyDescent="0.2">
      <c r="A519" s="12">
        <v>517</v>
      </c>
      <c r="B519" s="12">
        <v>518</v>
      </c>
      <c r="C519" s="12">
        <v>0.13639999999999999</v>
      </c>
      <c r="D519" s="12">
        <v>0.26</v>
      </c>
      <c r="E519" s="12">
        <v>0.32840000000000003</v>
      </c>
      <c r="F519" s="12">
        <v>9</v>
      </c>
      <c r="G519" s="12">
        <v>56</v>
      </c>
      <c r="H519" s="12">
        <v>65</v>
      </c>
      <c r="I519" s="22">
        <f t="shared" si="104"/>
        <v>17.227799999999984</v>
      </c>
      <c r="J519" s="23">
        <f t="shared" si="105"/>
        <v>0.18524516129032242</v>
      </c>
      <c r="K519" s="24">
        <f t="shared" si="106"/>
        <v>93</v>
      </c>
      <c r="L519" s="25">
        <f t="shared" si="107"/>
        <v>59.919999999999966</v>
      </c>
      <c r="M519" s="26">
        <f t="shared" si="108"/>
        <v>0.64430107526881686</v>
      </c>
      <c r="N519" s="27">
        <f t="shared" si="109"/>
        <v>93</v>
      </c>
      <c r="O519" s="28">
        <f t="shared" si="110"/>
        <v>5237</v>
      </c>
      <c r="P519" s="29">
        <f t="shared" si="111"/>
        <v>56.311827956989248</v>
      </c>
      <c r="Q519" s="30">
        <f t="shared" si="112"/>
        <v>93</v>
      </c>
      <c r="R519" s="11" t="str">
        <f t="shared" si="113"/>
        <v>5</v>
      </c>
      <c r="S519" s="10" t="str">
        <f t="shared" si="114"/>
        <v>8</v>
      </c>
      <c r="T519" s="9">
        <f t="shared" si="115"/>
        <v>3</v>
      </c>
      <c r="U519" t="str">
        <f t="shared" si="116"/>
        <v>Mismatch</v>
      </c>
    </row>
    <row r="520" spans="1:21" x14ac:dyDescent="0.2">
      <c r="A520" s="12">
        <v>518</v>
      </c>
      <c r="B520" s="12">
        <v>519</v>
      </c>
      <c r="C520" s="12">
        <v>0.1061</v>
      </c>
      <c r="D520" s="12">
        <v>0.26</v>
      </c>
      <c r="E520" s="12">
        <v>0.3881</v>
      </c>
      <c r="F520" s="12">
        <v>5</v>
      </c>
      <c r="G520" s="12">
        <v>50</v>
      </c>
      <c r="H520" s="12">
        <v>55</v>
      </c>
      <c r="I520" s="22">
        <f t="shared" si="104"/>
        <v>17.091399999999986</v>
      </c>
      <c r="J520" s="23">
        <f t="shared" si="105"/>
        <v>0.18577608695652159</v>
      </c>
      <c r="K520" s="24">
        <f t="shared" si="106"/>
        <v>92</v>
      </c>
      <c r="L520" s="25">
        <f t="shared" si="107"/>
        <v>59.659999999999968</v>
      </c>
      <c r="M520" s="26">
        <f t="shared" si="108"/>
        <v>0.64847826086956484</v>
      </c>
      <c r="N520" s="27">
        <f t="shared" si="109"/>
        <v>92</v>
      </c>
      <c r="O520" s="28">
        <f t="shared" si="110"/>
        <v>5172</v>
      </c>
      <c r="P520" s="29">
        <f t="shared" si="111"/>
        <v>56.217391304347828</v>
      </c>
      <c r="Q520" s="30">
        <f t="shared" si="112"/>
        <v>92</v>
      </c>
      <c r="R520" s="11" t="str">
        <f t="shared" si="113"/>
        <v>5</v>
      </c>
      <c r="S520" s="10" t="str">
        <f t="shared" si="114"/>
        <v>9</v>
      </c>
      <c r="T520" s="9">
        <f t="shared" si="115"/>
        <v>3</v>
      </c>
      <c r="U520" t="str">
        <f t="shared" si="116"/>
        <v>Mismatch</v>
      </c>
    </row>
    <row r="521" spans="1:21" x14ac:dyDescent="0.2">
      <c r="A521" s="12">
        <v>519</v>
      </c>
      <c r="B521" s="12">
        <v>520</v>
      </c>
      <c r="C521" s="12">
        <v>0.1212</v>
      </c>
      <c r="D521" s="12">
        <v>0.3</v>
      </c>
      <c r="E521" s="12">
        <v>0.25369999999999998</v>
      </c>
      <c r="F521" s="12">
        <v>5</v>
      </c>
      <c r="G521" s="12">
        <v>44</v>
      </c>
      <c r="H521" s="12">
        <v>49</v>
      </c>
      <c r="I521" s="22">
        <f t="shared" si="104"/>
        <v>16.985299999999985</v>
      </c>
      <c r="J521" s="23">
        <f t="shared" si="105"/>
        <v>0.18665164835164819</v>
      </c>
      <c r="K521" s="24">
        <f t="shared" si="106"/>
        <v>91</v>
      </c>
      <c r="L521" s="25">
        <f t="shared" si="107"/>
        <v>59.39999999999997</v>
      </c>
      <c r="M521" s="26">
        <f t="shared" si="108"/>
        <v>0.65274725274725243</v>
      </c>
      <c r="N521" s="27">
        <f t="shared" si="109"/>
        <v>91</v>
      </c>
      <c r="O521" s="28">
        <f t="shared" si="110"/>
        <v>5117</v>
      </c>
      <c r="P521" s="29">
        <f t="shared" si="111"/>
        <v>56.230769230769234</v>
      </c>
      <c r="Q521" s="30">
        <f t="shared" si="112"/>
        <v>91</v>
      </c>
      <c r="R521" s="11" t="str">
        <f t="shared" si="113"/>
        <v>5</v>
      </c>
      <c r="S521" s="10" t="str">
        <f t="shared" si="114"/>
        <v>0</v>
      </c>
      <c r="T521" s="9">
        <f t="shared" si="115"/>
        <v>3</v>
      </c>
      <c r="U521" t="str">
        <f t="shared" si="116"/>
        <v>Mismatch</v>
      </c>
    </row>
    <row r="522" spans="1:21" x14ac:dyDescent="0.2">
      <c r="A522" s="12">
        <v>520</v>
      </c>
      <c r="B522" s="12">
        <v>521</v>
      </c>
      <c r="C522" s="12">
        <v>0.1212</v>
      </c>
      <c r="D522" s="12">
        <v>0.3</v>
      </c>
      <c r="E522" s="12">
        <v>0.28360000000000002</v>
      </c>
      <c r="F522" s="12">
        <v>5</v>
      </c>
      <c r="G522" s="12">
        <v>45</v>
      </c>
      <c r="H522" s="12">
        <v>50</v>
      </c>
      <c r="I522" s="22">
        <f t="shared" si="104"/>
        <v>16.864099999999986</v>
      </c>
      <c r="J522" s="23">
        <f t="shared" si="105"/>
        <v>0.18737888888888873</v>
      </c>
      <c r="K522" s="24">
        <f t="shared" si="106"/>
        <v>90</v>
      </c>
      <c r="L522" s="25">
        <f t="shared" si="107"/>
        <v>59.099999999999973</v>
      </c>
      <c r="M522" s="26">
        <f t="shared" si="108"/>
        <v>0.6566666666666664</v>
      </c>
      <c r="N522" s="27">
        <f t="shared" si="109"/>
        <v>90</v>
      </c>
      <c r="O522" s="28">
        <f t="shared" si="110"/>
        <v>5068</v>
      </c>
      <c r="P522" s="29">
        <f t="shared" si="111"/>
        <v>56.31111111111111</v>
      </c>
      <c r="Q522" s="30">
        <f t="shared" si="112"/>
        <v>90</v>
      </c>
      <c r="R522" s="11" t="str">
        <f t="shared" si="113"/>
        <v>5</v>
      </c>
      <c r="S522" s="10" t="str">
        <f t="shared" si="114"/>
        <v>1</v>
      </c>
      <c r="T522" s="9">
        <f t="shared" si="115"/>
        <v>3</v>
      </c>
      <c r="U522" t="str">
        <f t="shared" si="116"/>
        <v>Mismatch</v>
      </c>
    </row>
    <row r="523" spans="1:21" x14ac:dyDescent="0.2">
      <c r="A523" s="12">
        <v>521</v>
      </c>
      <c r="B523" s="12">
        <v>522</v>
      </c>
      <c r="C523" s="12">
        <v>0.1061</v>
      </c>
      <c r="D523" s="12">
        <v>0.36</v>
      </c>
      <c r="E523" s="12">
        <v>0.25369999999999998</v>
      </c>
      <c r="F523" s="12">
        <v>4</v>
      </c>
      <c r="G523" s="12">
        <v>31</v>
      </c>
      <c r="H523" s="12">
        <v>35</v>
      </c>
      <c r="I523" s="22">
        <f t="shared" si="104"/>
        <v>16.742899999999988</v>
      </c>
      <c r="J523" s="23">
        <f t="shared" si="105"/>
        <v>0.18812247191011222</v>
      </c>
      <c r="K523" s="24">
        <f t="shared" si="106"/>
        <v>89</v>
      </c>
      <c r="L523" s="25">
        <f t="shared" si="107"/>
        <v>58.799999999999969</v>
      </c>
      <c r="M523" s="26">
        <f t="shared" si="108"/>
        <v>0.66067415730337042</v>
      </c>
      <c r="N523" s="27">
        <f t="shared" si="109"/>
        <v>89</v>
      </c>
      <c r="O523" s="28">
        <f t="shared" si="110"/>
        <v>5018</v>
      </c>
      <c r="P523" s="29">
        <f t="shared" si="111"/>
        <v>56.382022471910112</v>
      </c>
      <c r="Q523" s="30">
        <f t="shared" si="112"/>
        <v>89</v>
      </c>
      <c r="R523" s="11" t="str">
        <f t="shared" si="113"/>
        <v>5</v>
      </c>
      <c r="S523" s="10" t="str">
        <f t="shared" si="114"/>
        <v>2</v>
      </c>
      <c r="T523" s="9">
        <f t="shared" si="115"/>
        <v>3</v>
      </c>
      <c r="U523" t="str">
        <f t="shared" si="116"/>
        <v>Mismatch</v>
      </c>
    </row>
    <row r="524" spans="1:21" x14ac:dyDescent="0.2">
      <c r="A524" s="12">
        <v>522</v>
      </c>
      <c r="B524" s="12">
        <v>523</v>
      </c>
      <c r="C524" s="12">
        <v>0.1061</v>
      </c>
      <c r="D524" s="12">
        <v>0.36</v>
      </c>
      <c r="E524" s="12">
        <v>0.19400000000000001</v>
      </c>
      <c r="F524" s="12">
        <v>5</v>
      </c>
      <c r="G524" s="12">
        <v>20</v>
      </c>
      <c r="H524" s="12">
        <v>25</v>
      </c>
      <c r="I524" s="22">
        <f t="shared" si="104"/>
        <v>16.636799999999987</v>
      </c>
      <c r="J524" s="23">
        <f t="shared" si="105"/>
        <v>0.18905454545454531</v>
      </c>
      <c r="K524" s="24">
        <f t="shared" si="106"/>
        <v>88</v>
      </c>
      <c r="L524" s="25">
        <f t="shared" si="107"/>
        <v>58.439999999999969</v>
      </c>
      <c r="M524" s="26">
        <f t="shared" si="108"/>
        <v>0.66409090909090873</v>
      </c>
      <c r="N524" s="27">
        <f t="shared" si="109"/>
        <v>88</v>
      </c>
      <c r="O524" s="28">
        <f t="shared" si="110"/>
        <v>4983</v>
      </c>
      <c r="P524" s="29">
        <f t="shared" si="111"/>
        <v>56.625</v>
      </c>
      <c r="Q524" s="30">
        <f t="shared" si="112"/>
        <v>88</v>
      </c>
      <c r="R524" s="11" t="str">
        <f t="shared" si="113"/>
        <v>5</v>
      </c>
      <c r="S524" s="10" t="str">
        <f t="shared" si="114"/>
        <v>3</v>
      </c>
      <c r="T524" s="9">
        <f t="shared" si="115"/>
        <v>3</v>
      </c>
      <c r="U524" t="str">
        <f t="shared" si="116"/>
        <v>Mismatch</v>
      </c>
    </row>
    <row r="525" spans="1:21" x14ac:dyDescent="0.2">
      <c r="A525" s="12">
        <v>523</v>
      </c>
      <c r="B525" s="12">
        <v>524</v>
      </c>
      <c r="C525" s="12">
        <v>9.0899999999999995E-2</v>
      </c>
      <c r="D525" s="12">
        <v>0.38</v>
      </c>
      <c r="E525" s="12">
        <v>0.19400000000000001</v>
      </c>
      <c r="F525" s="12">
        <v>5</v>
      </c>
      <c r="G525" s="12">
        <v>23</v>
      </c>
      <c r="H525" s="12">
        <v>28</v>
      </c>
      <c r="I525" s="22">
        <f t="shared" si="104"/>
        <v>16.530699999999985</v>
      </c>
      <c r="J525" s="23">
        <f t="shared" si="105"/>
        <v>0.19000804597701132</v>
      </c>
      <c r="K525" s="24">
        <f t="shared" si="106"/>
        <v>87</v>
      </c>
      <c r="L525" s="25">
        <f t="shared" si="107"/>
        <v>58.079999999999977</v>
      </c>
      <c r="M525" s="26">
        <f t="shared" si="108"/>
        <v>0.66758620689655146</v>
      </c>
      <c r="N525" s="27">
        <f t="shared" si="109"/>
        <v>87</v>
      </c>
      <c r="O525" s="28">
        <f t="shared" si="110"/>
        <v>4958</v>
      </c>
      <c r="P525" s="29">
        <f t="shared" si="111"/>
        <v>56.988505747126439</v>
      </c>
      <c r="Q525" s="30">
        <f t="shared" si="112"/>
        <v>87</v>
      </c>
      <c r="R525" s="11" t="str">
        <f t="shared" si="113"/>
        <v>5</v>
      </c>
      <c r="S525" s="10" t="str">
        <f t="shared" si="114"/>
        <v>4</v>
      </c>
      <c r="T525" s="9">
        <f t="shared" si="115"/>
        <v>3</v>
      </c>
      <c r="U525" t="str">
        <f t="shared" si="116"/>
        <v>Mismatch</v>
      </c>
    </row>
    <row r="526" spans="1:21" x14ac:dyDescent="0.2">
      <c r="A526" s="12">
        <v>524</v>
      </c>
      <c r="B526" s="12">
        <v>525</v>
      </c>
      <c r="C526" s="12">
        <v>6.0600000000000001E-2</v>
      </c>
      <c r="D526" s="12">
        <v>0.41</v>
      </c>
      <c r="E526" s="12">
        <v>0.22389999999999999</v>
      </c>
      <c r="F526" s="12">
        <v>4</v>
      </c>
      <c r="G526" s="12">
        <v>17</v>
      </c>
      <c r="H526" s="12">
        <v>21</v>
      </c>
      <c r="I526" s="22">
        <f t="shared" si="104"/>
        <v>16.439799999999984</v>
      </c>
      <c r="J526" s="23">
        <f t="shared" si="105"/>
        <v>0.19116046511627888</v>
      </c>
      <c r="K526" s="24">
        <f t="shared" si="106"/>
        <v>86</v>
      </c>
      <c r="L526" s="25">
        <f t="shared" si="107"/>
        <v>57.699999999999974</v>
      </c>
      <c r="M526" s="26">
        <f t="shared" si="108"/>
        <v>0.67093023255813922</v>
      </c>
      <c r="N526" s="27">
        <f t="shared" si="109"/>
        <v>86</v>
      </c>
      <c r="O526" s="28">
        <f t="shared" si="110"/>
        <v>4930</v>
      </c>
      <c r="P526" s="29">
        <f t="shared" si="111"/>
        <v>57.325581395348834</v>
      </c>
      <c r="Q526" s="30">
        <f t="shared" si="112"/>
        <v>86</v>
      </c>
      <c r="R526" s="11" t="str">
        <f t="shared" si="113"/>
        <v>5</v>
      </c>
      <c r="S526" s="10" t="str">
        <f t="shared" si="114"/>
        <v>5</v>
      </c>
      <c r="T526" s="9">
        <f t="shared" si="115"/>
        <v>3</v>
      </c>
      <c r="U526" t="str">
        <f t="shared" si="116"/>
        <v>Match</v>
      </c>
    </row>
    <row r="527" spans="1:21" x14ac:dyDescent="0.2">
      <c r="A527" s="12">
        <v>525</v>
      </c>
      <c r="B527" s="12">
        <v>526</v>
      </c>
      <c r="C527" s="12">
        <v>6.0600000000000001E-2</v>
      </c>
      <c r="D527" s="12">
        <v>0.41</v>
      </c>
      <c r="E527" s="12">
        <v>0.19400000000000001</v>
      </c>
      <c r="F527" s="12">
        <v>0</v>
      </c>
      <c r="G527" s="12">
        <v>7</v>
      </c>
      <c r="H527" s="12">
        <v>7</v>
      </c>
      <c r="I527" s="22">
        <f t="shared" si="104"/>
        <v>16.379199999999983</v>
      </c>
      <c r="J527" s="23">
        <f t="shared" si="105"/>
        <v>0.19269647058823511</v>
      </c>
      <c r="K527" s="24">
        <f t="shared" si="106"/>
        <v>85</v>
      </c>
      <c r="L527" s="25">
        <f t="shared" si="107"/>
        <v>57.289999999999978</v>
      </c>
      <c r="M527" s="26">
        <f t="shared" si="108"/>
        <v>0.67399999999999971</v>
      </c>
      <c r="N527" s="27">
        <f t="shared" si="109"/>
        <v>85</v>
      </c>
      <c r="O527" s="28">
        <f t="shared" si="110"/>
        <v>4909</v>
      </c>
      <c r="P527" s="29">
        <f t="shared" si="111"/>
        <v>57.752941176470586</v>
      </c>
      <c r="Q527" s="30">
        <f t="shared" si="112"/>
        <v>85</v>
      </c>
      <c r="R527" s="11" t="str">
        <f t="shared" si="113"/>
        <v>5</v>
      </c>
      <c r="S527" s="10" t="str">
        <f t="shared" si="114"/>
        <v>6</v>
      </c>
      <c r="T527" s="9">
        <f t="shared" si="115"/>
        <v>3</v>
      </c>
      <c r="U527" t="str">
        <f t="shared" si="116"/>
        <v>Mismatch</v>
      </c>
    </row>
    <row r="528" spans="1:21" x14ac:dyDescent="0.2">
      <c r="A528" s="12">
        <v>526</v>
      </c>
      <c r="B528" s="12">
        <v>527</v>
      </c>
      <c r="C528" s="12">
        <v>4.5499999999999999E-2</v>
      </c>
      <c r="D528" s="12">
        <v>0.45</v>
      </c>
      <c r="E528" s="12">
        <v>0.19400000000000001</v>
      </c>
      <c r="F528" s="12">
        <v>0</v>
      </c>
      <c r="G528" s="12">
        <v>1</v>
      </c>
      <c r="H528" s="12">
        <v>1</v>
      </c>
      <c r="I528" s="22">
        <f t="shared" si="104"/>
        <v>16.318599999999986</v>
      </c>
      <c r="J528" s="23">
        <f t="shared" si="105"/>
        <v>0.19426904761904745</v>
      </c>
      <c r="K528" s="24">
        <f t="shared" si="106"/>
        <v>84</v>
      </c>
      <c r="L528" s="25">
        <f t="shared" si="107"/>
        <v>56.879999999999981</v>
      </c>
      <c r="M528" s="26">
        <f t="shared" si="108"/>
        <v>0.67714285714285694</v>
      </c>
      <c r="N528" s="27">
        <f t="shared" si="109"/>
        <v>84</v>
      </c>
      <c r="O528" s="28">
        <f t="shared" si="110"/>
        <v>4902</v>
      </c>
      <c r="P528" s="29">
        <f t="shared" si="111"/>
        <v>58.357142857142854</v>
      </c>
      <c r="Q528" s="30">
        <f t="shared" si="112"/>
        <v>84</v>
      </c>
      <c r="R528" s="11" t="str">
        <f t="shared" si="113"/>
        <v>5</v>
      </c>
      <c r="S528" s="10" t="str">
        <f t="shared" si="114"/>
        <v>7</v>
      </c>
      <c r="T528" s="9">
        <f t="shared" si="115"/>
        <v>3</v>
      </c>
      <c r="U528" t="str">
        <f t="shared" si="116"/>
        <v>Mismatch</v>
      </c>
    </row>
    <row r="529" spans="1:21" x14ac:dyDescent="0.2">
      <c r="A529" s="12">
        <v>527</v>
      </c>
      <c r="B529" s="12">
        <v>528</v>
      </c>
      <c r="C529" s="12">
        <v>3.0300000000000001E-2</v>
      </c>
      <c r="D529" s="12">
        <v>0.45</v>
      </c>
      <c r="E529" s="12">
        <v>0.25369999999999998</v>
      </c>
      <c r="F529" s="12">
        <v>0</v>
      </c>
      <c r="G529" s="12">
        <v>1</v>
      </c>
      <c r="H529" s="12">
        <v>1</v>
      </c>
      <c r="I529" s="22">
        <f t="shared" si="104"/>
        <v>16.273099999999985</v>
      </c>
      <c r="J529" s="23">
        <f t="shared" si="105"/>
        <v>0.19606144578313237</v>
      </c>
      <c r="K529" s="24">
        <f t="shared" si="106"/>
        <v>83</v>
      </c>
      <c r="L529" s="25">
        <f t="shared" si="107"/>
        <v>56.429999999999986</v>
      </c>
      <c r="M529" s="26">
        <f t="shared" si="108"/>
        <v>0.67987951807228897</v>
      </c>
      <c r="N529" s="27">
        <f t="shared" si="109"/>
        <v>83</v>
      </c>
      <c r="O529" s="28">
        <f t="shared" si="110"/>
        <v>4901</v>
      </c>
      <c r="P529" s="29">
        <f t="shared" si="111"/>
        <v>59.048192771084338</v>
      </c>
      <c r="Q529" s="30">
        <f t="shared" si="112"/>
        <v>83</v>
      </c>
      <c r="R529" s="11" t="str">
        <f t="shared" si="113"/>
        <v>5</v>
      </c>
      <c r="S529" s="10" t="str">
        <f t="shared" si="114"/>
        <v>8</v>
      </c>
      <c r="T529" s="9">
        <f t="shared" si="115"/>
        <v>3</v>
      </c>
      <c r="U529" t="str">
        <f t="shared" si="116"/>
        <v>Mismatch</v>
      </c>
    </row>
    <row r="530" spans="1:21" x14ac:dyDescent="0.2">
      <c r="A530" s="12">
        <v>528</v>
      </c>
      <c r="B530" s="12">
        <v>529</v>
      </c>
      <c r="C530" s="12">
        <v>6.0600000000000001E-2</v>
      </c>
      <c r="D530" s="12">
        <v>0.48</v>
      </c>
      <c r="E530" s="12">
        <v>0.1343</v>
      </c>
      <c r="F530" s="12">
        <v>0</v>
      </c>
      <c r="G530" s="12">
        <v>1</v>
      </c>
      <c r="H530" s="12">
        <v>1</v>
      </c>
      <c r="I530" s="22">
        <f t="shared" si="104"/>
        <v>16.242799999999985</v>
      </c>
      <c r="J530" s="23">
        <f t="shared" si="105"/>
        <v>0.19808292682926812</v>
      </c>
      <c r="K530" s="24">
        <f t="shared" si="106"/>
        <v>82</v>
      </c>
      <c r="L530" s="25">
        <f t="shared" si="107"/>
        <v>55.979999999999983</v>
      </c>
      <c r="M530" s="26">
        <f t="shared" si="108"/>
        <v>0.68268292682926812</v>
      </c>
      <c r="N530" s="27">
        <f t="shared" si="109"/>
        <v>82</v>
      </c>
      <c r="O530" s="28">
        <f t="shared" si="110"/>
        <v>4900</v>
      </c>
      <c r="P530" s="29">
        <f t="shared" si="111"/>
        <v>59.756097560975611</v>
      </c>
      <c r="Q530" s="30">
        <f t="shared" si="112"/>
        <v>82</v>
      </c>
      <c r="R530" s="11" t="str">
        <f t="shared" si="113"/>
        <v>5</v>
      </c>
      <c r="S530" s="10" t="str">
        <f t="shared" si="114"/>
        <v>9</v>
      </c>
      <c r="T530" s="9">
        <f t="shared" si="115"/>
        <v>3</v>
      </c>
      <c r="U530" t="str">
        <f t="shared" si="116"/>
        <v>Mismatch</v>
      </c>
    </row>
    <row r="531" spans="1:21" x14ac:dyDescent="0.2">
      <c r="A531" s="12">
        <v>529</v>
      </c>
      <c r="B531" s="12">
        <v>530</v>
      </c>
      <c r="C531" s="12">
        <v>6.0600000000000001E-2</v>
      </c>
      <c r="D531" s="12">
        <v>0.48</v>
      </c>
      <c r="E531" s="12">
        <v>0.1343</v>
      </c>
      <c r="F531" s="12">
        <v>0</v>
      </c>
      <c r="G531" s="12">
        <v>5</v>
      </c>
      <c r="H531" s="12">
        <v>5</v>
      </c>
      <c r="I531" s="22">
        <f t="shared" si="104"/>
        <v>16.182199999999984</v>
      </c>
      <c r="J531" s="23">
        <f t="shared" si="105"/>
        <v>0.19978024691358004</v>
      </c>
      <c r="K531" s="24">
        <f t="shared" si="106"/>
        <v>81</v>
      </c>
      <c r="L531" s="25">
        <f t="shared" si="107"/>
        <v>55.499999999999979</v>
      </c>
      <c r="M531" s="26">
        <f t="shared" si="108"/>
        <v>0.6851851851851849</v>
      </c>
      <c r="N531" s="27">
        <f t="shared" si="109"/>
        <v>81</v>
      </c>
      <c r="O531" s="28">
        <f t="shared" si="110"/>
        <v>4899</v>
      </c>
      <c r="P531" s="29">
        <f t="shared" si="111"/>
        <v>60.481481481481481</v>
      </c>
      <c r="Q531" s="30">
        <f t="shared" si="112"/>
        <v>81</v>
      </c>
      <c r="R531" s="11" t="str">
        <f t="shared" si="113"/>
        <v>5</v>
      </c>
      <c r="S531" s="10" t="str">
        <f t="shared" si="114"/>
        <v>0</v>
      </c>
      <c r="T531" s="9">
        <f t="shared" si="115"/>
        <v>3</v>
      </c>
      <c r="U531" t="str">
        <f t="shared" si="116"/>
        <v>Mismatch</v>
      </c>
    </row>
    <row r="532" spans="1:21" x14ac:dyDescent="0.2">
      <c r="A532" s="12">
        <v>530</v>
      </c>
      <c r="B532" s="12">
        <v>531</v>
      </c>
      <c r="C532" s="12">
        <v>7.5800000000000006E-2</v>
      </c>
      <c r="D532" s="12">
        <v>0.48</v>
      </c>
      <c r="E532" s="12">
        <v>8.9599999999999999E-2</v>
      </c>
      <c r="F532" s="12">
        <v>0</v>
      </c>
      <c r="G532" s="12">
        <v>15</v>
      </c>
      <c r="H532" s="12">
        <v>15</v>
      </c>
      <c r="I532" s="22">
        <f t="shared" si="104"/>
        <v>16.121599999999983</v>
      </c>
      <c r="J532" s="23">
        <f t="shared" si="105"/>
        <v>0.20151999999999978</v>
      </c>
      <c r="K532" s="24">
        <f t="shared" si="106"/>
        <v>80</v>
      </c>
      <c r="L532" s="25">
        <f t="shared" si="107"/>
        <v>55.019999999999982</v>
      </c>
      <c r="M532" s="26">
        <f t="shared" si="108"/>
        <v>0.68774999999999975</v>
      </c>
      <c r="N532" s="27">
        <f t="shared" si="109"/>
        <v>80</v>
      </c>
      <c r="O532" s="28">
        <f t="shared" si="110"/>
        <v>4894</v>
      </c>
      <c r="P532" s="29">
        <f t="shared" si="111"/>
        <v>61.174999999999997</v>
      </c>
      <c r="Q532" s="30">
        <f t="shared" si="112"/>
        <v>80</v>
      </c>
      <c r="R532" s="11" t="str">
        <f t="shared" si="113"/>
        <v>5</v>
      </c>
      <c r="S532" s="10" t="str">
        <f t="shared" si="114"/>
        <v>1</v>
      </c>
      <c r="T532" s="9">
        <f t="shared" si="115"/>
        <v>3</v>
      </c>
      <c r="U532" t="str">
        <f t="shared" si="116"/>
        <v>Mismatch</v>
      </c>
    </row>
    <row r="533" spans="1:21" x14ac:dyDescent="0.2">
      <c r="A533" s="12">
        <v>531</v>
      </c>
      <c r="B533" s="12">
        <v>532</v>
      </c>
      <c r="C533" s="12">
        <v>0.1212</v>
      </c>
      <c r="D533" s="12">
        <v>0.48</v>
      </c>
      <c r="E533" s="12">
        <v>0</v>
      </c>
      <c r="F533" s="12">
        <v>5</v>
      </c>
      <c r="G533" s="12">
        <v>79</v>
      </c>
      <c r="H533" s="12">
        <v>84</v>
      </c>
      <c r="I533" s="22">
        <f t="shared" si="104"/>
        <v>16.045799999999986</v>
      </c>
      <c r="J533" s="23">
        <f t="shared" si="105"/>
        <v>0.2031113924050631</v>
      </c>
      <c r="K533" s="24">
        <f t="shared" si="106"/>
        <v>79</v>
      </c>
      <c r="L533" s="25">
        <f t="shared" si="107"/>
        <v>54.539999999999978</v>
      </c>
      <c r="M533" s="26">
        <f t="shared" si="108"/>
        <v>0.69037974683544279</v>
      </c>
      <c r="N533" s="27">
        <f t="shared" si="109"/>
        <v>79</v>
      </c>
      <c r="O533" s="28">
        <f t="shared" si="110"/>
        <v>4879</v>
      </c>
      <c r="P533" s="29">
        <f t="shared" si="111"/>
        <v>61.759493670886073</v>
      </c>
      <c r="Q533" s="30">
        <f t="shared" si="112"/>
        <v>79</v>
      </c>
      <c r="R533" s="11" t="str">
        <f t="shared" si="113"/>
        <v>5</v>
      </c>
      <c r="S533" s="10" t="str">
        <f t="shared" si="114"/>
        <v>2</v>
      </c>
      <c r="T533" s="9">
        <f t="shared" si="115"/>
        <v>3</v>
      </c>
      <c r="U533" t="str">
        <f t="shared" si="116"/>
        <v>Mismatch</v>
      </c>
    </row>
    <row r="534" spans="1:21" x14ac:dyDescent="0.2">
      <c r="A534" s="12">
        <v>532</v>
      </c>
      <c r="B534" s="12">
        <v>533</v>
      </c>
      <c r="C534" s="12">
        <v>0.13639999999999999</v>
      </c>
      <c r="D534" s="12">
        <v>0.49</v>
      </c>
      <c r="E534" s="12">
        <v>0</v>
      </c>
      <c r="F534" s="12">
        <v>6</v>
      </c>
      <c r="G534" s="12">
        <v>171</v>
      </c>
      <c r="H534" s="12">
        <v>177</v>
      </c>
      <c r="I534" s="22">
        <f t="shared" si="104"/>
        <v>15.924599999999986</v>
      </c>
      <c r="J534" s="23">
        <f t="shared" si="105"/>
        <v>0.20416153846153828</v>
      </c>
      <c r="K534" s="24">
        <f t="shared" si="106"/>
        <v>78</v>
      </c>
      <c r="L534" s="25">
        <f t="shared" si="107"/>
        <v>54.059999999999981</v>
      </c>
      <c r="M534" s="26">
        <f t="shared" si="108"/>
        <v>0.69307692307692281</v>
      </c>
      <c r="N534" s="27">
        <f t="shared" si="109"/>
        <v>78</v>
      </c>
      <c r="O534" s="28">
        <f t="shared" si="110"/>
        <v>4795</v>
      </c>
      <c r="P534" s="29">
        <f t="shared" si="111"/>
        <v>61.474358974358971</v>
      </c>
      <c r="Q534" s="30">
        <f t="shared" si="112"/>
        <v>78</v>
      </c>
      <c r="R534" s="11" t="str">
        <f t="shared" si="113"/>
        <v>5</v>
      </c>
      <c r="S534" s="10" t="str">
        <f t="shared" si="114"/>
        <v>3</v>
      </c>
      <c r="T534" s="9">
        <f t="shared" si="115"/>
        <v>3</v>
      </c>
      <c r="U534" t="str">
        <f t="shared" si="116"/>
        <v>Mismatch</v>
      </c>
    </row>
    <row r="535" spans="1:21" x14ac:dyDescent="0.2">
      <c r="A535" s="12">
        <v>533</v>
      </c>
      <c r="B535" s="12">
        <v>534</v>
      </c>
      <c r="C535" s="12">
        <v>0.1515</v>
      </c>
      <c r="D535" s="12">
        <v>0.41</v>
      </c>
      <c r="E535" s="12">
        <v>0</v>
      </c>
      <c r="F535" s="12">
        <v>4</v>
      </c>
      <c r="G535" s="12">
        <v>98</v>
      </c>
      <c r="H535" s="12">
        <v>102</v>
      </c>
      <c r="I535" s="22">
        <f t="shared" si="104"/>
        <v>15.788199999999986</v>
      </c>
      <c r="J535" s="23">
        <f t="shared" si="105"/>
        <v>0.20504155844155825</v>
      </c>
      <c r="K535" s="24">
        <f t="shared" si="106"/>
        <v>77</v>
      </c>
      <c r="L535" s="25">
        <f t="shared" si="107"/>
        <v>53.569999999999979</v>
      </c>
      <c r="M535" s="26">
        <f t="shared" si="108"/>
        <v>0.6957142857142854</v>
      </c>
      <c r="N535" s="27">
        <f t="shared" si="109"/>
        <v>77</v>
      </c>
      <c r="O535" s="28">
        <f t="shared" si="110"/>
        <v>4618</v>
      </c>
      <c r="P535" s="29">
        <f t="shared" si="111"/>
        <v>59.974025974025977</v>
      </c>
      <c r="Q535" s="30">
        <f t="shared" si="112"/>
        <v>77</v>
      </c>
      <c r="R535" s="11" t="str">
        <f t="shared" si="113"/>
        <v>5</v>
      </c>
      <c r="S535" s="10" t="str">
        <f t="shared" si="114"/>
        <v>4</v>
      </c>
      <c r="T535" s="9">
        <f t="shared" si="115"/>
        <v>3</v>
      </c>
      <c r="U535" t="str">
        <f t="shared" si="116"/>
        <v>Mismatch</v>
      </c>
    </row>
    <row r="536" spans="1:21" x14ac:dyDescent="0.2">
      <c r="A536" s="12">
        <v>534</v>
      </c>
      <c r="B536" s="12">
        <v>535</v>
      </c>
      <c r="C536" s="12">
        <v>0.13639999999999999</v>
      </c>
      <c r="D536" s="12">
        <v>0.42</v>
      </c>
      <c r="E536" s="12">
        <v>0</v>
      </c>
      <c r="F536" s="12">
        <v>6</v>
      </c>
      <c r="G536" s="12">
        <v>34</v>
      </c>
      <c r="H536" s="12">
        <v>40</v>
      </c>
      <c r="I536" s="22">
        <f t="shared" si="104"/>
        <v>15.636699999999985</v>
      </c>
      <c r="J536" s="23">
        <f t="shared" si="105"/>
        <v>0.20574605263157875</v>
      </c>
      <c r="K536" s="24">
        <f t="shared" si="106"/>
        <v>76</v>
      </c>
      <c r="L536" s="25">
        <f t="shared" si="107"/>
        <v>53.159999999999982</v>
      </c>
      <c r="M536" s="26">
        <f t="shared" si="108"/>
        <v>0.69947368421052614</v>
      </c>
      <c r="N536" s="27">
        <f t="shared" si="109"/>
        <v>76</v>
      </c>
      <c r="O536" s="28">
        <f t="shared" si="110"/>
        <v>4516</v>
      </c>
      <c r="P536" s="29">
        <f t="shared" si="111"/>
        <v>59.421052631578945</v>
      </c>
      <c r="Q536" s="30">
        <f t="shared" si="112"/>
        <v>76</v>
      </c>
      <c r="R536" s="11" t="str">
        <f t="shared" si="113"/>
        <v>5</v>
      </c>
      <c r="S536" s="10" t="str">
        <f t="shared" si="114"/>
        <v>5</v>
      </c>
      <c r="T536" s="9">
        <f t="shared" si="115"/>
        <v>3</v>
      </c>
      <c r="U536" t="str">
        <f t="shared" si="116"/>
        <v>Match</v>
      </c>
    </row>
    <row r="537" spans="1:21" x14ac:dyDescent="0.2">
      <c r="A537" s="12">
        <v>535</v>
      </c>
      <c r="B537" s="12">
        <v>536</v>
      </c>
      <c r="C537" s="12">
        <v>0.1212</v>
      </c>
      <c r="D537" s="12">
        <v>0.46</v>
      </c>
      <c r="E537" s="12">
        <v>0.1343</v>
      </c>
      <c r="F537" s="12">
        <v>3</v>
      </c>
      <c r="G537" s="12">
        <v>43</v>
      </c>
      <c r="H537" s="12">
        <v>46</v>
      </c>
      <c r="I537" s="22">
        <f t="shared" si="104"/>
        <v>15.500299999999985</v>
      </c>
      <c r="J537" s="23">
        <f t="shared" si="105"/>
        <v>0.20667066666666647</v>
      </c>
      <c r="K537" s="24">
        <f t="shared" si="106"/>
        <v>75</v>
      </c>
      <c r="L537" s="25">
        <f t="shared" si="107"/>
        <v>52.739999999999981</v>
      </c>
      <c r="M537" s="26">
        <f t="shared" si="108"/>
        <v>0.70319999999999971</v>
      </c>
      <c r="N537" s="27">
        <f t="shared" si="109"/>
        <v>75</v>
      </c>
      <c r="O537" s="28">
        <f t="shared" si="110"/>
        <v>4476</v>
      </c>
      <c r="P537" s="29">
        <f t="shared" si="111"/>
        <v>59.68</v>
      </c>
      <c r="Q537" s="30">
        <f t="shared" si="112"/>
        <v>75</v>
      </c>
      <c r="R537" s="11" t="str">
        <f t="shared" si="113"/>
        <v>5</v>
      </c>
      <c r="S537" s="10" t="str">
        <f t="shared" si="114"/>
        <v>6</v>
      </c>
      <c r="T537" s="9">
        <f t="shared" si="115"/>
        <v>3</v>
      </c>
      <c r="U537" t="str">
        <f t="shared" si="116"/>
        <v>Mismatch</v>
      </c>
    </row>
    <row r="538" spans="1:21" x14ac:dyDescent="0.2">
      <c r="A538" s="12">
        <v>536</v>
      </c>
      <c r="B538" s="12">
        <v>537</v>
      </c>
      <c r="C538" s="12">
        <v>0.13639999999999999</v>
      </c>
      <c r="D538" s="12">
        <v>0.42</v>
      </c>
      <c r="E538" s="12">
        <v>0.19400000000000001</v>
      </c>
      <c r="F538" s="12">
        <v>11</v>
      </c>
      <c r="G538" s="12">
        <v>52</v>
      </c>
      <c r="H538" s="12">
        <v>63</v>
      </c>
      <c r="I538" s="22">
        <f t="shared" si="104"/>
        <v>15.379099999999983</v>
      </c>
      <c r="J538" s="23">
        <f t="shared" si="105"/>
        <v>0.20782567567567545</v>
      </c>
      <c r="K538" s="24">
        <f t="shared" si="106"/>
        <v>74</v>
      </c>
      <c r="L538" s="25">
        <f t="shared" si="107"/>
        <v>52.27999999999998</v>
      </c>
      <c r="M538" s="26">
        <f t="shared" si="108"/>
        <v>0.70648648648648626</v>
      </c>
      <c r="N538" s="27">
        <f t="shared" si="109"/>
        <v>74</v>
      </c>
      <c r="O538" s="28">
        <f t="shared" si="110"/>
        <v>4430</v>
      </c>
      <c r="P538" s="29">
        <f t="shared" si="111"/>
        <v>59.864864864864863</v>
      </c>
      <c r="Q538" s="30">
        <f t="shared" si="112"/>
        <v>74</v>
      </c>
      <c r="R538" s="11" t="str">
        <f t="shared" si="113"/>
        <v>5</v>
      </c>
      <c r="S538" s="10" t="str">
        <f t="shared" si="114"/>
        <v>7</v>
      </c>
      <c r="T538" s="9">
        <f t="shared" si="115"/>
        <v>3</v>
      </c>
      <c r="U538" t="str">
        <f t="shared" si="116"/>
        <v>Mismatch</v>
      </c>
    </row>
    <row r="539" spans="1:21" x14ac:dyDescent="0.2">
      <c r="A539" s="12">
        <v>537</v>
      </c>
      <c r="B539" s="12">
        <v>538</v>
      </c>
      <c r="C539" s="12">
        <v>0.13639999999999999</v>
      </c>
      <c r="D539" s="12">
        <v>0.43</v>
      </c>
      <c r="E539" s="12">
        <v>0.22389999999999999</v>
      </c>
      <c r="F539" s="12">
        <v>6</v>
      </c>
      <c r="G539" s="12">
        <v>54</v>
      </c>
      <c r="H539" s="12">
        <v>60</v>
      </c>
      <c r="I539" s="22">
        <f t="shared" si="104"/>
        <v>15.242699999999983</v>
      </c>
      <c r="J539" s="23">
        <f t="shared" si="105"/>
        <v>0.20880410958904086</v>
      </c>
      <c r="K539" s="24">
        <f t="shared" si="106"/>
        <v>73</v>
      </c>
      <c r="L539" s="25">
        <f t="shared" si="107"/>
        <v>51.859999999999978</v>
      </c>
      <c r="M539" s="26">
        <f t="shared" si="108"/>
        <v>0.71041095890410932</v>
      </c>
      <c r="N539" s="27">
        <f t="shared" si="109"/>
        <v>73</v>
      </c>
      <c r="O539" s="28">
        <f t="shared" si="110"/>
        <v>4367</v>
      </c>
      <c r="P539" s="29">
        <f t="shared" si="111"/>
        <v>59.821917808219176</v>
      </c>
      <c r="Q539" s="30">
        <f t="shared" si="112"/>
        <v>73</v>
      </c>
      <c r="R539" s="11" t="str">
        <f t="shared" si="113"/>
        <v>5</v>
      </c>
      <c r="S539" s="10" t="str">
        <f t="shared" si="114"/>
        <v>8</v>
      </c>
      <c r="T539" s="9">
        <f t="shared" si="115"/>
        <v>3</v>
      </c>
      <c r="U539" t="str">
        <f t="shared" si="116"/>
        <v>Mismatch</v>
      </c>
    </row>
    <row r="540" spans="1:21" x14ac:dyDescent="0.2">
      <c r="A540" s="12">
        <v>538</v>
      </c>
      <c r="B540" s="12">
        <v>539</v>
      </c>
      <c r="C540" s="12">
        <v>0.13639999999999999</v>
      </c>
      <c r="D540" s="12">
        <v>0.46</v>
      </c>
      <c r="E540" s="12">
        <v>0.22389999999999999</v>
      </c>
      <c r="F540" s="12">
        <v>2</v>
      </c>
      <c r="G540" s="12">
        <v>43</v>
      </c>
      <c r="H540" s="12">
        <v>45</v>
      </c>
      <c r="I540" s="22">
        <f t="shared" si="104"/>
        <v>15.106299999999983</v>
      </c>
      <c r="J540" s="23">
        <f t="shared" si="105"/>
        <v>0.20980972222222199</v>
      </c>
      <c r="K540" s="24">
        <f t="shared" si="106"/>
        <v>72</v>
      </c>
      <c r="L540" s="25">
        <f t="shared" si="107"/>
        <v>51.429999999999978</v>
      </c>
      <c r="M540" s="26">
        <f t="shared" si="108"/>
        <v>0.7143055555555553</v>
      </c>
      <c r="N540" s="27">
        <f t="shared" si="109"/>
        <v>72</v>
      </c>
      <c r="O540" s="28">
        <f t="shared" si="110"/>
        <v>4307</v>
      </c>
      <c r="P540" s="29">
        <f t="shared" si="111"/>
        <v>59.819444444444443</v>
      </c>
      <c r="Q540" s="30">
        <f t="shared" si="112"/>
        <v>72</v>
      </c>
      <c r="R540" s="11" t="str">
        <f t="shared" si="113"/>
        <v>5</v>
      </c>
      <c r="S540" s="10" t="str">
        <f t="shared" si="114"/>
        <v>9</v>
      </c>
      <c r="T540" s="9">
        <f t="shared" si="115"/>
        <v>3</v>
      </c>
      <c r="U540" t="str">
        <f t="shared" si="116"/>
        <v>Mismatch</v>
      </c>
    </row>
    <row r="541" spans="1:21" x14ac:dyDescent="0.2">
      <c r="A541" s="12">
        <v>539</v>
      </c>
      <c r="B541" s="12">
        <v>540</v>
      </c>
      <c r="C541" s="12">
        <v>0.16669999999999999</v>
      </c>
      <c r="D541" s="12">
        <v>0.4</v>
      </c>
      <c r="E541" s="12">
        <v>0.16420000000000001</v>
      </c>
      <c r="F541" s="12">
        <v>7</v>
      </c>
      <c r="G541" s="12">
        <v>50</v>
      </c>
      <c r="H541" s="12">
        <v>57</v>
      </c>
      <c r="I541" s="22">
        <f t="shared" si="104"/>
        <v>14.969899999999983</v>
      </c>
      <c r="J541" s="23">
        <f t="shared" si="105"/>
        <v>0.21084366197183074</v>
      </c>
      <c r="K541" s="24">
        <f t="shared" si="106"/>
        <v>71</v>
      </c>
      <c r="L541" s="25">
        <f t="shared" si="107"/>
        <v>50.969999999999978</v>
      </c>
      <c r="M541" s="26">
        <f t="shared" si="108"/>
        <v>0.71788732394366161</v>
      </c>
      <c r="N541" s="27">
        <f t="shared" si="109"/>
        <v>71</v>
      </c>
      <c r="O541" s="28">
        <f t="shared" si="110"/>
        <v>4262</v>
      </c>
      <c r="P541" s="29">
        <f t="shared" si="111"/>
        <v>60.028169014084504</v>
      </c>
      <c r="Q541" s="30">
        <f t="shared" si="112"/>
        <v>71</v>
      </c>
      <c r="R541" s="11" t="str">
        <f t="shared" si="113"/>
        <v>5</v>
      </c>
      <c r="S541" s="10" t="str">
        <f t="shared" si="114"/>
        <v>0</v>
      </c>
      <c r="T541" s="9">
        <f t="shared" si="115"/>
        <v>3</v>
      </c>
      <c r="U541" t="str">
        <f t="shared" si="116"/>
        <v>Mismatch</v>
      </c>
    </row>
    <row r="542" spans="1:21" x14ac:dyDescent="0.2">
      <c r="A542" s="12">
        <v>540</v>
      </c>
      <c r="B542" s="12">
        <v>541</v>
      </c>
      <c r="C542" s="12">
        <v>0.1515</v>
      </c>
      <c r="D542" s="12">
        <v>0.47</v>
      </c>
      <c r="E542" s="12">
        <v>0.25369999999999998</v>
      </c>
      <c r="F542" s="12">
        <v>4</v>
      </c>
      <c r="G542" s="12">
        <v>66</v>
      </c>
      <c r="H542" s="12">
        <v>70</v>
      </c>
      <c r="I542" s="22">
        <f t="shared" si="104"/>
        <v>14.803199999999984</v>
      </c>
      <c r="J542" s="23">
        <f t="shared" si="105"/>
        <v>0.2114742857142855</v>
      </c>
      <c r="K542" s="24">
        <f t="shared" si="106"/>
        <v>70</v>
      </c>
      <c r="L542" s="25">
        <f t="shared" si="107"/>
        <v>50.569999999999979</v>
      </c>
      <c r="M542" s="26">
        <f t="shared" si="108"/>
        <v>0.72242857142857109</v>
      </c>
      <c r="N542" s="27">
        <f t="shared" si="109"/>
        <v>70</v>
      </c>
      <c r="O542" s="28">
        <f t="shared" si="110"/>
        <v>4205</v>
      </c>
      <c r="P542" s="29">
        <f t="shared" si="111"/>
        <v>60.071428571428569</v>
      </c>
      <c r="Q542" s="30">
        <f t="shared" si="112"/>
        <v>70</v>
      </c>
      <c r="R542" s="11" t="str">
        <f t="shared" si="113"/>
        <v>5</v>
      </c>
      <c r="S542" s="10" t="str">
        <f t="shared" si="114"/>
        <v>1</v>
      </c>
      <c r="T542" s="9">
        <f t="shared" si="115"/>
        <v>3</v>
      </c>
      <c r="U542" t="str">
        <f t="shared" si="116"/>
        <v>Mismatch</v>
      </c>
    </row>
    <row r="543" spans="1:21" x14ac:dyDescent="0.2">
      <c r="A543" s="12">
        <v>541</v>
      </c>
      <c r="B543" s="12">
        <v>542</v>
      </c>
      <c r="C543" s="12">
        <v>0.1212</v>
      </c>
      <c r="D543" s="12">
        <v>0.5</v>
      </c>
      <c r="E543" s="12">
        <v>0.25369999999999998</v>
      </c>
      <c r="F543" s="12">
        <v>6</v>
      </c>
      <c r="G543" s="12">
        <v>178</v>
      </c>
      <c r="H543" s="12">
        <v>184</v>
      </c>
      <c r="I543" s="22">
        <f t="shared" si="104"/>
        <v>14.651699999999986</v>
      </c>
      <c r="J543" s="23">
        <f t="shared" si="105"/>
        <v>0.21234347826086936</v>
      </c>
      <c r="K543" s="24">
        <f t="shared" si="106"/>
        <v>69</v>
      </c>
      <c r="L543" s="25">
        <f t="shared" si="107"/>
        <v>50.09999999999998</v>
      </c>
      <c r="M543" s="26">
        <f t="shared" si="108"/>
        <v>0.72608695652173882</v>
      </c>
      <c r="N543" s="27">
        <f t="shared" si="109"/>
        <v>69</v>
      </c>
      <c r="O543" s="28">
        <f t="shared" si="110"/>
        <v>4135</v>
      </c>
      <c r="P543" s="29">
        <f t="shared" si="111"/>
        <v>59.927536231884055</v>
      </c>
      <c r="Q543" s="30">
        <f t="shared" si="112"/>
        <v>69</v>
      </c>
      <c r="R543" s="11" t="str">
        <f t="shared" si="113"/>
        <v>5</v>
      </c>
      <c r="S543" s="10" t="str">
        <f t="shared" si="114"/>
        <v>2</v>
      </c>
      <c r="T543" s="9">
        <f t="shared" si="115"/>
        <v>3</v>
      </c>
      <c r="U543" t="str">
        <f t="shared" si="116"/>
        <v>Mismatch</v>
      </c>
    </row>
    <row r="544" spans="1:21" x14ac:dyDescent="0.2">
      <c r="A544" s="12">
        <v>542</v>
      </c>
      <c r="B544" s="12">
        <v>543</v>
      </c>
      <c r="C544" s="12">
        <v>0.13639999999999999</v>
      </c>
      <c r="D544" s="12">
        <v>0.59</v>
      </c>
      <c r="E544" s="12">
        <v>0.19400000000000001</v>
      </c>
      <c r="F544" s="12">
        <v>8</v>
      </c>
      <c r="G544" s="12">
        <v>145</v>
      </c>
      <c r="H544" s="12">
        <v>153</v>
      </c>
      <c r="I544" s="22">
        <f t="shared" si="104"/>
        <v>14.530499999999986</v>
      </c>
      <c r="J544" s="23">
        <f t="shared" si="105"/>
        <v>0.21368382352941157</v>
      </c>
      <c r="K544" s="24">
        <f t="shared" si="106"/>
        <v>68</v>
      </c>
      <c r="L544" s="25">
        <f t="shared" si="107"/>
        <v>49.599999999999987</v>
      </c>
      <c r="M544" s="26">
        <f t="shared" si="108"/>
        <v>0.7294117647058822</v>
      </c>
      <c r="N544" s="27">
        <f t="shared" si="109"/>
        <v>68</v>
      </c>
      <c r="O544" s="28">
        <f t="shared" si="110"/>
        <v>3951</v>
      </c>
      <c r="P544" s="29">
        <f t="shared" si="111"/>
        <v>58.102941176470587</v>
      </c>
      <c r="Q544" s="30">
        <f t="shared" si="112"/>
        <v>68</v>
      </c>
      <c r="R544" s="11" t="str">
        <f t="shared" si="113"/>
        <v>5</v>
      </c>
      <c r="S544" s="10" t="str">
        <f t="shared" si="114"/>
        <v>3</v>
      </c>
      <c r="T544" s="9">
        <f t="shared" si="115"/>
        <v>3</v>
      </c>
      <c r="U544" t="str">
        <f t="shared" si="116"/>
        <v>Mismatch</v>
      </c>
    </row>
    <row r="545" spans="1:21" x14ac:dyDescent="0.2">
      <c r="A545" s="12">
        <v>543</v>
      </c>
      <c r="B545" s="12">
        <v>544</v>
      </c>
      <c r="C545" s="12">
        <v>0.1515</v>
      </c>
      <c r="D545" s="12">
        <v>0.54</v>
      </c>
      <c r="E545" s="12">
        <v>0.16420000000000001</v>
      </c>
      <c r="F545" s="12">
        <v>5</v>
      </c>
      <c r="G545" s="12">
        <v>101</v>
      </c>
      <c r="H545" s="12">
        <v>106</v>
      </c>
      <c r="I545" s="22">
        <f t="shared" si="104"/>
        <v>14.394099999999986</v>
      </c>
      <c r="J545" s="23">
        <f t="shared" si="105"/>
        <v>0.2148373134328356</v>
      </c>
      <c r="K545" s="24">
        <f t="shared" si="106"/>
        <v>67</v>
      </c>
      <c r="L545" s="25">
        <f t="shared" si="107"/>
        <v>49.009999999999991</v>
      </c>
      <c r="M545" s="26">
        <f t="shared" si="108"/>
        <v>0.73149253731343267</v>
      </c>
      <c r="N545" s="27">
        <f t="shared" si="109"/>
        <v>67</v>
      </c>
      <c r="O545" s="28">
        <f t="shared" si="110"/>
        <v>3798</v>
      </c>
      <c r="P545" s="29">
        <f t="shared" si="111"/>
        <v>56.686567164179102</v>
      </c>
      <c r="Q545" s="30">
        <f t="shared" si="112"/>
        <v>67</v>
      </c>
      <c r="R545" s="11" t="str">
        <f t="shared" si="113"/>
        <v>5</v>
      </c>
      <c r="S545" s="10" t="str">
        <f t="shared" si="114"/>
        <v>4</v>
      </c>
      <c r="T545" s="9">
        <f t="shared" si="115"/>
        <v>3</v>
      </c>
      <c r="U545" t="str">
        <f t="shared" si="116"/>
        <v>Mismatch</v>
      </c>
    </row>
    <row r="546" spans="1:21" x14ac:dyDescent="0.2">
      <c r="A546" s="12">
        <v>544</v>
      </c>
      <c r="B546" s="12">
        <v>545</v>
      </c>
      <c r="C546" s="12">
        <v>0.13639999999999999</v>
      </c>
      <c r="D546" s="12">
        <v>0.59</v>
      </c>
      <c r="E546" s="12">
        <v>0.19400000000000001</v>
      </c>
      <c r="F546" s="12">
        <v>1</v>
      </c>
      <c r="G546" s="12">
        <v>80</v>
      </c>
      <c r="H546" s="12">
        <v>81</v>
      </c>
      <c r="I546" s="22">
        <f t="shared" si="104"/>
        <v>14.242599999999987</v>
      </c>
      <c r="J546" s="23">
        <f t="shared" si="105"/>
        <v>0.21579696969696949</v>
      </c>
      <c r="K546" s="24">
        <f t="shared" si="106"/>
        <v>66</v>
      </c>
      <c r="L546" s="25">
        <f t="shared" si="107"/>
        <v>48.469999999999992</v>
      </c>
      <c r="M546" s="26">
        <f t="shared" si="108"/>
        <v>0.73439393939393927</v>
      </c>
      <c r="N546" s="27">
        <f t="shared" si="109"/>
        <v>66</v>
      </c>
      <c r="O546" s="28">
        <f t="shared" si="110"/>
        <v>3692</v>
      </c>
      <c r="P546" s="29">
        <f t="shared" si="111"/>
        <v>55.939393939393938</v>
      </c>
      <c r="Q546" s="30">
        <f t="shared" si="112"/>
        <v>66</v>
      </c>
      <c r="R546" s="11" t="str">
        <f t="shared" si="113"/>
        <v>5</v>
      </c>
      <c r="S546" s="10" t="str">
        <f t="shared" si="114"/>
        <v>5</v>
      </c>
      <c r="T546" s="9">
        <f t="shared" si="115"/>
        <v>3</v>
      </c>
      <c r="U546" t="str">
        <f t="shared" si="116"/>
        <v>Match</v>
      </c>
    </row>
    <row r="547" spans="1:21" x14ac:dyDescent="0.2">
      <c r="A547" s="12">
        <v>545</v>
      </c>
      <c r="B547" s="12">
        <v>546</v>
      </c>
      <c r="C547" s="12">
        <v>0.1515</v>
      </c>
      <c r="D547" s="12">
        <v>0.63</v>
      </c>
      <c r="E547" s="12">
        <v>0.16420000000000001</v>
      </c>
      <c r="F547" s="12">
        <v>6</v>
      </c>
      <c r="G547" s="12">
        <v>53</v>
      </c>
      <c r="H547" s="12">
        <v>59</v>
      </c>
      <c r="I547" s="22">
        <f t="shared" si="104"/>
        <v>14.106199999999989</v>
      </c>
      <c r="J547" s="23">
        <f t="shared" si="105"/>
        <v>0.21701846153846135</v>
      </c>
      <c r="K547" s="24">
        <f t="shared" si="106"/>
        <v>65</v>
      </c>
      <c r="L547" s="25">
        <f t="shared" si="107"/>
        <v>47.879999999999995</v>
      </c>
      <c r="M547" s="26">
        <f t="shared" si="108"/>
        <v>0.73661538461538456</v>
      </c>
      <c r="N547" s="27">
        <f t="shared" si="109"/>
        <v>65</v>
      </c>
      <c r="O547" s="28">
        <f t="shared" si="110"/>
        <v>3611</v>
      </c>
      <c r="P547" s="29">
        <f t="shared" si="111"/>
        <v>55.553846153846152</v>
      </c>
      <c r="Q547" s="30">
        <f t="shared" si="112"/>
        <v>65</v>
      </c>
      <c r="R547" s="11" t="str">
        <f t="shared" si="113"/>
        <v>5</v>
      </c>
      <c r="S547" s="10" t="str">
        <f t="shared" si="114"/>
        <v>6</v>
      </c>
      <c r="T547" s="9">
        <f t="shared" si="115"/>
        <v>3</v>
      </c>
      <c r="U547" t="str">
        <f t="shared" si="116"/>
        <v>Mismatch</v>
      </c>
    </row>
    <row r="548" spans="1:21" x14ac:dyDescent="0.2">
      <c r="A548" s="12">
        <v>546</v>
      </c>
      <c r="B548" s="12">
        <v>547</v>
      </c>
      <c r="C548" s="12">
        <v>0.13639999999999999</v>
      </c>
      <c r="D548" s="12">
        <v>0.63</v>
      </c>
      <c r="E548" s="12">
        <v>0.22389999999999999</v>
      </c>
      <c r="F548" s="12">
        <v>3</v>
      </c>
      <c r="G548" s="12">
        <v>32</v>
      </c>
      <c r="H548" s="12">
        <v>35</v>
      </c>
      <c r="I548" s="22">
        <f t="shared" si="104"/>
        <v>13.954699999999988</v>
      </c>
      <c r="J548" s="23">
        <f t="shared" si="105"/>
        <v>0.21804218749999982</v>
      </c>
      <c r="K548" s="24">
        <f t="shared" si="106"/>
        <v>64</v>
      </c>
      <c r="L548" s="25">
        <f t="shared" si="107"/>
        <v>47.249999999999993</v>
      </c>
      <c r="M548" s="26">
        <f t="shared" si="108"/>
        <v>0.73828124999999989</v>
      </c>
      <c r="N548" s="27">
        <f t="shared" si="109"/>
        <v>64</v>
      </c>
      <c r="O548" s="28">
        <f t="shared" si="110"/>
        <v>3552</v>
      </c>
      <c r="P548" s="29">
        <f t="shared" si="111"/>
        <v>55.5</v>
      </c>
      <c r="Q548" s="30">
        <f t="shared" si="112"/>
        <v>64</v>
      </c>
      <c r="R548" s="11" t="str">
        <f t="shared" si="113"/>
        <v>5</v>
      </c>
      <c r="S548" s="10" t="str">
        <f t="shared" si="114"/>
        <v>7</v>
      </c>
      <c r="T548" s="9">
        <f t="shared" si="115"/>
        <v>3</v>
      </c>
      <c r="U548" t="str">
        <f t="shared" si="116"/>
        <v>Mismatch</v>
      </c>
    </row>
    <row r="549" spans="1:21" x14ac:dyDescent="0.2">
      <c r="A549" s="12">
        <v>547</v>
      </c>
      <c r="B549" s="12">
        <v>548</v>
      </c>
      <c r="C549" s="12">
        <v>0.1515</v>
      </c>
      <c r="D549" s="12">
        <v>0.64</v>
      </c>
      <c r="E549" s="12">
        <v>0.25369999999999998</v>
      </c>
      <c r="F549" s="12">
        <v>3</v>
      </c>
      <c r="G549" s="12">
        <v>21</v>
      </c>
      <c r="H549" s="12">
        <v>24</v>
      </c>
      <c r="I549" s="22">
        <f t="shared" si="104"/>
        <v>13.818299999999988</v>
      </c>
      <c r="J549" s="23">
        <f t="shared" si="105"/>
        <v>0.21933809523809505</v>
      </c>
      <c r="K549" s="24">
        <f t="shared" si="106"/>
        <v>63</v>
      </c>
      <c r="L549" s="25">
        <f t="shared" si="107"/>
        <v>46.61999999999999</v>
      </c>
      <c r="M549" s="26">
        <f t="shared" si="108"/>
        <v>0.73999999999999988</v>
      </c>
      <c r="N549" s="27">
        <f t="shared" si="109"/>
        <v>63</v>
      </c>
      <c r="O549" s="28">
        <f t="shared" si="110"/>
        <v>3517</v>
      </c>
      <c r="P549" s="29">
        <f t="shared" si="111"/>
        <v>55.825396825396822</v>
      </c>
      <c r="Q549" s="30">
        <f t="shared" si="112"/>
        <v>63</v>
      </c>
      <c r="R549" s="11" t="str">
        <f t="shared" si="113"/>
        <v>5</v>
      </c>
      <c r="S549" s="10" t="str">
        <f t="shared" si="114"/>
        <v>8</v>
      </c>
      <c r="T549" s="9">
        <f t="shared" si="115"/>
        <v>3</v>
      </c>
      <c r="U549" t="str">
        <f t="shared" si="116"/>
        <v>Mismatch</v>
      </c>
    </row>
    <row r="550" spans="1:21" x14ac:dyDescent="0.2">
      <c r="A550" s="12">
        <v>548</v>
      </c>
      <c r="B550" s="12">
        <v>549</v>
      </c>
      <c r="C550" s="12">
        <v>0.13639999999999999</v>
      </c>
      <c r="D550" s="12">
        <v>0.69</v>
      </c>
      <c r="E550" s="12">
        <v>0.28360000000000002</v>
      </c>
      <c r="F550" s="12">
        <v>3</v>
      </c>
      <c r="G550" s="12">
        <v>6</v>
      </c>
      <c r="H550" s="12">
        <v>9</v>
      </c>
      <c r="I550" s="22">
        <f t="shared" si="104"/>
        <v>13.66679999999999</v>
      </c>
      <c r="J550" s="23">
        <f t="shared" si="105"/>
        <v>0.22043225806451597</v>
      </c>
      <c r="K550" s="24">
        <f t="shared" si="106"/>
        <v>62</v>
      </c>
      <c r="L550" s="25">
        <f t="shared" si="107"/>
        <v>45.97999999999999</v>
      </c>
      <c r="M550" s="26">
        <f t="shared" si="108"/>
        <v>0.74161290322580631</v>
      </c>
      <c r="N550" s="27">
        <f t="shared" si="109"/>
        <v>62</v>
      </c>
      <c r="O550" s="28">
        <f t="shared" si="110"/>
        <v>3493</v>
      </c>
      <c r="P550" s="29">
        <f t="shared" si="111"/>
        <v>56.338709677419352</v>
      </c>
      <c r="Q550" s="30">
        <f t="shared" si="112"/>
        <v>62</v>
      </c>
      <c r="R550" s="11" t="str">
        <f t="shared" si="113"/>
        <v>5</v>
      </c>
      <c r="S550" s="10" t="str">
        <f t="shared" si="114"/>
        <v>9</v>
      </c>
      <c r="T550" s="9">
        <f t="shared" si="115"/>
        <v>3</v>
      </c>
      <c r="U550" t="str">
        <f t="shared" si="116"/>
        <v>Mismatch</v>
      </c>
    </row>
    <row r="551" spans="1:21" x14ac:dyDescent="0.2">
      <c r="A551" s="12">
        <v>549</v>
      </c>
      <c r="B551" s="12">
        <v>550</v>
      </c>
      <c r="C551" s="12">
        <v>0.16669999999999999</v>
      </c>
      <c r="D551" s="12">
        <v>0.69</v>
      </c>
      <c r="E551" s="12">
        <v>0.16420000000000001</v>
      </c>
      <c r="F551" s="12">
        <v>0</v>
      </c>
      <c r="G551" s="12">
        <v>5</v>
      </c>
      <c r="H551" s="12">
        <v>5</v>
      </c>
      <c r="I551" s="22">
        <f t="shared" si="104"/>
        <v>13.53039999999999</v>
      </c>
      <c r="J551" s="23">
        <f t="shared" si="105"/>
        <v>0.22180983606557361</v>
      </c>
      <c r="K551" s="24">
        <f t="shared" si="106"/>
        <v>61</v>
      </c>
      <c r="L551" s="25">
        <f t="shared" si="107"/>
        <v>45.289999999999985</v>
      </c>
      <c r="M551" s="26">
        <f t="shared" si="108"/>
        <v>0.74245901639344236</v>
      </c>
      <c r="N551" s="27">
        <f t="shared" si="109"/>
        <v>61</v>
      </c>
      <c r="O551" s="28">
        <f t="shared" si="110"/>
        <v>3484</v>
      </c>
      <c r="P551" s="29">
        <f t="shared" si="111"/>
        <v>57.114754098360656</v>
      </c>
      <c r="Q551" s="30">
        <f t="shared" si="112"/>
        <v>61</v>
      </c>
      <c r="R551" s="11" t="str">
        <f t="shared" si="113"/>
        <v>5</v>
      </c>
      <c r="S551" s="10" t="str">
        <f t="shared" si="114"/>
        <v>0</v>
      </c>
      <c r="T551" s="9">
        <f t="shared" si="115"/>
        <v>3</v>
      </c>
      <c r="U551" t="str">
        <f t="shared" si="116"/>
        <v>Mismatch</v>
      </c>
    </row>
    <row r="552" spans="1:21" x14ac:dyDescent="0.2">
      <c r="A552" s="12">
        <v>550</v>
      </c>
      <c r="B552" s="12">
        <v>551</v>
      </c>
      <c r="C552" s="12">
        <v>0.1515</v>
      </c>
      <c r="D552" s="12">
        <v>0.69</v>
      </c>
      <c r="E552" s="12">
        <v>0.22389999999999999</v>
      </c>
      <c r="F552" s="12">
        <v>0</v>
      </c>
      <c r="G552" s="12">
        <v>2</v>
      </c>
      <c r="H552" s="12">
        <v>2</v>
      </c>
      <c r="I552" s="22">
        <f t="shared" si="104"/>
        <v>13.363699999999989</v>
      </c>
      <c r="J552" s="23">
        <f t="shared" si="105"/>
        <v>0.22272833333333314</v>
      </c>
      <c r="K552" s="24">
        <f t="shared" si="106"/>
        <v>60</v>
      </c>
      <c r="L552" s="25">
        <f t="shared" si="107"/>
        <v>44.599999999999987</v>
      </c>
      <c r="M552" s="26">
        <f t="shared" si="108"/>
        <v>0.74333333333333307</v>
      </c>
      <c r="N552" s="27">
        <f t="shared" si="109"/>
        <v>60</v>
      </c>
      <c r="O552" s="28">
        <f t="shared" si="110"/>
        <v>3479</v>
      </c>
      <c r="P552" s="29">
        <f t="shared" si="111"/>
        <v>57.983333333333334</v>
      </c>
      <c r="Q552" s="30">
        <f t="shared" si="112"/>
        <v>60</v>
      </c>
      <c r="R552" s="11" t="str">
        <f t="shared" si="113"/>
        <v>5</v>
      </c>
      <c r="S552" s="10" t="str">
        <f t="shared" si="114"/>
        <v>1</v>
      </c>
      <c r="T552" s="9">
        <f t="shared" si="115"/>
        <v>3</v>
      </c>
      <c r="U552" t="str">
        <f t="shared" si="116"/>
        <v>Mismatch</v>
      </c>
    </row>
    <row r="553" spans="1:21" x14ac:dyDescent="0.2">
      <c r="A553" s="12">
        <v>551</v>
      </c>
      <c r="B553" s="12">
        <v>552</v>
      </c>
      <c r="C553" s="12">
        <v>0.16669999999999999</v>
      </c>
      <c r="D553" s="12">
        <v>0.74</v>
      </c>
      <c r="E553" s="12">
        <v>0.1045</v>
      </c>
      <c r="F553" s="12">
        <v>0</v>
      </c>
      <c r="G553" s="12">
        <v>1</v>
      </c>
      <c r="H553" s="12">
        <v>1</v>
      </c>
      <c r="I553" s="22">
        <f t="shared" si="104"/>
        <v>13.212199999999989</v>
      </c>
      <c r="J553" s="23">
        <f t="shared" si="105"/>
        <v>0.22393559322033879</v>
      </c>
      <c r="K553" s="24">
        <f t="shared" si="106"/>
        <v>59</v>
      </c>
      <c r="L553" s="25">
        <f t="shared" si="107"/>
        <v>43.909999999999989</v>
      </c>
      <c r="M553" s="26">
        <f t="shared" si="108"/>
        <v>0.74423728813559309</v>
      </c>
      <c r="N553" s="27">
        <f t="shared" si="109"/>
        <v>59</v>
      </c>
      <c r="O553" s="28">
        <f t="shared" si="110"/>
        <v>3477</v>
      </c>
      <c r="P553" s="29">
        <f t="shared" si="111"/>
        <v>58.932203389830505</v>
      </c>
      <c r="Q553" s="30">
        <f t="shared" si="112"/>
        <v>59</v>
      </c>
      <c r="R553" s="11" t="str">
        <f t="shared" si="113"/>
        <v>5</v>
      </c>
      <c r="S553" s="10" t="str">
        <f t="shared" si="114"/>
        <v>2</v>
      </c>
      <c r="T553" s="9">
        <f t="shared" si="115"/>
        <v>3</v>
      </c>
      <c r="U553" t="str">
        <f t="shared" si="116"/>
        <v>Mismatch</v>
      </c>
    </row>
    <row r="554" spans="1:21" x14ac:dyDescent="0.2">
      <c r="A554" s="12">
        <v>552</v>
      </c>
      <c r="B554" s="12">
        <v>553</v>
      </c>
      <c r="C554" s="12">
        <v>0.13639999999999999</v>
      </c>
      <c r="D554" s="12">
        <v>0.74</v>
      </c>
      <c r="E554" s="12">
        <v>0.22389999999999999</v>
      </c>
      <c r="F554" s="12">
        <v>0</v>
      </c>
      <c r="G554" s="12">
        <v>9</v>
      </c>
      <c r="H554" s="12">
        <v>9</v>
      </c>
      <c r="I554" s="22">
        <f t="shared" si="104"/>
        <v>13.04549999999999</v>
      </c>
      <c r="J554" s="23">
        <f t="shared" si="105"/>
        <v>0.22492241379310327</v>
      </c>
      <c r="K554" s="24">
        <f t="shared" si="106"/>
        <v>58</v>
      </c>
      <c r="L554" s="25">
        <f t="shared" si="107"/>
        <v>43.169999999999987</v>
      </c>
      <c r="M554" s="26">
        <f t="shared" si="108"/>
        <v>0.74431034482758596</v>
      </c>
      <c r="N554" s="27">
        <f t="shared" si="109"/>
        <v>58</v>
      </c>
      <c r="O554" s="28">
        <f t="shared" si="110"/>
        <v>3476</v>
      </c>
      <c r="P554" s="29">
        <f t="shared" si="111"/>
        <v>59.931034482758619</v>
      </c>
      <c r="Q554" s="30">
        <f t="shared" si="112"/>
        <v>58</v>
      </c>
      <c r="R554" s="11" t="str">
        <f t="shared" si="113"/>
        <v>5</v>
      </c>
      <c r="S554" s="10" t="str">
        <f t="shared" si="114"/>
        <v>3</v>
      </c>
      <c r="T554" s="9">
        <f t="shared" si="115"/>
        <v>3</v>
      </c>
      <c r="U554" t="str">
        <f t="shared" si="116"/>
        <v>Mismatch</v>
      </c>
    </row>
    <row r="555" spans="1:21" x14ac:dyDescent="0.2">
      <c r="A555" s="12">
        <v>553</v>
      </c>
      <c r="B555" s="12">
        <v>554</v>
      </c>
      <c r="C555" s="12">
        <v>0.18179999999999999</v>
      </c>
      <c r="D555" s="12">
        <v>0.74</v>
      </c>
      <c r="E555" s="12">
        <v>0.1045</v>
      </c>
      <c r="F555" s="12">
        <v>1</v>
      </c>
      <c r="G555" s="12">
        <v>35</v>
      </c>
      <c r="H555" s="12">
        <v>36</v>
      </c>
      <c r="I555" s="22">
        <f t="shared" si="104"/>
        <v>12.90909999999999</v>
      </c>
      <c r="J555" s="23">
        <f t="shared" si="105"/>
        <v>0.22647543859649105</v>
      </c>
      <c r="K555" s="24">
        <f t="shared" si="106"/>
        <v>57</v>
      </c>
      <c r="L555" s="25">
        <f t="shared" si="107"/>
        <v>42.429999999999986</v>
      </c>
      <c r="M555" s="26">
        <f t="shared" si="108"/>
        <v>0.74438596491228048</v>
      </c>
      <c r="N555" s="27">
        <f t="shared" si="109"/>
        <v>57</v>
      </c>
      <c r="O555" s="28">
        <f t="shared" si="110"/>
        <v>3467</v>
      </c>
      <c r="P555" s="29">
        <f t="shared" si="111"/>
        <v>60.824561403508774</v>
      </c>
      <c r="Q555" s="30">
        <f t="shared" si="112"/>
        <v>57</v>
      </c>
      <c r="R555" s="11" t="str">
        <f t="shared" si="113"/>
        <v>5</v>
      </c>
      <c r="S555" s="10" t="str">
        <f t="shared" si="114"/>
        <v>4</v>
      </c>
      <c r="T555" s="9">
        <f t="shared" si="115"/>
        <v>3</v>
      </c>
      <c r="U555" t="str">
        <f t="shared" si="116"/>
        <v>Mismatch</v>
      </c>
    </row>
    <row r="556" spans="1:21" x14ac:dyDescent="0.2">
      <c r="A556" s="12">
        <v>554</v>
      </c>
      <c r="B556" s="12">
        <v>555</v>
      </c>
      <c r="C556" s="12">
        <v>0.1515</v>
      </c>
      <c r="D556" s="12">
        <v>0.74</v>
      </c>
      <c r="E556" s="12">
        <v>0.22389999999999999</v>
      </c>
      <c r="F556" s="12">
        <v>5</v>
      </c>
      <c r="G556" s="12">
        <v>103</v>
      </c>
      <c r="H556" s="12">
        <v>108</v>
      </c>
      <c r="I556" s="22">
        <f t="shared" si="104"/>
        <v>12.727299999999991</v>
      </c>
      <c r="J556" s="23">
        <f t="shared" si="105"/>
        <v>0.22727321428571412</v>
      </c>
      <c r="K556" s="24">
        <f t="shared" si="106"/>
        <v>56</v>
      </c>
      <c r="L556" s="25">
        <f t="shared" si="107"/>
        <v>41.689999999999984</v>
      </c>
      <c r="M556" s="26">
        <f t="shared" si="108"/>
        <v>0.74446428571428547</v>
      </c>
      <c r="N556" s="27">
        <f t="shared" si="109"/>
        <v>56</v>
      </c>
      <c r="O556" s="28">
        <f t="shared" si="110"/>
        <v>3431</v>
      </c>
      <c r="P556" s="29">
        <f t="shared" si="111"/>
        <v>61.267857142857146</v>
      </c>
      <c r="Q556" s="30">
        <f t="shared" si="112"/>
        <v>56</v>
      </c>
      <c r="R556" s="11" t="str">
        <f t="shared" si="113"/>
        <v>5</v>
      </c>
      <c r="S556" s="10" t="str">
        <f t="shared" si="114"/>
        <v>5</v>
      </c>
      <c r="T556" s="9">
        <f t="shared" si="115"/>
        <v>3</v>
      </c>
      <c r="U556" t="str">
        <f t="shared" si="116"/>
        <v>Match</v>
      </c>
    </row>
    <row r="557" spans="1:21" x14ac:dyDescent="0.2">
      <c r="A557" s="12">
        <v>555</v>
      </c>
      <c r="B557" s="12">
        <v>556</v>
      </c>
      <c r="C557" s="12">
        <v>0.18179999999999999</v>
      </c>
      <c r="D557" s="12">
        <v>0.74</v>
      </c>
      <c r="E557" s="12">
        <v>0.1343</v>
      </c>
      <c r="F557" s="12">
        <v>5</v>
      </c>
      <c r="G557" s="12">
        <v>233</v>
      </c>
      <c r="H557" s="12">
        <v>238</v>
      </c>
      <c r="I557" s="22">
        <f t="shared" si="104"/>
        <v>12.57579999999999</v>
      </c>
      <c r="J557" s="23">
        <f t="shared" si="105"/>
        <v>0.2286509090909089</v>
      </c>
      <c r="K557" s="24">
        <f t="shared" si="106"/>
        <v>55</v>
      </c>
      <c r="L557" s="25">
        <f t="shared" si="107"/>
        <v>40.949999999999989</v>
      </c>
      <c r="M557" s="26">
        <f t="shared" si="108"/>
        <v>0.74454545454545429</v>
      </c>
      <c r="N557" s="27">
        <f t="shared" si="109"/>
        <v>55</v>
      </c>
      <c r="O557" s="28">
        <f t="shared" si="110"/>
        <v>3323</v>
      </c>
      <c r="P557" s="29">
        <f t="shared" si="111"/>
        <v>60.418181818181822</v>
      </c>
      <c r="Q557" s="30">
        <f t="shared" si="112"/>
        <v>55</v>
      </c>
      <c r="R557" s="11" t="str">
        <f t="shared" si="113"/>
        <v>5</v>
      </c>
      <c r="S557" s="10" t="str">
        <f t="shared" si="114"/>
        <v>6</v>
      </c>
      <c r="T557" s="9">
        <f t="shared" si="115"/>
        <v>3</v>
      </c>
      <c r="U557" t="str">
        <f t="shared" si="116"/>
        <v>Mismatch</v>
      </c>
    </row>
    <row r="558" spans="1:21" x14ac:dyDescent="0.2">
      <c r="A558" s="12">
        <v>556</v>
      </c>
      <c r="B558" s="12">
        <v>557</v>
      </c>
      <c r="C558" s="12">
        <v>0.2273</v>
      </c>
      <c r="D558" s="12">
        <v>0.64</v>
      </c>
      <c r="E558" s="12">
        <v>8.9599999999999999E-2</v>
      </c>
      <c r="F558" s="12">
        <v>10</v>
      </c>
      <c r="G558" s="12">
        <v>134</v>
      </c>
      <c r="H558" s="12">
        <v>144</v>
      </c>
      <c r="I558" s="22">
        <f t="shared" si="104"/>
        <v>12.393999999999991</v>
      </c>
      <c r="J558" s="23">
        <f t="shared" si="105"/>
        <v>0.22951851851851834</v>
      </c>
      <c r="K558" s="24">
        <f t="shared" si="106"/>
        <v>54</v>
      </c>
      <c r="L558" s="25">
        <f t="shared" si="107"/>
        <v>40.209999999999987</v>
      </c>
      <c r="M558" s="26">
        <f t="shared" si="108"/>
        <v>0.74462962962962942</v>
      </c>
      <c r="N558" s="27">
        <f t="shared" si="109"/>
        <v>54</v>
      </c>
      <c r="O558" s="28">
        <f t="shared" si="110"/>
        <v>3085</v>
      </c>
      <c r="P558" s="29">
        <f t="shared" si="111"/>
        <v>57.129629629629626</v>
      </c>
      <c r="Q558" s="30">
        <f t="shared" si="112"/>
        <v>54</v>
      </c>
      <c r="R558" s="11" t="str">
        <f t="shared" si="113"/>
        <v>5</v>
      </c>
      <c r="S558" s="10" t="str">
        <f t="shared" si="114"/>
        <v>7</v>
      </c>
      <c r="T558" s="9">
        <f t="shared" si="115"/>
        <v>3</v>
      </c>
      <c r="U558" t="str">
        <f t="shared" si="116"/>
        <v>Mismatch</v>
      </c>
    </row>
    <row r="559" spans="1:21" x14ac:dyDescent="0.2">
      <c r="A559" s="12">
        <v>557</v>
      </c>
      <c r="B559" s="12">
        <v>558</v>
      </c>
      <c r="C559" s="12">
        <v>0.2424</v>
      </c>
      <c r="D559" s="12">
        <v>0.6</v>
      </c>
      <c r="E559" s="12">
        <v>0.1045</v>
      </c>
      <c r="F559" s="12">
        <v>6</v>
      </c>
      <c r="G559" s="12">
        <v>49</v>
      </c>
      <c r="H559" s="12">
        <v>55</v>
      </c>
      <c r="I559" s="22">
        <f t="shared" si="104"/>
        <v>12.166699999999992</v>
      </c>
      <c r="J559" s="23">
        <f t="shared" si="105"/>
        <v>0.22956037735849041</v>
      </c>
      <c r="K559" s="24">
        <f t="shared" si="106"/>
        <v>53</v>
      </c>
      <c r="L559" s="25">
        <f t="shared" si="107"/>
        <v>39.569999999999993</v>
      </c>
      <c r="M559" s="26">
        <f t="shared" si="108"/>
        <v>0.74660377358490548</v>
      </c>
      <c r="N559" s="27">
        <f t="shared" si="109"/>
        <v>53</v>
      </c>
      <c r="O559" s="28">
        <f t="shared" si="110"/>
        <v>2941</v>
      </c>
      <c r="P559" s="29">
        <f t="shared" si="111"/>
        <v>55.490566037735846</v>
      </c>
      <c r="Q559" s="30">
        <f t="shared" si="112"/>
        <v>53</v>
      </c>
      <c r="R559" s="11" t="str">
        <f t="shared" si="113"/>
        <v>5</v>
      </c>
      <c r="S559" s="10" t="str">
        <f t="shared" si="114"/>
        <v>8</v>
      </c>
      <c r="T559" s="9">
        <f t="shared" si="115"/>
        <v>3</v>
      </c>
      <c r="U559" t="str">
        <f t="shared" si="116"/>
        <v>Mismatch</v>
      </c>
    </row>
    <row r="560" spans="1:21" x14ac:dyDescent="0.2">
      <c r="A560" s="12">
        <v>558</v>
      </c>
      <c r="B560" s="12">
        <v>559</v>
      </c>
      <c r="C560" s="12">
        <v>0.2424</v>
      </c>
      <c r="D560" s="12">
        <v>0.6</v>
      </c>
      <c r="E560" s="12">
        <v>0.1343</v>
      </c>
      <c r="F560" s="12">
        <v>6</v>
      </c>
      <c r="G560" s="12">
        <v>55</v>
      </c>
      <c r="H560" s="12">
        <v>61</v>
      </c>
      <c r="I560" s="22">
        <f t="shared" si="104"/>
        <v>11.924299999999992</v>
      </c>
      <c r="J560" s="23">
        <f t="shared" si="105"/>
        <v>0.22931346153846138</v>
      </c>
      <c r="K560" s="24">
        <f t="shared" si="106"/>
        <v>52</v>
      </c>
      <c r="L560" s="25">
        <f t="shared" si="107"/>
        <v>38.969999999999992</v>
      </c>
      <c r="M560" s="26">
        <f t="shared" si="108"/>
        <v>0.74942307692307675</v>
      </c>
      <c r="N560" s="27">
        <f t="shared" si="109"/>
        <v>52</v>
      </c>
      <c r="O560" s="28">
        <f t="shared" si="110"/>
        <v>2886</v>
      </c>
      <c r="P560" s="29">
        <f t="shared" si="111"/>
        <v>55.5</v>
      </c>
      <c r="Q560" s="30">
        <f t="shared" si="112"/>
        <v>52</v>
      </c>
      <c r="R560" s="11" t="str">
        <f t="shared" si="113"/>
        <v>5</v>
      </c>
      <c r="S560" s="10" t="str">
        <f t="shared" si="114"/>
        <v>9</v>
      </c>
      <c r="T560" s="9">
        <f t="shared" si="115"/>
        <v>3</v>
      </c>
      <c r="U560" t="str">
        <f t="shared" si="116"/>
        <v>Mismatch</v>
      </c>
    </row>
    <row r="561" spans="1:21" x14ac:dyDescent="0.2">
      <c r="A561" s="12">
        <v>559</v>
      </c>
      <c r="B561" s="12">
        <v>560</v>
      </c>
      <c r="C561" s="12">
        <v>0.28789999999999999</v>
      </c>
      <c r="D561" s="12">
        <v>0.56000000000000005</v>
      </c>
      <c r="E561" s="12">
        <v>8.9599999999999999E-2</v>
      </c>
      <c r="F561" s="12">
        <v>21</v>
      </c>
      <c r="G561" s="12">
        <v>85</v>
      </c>
      <c r="H561" s="12">
        <v>106</v>
      </c>
      <c r="I561" s="22">
        <f t="shared" si="104"/>
        <v>11.681899999999994</v>
      </c>
      <c r="J561" s="23">
        <f t="shared" si="105"/>
        <v>0.2290568627450979</v>
      </c>
      <c r="K561" s="24">
        <f t="shared" si="106"/>
        <v>51</v>
      </c>
      <c r="L561" s="25">
        <f t="shared" si="107"/>
        <v>38.36999999999999</v>
      </c>
      <c r="M561" s="26">
        <f t="shared" si="108"/>
        <v>0.75235294117647045</v>
      </c>
      <c r="N561" s="27">
        <f t="shared" si="109"/>
        <v>51</v>
      </c>
      <c r="O561" s="28">
        <f t="shared" si="110"/>
        <v>2825</v>
      </c>
      <c r="P561" s="29">
        <f t="shared" si="111"/>
        <v>55.392156862745097</v>
      </c>
      <c r="Q561" s="30">
        <f t="shared" si="112"/>
        <v>51</v>
      </c>
      <c r="R561" s="11" t="str">
        <f t="shared" si="113"/>
        <v>5</v>
      </c>
      <c r="S561" s="10" t="str">
        <f t="shared" si="114"/>
        <v>0</v>
      </c>
      <c r="T561" s="9">
        <f t="shared" si="115"/>
        <v>3</v>
      </c>
      <c r="U561" t="str">
        <f t="shared" si="116"/>
        <v>Mismatch</v>
      </c>
    </row>
    <row r="562" spans="1:21" x14ac:dyDescent="0.2">
      <c r="A562" s="12">
        <v>560</v>
      </c>
      <c r="B562" s="12">
        <v>561</v>
      </c>
      <c r="C562" s="12">
        <v>0.2727</v>
      </c>
      <c r="D562" s="12">
        <v>0.56000000000000005</v>
      </c>
      <c r="E562" s="12">
        <v>0.1343</v>
      </c>
      <c r="F562" s="12">
        <v>21</v>
      </c>
      <c r="G562" s="12">
        <v>72</v>
      </c>
      <c r="H562" s="12">
        <v>93</v>
      </c>
      <c r="I562" s="22">
        <f t="shared" si="104"/>
        <v>11.393999999999995</v>
      </c>
      <c r="J562" s="23">
        <f t="shared" si="105"/>
        <v>0.22787999999999989</v>
      </c>
      <c r="K562" s="24">
        <f t="shared" si="106"/>
        <v>50</v>
      </c>
      <c r="L562" s="25">
        <f t="shared" si="107"/>
        <v>37.809999999999988</v>
      </c>
      <c r="M562" s="26">
        <f t="shared" si="108"/>
        <v>0.75619999999999976</v>
      </c>
      <c r="N562" s="27">
        <f t="shared" si="109"/>
        <v>50</v>
      </c>
      <c r="O562" s="28">
        <f t="shared" si="110"/>
        <v>2719</v>
      </c>
      <c r="P562" s="29">
        <f t="shared" si="111"/>
        <v>54.38</v>
      </c>
      <c r="Q562" s="30">
        <f t="shared" si="112"/>
        <v>50</v>
      </c>
      <c r="R562" s="11" t="str">
        <f t="shared" si="113"/>
        <v>5</v>
      </c>
      <c r="S562" s="10" t="str">
        <f t="shared" si="114"/>
        <v>1</v>
      </c>
      <c r="T562" s="9">
        <f t="shared" si="115"/>
        <v>3</v>
      </c>
      <c r="U562" t="str">
        <f t="shared" si="116"/>
        <v>Mismatch</v>
      </c>
    </row>
    <row r="563" spans="1:21" x14ac:dyDescent="0.2">
      <c r="A563" s="12">
        <v>561</v>
      </c>
      <c r="B563" s="12">
        <v>562</v>
      </c>
      <c r="C563" s="12">
        <v>0.33329999999999999</v>
      </c>
      <c r="D563" s="12">
        <v>0.45</v>
      </c>
      <c r="E563" s="12">
        <v>0</v>
      </c>
      <c r="F563" s="12">
        <v>11</v>
      </c>
      <c r="G563" s="12">
        <v>57</v>
      </c>
      <c r="H563" s="12">
        <v>68</v>
      </c>
      <c r="I563" s="22">
        <f t="shared" si="104"/>
        <v>11.121299999999996</v>
      </c>
      <c r="J563" s="23">
        <f t="shared" si="105"/>
        <v>0.22696530612244889</v>
      </c>
      <c r="K563" s="24">
        <f t="shared" si="106"/>
        <v>49</v>
      </c>
      <c r="L563" s="25">
        <f t="shared" si="107"/>
        <v>37.249999999999993</v>
      </c>
      <c r="M563" s="26">
        <f t="shared" si="108"/>
        <v>0.76020408163265296</v>
      </c>
      <c r="N563" s="27">
        <f t="shared" si="109"/>
        <v>49</v>
      </c>
      <c r="O563" s="28">
        <f t="shared" si="110"/>
        <v>2626</v>
      </c>
      <c r="P563" s="29">
        <f t="shared" si="111"/>
        <v>53.591836734693878</v>
      </c>
      <c r="Q563" s="30">
        <f t="shared" si="112"/>
        <v>49</v>
      </c>
      <c r="R563" s="11" t="str">
        <f t="shared" si="113"/>
        <v>5</v>
      </c>
      <c r="S563" s="10" t="str">
        <f t="shared" si="114"/>
        <v>2</v>
      </c>
      <c r="T563" s="9">
        <f t="shared" si="115"/>
        <v>3</v>
      </c>
      <c r="U563" t="str">
        <f t="shared" si="116"/>
        <v>Mismatch</v>
      </c>
    </row>
    <row r="564" spans="1:21" x14ac:dyDescent="0.2">
      <c r="A564" s="12">
        <v>562</v>
      </c>
      <c r="B564" s="12">
        <v>563</v>
      </c>
      <c r="C564" s="12">
        <v>0.34849999999999998</v>
      </c>
      <c r="D564" s="12">
        <v>0.42</v>
      </c>
      <c r="E564" s="12">
        <v>0</v>
      </c>
      <c r="F564" s="12">
        <v>21</v>
      </c>
      <c r="G564" s="12">
        <v>63</v>
      </c>
      <c r="H564" s="12">
        <v>84</v>
      </c>
      <c r="I564" s="22">
        <f t="shared" si="104"/>
        <v>10.787999999999997</v>
      </c>
      <c r="J564" s="23">
        <f t="shared" si="105"/>
        <v>0.22474999999999992</v>
      </c>
      <c r="K564" s="24">
        <f t="shared" si="106"/>
        <v>48</v>
      </c>
      <c r="L564" s="25">
        <f t="shared" si="107"/>
        <v>36.79999999999999</v>
      </c>
      <c r="M564" s="26">
        <f t="shared" si="108"/>
        <v>0.7666666666666665</v>
      </c>
      <c r="N564" s="27">
        <f t="shared" si="109"/>
        <v>48</v>
      </c>
      <c r="O564" s="28">
        <f t="shared" si="110"/>
        <v>2558</v>
      </c>
      <c r="P564" s="29">
        <f t="shared" si="111"/>
        <v>53.291666666666664</v>
      </c>
      <c r="Q564" s="30">
        <f t="shared" si="112"/>
        <v>48</v>
      </c>
      <c r="R564" s="11" t="str">
        <f t="shared" si="113"/>
        <v>5</v>
      </c>
      <c r="S564" s="10" t="str">
        <f t="shared" si="114"/>
        <v>3</v>
      </c>
      <c r="T564" s="9">
        <f t="shared" si="115"/>
        <v>3</v>
      </c>
      <c r="U564" t="str">
        <f t="shared" si="116"/>
        <v>Mismatch</v>
      </c>
    </row>
    <row r="565" spans="1:21" x14ac:dyDescent="0.2">
      <c r="A565" s="12">
        <v>563</v>
      </c>
      <c r="B565" s="12">
        <v>564</v>
      </c>
      <c r="C565" s="12">
        <v>0.34849999999999998</v>
      </c>
      <c r="D565" s="12">
        <v>0.42</v>
      </c>
      <c r="E565" s="12">
        <v>0</v>
      </c>
      <c r="F565" s="12">
        <v>14</v>
      </c>
      <c r="G565" s="12">
        <v>102</v>
      </c>
      <c r="H565" s="12">
        <v>116</v>
      </c>
      <c r="I565" s="22">
        <f t="shared" si="104"/>
        <v>10.439499999999997</v>
      </c>
      <c r="J565" s="23">
        <f t="shared" si="105"/>
        <v>0.22211702127659569</v>
      </c>
      <c r="K565" s="24">
        <f t="shared" si="106"/>
        <v>47</v>
      </c>
      <c r="L565" s="25">
        <f t="shared" si="107"/>
        <v>36.379999999999995</v>
      </c>
      <c r="M565" s="26">
        <f t="shared" si="108"/>
        <v>0.77404255319148929</v>
      </c>
      <c r="N565" s="27">
        <f t="shared" si="109"/>
        <v>47</v>
      </c>
      <c r="O565" s="28">
        <f t="shared" si="110"/>
        <v>2474</v>
      </c>
      <c r="P565" s="29">
        <f t="shared" si="111"/>
        <v>52.638297872340424</v>
      </c>
      <c r="Q565" s="30">
        <f t="shared" si="112"/>
        <v>47</v>
      </c>
      <c r="R565" s="11" t="str">
        <f t="shared" si="113"/>
        <v>5</v>
      </c>
      <c r="S565" s="10" t="str">
        <f t="shared" si="114"/>
        <v>4</v>
      </c>
      <c r="T565" s="9">
        <f t="shared" si="115"/>
        <v>3</v>
      </c>
      <c r="U565" t="str">
        <f t="shared" si="116"/>
        <v>Mismatch</v>
      </c>
    </row>
    <row r="566" spans="1:21" x14ac:dyDescent="0.2">
      <c r="A566" s="12">
        <v>564</v>
      </c>
      <c r="B566" s="12">
        <v>565</v>
      </c>
      <c r="C566" s="12">
        <v>0.33329999999999999</v>
      </c>
      <c r="D566" s="12">
        <v>0.45</v>
      </c>
      <c r="E566" s="12">
        <v>0</v>
      </c>
      <c r="F566" s="12">
        <v>14</v>
      </c>
      <c r="G566" s="12">
        <v>208</v>
      </c>
      <c r="H566" s="12">
        <v>222</v>
      </c>
      <c r="I566" s="22">
        <f t="shared" si="104"/>
        <v>10.090999999999998</v>
      </c>
      <c r="J566" s="23">
        <f t="shared" si="105"/>
        <v>0.21936956521739126</v>
      </c>
      <c r="K566" s="24">
        <f t="shared" si="106"/>
        <v>46</v>
      </c>
      <c r="L566" s="25">
        <f t="shared" si="107"/>
        <v>35.959999999999994</v>
      </c>
      <c r="M566" s="26">
        <f t="shared" si="108"/>
        <v>0.78173913043478249</v>
      </c>
      <c r="N566" s="27">
        <f t="shared" si="109"/>
        <v>46</v>
      </c>
      <c r="O566" s="28">
        <f t="shared" si="110"/>
        <v>2358</v>
      </c>
      <c r="P566" s="29">
        <f t="shared" si="111"/>
        <v>51.260869565217391</v>
      </c>
      <c r="Q566" s="30">
        <f t="shared" si="112"/>
        <v>46</v>
      </c>
      <c r="R566" s="11" t="str">
        <f t="shared" si="113"/>
        <v>5</v>
      </c>
      <c r="S566" s="10" t="str">
        <f t="shared" si="114"/>
        <v>5</v>
      </c>
      <c r="T566" s="9">
        <f t="shared" si="115"/>
        <v>3</v>
      </c>
      <c r="U566" t="str">
        <f t="shared" si="116"/>
        <v>Match</v>
      </c>
    </row>
    <row r="567" spans="1:21" x14ac:dyDescent="0.2">
      <c r="A567" s="12">
        <v>565</v>
      </c>
      <c r="B567" s="12">
        <v>566</v>
      </c>
      <c r="C567" s="12">
        <v>0.31819999999999998</v>
      </c>
      <c r="D567" s="12">
        <v>0.49</v>
      </c>
      <c r="E567" s="12">
        <v>8.9599999999999999E-2</v>
      </c>
      <c r="F567" s="12">
        <v>7</v>
      </c>
      <c r="G567" s="12">
        <v>218</v>
      </c>
      <c r="H567" s="12">
        <v>225</v>
      </c>
      <c r="I567" s="22">
        <f t="shared" si="104"/>
        <v>9.757699999999998</v>
      </c>
      <c r="J567" s="23">
        <f t="shared" si="105"/>
        <v>0.21683777777777774</v>
      </c>
      <c r="K567" s="24">
        <f t="shared" si="106"/>
        <v>45</v>
      </c>
      <c r="L567" s="25">
        <f t="shared" si="107"/>
        <v>35.509999999999991</v>
      </c>
      <c r="M567" s="26">
        <f t="shared" si="108"/>
        <v>0.78911111111111087</v>
      </c>
      <c r="N567" s="27">
        <f t="shared" si="109"/>
        <v>45</v>
      </c>
      <c r="O567" s="28">
        <f t="shared" si="110"/>
        <v>2136</v>
      </c>
      <c r="P567" s="29">
        <f t="shared" si="111"/>
        <v>47.466666666666669</v>
      </c>
      <c r="Q567" s="30">
        <f t="shared" si="112"/>
        <v>45</v>
      </c>
      <c r="R567" s="11" t="str">
        <f t="shared" si="113"/>
        <v>5</v>
      </c>
      <c r="S567" s="10" t="str">
        <f t="shared" si="114"/>
        <v>6</v>
      </c>
      <c r="T567" s="9">
        <f t="shared" si="115"/>
        <v>3</v>
      </c>
      <c r="U567" t="str">
        <f t="shared" si="116"/>
        <v>Mismatch</v>
      </c>
    </row>
    <row r="568" spans="1:21" x14ac:dyDescent="0.2">
      <c r="A568" s="12">
        <v>566</v>
      </c>
      <c r="B568" s="12">
        <v>567</v>
      </c>
      <c r="C568" s="12">
        <v>0.2576</v>
      </c>
      <c r="D568" s="12">
        <v>0.65</v>
      </c>
      <c r="E568" s="12">
        <v>0.16420000000000001</v>
      </c>
      <c r="F568" s="12">
        <v>13</v>
      </c>
      <c r="G568" s="12">
        <v>133</v>
      </c>
      <c r="H568" s="12">
        <v>146</v>
      </c>
      <c r="I568" s="22">
        <f t="shared" si="104"/>
        <v>9.4395000000000007</v>
      </c>
      <c r="J568" s="23">
        <f t="shared" si="105"/>
        <v>0.21453409090909092</v>
      </c>
      <c r="K568" s="24">
        <f t="shared" si="106"/>
        <v>44</v>
      </c>
      <c r="L568" s="25">
        <f t="shared" si="107"/>
        <v>35.019999999999996</v>
      </c>
      <c r="M568" s="26">
        <f t="shared" si="108"/>
        <v>0.79590909090909079</v>
      </c>
      <c r="N568" s="27">
        <f t="shared" si="109"/>
        <v>44</v>
      </c>
      <c r="O568" s="28">
        <f t="shared" si="110"/>
        <v>1911</v>
      </c>
      <c r="P568" s="29">
        <f t="shared" si="111"/>
        <v>43.43181818181818</v>
      </c>
      <c r="Q568" s="30">
        <f t="shared" si="112"/>
        <v>44</v>
      </c>
      <c r="R568" s="11" t="str">
        <f t="shared" si="113"/>
        <v>5</v>
      </c>
      <c r="S568" s="10" t="str">
        <f t="shared" si="114"/>
        <v>7</v>
      </c>
      <c r="T568" s="9">
        <f t="shared" si="115"/>
        <v>3</v>
      </c>
      <c r="U568" t="str">
        <f t="shared" si="116"/>
        <v>Mismatch</v>
      </c>
    </row>
    <row r="569" spans="1:21" x14ac:dyDescent="0.2">
      <c r="A569" s="12">
        <v>567</v>
      </c>
      <c r="B569" s="12">
        <v>568</v>
      </c>
      <c r="C569" s="12">
        <v>0.2273</v>
      </c>
      <c r="D569" s="12">
        <v>0.65</v>
      </c>
      <c r="E569" s="12">
        <v>0.19400000000000001</v>
      </c>
      <c r="F569" s="12">
        <v>16</v>
      </c>
      <c r="G569" s="12">
        <v>103</v>
      </c>
      <c r="H569" s="12">
        <v>119</v>
      </c>
      <c r="I569" s="22">
        <f t="shared" si="104"/>
        <v>9.1819000000000006</v>
      </c>
      <c r="J569" s="23">
        <f t="shared" si="105"/>
        <v>0.21353255813953489</v>
      </c>
      <c r="K569" s="24">
        <f t="shared" si="106"/>
        <v>43</v>
      </c>
      <c r="L569" s="25">
        <f t="shared" si="107"/>
        <v>34.369999999999997</v>
      </c>
      <c r="M569" s="26">
        <f t="shared" si="108"/>
        <v>0.79930232558139525</v>
      </c>
      <c r="N569" s="27">
        <f t="shared" si="109"/>
        <v>43</v>
      </c>
      <c r="O569" s="28">
        <f t="shared" si="110"/>
        <v>1765</v>
      </c>
      <c r="P569" s="29">
        <f t="shared" si="111"/>
        <v>41.046511627906973</v>
      </c>
      <c r="Q569" s="30">
        <f t="shared" si="112"/>
        <v>43</v>
      </c>
      <c r="R569" s="11" t="str">
        <f t="shared" si="113"/>
        <v>5</v>
      </c>
      <c r="S569" s="10" t="str">
        <f t="shared" si="114"/>
        <v>8</v>
      </c>
      <c r="T569" s="9">
        <f t="shared" si="115"/>
        <v>3</v>
      </c>
      <c r="U569" t="str">
        <f t="shared" si="116"/>
        <v>Mismatch</v>
      </c>
    </row>
    <row r="570" spans="1:21" x14ac:dyDescent="0.2">
      <c r="A570" s="12">
        <v>568</v>
      </c>
      <c r="B570" s="12">
        <v>569</v>
      </c>
      <c r="C570" s="12">
        <v>0.2273</v>
      </c>
      <c r="D570" s="12">
        <v>0.65</v>
      </c>
      <c r="E570" s="12">
        <v>0.19400000000000001</v>
      </c>
      <c r="F570" s="12">
        <v>5</v>
      </c>
      <c r="G570" s="12">
        <v>40</v>
      </c>
      <c r="H570" s="12">
        <v>45</v>
      </c>
      <c r="I570" s="22">
        <f t="shared" si="104"/>
        <v>8.9546000000000028</v>
      </c>
      <c r="J570" s="23">
        <f t="shared" si="105"/>
        <v>0.21320476190476198</v>
      </c>
      <c r="K570" s="24">
        <f t="shared" si="106"/>
        <v>42</v>
      </c>
      <c r="L570" s="25">
        <f t="shared" si="107"/>
        <v>33.719999999999992</v>
      </c>
      <c r="M570" s="26">
        <f t="shared" si="108"/>
        <v>0.80285714285714271</v>
      </c>
      <c r="N570" s="27">
        <f t="shared" si="109"/>
        <v>42</v>
      </c>
      <c r="O570" s="28">
        <f t="shared" si="110"/>
        <v>1646</v>
      </c>
      <c r="P570" s="29">
        <f t="shared" si="111"/>
        <v>39.19047619047619</v>
      </c>
      <c r="Q570" s="30">
        <f t="shared" si="112"/>
        <v>42</v>
      </c>
      <c r="R570" s="11" t="str">
        <f t="shared" si="113"/>
        <v>5</v>
      </c>
      <c r="S570" s="10" t="str">
        <f t="shared" si="114"/>
        <v>9</v>
      </c>
      <c r="T570" s="9">
        <f t="shared" si="115"/>
        <v>3</v>
      </c>
      <c r="U570" t="str">
        <f t="shared" si="116"/>
        <v>Mismatch</v>
      </c>
    </row>
    <row r="571" spans="1:21" x14ac:dyDescent="0.2">
      <c r="A571" s="12">
        <v>569</v>
      </c>
      <c r="B571" s="12">
        <v>570</v>
      </c>
      <c r="C571" s="12">
        <v>0.2273</v>
      </c>
      <c r="D571" s="12">
        <v>0.64</v>
      </c>
      <c r="E571" s="12">
        <v>0.16420000000000001</v>
      </c>
      <c r="F571" s="12">
        <v>4</v>
      </c>
      <c r="G571" s="12">
        <v>49</v>
      </c>
      <c r="H571" s="12">
        <v>53</v>
      </c>
      <c r="I571" s="22">
        <f t="shared" si="104"/>
        <v>8.7273000000000049</v>
      </c>
      <c r="J571" s="23">
        <f t="shared" si="105"/>
        <v>0.21286097560975623</v>
      </c>
      <c r="K571" s="24">
        <f t="shared" si="106"/>
        <v>41</v>
      </c>
      <c r="L571" s="25">
        <f t="shared" si="107"/>
        <v>33.069999999999993</v>
      </c>
      <c r="M571" s="26">
        <f t="shared" si="108"/>
        <v>0.80658536585365836</v>
      </c>
      <c r="N571" s="27">
        <f t="shared" si="109"/>
        <v>41</v>
      </c>
      <c r="O571" s="28">
        <f t="shared" si="110"/>
        <v>1601</v>
      </c>
      <c r="P571" s="29">
        <f t="shared" si="111"/>
        <v>39.048780487804876</v>
      </c>
      <c r="Q571" s="30">
        <f t="shared" si="112"/>
        <v>41</v>
      </c>
      <c r="R571" s="11" t="str">
        <f t="shared" si="113"/>
        <v>5</v>
      </c>
      <c r="S571" s="10" t="str">
        <f t="shared" si="114"/>
        <v>0</v>
      </c>
      <c r="T571" s="9">
        <f t="shared" si="115"/>
        <v>3</v>
      </c>
      <c r="U571" t="str">
        <f t="shared" si="116"/>
        <v>Mismatch</v>
      </c>
    </row>
    <row r="572" spans="1:21" x14ac:dyDescent="0.2">
      <c r="A572" s="12">
        <v>570</v>
      </c>
      <c r="B572" s="12">
        <v>571</v>
      </c>
      <c r="C572" s="12">
        <v>0.2273</v>
      </c>
      <c r="D572" s="12">
        <v>0.64</v>
      </c>
      <c r="E572" s="12">
        <v>0.16420000000000001</v>
      </c>
      <c r="F572" s="12">
        <v>3</v>
      </c>
      <c r="G572" s="12">
        <v>37</v>
      </c>
      <c r="H572" s="12">
        <v>40</v>
      </c>
      <c r="I572" s="22">
        <f t="shared" si="104"/>
        <v>8.5000000000000036</v>
      </c>
      <c r="J572" s="23">
        <f t="shared" si="105"/>
        <v>0.21250000000000008</v>
      </c>
      <c r="K572" s="24">
        <f t="shared" si="106"/>
        <v>40</v>
      </c>
      <c r="L572" s="25">
        <f t="shared" si="107"/>
        <v>32.43</v>
      </c>
      <c r="M572" s="26">
        <f t="shared" si="108"/>
        <v>0.81074999999999997</v>
      </c>
      <c r="N572" s="27">
        <f t="shared" si="109"/>
        <v>40</v>
      </c>
      <c r="O572" s="28">
        <f t="shared" si="110"/>
        <v>1548</v>
      </c>
      <c r="P572" s="29">
        <f t="shared" si="111"/>
        <v>38.700000000000003</v>
      </c>
      <c r="Q572" s="30">
        <f t="shared" si="112"/>
        <v>40</v>
      </c>
      <c r="R572" s="11" t="str">
        <f t="shared" si="113"/>
        <v>5</v>
      </c>
      <c r="S572" s="10" t="str">
        <f t="shared" si="114"/>
        <v>1</v>
      </c>
      <c r="T572" s="9">
        <f t="shared" si="115"/>
        <v>3</v>
      </c>
      <c r="U572" t="str">
        <f t="shared" si="116"/>
        <v>Mismatch</v>
      </c>
    </row>
    <row r="573" spans="1:21" x14ac:dyDescent="0.2">
      <c r="A573" s="12">
        <v>571</v>
      </c>
      <c r="B573" s="12">
        <v>572</v>
      </c>
      <c r="C573" s="12">
        <v>0.2273</v>
      </c>
      <c r="D573" s="12">
        <v>0.69</v>
      </c>
      <c r="E573" s="12">
        <v>0.1343</v>
      </c>
      <c r="F573" s="12">
        <v>3</v>
      </c>
      <c r="G573" s="12">
        <v>14</v>
      </c>
      <c r="H573" s="12">
        <v>17</v>
      </c>
      <c r="I573" s="22">
        <f t="shared" si="104"/>
        <v>8.2727000000000039</v>
      </c>
      <c r="J573" s="23">
        <f t="shared" si="105"/>
        <v>0.21212051282051292</v>
      </c>
      <c r="K573" s="24">
        <f t="shared" si="106"/>
        <v>39</v>
      </c>
      <c r="L573" s="25">
        <f t="shared" si="107"/>
        <v>31.789999999999992</v>
      </c>
      <c r="M573" s="26">
        <f t="shared" si="108"/>
        <v>0.81512820512820494</v>
      </c>
      <c r="N573" s="27">
        <f t="shared" si="109"/>
        <v>39</v>
      </c>
      <c r="O573" s="28">
        <f t="shared" si="110"/>
        <v>1508</v>
      </c>
      <c r="P573" s="29">
        <f t="shared" si="111"/>
        <v>38.666666666666664</v>
      </c>
      <c r="Q573" s="30">
        <f t="shared" si="112"/>
        <v>39</v>
      </c>
      <c r="R573" s="11" t="str">
        <f t="shared" si="113"/>
        <v>5</v>
      </c>
      <c r="S573" s="10" t="str">
        <f t="shared" si="114"/>
        <v>2</v>
      </c>
      <c r="T573" s="9">
        <f t="shared" si="115"/>
        <v>3</v>
      </c>
      <c r="U573" t="str">
        <f t="shared" si="116"/>
        <v>Mismatch</v>
      </c>
    </row>
    <row r="574" spans="1:21" x14ac:dyDescent="0.2">
      <c r="A574" s="12">
        <v>572</v>
      </c>
      <c r="B574" s="12">
        <v>573</v>
      </c>
      <c r="C574" s="12">
        <v>0.2424</v>
      </c>
      <c r="D574" s="12">
        <v>0.65</v>
      </c>
      <c r="E574" s="12">
        <v>0.1343</v>
      </c>
      <c r="F574" s="12">
        <v>0</v>
      </c>
      <c r="G574" s="12">
        <v>5</v>
      </c>
      <c r="H574" s="12">
        <v>5</v>
      </c>
      <c r="I574" s="22">
        <f t="shared" si="104"/>
        <v>8.0454000000000043</v>
      </c>
      <c r="J574" s="23">
        <f t="shared" si="105"/>
        <v>0.21172105263157906</v>
      </c>
      <c r="K574" s="24">
        <f t="shared" si="106"/>
        <v>38</v>
      </c>
      <c r="L574" s="25">
        <f t="shared" si="107"/>
        <v>31.099999999999994</v>
      </c>
      <c r="M574" s="26">
        <f t="shared" si="108"/>
        <v>0.81842105263157883</v>
      </c>
      <c r="N574" s="27">
        <f t="shared" si="109"/>
        <v>38</v>
      </c>
      <c r="O574" s="28">
        <f t="shared" si="110"/>
        <v>1491</v>
      </c>
      <c r="P574" s="29">
        <f t="shared" si="111"/>
        <v>39.236842105263158</v>
      </c>
      <c r="Q574" s="30">
        <f t="shared" si="112"/>
        <v>38</v>
      </c>
      <c r="R574" s="11" t="str">
        <f t="shared" si="113"/>
        <v>5</v>
      </c>
      <c r="S574" s="10" t="str">
        <f t="shared" si="114"/>
        <v>3</v>
      </c>
      <c r="T574" s="9">
        <f t="shared" si="115"/>
        <v>3</v>
      </c>
      <c r="U574" t="str">
        <f t="shared" si="116"/>
        <v>Mismatch</v>
      </c>
    </row>
    <row r="575" spans="1:21" x14ac:dyDescent="0.2">
      <c r="A575" s="12">
        <v>573</v>
      </c>
      <c r="B575" s="12">
        <v>574</v>
      </c>
      <c r="C575" s="12">
        <v>0.2273</v>
      </c>
      <c r="D575" s="12">
        <v>0.69</v>
      </c>
      <c r="E575" s="12">
        <v>0.19400000000000001</v>
      </c>
      <c r="F575" s="12">
        <v>3</v>
      </c>
      <c r="G575" s="12">
        <v>7</v>
      </c>
      <c r="H575" s="12">
        <v>10</v>
      </c>
      <c r="I575" s="22">
        <f t="shared" si="104"/>
        <v>7.8030000000000044</v>
      </c>
      <c r="J575" s="23">
        <f t="shared" si="105"/>
        <v>0.210891891891892</v>
      </c>
      <c r="K575" s="24">
        <f t="shared" si="106"/>
        <v>37</v>
      </c>
      <c r="L575" s="25">
        <f t="shared" si="107"/>
        <v>30.449999999999996</v>
      </c>
      <c r="M575" s="26">
        <f t="shared" si="108"/>
        <v>0.82297297297297289</v>
      </c>
      <c r="N575" s="27">
        <f t="shared" si="109"/>
        <v>37</v>
      </c>
      <c r="O575" s="28">
        <f t="shared" si="110"/>
        <v>1486</v>
      </c>
      <c r="P575" s="29">
        <f t="shared" si="111"/>
        <v>40.162162162162161</v>
      </c>
      <c r="Q575" s="30">
        <f t="shared" si="112"/>
        <v>37</v>
      </c>
      <c r="R575" s="11" t="str">
        <f t="shared" si="113"/>
        <v>5</v>
      </c>
      <c r="S575" s="10" t="str">
        <f t="shared" si="114"/>
        <v>4</v>
      </c>
      <c r="T575" s="9">
        <f t="shared" si="115"/>
        <v>3</v>
      </c>
      <c r="U575" t="str">
        <f t="shared" si="116"/>
        <v>Mismatch</v>
      </c>
    </row>
    <row r="576" spans="1:21" x14ac:dyDescent="0.2">
      <c r="A576" s="12">
        <v>574</v>
      </c>
      <c r="B576" s="12">
        <v>575</v>
      </c>
      <c r="C576" s="12">
        <v>0.18179999999999999</v>
      </c>
      <c r="D576" s="12">
        <v>0.86</v>
      </c>
      <c r="E576" s="12">
        <v>0.28360000000000002</v>
      </c>
      <c r="F576" s="12">
        <v>0</v>
      </c>
      <c r="G576" s="12">
        <v>1</v>
      </c>
      <c r="H576" s="12">
        <v>1</v>
      </c>
      <c r="I576" s="22">
        <f t="shared" si="104"/>
        <v>7.5757000000000039</v>
      </c>
      <c r="J576" s="23">
        <f t="shared" si="105"/>
        <v>0.21043611111111121</v>
      </c>
      <c r="K576" s="24">
        <f t="shared" si="106"/>
        <v>36</v>
      </c>
      <c r="L576" s="25">
        <f t="shared" si="107"/>
        <v>29.759999999999998</v>
      </c>
      <c r="M576" s="26">
        <f t="shared" si="108"/>
        <v>0.82666666666666666</v>
      </c>
      <c r="N576" s="27">
        <f t="shared" si="109"/>
        <v>36</v>
      </c>
      <c r="O576" s="28">
        <f t="shared" si="110"/>
        <v>1476</v>
      </c>
      <c r="P576" s="29">
        <f t="shared" si="111"/>
        <v>41</v>
      </c>
      <c r="Q576" s="30">
        <f t="shared" si="112"/>
        <v>36</v>
      </c>
      <c r="R576" s="11" t="str">
        <f t="shared" si="113"/>
        <v>5</v>
      </c>
      <c r="S576" s="10" t="str">
        <f t="shared" si="114"/>
        <v>5</v>
      </c>
      <c r="T576" s="9">
        <f t="shared" si="115"/>
        <v>3</v>
      </c>
      <c r="U576" t="str">
        <f t="shared" si="116"/>
        <v>Match</v>
      </c>
    </row>
    <row r="577" spans="1:21" x14ac:dyDescent="0.2">
      <c r="A577" s="12">
        <v>575</v>
      </c>
      <c r="B577" s="12">
        <v>576</v>
      </c>
      <c r="C577" s="12">
        <v>0.18179999999999999</v>
      </c>
      <c r="D577" s="12">
        <v>0.86</v>
      </c>
      <c r="E577" s="12">
        <v>0.28360000000000002</v>
      </c>
      <c r="F577" s="12">
        <v>0</v>
      </c>
      <c r="G577" s="12">
        <v>8</v>
      </c>
      <c r="H577" s="12">
        <v>8</v>
      </c>
      <c r="I577" s="22">
        <f t="shared" si="104"/>
        <v>7.3939000000000039</v>
      </c>
      <c r="J577" s="23">
        <f t="shared" si="105"/>
        <v>0.21125428571428584</v>
      </c>
      <c r="K577" s="24">
        <f t="shared" si="106"/>
        <v>35</v>
      </c>
      <c r="L577" s="25">
        <f t="shared" si="107"/>
        <v>28.9</v>
      </c>
      <c r="M577" s="26">
        <f t="shared" si="108"/>
        <v>0.82571428571428562</v>
      </c>
      <c r="N577" s="27">
        <f t="shared" si="109"/>
        <v>35</v>
      </c>
      <c r="O577" s="28">
        <f t="shared" si="110"/>
        <v>1475</v>
      </c>
      <c r="P577" s="29">
        <f t="shared" si="111"/>
        <v>42.142857142857146</v>
      </c>
      <c r="Q577" s="30">
        <f t="shared" si="112"/>
        <v>35</v>
      </c>
      <c r="R577" s="11" t="str">
        <f t="shared" si="113"/>
        <v>5</v>
      </c>
      <c r="S577" s="10" t="str">
        <f t="shared" si="114"/>
        <v>6</v>
      </c>
      <c r="T577" s="9">
        <f t="shared" si="115"/>
        <v>3</v>
      </c>
      <c r="U577" t="str">
        <f t="shared" si="116"/>
        <v>Mismatch</v>
      </c>
    </row>
    <row r="578" spans="1:21" x14ac:dyDescent="0.2">
      <c r="A578" s="12">
        <v>576</v>
      </c>
      <c r="B578" s="12">
        <v>577</v>
      </c>
      <c r="C578" s="12">
        <v>0.21210000000000001</v>
      </c>
      <c r="D578" s="12">
        <v>0.87</v>
      </c>
      <c r="E578" s="12">
        <v>0.29849999999999999</v>
      </c>
      <c r="F578" s="12">
        <v>1</v>
      </c>
      <c r="G578" s="12">
        <v>29</v>
      </c>
      <c r="H578" s="12">
        <v>30</v>
      </c>
      <c r="I578" s="22">
        <f t="shared" si="104"/>
        <v>7.212100000000004</v>
      </c>
      <c r="J578" s="23">
        <f t="shared" si="105"/>
        <v>0.21212058823529423</v>
      </c>
      <c r="K578" s="24">
        <f t="shared" si="106"/>
        <v>34</v>
      </c>
      <c r="L578" s="25">
        <f t="shared" si="107"/>
        <v>28.04</v>
      </c>
      <c r="M578" s="26">
        <f t="shared" si="108"/>
        <v>0.82470588235294118</v>
      </c>
      <c r="N578" s="27">
        <f t="shared" si="109"/>
        <v>34</v>
      </c>
      <c r="O578" s="28">
        <f t="shared" si="110"/>
        <v>1467</v>
      </c>
      <c r="P578" s="29">
        <f t="shared" si="111"/>
        <v>43.147058823529413</v>
      </c>
      <c r="Q578" s="30">
        <f t="shared" si="112"/>
        <v>34</v>
      </c>
      <c r="R578" s="11" t="str">
        <f t="shared" si="113"/>
        <v>5</v>
      </c>
      <c r="S578" s="10" t="str">
        <f t="shared" si="114"/>
        <v>7</v>
      </c>
      <c r="T578" s="9">
        <f t="shared" si="115"/>
        <v>3</v>
      </c>
      <c r="U578" t="str">
        <f t="shared" si="116"/>
        <v>Mismatch</v>
      </c>
    </row>
    <row r="579" spans="1:21" x14ac:dyDescent="0.2">
      <c r="A579" s="12">
        <v>577</v>
      </c>
      <c r="B579" s="12">
        <v>578</v>
      </c>
      <c r="C579" s="12">
        <v>0.21210000000000001</v>
      </c>
      <c r="D579" s="12">
        <v>0.87</v>
      </c>
      <c r="E579" s="12">
        <v>0.29849999999999999</v>
      </c>
      <c r="F579" s="12">
        <v>3</v>
      </c>
      <c r="G579" s="12">
        <v>69</v>
      </c>
      <c r="H579" s="12">
        <v>72</v>
      </c>
      <c r="I579" s="22">
        <f t="shared" ref="I579:I611" si="117">SUM(C579:C1188)</f>
        <v>7.0000000000000036</v>
      </c>
      <c r="J579" s="23">
        <f t="shared" ref="J579:J611" si="118">AVERAGE(C579:C1188)</f>
        <v>0.21212121212121224</v>
      </c>
      <c r="K579" s="24">
        <f t="shared" ref="K579:K611" si="119">COUNT(C579:C1188)</f>
        <v>33</v>
      </c>
      <c r="L579" s="25">
        <f t="shared" ref="L579:L611" si="120">SUM(D579:D1188)</f>
        <v>27.169999999999998</v>
      </c>
      <c r="M579" s="26">
        <f t="shared" ref="M579:M611" si="121">AVERAGE(D579:D1188)</f>
        <v>0.82333333333333325</v>
      </c>
      <c r="N579" s="27">
        <f t="shared" ref="N579:N611" si="122">COUNT(D579:D1188)</f>
        <v>33</v>
      </c>
      <c r="O579" s="28">
        <f t="shared" ref="O579:O611" si="123">SUM(H579:H1188)</f>
        <v>1437</v>
      </c>
      <c r="P579" s="29">
        <f t="shared" ref="P579:P611" si="124">AVERAGE(H579:H1188)</f>
        <v>43.545454545454547</v>
      </c>
      <c r="Q579" s="30">
        <f t="shared" ref="Q579:Q611" si="125">COUNT(H579:H1188)</f>
        <v>33</v>
      </c>
      <c r="R579" s="11" t="str">
        <f t="shared" ref="R579:R611" si="126">LEFT(B579,1)</f>
        <v>5</v>
      </c>
      <c r="S579" s="10" t="str">
        <f t="shared" ref="S579:S611" si="127">RIGHT(B579,1)</f>
        <v>8</v>
      </c>
      <c r="T579" s="9">
        <f t="shared" ref="T579:T611" si="128">LEN(B579)</f>
        <v>3</v>
      </c>
      <c r="U579" t="str">
        <f t="shared" ref="U579:U611" si="129">IF(R579=S579,"Match","Mismatch")</f>
        <v>Mismatch</v>
      </c>
    </row>
    <row r="580" spans="1:21" x14ac:dyDescent="0.2">
      <c r="A580" s="12">
        <v>578</v>
      </c>
      <c r="B580" s="12">
        <v>579</v>
      </c>
      <c r="C580" s="12">
        <v>0.21210000000000001</v>
      </c>
      <c r="D580" s="12">
        <v>0.87</v>
      </c>
      <c r="E580" s="12">
        <v>0.29849999999999999</v>
      </c>
      <c r="F580" s="12">
        <v>3</v>
      </c>
      <c r="G580" s="12">
        <v>55</v>
      </c>
      <c r="H580" s="12">
        <v>58</v>
      </c>
      <c r="I580" s="22">
        <f t="shared" si="117"/>
        <v>6.7879000000000032</v>
      </c>
      <c r="J580" s="23">
        <f t="shared" si="118"/>
        <v>0.2121218750000001</v>
      </c>
      <c r="K580" s="24">
        <f t="shared" si="119"/>
        <v>32</v>
      </c>
      <c r="L580" s="25">
        <f t="shared" si="120"/>
        <v>26.3</v>
      </c>
      <c r="M580" s="26">
        <f t="shared" si="121"/>
        <v>0.82187500000000002</v>
      </c>
      <c r="N580" s="27">
        <f t="shared" si="122"/>
        <v>32</v>
      </c>
      <c r="O580" s="28">
        <f t="shared" si="123"/>
        <v>1365</v>
      </c>
      <c r="P580" s="29">
        <f t="shared" si="124"/>
        <v>42.65625</v>
      </c>
      <c r="Q580" s="30">
        <f t="shared" si="125"/>
        <v>32</v>
      </c>
      <c r="R580" s="11" t="str">
        <f t="shared" si="126"/>
        <v>5</v>
      </c>
      <c r="S580" s="10" t="str">
        <f t="shared" si="127"/>
        <v>9</v>
      </c>
      <c r="T580" s="9">
        <f t="shared" si="128"/>
        <v>3</v>
      </c>
      <c r="U580" t="str">
        <f t="shared" si="129"/>
        <v>Mismatch</v>
      </c>
    </row>
    <row r="581" spans="1:21" x14ac:dyDescent="0.2">
      <c r="A581" s="12">
        <v>579</v>
      </c>
      <c r="B581" s="12">
        <v>580</v>
      </c>
      <c r="C581" s="12">
        <v>0.21210000000000001</v>
      </c>
      <c r="D581" s="12">
        <v>0.93</v>
      </c>
      <c r="E581" s="12">
        <v>0.28360000000000002</v>
      </c>
      <c r="F581" s="12">
        <v>2</v>
      </c>
      <c r="G581" s="12">
        <v>26</v>
      </c>
      <c r="H581" s="12">
        <v>28</v>
      </c>
      <c r="I581" s="22">
        <f t="shared" si="117"/>
        <v>6.5758000000000028</v>
      </c>
      <c r="J581" s="23">
        <f t="shared" si="118"/>
        <v>0.21212258064516137</v>
      </c>
      <c r="K581" s="24">
        <f t="shared" si="119"/>
        <v>31</v>
      </c>
      <c r="L581" s="25">
        <f t="shared" si="120"/>
        <v>25.429999999999996</v>
      </c>
      <c r="M581" s="26">
        <f t="shared" si="121"/>
        <v>0.82032258064516117</v>
      </c>
      <c r="N581" s="27">
        <f t="shared" si="122"/>
        <v>31</v>
      </c>
      <c r="O581" s="28">
        <f t="shared" si="123"/>
        <v>1307</v>
      </c>
      <c r="P581" s="29">
        <f t="shared" si="124"/>
        <v>42.161290322580648</v>
      </c>
      <c r="Q581" s="30">
        <f t="shared" si="125"/>
        <v>31</v>
      </c>
      <c r="R581" s="11" t="str">
        <f t="shared" si="126"/>
        <v>5</v>
      </c>
      <c r="S581" s="10" t="str">
        <f t="shared" si="127"/>
        <v>0</v>
      </c>
      <c r="T581" s="9">
        <f t="shared" si="128"/>
        <v>3</v>
      </c>
      <c r="U581" t="str">
        <f t="shared" si="129"/>
        <v>Mismatch</v>
      </c>
    </row>
    <row r="582" spans="1:21" x14ac:dyDescent="0.2">
      <c r="A582" s="12">
        <v>580</v>
      </c>
      <c r="B582" s="12">
        <v>581</v>
      </c>
      <c r="C582" s="12">
        <v>0.19700000000000001</v>
      </c>
      <c r="D582" s="12">
        <v>0.93</v>
      </c>
      <c r="E582" s="12">
        <v>0.32840000000000003</v>
      </c>
      <c r="F582" s="12">
        <v>6</v>
      </c>
      <c r="G582" s="12">
        <v>35</v>
      </c>
      <c r="H582" s="12">
        <v>41</v>
      </c>
      <c r="I582" s="22">
        <f t="shared" si="117"/>
        <v>6.3637000000000024</v>
      </c>
      <c r="J582" s="23">
        <f t="shared" si="118"/>
        <v>0.21212333333333341</v>
      </c>
      <c r="K582" s="24">
        <f t="shared" si="119"/>
        <v>30</v>
      </c>
      <c r="L582" s="25">
        <f t="shared" si="120"/>
        <v>24.499999999999996</v>
      </c>
      <c r="M582" s="26">
        <f t="shared" si="121"/>
        <v>0.81666666666666654</v>
      </c>
      <c r="N582" s="27">
        <f t="shared" si="122"/>
        <v>30</v>
      </c>
      <c r="O582" s="28">
        <f t="shared" si="123"/>
        <v>1279</v>
      </c>
      <c r="P582" s="29">
        <f t="shared" si="124"/>
        <v>42.633333333333333</v>
      </c>
      <c r="Q582" s="30">
        <f t="shared" si="125"/>
        <v>30</v>
      </c>
      <c r="R582" s="11" t="str">
        <f t="shared" si="126"/>
        <v>5</v>
      </c>
      <c r="S582" s="10" t="str">
        <f t="shared" si="127"/>
        <v>1</v>
      </c>
      <c r="T582" s="9">
        <f t="shared" si="128"/>
        <v>3</v>
      </c>
      <c r="U582" t="str">
        <f t="shared" si="129"/>
        <v>Mismatch</v>
      </c>
    </row>
    <row r="583" spans="1:21" x14ac:dyDescent="0.2">
      <c r="A583" s="12">
        <v>581</v>
      </c>
      <c r="B583" s="12">
        <v>582</v>
      </c>
      <c r="C583" s="12">
        <v>0.19700000000000001</v>
      </c>
      <c r="D583" s="12">
        <v>0.93</v>
      </c>
      <c r="E583" s="12">
        <v>0.32840000000000003</v>
      </c>
      <c r="F583" s="12">
        <v>7</v>
      </c>
      <c r="G583" s="12">
        <v>41</v>
      </c>
      <c r="H583" s="12">
        <v>48</v>
      </c>
      <c r="I583" s="22">
        <f t="shared" si="117"/>
        <v>6.1667000000000023</v>
      </c>
      <c r="J583" s="23">
        <f t="shared" si="118"/>
        <v>0.21264482758620698</v>
      </c>
      <c r="K583" s="24">
        <f t="shared" si="119"/>
        <v>29</v>
      </c>
      <c r="L583" s="25">
        <f t="shared" si="120"/>
        <v>23.57</v>
      </c>
      <c r="M583" s="26">
        <f t="shared" si="121"/>
        <v>0.81275862068965521</v>
      </c>
      <c r="N583" s="27">
        <f t="shared" si="122"/>
        <v>29</v>
      </c>
      <c r="O583" s="28">
        <f t="shared" si="123"/>
        <v>1238</v>
      </c>
      <c r="P583" s="29">
        <f t="shared" si="124"/>
        <v>42.689655172413794</v>
      </c>
      <c r="Q583" s="30">
        <f t="shared" si="125"/>
        <v>29</v>
      </c>
      <c r="R583" s="11" t="str">
        <f t="shared" si="126"/>
        <v>5</v>
      </c>
      <c r="S583" s="10" t="str">
        <f t="shared" si="127"/>
        <v>2</v>
      </c>
      <c r="T583" s="9">
        <f t="shared" si="128"/>
        <v>3</v>
      </c>
      <c r="U583" t="str">
        <f t="shared" si="129"/>
        <v>Mismatch</v>
      </c>
    </row>
    <row r="584" spans="1:21" x14ac:dyDescent="0.2">
      <c r="A584" s="12">
        <v>582</v>
      </c>
      <c r="B584" s="12">
        <v>583</v>
      </c>
      <c r="C584" s="12">
        <v>0.19700000000000001</v>
      </c>
      <c r="D584" s="12">
        <v>0.93</v>
      </c>
      <c r="E584" s="12">
        <v>0.32840000000000003</v>
      </c>
      <c r="F584" s="12">
        <v>4</v>
      </c>
      <c r="G584" s="12">
        <v>43</v>
      </c>
      <c r="H584" s="12">
        <v>47</v>
      </c>
      <c r="I584" s="22">
        <f t="shared" si="117"/>
        <v>5.9697000000000022</v>
      </c>
      <c r="J584" s="23">
        <f t="shared" si="118"/>
        <v>0.21320357142857152</v>
      </c>
      <c r="K584" s="24">
        <f t="shared" si="119"/>
        <v>28</v>
      </c>
      <c r="L584" s="25">
        <f t="shared" si="120"/>
        <v>22.64</v>
      </c>
      <c r="M584" s="26">
        <f t="shared" si="121"/>
        <v>0.80857142857142861</v>
      </c>
      <c r="N584" s="27">
        <f t="shared" si="122"/>
        <v>28</v>
      </c>
      <c r="O584" s="28">
        <f t="shared" si="123"/>
        <v>1190</v>
      </c>
      <c r="P584" s="29">
        <f t="shared" si="124"/>
        <v>42.5</v>
      </c>
      <c r="Q584" s="30">
        <f t="shared" si="125"/>
        <v>28</v>
      </c>
      <c r="R584" s="11" t="str">
        <f t="shared" si="126"/>
        <v>5</v>
      </c>
      <c r="S584" s="10" t="str">
        <f t="shared" si="127"/>
        <v>3</v>
      </c>
      <c r="T584" s="9">
        <f t="shared" si="128"/>
        <v>3</v>
      </c>
      <c r="U584" t="str">
        <f t="shared" si="129"/>
        <v>Mismatch</v>
      </c>
    </row>
    <row r="585" spans="1:21" x14ac:dyDescent="0.2">
      <c r="A585" s="12">
        <v>583</v>
      </c>
      <c r="B585" s="12">
        <v>584</v>
      </c>
      <c r="C585" s="12">
        <v>0.19700000000000001</v>
      </c>
      <c r="D585" s="12">
        <v>0.93</v>
      </c>
      <c r="E585" s="12">
        <v>0.35820000000000002</v>
      </c>
      <c r="F585" s="12">
        <v>0</v>
      </c>
      <c r="G585" s="12">
        <v>36</v>
      </c>
      <c r="H585" s="12">
        <v>36</v>
      </c>
      <c r="I585" s="22">
        <f t="shared" si="117"/>
        <v>5.7727000000000022</v>
      </c>
      <c r="J585" s="23">
        <f t="shared" si="118"/>
        <v>0.21380370370370377</v>
      </c>
      <c r="K585" s="24">
        <f t="shared" si="119"/>
        <v>27</v>
      </c>
      <c r="L585" s="25">
        <f t="shared" si="120"/>
        <v>21.71</v>
      </c>
      <c r="M585" s="26">
        <f t="shared" si="121"/>
        <v>0.80407407407407405</v>
      </c>
      <c r="N585" s="27">
        <f t="shared" si="122"/>
        <v>27</v>
      </c>
      <c r="O585" s="28">
        <f t="shared" si="123"/>
        <v>1143</v>
      </c>
      <c r="P585" s="29">
        <f t="shared" si="124"/>
        <v>42.333333333333336</v>
      </c>
      <c r="Q585" s="30">
        <f t="shared" si="125"/>
        <v>27</v>
      </c>
      <c r="R585" s="11" t="str">
        <f t="shared" si="126"/>
        <v>5</v>
      </c>
      <c r="S585" s="10" t="str">
        <f t="shared" si="127"/>
        <v>4</v>
      </c>
      <c r="T585" s="9">
        <f t="shared" si="128"/>
        <v>3</v>
      </c>
      <c r="U585" t="str">
        <f t="shared" si="129"/>
        <v>Mismatch</v>
      </c>
    </row>
    <row r="586" spans="1:21" x14ac:dyDescent="0.2">
      <c r="A586" s="12">
        <v>584</v>
      </c>
      <c r="B586" s="12">
        <v>585</v>
      </c>
      <c r="C586" s="12">
        <v>0.18179999999999999</v>
      </c>
      <c r="D586" s="12">
        <v>0.93</v>
      </c>
      <c r="E586" s="12">
        <v>0.4627</v>
      </c>
      <c r="F586" s="12">
        <v>1</v>
      </c>
      <c r="G586" s="12">
        <v>42</v>
      </c>
      <c r="H586" s="12">
        <v>43</v>
      </c>
      <c r="I586" s="22">
        <f t="shared" si="117"/>
        <v>5.5757000000000021</v>
      </c>
      <c r="J586" s="23">
        <f t="shared" si="118"/>
        <v>0.21445000000000008</v>
      </c>
      <c r="K586" s="24">
        <f t="shared" si="119"/>
        <v>26</v>
      </c>
      <c r="L586" s="25">
        <f t="shared" si="120"/>
        <v>20.78</v>
      </c>
      <c r="M586" s="26">
        <f t="shared" si="121"/>
        <v>0.7992307692307693</v>
      </c>
      <c r="N586" s="27">
        <f t="shared" si="122"/>
        <v>26</v>
      </c>
      <c r="O586" s="28">
        <f t="shared" si="123"/>
        <v>1107</v>
      </c>
      <c r="P586" s="29">
        <f t="shared" si="124"/>
        <v>42.57692307692308</v>
      </c>
      <c r="Q586" s="30">
        <f t="shared" si="125"/>
        <v>26</v>
      </c>
      <c r="R586" s="11" t="str">
        <f t="shared" si="126"/>
        <v>5</v>
      </c>
      <c r="S586" s="10" t="str">
        <f t="shared" si="127"/>
        <v>5</v>
      </c>
      <c r="T586" s="9">
        <f t="shared" si="128"/>
        <v>3</v>
      </c>
      <c r="U586" t="str">
        <f t="shared" si="129"/>
        <v>Match</v>
      </c>
    </row>
    <row r="587" spans="1:21" x14ac:dyDescent="0.2">
      <c r="A587" s="12">
        <v>585</v>
      </c>
      <c r="B587" s="12">
        <v>586</v>
      </c>
      <c r="C587" s="12">
        <v>0.19700000000000001</v>
      </c>
      <c r="D587" s="12">
        <v>0.93</v>
      </c>
      <c r="E587" s="12">
        <v>0.32840000000000003</v>
      </c>
      <c r="F587" s="12">
        <v>1</v>
      </c>
      <c r="G587" s="12">
        <v>35</v>
      </c>
      <c r="H587" s="12">
        <v>36</v>
      </c>
      <c r="I587" s="22">
        <f t="shared" si="117"/>
        <v>5.3939000000000021</v>
      </c>
      <c r="J587" s="23">
        <f t="shared" si="118"/>
        <v>0.21575600000000009</v>
      </c>
      <c r="K587" s="24">
        <f t="shared" si="119"/>
        <v>25</v>
      </c>
      <c r="L587" s="25">
        <f t="shared" si="120"/>
        <v>19.849999999999998</v>
      </c>
      <c r="M587" s="26">
        <f t="shared" si="121"/>
        <v>0.79399999999999993</v>
      </c>
      <c r="N587" s="27">
        <f t="shared" si="122"/>
        <v>25</v>
      </c>
      <c r="O587" s="28">
        <f t="shared" si="123"/>
        <v>1064</v>
      </c>
      <c r="P587" s="29">
        <f t="shared" si="124"/>
        <v>42.56</v>
      </c>
      <c r="Q587" s="30">
        <f t="shared" si="125"/>
        <v>25</v>
      </c>
      <c r="R587" s="11" t="str">
        <f t="shared" si="126"/>
        <v>5</v>
      </c>
      <c r="S587" s="10" t="str">
        <f t="shared" si="127"/>
        <v>6</v>
      </c>
      <c r="T587" s="9">
        <f t="shared" si="128"/>
        <v>3</v>
      </c>
      <c r="U587" t="str">
        <f t="shared" si="129"/>
        <v>Mismatch</v>
      </c>
    </row>
    <row r="588" spans="1:21" x14ac:dyDescent="0.2">
      <c r="A588" s="12">
        <v>586</v>
      </c>
      <c r="B588" s="12">
        <v>587</v>
      </c>
      <c r="C588" s="12">
        <v>0.18179999999999999</v>
      </c>
      <c r="D588" s="12">
        <v>0.93</v>
      </c>
      <c r="E588" s="12">
        <v>0.35820000000000002</v>
      </c>
      <c r="F588" s="12">
        <v>0</v>
      </c>
      <c r="G588" s="12">
        <v>26</v>
      </c>
      <c r="H588" s="12">
        <v>26</v>
      </c>
      <c r="I588" s="22">
        <f t="shared" si="117"/>
        <v>5.1969000000000021</v>
      </c>
      <c r="J588" s="23">
        <f t="shared" si="118"/>
        <v>0.21653750000000008</v>
      </c>
      <c r="K588" s="24">
        <f t="shared" si="119"/>
        <v>24</v>
      </c>
      <c r="L588" s="25">
        <f t="shared" si="120"/>
        <v>18.919999999999998</v>
      </c>
      <c r="M588" s="26">
        <f t="shared" si="121"/>
        <v>0.78833333333333322</v>
      </c>
      <c r="N588" s="27">
        <f t="shared" si="122"/>
        <v>24</v>
      </c>
      <c r="O588" s="28">
        <f t="shared" si="123"/>
        <v>1028</v>
      </c>
      <c r="P588" s="29">
        <f t="shared" si="124"/>
        <v>42.833333333333336</v>
      </c>
      <c r="Q588" s="30">
        <f t="shared" si="125"/>
        <v>24</v>
      </c>
      <c r="R588" s="11" t="str">
        <f t="shared" si="126"/>
        <v>5</v>
      </c>
      <c r="S588" s="10" t="str">
        <f t="shared" si="127"/>
        <v>7</v>
      </c>
      <c r="T588" s="9">
        <f t="shared" si="128"/>
        <v>3</v>
      </c>
      <c r="U588" t="str">
        <f t="shared" si="129"/>
        <v>Mismatch</v>
      </c>
    </row>
    <row r="589" spans="1:21" x14ac:dyDescent="0.2">
      <c r="A589" s="12">
        <v>587</v>
      </c>
      <c r="B589" s="12">
        <v>588</v>
      </c>
      <c r="C589" s="12">
        <v>0.2273</v>
      </c>
      <c r="D589" s="12">
        <v>0.55000000000000004</v>
      </c>
      <c r="E589" s="12">
        <v>0.19400000000000001</v>
      </c>
      <c r="F589" s="12">
        <v>1</v>
      </c>
      <c r="G589" s="12">
        <v>23</v>
      </c>
      <c r="H589" s="12">
        <v>24</v>
      </c>
      <c r="I589" s="22">
        <f t="shared" si="117"/>
        <v>5.0151000000000012</v>
      </c>
      <c r="J589" s="23">
        <f t="shared" si="118"/>
        <v>0.21804782608695658</v>
      </c>
      <c r="K589" s="24">
        <f t="shared" si="119"/>
        <v>23</v>
      </c>
      <c r="L589" s="25">
        <f t="shared" si="120"/>
        <v>17.989999999999998</v>
      </c>
      <c r="M589" s="26">
        <f t="shared" si="121"/>
        <v>0.78217391304347816</v>
      </c>
      <c r="N589" s="27">
        <f t="shared" si="122"/>
        <v>23</v>
      </c>
      <c r="O589" s="28">
        <f t="shared" si="123"/>
        <v>1002</v>
      </c>
      <c r="P589" s="29">
        <f t="shared" si="124"/>
        <v>43.565217391304351</v>
      </c>
      <c r="Q589" s="30">
        <f t="shared" si="125"/>
        <v>23</v>
      </c>
      <c r="R589" s="11" t="str">
        <f t="shared" si="126"/>
        <v>5</v>
      </c>
      <c r="S589" s="10" t="str">
        <f t="shared" si="127"/>
        <v>8</v>
      </c>
      <c r="T589" s="9">
        <f t="shared" si="128"/>
        <v>3</v>
      </c>
      <c r="U589" t="str">
        <f t="shared" si="129"/>
        <v>Mismatch</v>
      </c>
    </row>
    <row r="590" spans="1:21" x14ac:dyDescent="0.2">
      <c r="A590" s="12">
        <v>588</v>
      </c>
      <c r="B590" s="12">
        <v>589</v>
      </c>
      <c r="C590" s="12">
        <v>0.2424</v>
      </c>
      <c r="D590" s="12">
        <v>0.55000000000000004</v>
      </c>
      <c r="E590" s="12">
        <v>0.1045</v>
      </c>
      <c r="F590" s="12">
        <v>2</v>
      </c>
      <c r="G590" s="12">
        <v>82</v>
      </c>
      <c r="H590" s="12">
        <v>84</v>
      </c>
      <c r="I590" s="22">
        <f t="shared" si="117"/>
        <v>4.7878000000000007</v>
      </c>
      <c r="J590" s="23">
        <f t="shared" si="118"/>
        <v>0.21762727272727275</v>
      </c>
      <c r="K590" s="24">
        <f t="shared" si="119"/>
        <v>22</v>
      </c>
      <c r="L590" s="25">
        <f t="shared" si="120"/>
        <v>17.439999999999998</v>
      </c>
      <c r="M590" s="26">
        <f t="shared" si="121"/>
        <v>0.79272727272727261</v>
      </c>
      <c r="N590" s="27">
        <f t="shared" si="122"/>
        <v>22</v>
      </c>
      <c r="O590" s="28">
        <f t="shared" si="123"/>
        <v>978</v>
      </c>
      <c r="P590" s="29">
        <f t="shared" si="124"/>
        <v>44.454545454545453</v>
      </c>
      <c r="Q590" s="30">
        <f t="shared" si="125"/>
        <v>22</v>
      </c>
      <c r="R590" s="11" t="str">
        <f t="shared" si="126"/>
        <v>5</v>
      </c>
      <c r="S590" s="10" t="str">
        <f t="shared" si="127"/>
        <v>9</v>
      </c>
      <c r="T590" s="9">
        <f t="shared" si="128"/>
        <v>3</v>
      </c>
      <c r="U590" t="str">
        <f t="shared" si="129"/>
        <v>Mismatch</v>
      </c>
    </row>
    <row r="591" spans="1:21" x14ac:dyDescent="0.2">
      <c r="A591" s="12">
        <v>589</v>
      </c>
      <c r="B591" s="12">
        <v>590</v>
      </c>
      <c r="C591" s="12">
        <v>0.2273</v>
      </c>
      <c r="D591" s="12">
        <v>0.69</v>
      </c>
      <c r="E591" s="12">
        <v>8.9599999999999999E-2</v>
      </c>
      <c r="F591" s="12">
        <v>3</v>
      </c>
      <c r="G591" s="12">
        <v>101</v>
      </c>
      <c r="H591" s="12">
        <v>104</v>
      </c>
      <c r="I591" s="22">
        <f t="shared" si="117"/>
        <v>4.5454000000000008</v>
      </c>
      <c r="J591" s="23">
        <f t="shared" si="118"/>
        <v>0.21644761904761908</v>
      </c>
      <c r="K591" s="24">
        <f t="shared" si="119"/>
        <v>21</v>
      </c>
      <c r="L591" s="25">
        <f t="shared" si="120"/>
        <v>16.889999999999997</v>
      </c>
      <c r="M591" s="26">
        <f t="shared" si="121"/>
        <v>0.80428571428571416</v>
      </c>
      <c r="N591" s="27">
        <f t="shared" si="122"/>
        <v>21</v>
      </c>
      <c r="O591" s="28">
        <f t="shared" si="123"/>
        <v>894</v>
      </c>
      <c r="P591" s="29">
        <f t="shared" si="124"/>
        <v>42.571428571428569</v>
      </c>
      <c r="Q591" s="30">
        <f t="shared" si="125"/>
        <v>21</v>
      </c>
      <c r="R591" s="11" t="str">
        <f t="shared" si="126"/>
        <v>5</v>
      </c>
      <c r="S591" s="10" t="str">
        <f t="shared" si="127"/>
        <v>0</v>
      </c>
      <c r="T591" s="9">
        <f t="shared" si="128"/>
        <v>3</v>
      </c>
      <c r="U591" t="str">
        <f t="shared" si="129"/>
        <v>Mismatch</v>
      </c>
    </row>
    <row r="592" spans="1:21" x14ac:dyDescent="0.2">
      <c r="A592" s="12">
        <v>590</v>
      </c>
      <c r="B592" s="12">
        <v>591</v>
      </c>
      <c r="C592" s="12">
        <v>0.2273</v>
      </c>
      <c r="D592" s="12">
        <v>0.69</v>
      </c>
      <c r="E592" s="12">
        <v>8.9599999999999999E-2</v>
      </c>
      <c r="F592" s="12">
        <v>3</v>
      </c>
      <c r="G592" s="12">
        <v>76</v>
      </c>
      <c r="H592" s="12">
        <v>79</v>
      </c>
      <c r="I592" s="22">
        <f t="shared" si="117"/>
        <v>4.3181000000000003</v>
      </c>
      <c r="J592" s="23">
        <f t="shared" si="118"/>
        <v>0.21590500000000001</v>
      </c>
      <c r="K592" s="24">
        <f t="shared" si="119"/>
        <v>20</v>
      </c>
      <c r="L592" s="25">
        <f t="shared" si="120"/>
        <v>16.2</v>
      </c>
      <c r="M592" s="26">
        <f t="shared" si="121"/>
        <v>0.80999999999999994</v>
      </c>
      <c r="N592" s="27">
        <f t="shared" si="122"/>
        <v>20</v>
      </c>
      <c r="O592" s="28">
        <f t="shared" si="123"/>
        <v>790</v>
      </c>
      <c r="P592" s="29">
        <f t="shared" si="124"/>
        <v>39.5</v>
      </c>
      <c r="Q592" s="30">
        <f t="shared" si="125"/>
        <v>20</v>
      </c>
      <c r="R592" s="11" t="str">
        <f t="shared" si="126"/>
        <v>5</v>
      </c>
      <c r="S592" s="10" t="str">
        <f t="shared" si="127"/>
        <v>1</v>
      </c>
      <c r="T592" s="9">
        <f t="shared" si="128"/>
        <v>3</v>
      </c>
      <c r="U592" t="str">
        <f t="shared" si="129"/>
        <v>Mismatch</v>
      </c>
    </row>
    <row r="593" spans="1:21" x14ac:dyDescent="0.2">
      <c r="A593" s="12">
        <v>591</v>
      </c>
      <c r="B593" s="12">
        <v>592</v>
      </c>
      <c r="C593" s="12">
        <v>0.21210000000000001</v>
      </c>
      <c r="D593" s="12">
        <v>0.74</v>
      </c>
      <c r="E593" s="12">
        <v>8.9599999999999999E-2</v>
      </c>
      <c r="F593" s="12">
        <v>4</v>
      </c>
      <c r="G593" s="12">
        <v>55</v>
      </c>
      <c r="H593" s="12">
        <v>59</v>
      </c>
      <c r="I593" s="22">
        <f t="shared" si="117"/>
        <v>4.0907999999999998</v>
      </c>
      <c r="J593" s="23">
        <f t="shared" si="118"/>
        <v>0.21530526315789472</v>
      </c>
      <c r="K593" s="24">
        <f t="shared" si="119"/>
        <v>19</v>
      </c>
      <c r="L593" s="25">
        <f t="shared" si="120"/>
        <v>15.509999999999996</v>
      </c>
      <c r="M593" s="26">
        <f t="shared" si="121"/>
        <v>0.81631578947368399</v>
      </c>
      <c r="N593" s="27">
        <f t="shared" si="122"/>
        <v>19</v>
      </c>
      <c r="O593" s="28">
        <f t="shared" si="123"/>
        <v>711</v>
      </c>
      <c r="P593" s="29">
        <f t="shared" si="124"/>
        <v>37.421052631578945</v>
      </c>
      <c r="Q593" s="30">
        <f t="shared" si="125"/>
        <v>19</v>
      </c>
      <c r="R593" s="11" t="str">
        <f t="shared" si="126"/>
        <v>5</v>
      </c>
      <c r="S593" s="10" t="str">
        <f t="shared" si="127"/>
        <v>2</v>
      </c>
      <c r="T593" s="9">
        <f t="shared" si="128"/>
        <v>3</v>
      </c>
      <c r="U593" t="str">
        <f t="shared" si="129"/>
        <v>Mismatch</v>
      </c>
    </row>
    <row r="594" spans="1:21" x14ac:dyDescent="0.2">
      <c r="A594" s="12">
        <v>592</v>
      </c>
      <c r="B594" s="12">
        <v>593</v>
      </c>
      <c r="C594" s="12">
        <v>0.21210000000000001</v>
      </c>
      <c r="D594" s="12">
        <v>0.74</v>
      </c>
      <c r="E594" s="12">
        <v>8.9599999999999999E-2</v>
      </c>
      <c r="F594" s="12">
        <v>2</v>
      </c>
      <c r="G594" s="12">
        <v>36</v>
      </c>
      <c r="H594" s="12">
        <v>38</v>
      </c>
      <c r="I594" s="22">
        <f t="shared" si="117"/>
        <v>3.8786999999999998</v>
      </c>
      <c r="J594" s="23">
        <f t="shared" si="118"/>
        <v>0.21548333333333333</v>
      </c>
      <c r="K594" s="24">
        <f t="shared" si="119"/>
        <v>18</v>
      </c>
      <c r="L594" s="25">
        <f t="shared" si="120"/>
        <v>14.769999999999998</v>
      </c>
      <c r="M594" s="26">
        <f t="shared" si="121"/>
        <v>0.82055555555555548</v>
      </c>
      <c r="N594" s="27">
        <f t="shared" si="122"/>
        <v>18</v>
      </c>
      <c r="O594" s="28">
        <f t="shared" si="123"/>
        <v>652</v>
      </c>
      <c r="P594" s="29">
        <f t="shared" si="124"/>
        <v>36.222222222222221</v>
      </c>
      <c r="Q594" s="30">
        <f t="shared" si="125"/>
        <v>18</v>
      </c>
      <c r="R594" s="11" t="str">
        <f t="shared" si="126"/>
        <v>5</v>
      </c>
      <c r="S594" s="10" t="str">
        <f t="shared" si="127"/>
        <v>3</v>
      </c>
      <c r="T594" s="9">
        <f t="shared" si="128"/>
        <v>3</v>
      </c>
      <c r="U594" t="str">
        <f t="shared" si="129"/>
        <v>Mismatch</v>
      </c>
    </row>
    <row r="595" spans="1:21" x14ac:dyDescent="0.2">
      <c r="A595" s="12">
        <v>593</v>
      </c>
      <c r="B595" s="12">
        <v>594</v>
      </c>
      <c r="C595" s="12">
        <v>0.21210000000000001</v>
      </c>
      <c r="D595" s="12">
        <v>0.74</v>
      </c>
      <c r="E595" s="12">
        <v>8.9599999999999999E-2</v>
      </c>
      <c r="F595" s="12">
        <v>0</v>
      </c>
      <c r="G595" s="12">
        <v>27</v>
      </c>
      <c r="H595" s="12">
        <v>27</v>
      </c>
      <c r="I595" s="22">
        <f t="shared" si="117"/>
        <v>3.6665999999999999</v>
      </c>
      <c r="J595" s="23">
        <f t="shared" si="118"/>
        <v>0.21568235294117646</v>
      </c>
      <c r="K595" s="24">
        <f t="shared" si="119"/>
        <v>17</v>
      </c>
      <c r="L595" s="25">
        <f t="shared" si="120"/>
        <v>14.03</v>
      </c>
      <c r="M595" s="26">
        <f t="shared" si="121"/>
        <v>0.82529411764705873</v>
      </c>
      <c r="N595" s="27">
        <f t="shared" si="122"/>
        <v>17</v>
      </c>
      <c r="O595" s="28">
        <f t="shared" si="123"/>
        <v>614</v>
      </c>
      <c r="P595" s="29">
        <f t="shared" si="124"/>
        <v>36.117647058823529</v>
      </c>
      <c r="Q595" s="30">
        <f t="shared" si="125"/>
        <v>17</v>
      </c>
      <c r="R595" s="11" t="str">
        <f t="shared" si="126"/>
        <v>5</v>
      </c>
      <c r="S595" s="10" t="str">
        <f t="shared" si="127"/>
        <v>4</v>
      </c>
      <c r="T595" s="9">
        <f t="shared" si="128"/>
        <v>3</v>
      </c>
      <c r="U595" t="str">
        <f t="shared" si="129"/>
        <v>Mismatch</v>
      </c>
    </row>
    <row r="596" spans="1:21" x14ac:dyDescent="0.2">
      <c r="A596" s="12">
        <v>594</v>
      </c>
      <c r="B596" s="12">
        <v>595</v>
      </c>
      <c r="C596" s="12">
        <v>0.19700000000000001</v>
      </c>
      <c r="D596" s="12">
        <v>0.8</v>
      </c>
      <c r="E596" s="12">
        <v>0.16420000000000001</v>
      </c>
      <c r="F596" s="12">
        <v>0</v>
      </c>
      <c r="G596" s="12">
        <v>16</v>
      </c>
      <c r="H596" s="12">
        <v>16</v>
      </c>
      <c r="I596" s="22">
        <f t="shared" si="117"/>
        <v>3.4544999999999999</v>
      </c>
      <c r="J596" s="23">
        <f t="shared" si="118"/>
        <v>0.21590624999999999</v>
      </c>
      <c r="K596" s="24">
        <f t="shared" si="119"/>
        <v>16</v>
      </c>
      <c r="L596" s="25">
        <f t="shared" si="120"/>
        <v>13.29</v>
      </c>
      <c r="M596" s="26">
        <f t="shared" si="121"/>
        <v>0.83062499999999995</v>
      </c>
      <c r="N596" s="27">
        <f t="shared" si="122"/>
        <v>16</v>
      </c>
      <c r="O596" s="28">
        <f t="shared" si="123"/>
        <v>587</v>
      </c>
      <c r="P596" s="29">
        <f t="shared" si="124"/>
        <v>36.6875</v>
      </c>
      <c r="Q596" s="30">
        <f t="shared" si="125"/>
        <v>16</v>
      </c>
      <c r="R596" s="11" t="str">
        <f t="shared" si="126"/>
        <v>5</v>
      </c>
      <c r="S596" s="10" t="str">
        <f t="shared" si="127"/>
        <v>5</v>
      </c>
      <c r="T596" s="9">
        <f t="shared" si="128"/>
        <v>3</v>
      </c>
      <c r="U596" t="str">
        <f t="shared" si="129"/>
        <v>Match</v>
      </c>
    </row>
    <row r="597" spans="1:21" x14ac:dyDescent="0.2">
      <c r="A597" s="12">
        <v>595</v>
      </c>
      <c r="B597" s="12">
        <v>596</v>
      </c>
      <c r="C597" s="12">
        <v>0.21210000000000001</v>
      </c>
      <c r="D597" s="12">
        <v>0.75</v>
      </c>
      <c r="E597" s="12">
        <v>0.1343</v>
      </c>
      <c r="F597" s="12">
        <v>0</v>
      </c>
      <c r="G597" s="12">
        <v>9</v>
      </c>
      <c r="H597" s="12">
        <v>9</v>
      </c>
      <c r="I597" s="22">
        <f t="shared" si="117"/>
        <v>3.2575000000000003</v>
      </c>
      <c r="J597" s="23">
        <f t="shared" si="118"/>
        <v>0.21716666666666667</v>
      </c>
      <c r="K597" s="24">
        <f t="shared" si="119"/>
        <v>15</v>
      </c>
      <c r="L597" s="25">
        <f t="shared" si="120"/>
        <v>12.49</v>
      </c>
      <c r="M597" s="26">
        <f t="shared" si="121"/>
        <v>0.83266666666666667</v>
      </c>
      <c r="N597" s="27">
        <f t="shared" si="122"/>
        <v>15</v>
      </c>
      <c r="O597" s="28">
        <f t="shared" si="123"/>
        <v>571</v>
      </c>
      <c r="P597" s="29">
        <f t="shared" si="124"/>
        <v>38.06666666666667</v>
      </c>
      <c r="Q597" s="30">
        <f t="shared" si="125"/>
        <v>15</v>
      </c>
      <c r="R597" s="11" t="str">
        <f t="shared" si="126"/>
        <v>5</v>
      </c>
      <c r="S597" s="10" t="str">
        <f t="shared" si="127"/>
        <v>6</v>
      </c>
      <c r="T597" s="9">
        <f t="shared" si="128"/>
        <v>3</v>
      </c>
      <c r="U597" t="str">
        <f t="shared" si="129"/>
        <v>Mismatch</v>
      </c>
    </row>
    <row r="598" spans="1:21" x14ac:dyDescent="0.2">
      <c r="A598" s="12">
        <v>596</v>
      </c>
      <c r="B598" s="12">
        <v>597</v>
      </c>
      <c r="C598" s="12">
        <v>0.21210000000000001</v>
      </c>
      <c r="D598" s="12">
        <v>0.75</v>
      </c>
      <c r="E598" s="12">
        <v>0.1343</v>
      </c>
      <c r="F598" s="12">
        <v>1</v>
      </c>
      <c r="G598" s="12">
        <v>2</v>
      </c>
      <c r="H598" s="12">
        <v>3</v>
      </c>
      <c r="I598" s="22">
        <f t="shared" si="117"/>
        <v>3.0453999999999999</v>
      </c>
      <c r="J598" s="23">
        <f t="shared" si="118"/>
        <v>0.21752857142857143</v>
      </c>
      <c r="K598" s="24">
        <f t="shared" si="119"/>
        <v>14</v>
      </c>
      <c r="L598" s="25">
        <f t="shared" si="120"/>
        <v>11.74</v>
      </c>
      <c r="M598" s="26">
        <f t="shared" si="121"/>
        <v>0.83857142857142863</v>
      </c>
      <c r="N598" s="27">
        <f t="shared" si="122"/>
        <v>14</v>
      </c>
      <c r="O598" s="28">
        <f t="shared" si="123"/>
        <v>562</v>
      </c>
      <c r="P598" s="29">
        <f t="shared" si="124"/>
        <v>40.142857142857146</v>
      </c>
      <c r="Q598" s="30">
        <f t="shared" si="125"/>
        <v>14</v>
      </c>
      <c r="R598" s="11" t="str">
        <f t="shared" si="126"/>
        <v>5</v>
      </c>
      <c r="S598" s="10" t="str">
        <f t="shared" si="127"/>
        <v>7</v>
      </c>
      <c r="T598" s="9">
        <f t="shared" si="128"/>
        <v>3</v>
      </c>
      <c r="U598" t="str">
        <f t="shared" si="129"/>
        <v>Mismatch</v>
      </c>
    </row>
    <row r="599" spans="1:21" x14ac:dyDescent="0.2">
      <c r="A599" s="12">
        <v>597</v>
      </c>
      <c r="B599" s="12">
        <v>598</v>
      </c>
      <c r="C599" s="12">
        <v>0.21210000000000001</v>
      </c>
      <c r="D599" s="12">
        <v>0.75</v>
      </c>
      <c r="E599" s="12">
        <v>0.16420000000000001</v>
      </c>
      <c r="F599" s="12">
        <v>0</v>
      </c>
      <c r="G599" s="12">
        <v>2</v>
      </c>
      <c r="H599" s="12">
        <v>2</v>
      </c>
      <c r="I599" s="22">
        <f t="shared" si="117"/>
        <v>2.8332999999999999</v>
      </c>
      <c r="J599" s="23">
        <f t="shared" si="118"/>
        <v>0.21794615384615385</v>
      </c>
      <c r="K599" s="24">
        <f t="shared" si="119"/>
        <v>13</v>
      </c>
      <c r="L599" s="25">
        <f t="shared" si="120"/>
        <v>10.99</v>
      </c>
      <c r="M599" s="26">
        <f t="shared" si="121"/>
        <v>0.8453846153846154</v>
      </c>
      <c r="N599" s="27">
        <f t="shared" si="122"/>
        <v>13</v>
      </c>
      <c r="O599" s="28">
        <f t="shared" si="123"/>
        <v>559</v>
      </c>
      <c r="P599" s="29">
        <f t="shared" si="124"/>
        <v>43</v>
      </c>
      <c r="Q599" s="30">
        <f t="shared" si="125"/>
        <v>13</v>
      </c>
      <c r="R599" s="11" t="str">
        <f t="shared" si="126"/>
        <v>5</v>
      </c>
      <c r="S599" s="10" t="str">
        <f t="shared" si="127"/>
        <v>8</v>
      </c>
      <c r="T599" s="9">
        <f t="shared" si="128"/>
        <v>3</v>
      </c>
      <c r="U599" t="str">
        <f t="shared" si="129"/>
        <v>Mismatch</v>
      </c>
    </row>
    <row r="600" spans="1:21" x14ac:dyDescent="0.2">
      <c r="A600" s="12">
        <v>598</v>
      </c>
      <c r="B600" s="12">
        <v>599</v>
      </c>
      <c r="C600" s="12">
        <v>0.2273</v>
      </c>
      <c r="D600" s="12">
        <v>0.75</v>
      </c>
      <c r="E600" s="12">
        <v>0.1045</v>
      </c>
      <c r="F600" s="12">
        <v>1</v>
      </c>
      <c r="G600" s="12">
        <v>0</v>
      </c>
      <c r="H600" s="12">
        <v>1</v>
      </c>
      <c r="I600" s="22">
        <f t="shared" si="117"/>
        <v>2.6212</v>
      </c>
      <c r="J600" s="23">
        <f t="shared" si="118"/>
        <v>0.21843333333333334</v>
      </c>
      <c r="K600" s="24">
        <f t="shared" si="119"/>
        <v>12</v>
      </c>
      <c r="L600" s="25">
        <f t="shared" si="120"/>
        <v>10.24</v>
      </c>
      <c r="M600" s="26">
        <f t="shared" si="121"/>
        <v>0.85333333333333339</v>
      </c>
      <c r="N600" s="27">
        <f t="shared" si="122"/>
        <v>12</v>
      </c>
      <c r="O600" s="28">
        <f t="shared" si="123"/>
        <v>557</v>
      </c>
      <c r="P600" s="29">
        <f t="shared" si="124"/>
        <v>46.416666666666664</v>
      </c>
      <c r="Q600" s="30">
        <f t="shared" si="125"/>
        <v>12</v>
      </c>
      <c r="R600" s="11" t="str">
        <f t="shared" si="126"/>
        <v>5</v>
      </c>
      <c r="S600" s="10" t="str">
        <f t="shared" si="127"/>
        <v>9</v>
      </c>
      <c r="T600" s="9">
        <f t="shared" si="128"/>
        <v>3</v>
      </c>
      <c r="U600" t="str">
        <f t="shared" si="129"/>
        <v>Mismatch</v>
      </c>
    </row>
    <row r="601" spans="1:21" x14ac:dyDescent="0.2">
      <c r="A601" s="12">
        <v>599</v>
      </c>
      <c r="B601" s="12">
        <v>600</v>
      </c>
      <c r="C601" s="12">
        <v>0.21210000000000001</v>
      </c>
      <c r="D601" s="12">
        <v>0.8</v>
      </c>
      <c r="E601" s="12">
        <v>0.1045</v>
      </c>
      <c r="F601" s="12">
        <v>0</v>
      </c>
      <c r="G601" s="12">
        <v>4</v>
      </c>
      <c r="H601" s="12">
        <v>4</v>
      </c>
      <c r="I601" s="22">
        <f t="shared" si="117"/>
        <v>2.3938999999999999</v>
      </c>
      <c r="J601" s="23">
        <f t="shared" si="118"/>
        <v>0.21762727272727272</v>
      </c>
      <c r="K601" s="24">
        <f t="shared" si="119"/>
        <v>11</v>
      </c>
      <c r="L601" s="25">
        <f t="shared" si="120"/>
        <v>9.4899999999999984</v>
      </c>
      <c r="M601" s="26">
        <f t="shared" si="121"/>
        <v>0.86272727272727256</v>
      </c>
      <c r="N601" s="27">
        <f t="shared" si="122"/>
        <v>11</v>
      </c>
      <c r="O601" s="28">
        <f t="shared" si="123"/>
        <v>556</v>
      </c>
      <c r="P601" s="29">
        <f t="shared" si="124"/>
        <v>50.545454545454547</v>
      </c>
      <c r="Q601" s="30">
        <f t="shared" si="125"/>
        <v>11</v>
      </c>
      <c r="R601" s="11" t="str">
        <f t="shared" si="126"/>
        <v>6</v>
      </c>
      <c r="S601" s="10" t="str">
        <f t="shared" si="127"/>
        <v>0</v>
      </c>
      <c r="T601" s="9">
        <f t="shared" si="128"/>
        <v>3</v>
      </c>
      <c r="U601" t="str">
        <f t="shared" si="129"/>
        <v>Mismatch</v>
      </c>
    </row>
    <row r="602" spans="1:21" x14ac:dyDescent="0.2">
      <c r="A602" s="12">
        <v>600</v>
      </c>
      <c r="B602" s="12">
        <v>601</v>
      </c>
      <c r="C602" s="12">
        <v>0.19700000000000001</v>
      </c>
      <c r="D602" s="12">
        <v>0.8</v>
      </c>
      <c r="E602" s="12">
        <v>0.1343</v>
      </c>
      <c r="F602" s="12">
        <v>0</v>
      </c>
      <c r="G602" s="12">
        <v>16</v>
      </c>
      <c r="H602" s="12">
        <v>16</v>
      </c>
      <c r="I602" s="22">
        <f t="shared" si="117"/>
        <v>2.1817999999999995</v>
      </c>
      <c r="J602" s="23">
        <f t="shared" si="118"/>
        <v>0.21817999999999996</v>
      </c>
      <c r="K602" s="24">
        <f t="shared" si="119"/>
        <v>10</v>
      </c>
      <c r="L602" s="25">
        <f t="shared" si="120"/>
        <v>8.69</v>
      </c>
      <c r="M602" s="26">
        <f t="shared" si="121"/>
        <v>0.86899999999999999</v>
      </c>
      <c r="N602" s="27">
        <f t="shared" si="122"/>
        <v>10</v>
      </c>
      <c r="O602" s="28">
        <f t="shared" si="123"/>
        <v>552</v>
      </c>
      <c r="P602" s="29">
        <f t="shared" si="124"/>
        <v>55.2</v>
      </c>
      <c r="Q602" s="30">
        <f t="shared" si="125"/>
        <v>10</v>
      </c>
      <c r="R602" s="11" t="str">
        <f t="shared" si="126"/>
        <v>6</v>
      </c>
      <c r="S602" s="10" t="str">
        <f t="shared" si="127"/>
        <v>1</v>
      </c>
      <c r="T602" s="9">
        <f t="shared" si="128"/>
        <v>3</v>
      </c>
      <c r="U602" t="str">
        <f t="shared" si="129"/>
        <v>Mismatch</v>
      </c>
    </row>
    <row r="603" spans="1:21" x14ac:dyDescent="0.2">
      <c r="A603" s="12">
        <v>601</v>
      </c>
      <c r="B603" s="12">
        <v>602</v>
      </c>
      <c r="C603" s="12">
        <v>0.19700000000000001</v>
      </c>
      <c r="D603" s="12">
        <v>0.86</v>
      </c>
      <c r="E603" s="12">
        <v>8.9599999999999999E-2</v>
      </c>
      <c r="F603" s="12">
        <v>2</v>
      </c>
      <c r="G603" s="12">
        <v>58</v>
      </c>
      <c r="H603" s="12">
        <v>60</v>
      </c>
      <c r="I603" s="22">
        <f t="shared" si="117"/>
        <v>1.9847999999999999</v>
      </c>
      <c r="J603" s="23">
        <f t="shared" si="118"/>
        <v>0.22053333333333333</v>
      </c>
      <c r="K603" s="24">
        <f t="shared" si="119"/>
        <v>9</v>
      </c>
      <c r="L603" s="25">
        <f t="shared" si="120"/>
        <v>7.89</v>
      </c>
      <c r="M603" s="26">
        <f t="shared" si="121"/>
        <v>0.87666666666666659</v>
      </c>
      <c r="N603" s="27">
        <f t="shared" si="122"/>
        <v>9</v>
      </c>
      <c r="O603" s="28">
        <f t="shared" si="123"/>
        <v>536</v>
      </c>
      <c r="P603" s="29">
        <f t="shared" si="124"/>
        <v>59.555555555555557</v>
      </c>
      <c r="Q603" s="30">
        <f t="shared" si="125"/>
        <v>9</v>
      </c>
      <c r="R603" s="11" t="str">
        <f t="shared" si="126"/>
        <v>6</v>
      </c>
      <c r="S603" s="10" t="str">
        <f t="shared" si="127"/>
        <v>2</v>
      </c>
      <c r="T603" s="9">
        <f t="shared" si="128"/>
        <v>3</v>
      </c>
      <c r="U603" t="str">
        <f t="shared" si="129"/>
        <v>Mismatch</v>
      </c>
    </row>
    <row r="604" spans="1:21" x14ac:dyDescent="0.2">
      <c r="A604" s="12">
        <v>602</v>
      </c>
      <c r="B604" s="12">
        <v>603</v>
      </c>
      <c r="C604" s="12">
        <v>0.19700000000000001</v>
      </c>
      <c r="D604" s="12">
        <v>0.86</v>
      </c>
      <c r="E604" s="12">
        <v>8.9599999999999999E-2</v>
      </c>
      <c r="F604" s="12">
        <v>2</v>
      </c>
      <c r="G604" s="12">
        <v>155</v>
      </c>
      <c r="H604" s="12">
        <v>157</v>
      </c>
      <c r="I604" s="22">
        <f t="shared" si="117"/>
        <v>1.7877999999999998</v>
      </c>
      <c r="J604" s="23">
        <f t="shared" si="118"/>
        <v>0.22347499999999998</v>
      </c>
      <c r="K604" s="24">
        <f t="shared" si="119"/>
        <v>8</v>
      </c>
      <c r="L604" s="25">
        <f t="shared" si="120"/>
        <v>7.03</v>
      </c>
      <c r="M604" s="26">
        <f t="shared" si="121"/>
        <v>0.87875000000000003</v>
      </c>
      <c r="N604" s="27">
        <f t="shared" si="122"/>
        <v>8</v>
      </c>
      <c r="O604" s="28">
        <f t="shared" si="123"/>
        <v>476</v>
      </c>
      <c r="P604" s="29">
        <f t="shared" si="124"/>
        <v>59.5</v>
      </c>
      <c r="Q604" s="30">
        <f t="shared" si="125"/>
        <v>8</v>
      </c>
      <c r="R604" s="11" t="str">
        <f t="shared" si="126"/>
        <v>6</v>
      </c>
      <c r="S604" s="10" t="str">
        <f t="shared" si="127"/>
        <v>3</v>
      </c>
      <c r="T604" s="9">
        <f t="shared" si="128"/>
        <v>3</v>
      </c>
      <c r="U604" t="str">
        <f t="shared" si="129"/>
        <v>Mismatch</v>
      </c>
    </row>
    <row r="605" spans="1:21" x14ac:dyDescent="0.2">
      <c r="A605" s="12">
        <v>603</v>
      </c>
      <c r="B605" s="12">
        <v>604</v>
      </c>
      <c r="C605" s="12">
        <v>0.21210000000000001</v>
      </c>
      <c r="D605" s="12">
        <v>0.86</v>
      </c>
      <c r="E605" s="12">
        <v>8.9599999999999999E-2</v>
      </c>
      <c r="F605" s="12">
        <v>6</v>
      </c>
      <c r="G605" s="12">
        <v>95</v>
      </c>
      <c r="H605" s="12">
        <v>101</v>
      </c>
      <c r="I605" s="22">
        <f t="shared" si="117"/>
        <v>1.5908</v>
      </c>
      <c r="J605" s="23">
        <f t="shared" si="118"/>
        <v>0.22725714285714285</v>
      </c>
      <c r="K605" s="24">
        <f t="shared" si="119"/>
        <v>7</v>
      </c>
      <c r="L605" s="25">
        <f t="shared" si="120"/>
        <v>6.17</v>
      </c>
      <c r="M605" s="26">
        <f t="shared" si="121"/>
        <v>0.88142857142857145</v>
      </c>
      <c r="N605" s="27">
        <f t="shared" si="122"/>
        <v>7</v>
      </c>
      <c r="O605" s="28">
        <f t="shared" si="123"/>
        <v>319</v>
      </c>
      <c r="P605" s="29">
        <f t="shared" si="124"/>
        <v>45.571428571428569</v>
      </c>
      <c r="Q605" s="30">
        <f t="shared" si="125"/>
        <v>7</v>
      </c>
      <c r="R605" s="11" t="str">
        <f t="shared" si="126"/>
        <v>6</v>
      </c>
      <c r="S605" s="10" t="str">
        <f t="shared" si="127"/>
        <v>4</v>
      </c>
      <c r="T605" s="9">
        <f t="shared" si="128"/>
        <v>3</v>
      </c>
      <c r="U605" t="str">
        <f t="shared" si="129"/>
        <v>Mismatch</v>
      </c>
    </row>
    <row r="606" spans="1:21" x14ac:dyDescent="0.2">
      <c r="A606" s="12">
        <v>604</v>
      </c>
      <c r="B606" s="12">
        <v>605</v>
      </c>
      <c r="C606" s="12">
        <v>0.21210000000000001</v>
      </c>
      <c r="D606" s="12">
        <v>0.86</v>
      </c>
      <c r="E606" s="12">
        <v>0.1045</v>
      </c>
      <c r="F606" s="12">
        <v>0</v>
      </c>
      <c r="G606" s="12">
        <v>49</v>
      </c>
      <c r="H606" s="12">
        <v>49</v>
      </c>
      <c r="I606" s="22">
        <f t="shared" si="117"/>
        <v>1.3787</v>
      </c>
      <c r="J606" s="23">
        <f t="shared" si="118"/>
        <v>0.22978333333333334</v>
      </c>
      <c r="K606" s="24">
        <f t="shared" si="119"/>
        <v>6</v>
      </c>
      <c r="L606" s="25">
        <f t="shared" si="120"/>
        <v>5.3100000000000005</v>
      </c>
      <c r="M606" s="26">
        <f t="shared" si="121"/>
        <v>0.88500000000000012</v>
      </c>
      <c r="N606" s="27">
        <f t="shared" si="122"/>
        <v>6</v>
      </c>
      <c r="O606" s="28">
        <f t="shared" si="123"/>
        <v>218</v>
      </c>
      <c r="P606" s="29">
        <f t="shared" si="124"/>
        <v>36.333333333333336</v>
      </c>
      <c r="Q606" s="30">
        <f t="shared" si="125"/>
        <v>6</v>
      </c>
      <c r="R606" s="11" t="str">
        <f t="shared" si="126"/>
        <v>6</v>
      </c>
      <c r="S606" s="10" t="str">
        <f t="shared" si="127"/>
        <v>5</v>
      </c>
      <c r="T606" s="9">
        <f t="shared" si="128"/>
        <v>3</v>
      </c>
      <c r="U606" t="str">
        <f t="shared" si="129"/>
        <v>Mismatch</v>
      </c>
    </row>
    <row r="607" spans="1:21" x14ac:dyDescent="0.2">
      <c r="A607" s="12">
        <v>605</v>
      </c>
      <c r="B607" s="12">
        <v>606</v>
      </c>
      <c r="C607" s="12">
        <v>0.21210000000000001</v>
      </c>
      <c r="D607" s="12">
        <v>0.93</v>
      </c>
      <c r="E607" s="12">
        <v>0.1045</v>
      </c>
      <c r="F607" s="12">
        <v>0</v>
      </c>
      <c r="G607" s="12">
        <v>30</v>
      </c>
      <c r="H607" s="12">
        <v>30</v>
      </c>
      <c r="I607" s="22">
        <f t="shared" si="117"/>
        <v>1.1666000000000001</v>
      </c>
      <c r="J607" s="23">
        <f t="shared" si="118"/>
        <v>0.23332000000000003</v>
      </c>
      <c r="K607" s="24">
        <f t="shared" si="119"/>
        <v>5</v>
      </c>
      <c r="L607" s="25">
        <f t="shared" si="120"/>
        <v>4.45</v>
      </c>
      <c r="M607" s="26">
        <f t="shared" si="121"/>
        <v>0.89</v>
      </c>
      <c r="N607" s="27">
        <f t="shared" si="122"/>
        <v>5</v>
      </c>
      <c r="O607" s="28">
        <f t="shared" si="123"/>
        <v>169</v>
      </c>
      <c r="P607" s="29">
        <f t="shared" si="124"/>
        <v>33.799999999999997</v>
      </c>
      <c r="Q607" s="30">
        <f t="shared" si="125"/>
        <v>5</v>
      </c>
      <c r="R607" s="11" t="str">
        <f t="shared" si="126"/>
        <v>6</v>
      </c>
      <c r="S607" s="10" t="str">
        <f t="shared" si="127"/>
        <v>6</v>
      </c>
      <c r="T607" s="9">
        <f t="shared" si="128"/>
        <v>3</v>
      </c>
      <c r="U607" t="str">
        <f t="shared" si="129"/>
        <v>Match</v>
      </c>
    </row>
    <row r="608" spans="1:21" x14ac:dyDescent="0.2">
      <c r="A608" s="12">
        <v>606</v>
      </c>
      <c r="B608" s="12">
        <v>607</v>
      </c>
      <c r="C608" s="12">
        <v>0.21210000000000001</v>
      </c>
      <c r="D608" s="12">
        <v>0.93</v>
      </c>
      <c r="E608" s="12">
        <v>0.1045</v>
      </c>
      <c r="F608" s="12">
        <v>1</v>
      </c>
      <c r="G608" s="12">
        <v>28</v>
      </c>
      <c r="H608" s="12">
        <v>29</v>
      </c>
      <c r="I608" s="22">
        <f t="shared" si="117"/>
        <v>0.95450000000000013</v>
      </c>
      <c r="J608" s="23">
        <f t="shared" si="118"/>
        <v>0.23862500000000003</v>
      </c>
      <c r="K608" s="24">
        <f t="shared" si="119"/>
        <v>4</v>
      </c>
      <c r="L608" s="25">
        <f t="shared" si="120"/>
        <v>3.52</v>
      </c>
      <c r="M608" s="26">
        <f t="shared" si="121"/>
        <v>0.88</v>
      </c>
      <c r="N608" s="27">
        <f t="shared" si="122"/>
        <v>4</v>
      </c>
      <c r="O608" s="28">
        <f t="shared" si="123"/>
        <v>139</v>
      </c>
      <c r="P608" s="29">
        <f t="shared" si="124"/>
        <v>34.75</v>
      </c>
      <c r="Q608" s="30">
        <f t="shared" si="125"/>
        <v>4</v>
      </c>
      <c r="R608" s="11" t="str">
        <f t="shared" si="126"/>
        <v>6</v>
      </c>
      <c r="S608" s="10" t="str">
        <f t="shared" si="127"/>
        <v>7</v>
      </c>
      <c r="T608" s="9">
        <f t="shared" si="128"/>
        <v>3</v>
      </c>
      <c r="U608" t="str">
        <f t="shared" si="129"/>
        <v>Mismatch</v>
      </c>
    </row>
    <row r="609" spans="1:21" x14ac:dyDescent="0.2">
      <c r="A609" s="12">
        <v>607</v>
      </c>
      <c r="B609" s="12">
        <v>608</v>
      </c>
      <c r="C609" s="12">
        <v>0.21210000000000001</v>
      </c>
      <c r="D609" s="12">
        <v>0.93</v>
      </c>
      <c r="E609" s="12">
        <v>0.1045</v>
      </c>
      <c r="F609" s="12">
        <v>0</v>
      </c>
      <c r="G609" s="12">
        <v>31</v>
      </c>
      <c r="H609" s="12">
        <v>31</v>
      </c>
      <c r="I609" s="22">
        <f t="shared" si="117"/>
        <v>0.74239999999999995</v>
      </c>
      <c r="J609" s="23">
        <f t="shared" si="118"/>
        <v>0.24746666666666664</v>
      </c>
      <c r="K609" s="24">
        <f t="shared" si="119"/>
        <v>3</v>
      </c>
      <c r="L609" s="25">
        <f t="shared" si="120"/>
        <v>2.59</v>
      </c>
      <c r="M609" s="26">
        <f t="shared" si="121"/>
        <v>0.86333333333333329</v>
      </c>
      <c r="N609" s="27">
        <f t="shared" si="122"/>
        <v>3</v>
      </c>
      <c r="O609" s="28">
        <f t="shared" si="123"/>
        <v>110</v>
      </c>
      <c r="P609" s="29">
        <f t="shared" si="124"/>
        <v>36.666666666666664</v>
      </c>
      <c r="Q609" s="30">
        <f t="shared" si="125"/>
        <v>3</v>
      </c>
      <c r="R609" s="11" t="str">
        <f t="shared" si="126"/>
        <v>6</v>
      </c>
      <c r="S609" s="10" t="str">
        <f t="shared" si="127"/>
        <v>8</v>
      </c>
      <c r="T609" s="9">
        <f t="shared" si="128"/>
        <v>3</v>
      </c>
      <c r="U609" t="str">
        <f t="shared" si="129"/>
        <v>Mismatch</v>
      </c>
    </row>
    <row r="610" spans="1:21" x14ac:dyDescent="0.2">
      <c r="A610" s="12">
        <v>608</v>
      </c>
      <c r="B610" s="12">
        <v>609</v>
      </c>
      <c r="C610" s="12">
        <v>0.2727</v>
      </c>
      <c r="D610" s="12">
        <v>0.8</v>
      </c>
      <c r="E610" s="12">
        <v>0</v>
      </c>
      <c r="F610" s="12">
        <v>2</v>
      </c>
      <c r="G610" s="12">
        <v>36</v>
      </c>
      <c r="H610" s="12">
        <v>38</v>
      </c>
      <c r="I610" s="22">
        <f t="shared" si="117"/>
        <v>0.53029999999999999</v>
      </c>
      <c r="J610" s="23">
        <f t="shared" si="118"/>
        <v>0.26515</v>
      </c>
      <c r="K610" s="24">
        <f t="shared" si="119"/>
        <v>2</v>
      </c>
      <c r="L610" s="25">
        <f t="shared" si="120"/>
        <v>1.6600000000000001</v>
      </c>
      <c r="M610" s="26">
        <f t="shared" si="121"/>
        <v>0.83000000000000007</v>
      </c>
      <c r="N610" s="27">
        <f t="shared" si="122"/>
        <v>2</v>
      </c>
      <c r="O610" s="28">
        <f t="shared" si="123"/>
        <v>79</v>
      </c>
      <c r="P610" s="29">
        <f t="shared" si="124"/>
        <v>39.5</v>
      </c>
      <c r="Q610" s="30">
        <f t="shared" si="125"/>
        <v>2</v>
      </c>
      <c r="R610" s="11" t="str">
        <f t="shared" si="126"/>
        <v>6</v>
      </c>
      <c r="S610" s="10" t="str">
        <f t="shared" si="127"/>
        <v>9</v>
      </c>
      <c r="T610" s="9">
        <f t="shared" si="128"/>
        <v>3</v>
      </c>
      <c r="U610" t="str">
        <f t="shared" si="129"/>
        <v>Mismatch</v>
      </c>
    </row>
    <row r="611" spans="1:21" x14ac:dyDescent="0.2">
      <c r="A611" s="12">
        <v>609</v>
      </c>
      <c r="B611" s="12">
        <v>610</v>
      </c>
      <c r="C611" s="12">
        <v>0.2576</v>
      </c>
      <c r="D611" s="12">
        <v>0.86</v>
      </c>
      <c r="E611" s="12">
        <v>0</v>
      </c>
      <c r="F611" s="12">
        <v>1</v>
      </c>
      <c r="G611" s="12">
        <v>40</v>
      </c>
      <c r="H611" s="12">
        <v>41</v>
      </c>
      <c r="I611" s="22">
        <f t="shared" si="117"/>
        <v>0.2576</v>
      </c>
      <c r="J611" s="23">
        <f t="shared" si="118"/>
        <v>0.2576</v>
      </c>
      <c r="K611" s="24">
        <f t="shared" si="119"/>
        <v>1</v>
      </c>
      <c r="L611" s="25">
        <f t="shared" si="120"/>
        <v>0.86</v>
      </c>
      <c r="M611" s="26">
        <f t="shared" si="121"/>
        <v>0.86</v>
      </c>
      <c r="N611" s="27">
        <f t="shared" si="122"/>
        <v>1</v>
      </c>
      <c r="O611" s="28">
        <f t="shared" si="123"/>
        <v>41</v>
      </c>
      <c r="P611" s="29">
        <f t="shared" si="124"/>
        <v>41</v>
      </c>
      <c r="Q611" s="30">
        <f t="shared" si="125"/>
        <v>1</v>
      </c>
      <c r="R611" s="11" t="str">
        <f t="shared" si="126"/>
        <v>6</v>
      </c>
      <c r="S611" s="10" t="str">
        <f t="shared" si="127"/>
        <v>0</v>
      </c>
      <c r="T611" s="9">
        <f t="shared" si="128"/>
        <v>3</v>
      </c>
      <c r="U611" t="str">
        <f t="shared" si="129"/>
        <v>Mismatch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D7E2-074E-4EA4-A7C4-A0B76885CE06}">
  <dimension ref="A3:B29"/>
  <sheetViews>
    <sheetView workbookViewId="0">
      <selection activeCell="N6" sqref="N6"/>
    </sheetView>
  </sheetViews>
  <sheetFormatPr defaultRowHeight="15" x14ac:dyDescent="0.2"/>
  <cols>
    <col min="1" max="1" width="11.43359375" bestFit="1" customWidth="1"/>
    <col min="2" max="2" width="10.22265625" bestFit="1" customWidth="1"/>
  </cols>
  <sheetData>
    <row r="3" spans="1:2" x14ac:dyDescent="0.2">
      <c r="A3" s="39" t="s">
        <v>0</v>
      </c>
      <c r="B3" t="s">
        <v>47</v>
      </c>
    </row>
    <row r="4" spans="1:2" x14ac:dyDescent="0.2">
      <c r="A4">
        <v>0</v>
      </c>
      <c r="B4" s="38">
        <v>333</v>
      </c>
    </row>
    <row r="5" spans="1:2" x14ac:dyDescent="0.2">
      <c r="A5">
        <v>1</v>
      </c>
      <c r="B5" s="38">
        <v>221</v>
      </c>
    </row>
    <row r="6" spans="1:2" x14ac:dyDescent="0.2">
      <c r="A6">
        <v>2</v>
      </c>
      <c r="B6" s="38">
        <v>124</v>
      </c>
    </row>
    <row r="7" spans="1:2" x14ac:dyDescent="0.2">
      <c r="A7">
        <v>3</v>
      </c>
      <c r="B7" s="38">
        <v>75</v>
      </c>
    </row>
    <row r="8" spans="1:2" x14ac:dyDescent="0.2">
      <c r="A8">
        <v>4</v>
      </c>
      <c r="B8" s="38">
        <v>31</v>
      </c>
    </row>
    <row r="9" spans="1:2" x14ac:dyDescent="0.2">
      <c r="A9">
        <v>5</v>
      </c>
      <c r="B9" s="38">
        <v>69</v>
      </c>
    </row>
    <row r="10" spans="1:2" x14ac:dyDescent="0.2">
      <c r="A10">
        <v>6</v>
      </c>
      <c r="B10" s="38">
        <v>346</v>
      </c>
    </row>
    <row r="11" spans="1:2" x14ac:dyDescent="0.2">
      <c r="A11">
        <v>7</v>
      </c>
      <c r="B11" s="38">
        <v>946</v>
      </c>
    </row>
    <row r="12" spans="1:2" x14ac:dyDescent="0.2">
      <c r="A12">
        <v>8</v>
      </c>
      <c r="B12" s="38">
        <v>2070</v>
      </c>
    </row>
    <row r="13" spans="1:2" x14ac:dyDescent="0.2">
      <c r="A13">
        <v>9</v>
      </c>
      <c r="B13" s="38">
        <v>1476</v>
      </c>
    </row>
    <row r="14" spans="1:2" x14ac:dyDescent="0.2">
      <c r="A14">
        <v>10</v>
      </c>
      <c r="B14" s="38">
        <v>952</v>
      </c>
    </row>
    <row r="15" spans="1:2" x14ac:dyDescent="0.2">
      <c r="A15">
        <v>11</v>
      </c>
      <c r="B15" s="38">
        <v>1039</v>
      </c>
    </row>
    <row r="16" spans="1:2" x14ac:dyDescent="0.2">
      <c r="A16">
        <v>12</v>
      </c>
      <c r="B16" s="38">
        <v>1347</v>
      </c>
    </row>
    <row r="17" spans="1:2" x14ac:dyDescent="0.2">
      <c r="A17">
        <v>13</v>
      </c>
      <c r="B17" s="38">
        <v>1361</v>
      </c>
    </row>
    <row r="18" spans="1:2" x14ac:dyDescent="0.2">
      <c r="A18">
        <v>14</v>
      </c>
      <c r="B18" s="38">
        <v>1373</v>
      </c>
    </row>
    <row r="19" spans="1:2" x14ac:dyDescent="0.2">
      <c r="A19">
        <v>15</v>
      </c>
      <c r="B19" s="38">
        <v>1418</v>
      </c>
    </row>
    <row r="20" spans="1:2" x14ac:dyDescent="0.2">
      <c r="A20">
        <v>16</v>
      </c>
      <c r="B20" s="38">
        <v>1728</v>
      </c>
    </row>
    <row r="21" spans="1:2" x14ac:dyDescent="0.2">
      <c r="A21">
        <v>17</v>
      </c>
      <c r="B21" s="38">
        <v>2619</v>
      </c>
    </row>
    <row r="22" spans="1:2" x14ac:dyDescent="0.2">
      <c r="A22">
        <v>18</v>
      </c>
      <c r="B22" s="38">
        <v>2201</v>
      </c>
    </row>
    <row r="23" spans="1:2" x14ac:dyDescent="0.2">
      <c r="A23">
        <v>19</v>
      </c>
      <c r="B23" s="38">
        <v>1448</v>
      </c>
    </row>
    <row r="24" spans="1:2" x14ac:dyDescent="0.2">
      <c r="A24">
        <v>20</v>
      </c>
      <c r="B24" s="38">
        <v>1115</v>
      </c>
    </row>
    <row r="25" spans="1:2" x14ac:dyDescent="0.2">
      <c r="A25">
        <v>21</v>
      </c>
      <c r="B25" s="38">
        <v>921</v>
      </c>
    </row>
    <row r="26" spans="1:2" x14ac:dyDescent="0.2">
      <c r="A26">
        <v>22</v>
      </c>
      <c r="B26" s="38">
        <v>670</v>
      </c>
    </row>
    <row r="27" spans="1:2" x14ac:dyDescent="0.2">
      <c r="A27">
        <v>23</v>
      </c>
      <c r="B27" s="38">
        <v>523</v>
      </c>
    </row>
    <row r="28" spans="1:2" x14ac:dyDescent="0.2">
      <c r="A28">
        <v>4558</v>
      </c>
      <c r="B28" s="38">
        <v>24406</v>
      </c>
    </row>
    <row r="29" spans="1:2" x14ac:dyDescent="0.2">
      <c r="A29" t="s">
        <v>2</v>
      </c>
      <c r="B29" s="38">
        <v>48812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FFCE-7107-439C-8FC3-E4547BC85D58}">
  <dimension ref="A3:B8"/>
  <sheetViews>
    <sheetView workbookViewId="0">
      <selection activeCell="K6" sqref="K6"/>
    </sheetView>
  </sheetViews>
  <sheetFormatPr defaultRowHeight="15" x14ac:dyDescent="0.2"/>
  <cols>
    <col min="1" max="1" width="13.5859375" bestFit="1" customWidth="1"/>
    <col min="2" max="2" width="14.66015625" bestFit="1" customWidth="1"/>
  </cols>
  <sheetData>
    <row r="3" spans="1:2" x14ac:dyDescent="0.2">
      <c r="A3" s="39" t="s">
        <v>3</v>
      </c>
      <c r="B3" t="s">
        <v>49</v>
      </c>
    </row>
    <row r="4" spans="1:2" x14ac:dyDescent="0.2">
      <c r="A4">
        <v>1</v>
      </c>
      <c r="B4" s="38">
        <v>29711.652173912986</v>
      </c>
    </row>
    <row r="5" spans="1:2" x14ac:dyDescent="0.2">
      <c r="A5">
        <v>2</v>
      </c>
      <c r="B5" s="38">
        <v>14356.470588235272</v>
      </c>
    </row>
    <row r="6" spans="1:2" x14ac:dyDescent="0.2">
      <c r="A6">
        <v>3</v>
      </c>
      <c r="B6" s="38">
        <v>4619.0383631713557</v>
      </c>
    </row>
    <row r="7" spans="1:2" x14ac:dyDescent="0.2">
      <c r="A7">
        <v>579</v>
      </c>
      <c r="B7" s="38"/>
    </row>
    <row r="8" spans="1:2" x14ac:dyDescent="0.2">
      <c r="A8" t="s">
        <v>2</v>
      </c>
      <c r="B8" s="38">
        <v>48687.16112531961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7A75-0E04-417E-936C-80461CDB3148}">
  <dimension ref="A3:B7"/>
  <sheetViews>
    <sheetView workbookViewId="0">
      <selection activeCell="L23" sqref="L23"/>
    </sheetView>
  </sheetViews>
  <sheetFormatPr defaultRowHeight="15" x14ac:dyDescent="0.2"/>
  <cols>
    <col min="1" max="1" width="11.703125" bestFit="1" customWidth="1"/>
    <col min="2" max="3" width="10.22265625" bestFit="1" customWidth="1"/>
  </cols>
  <sheetData>
    <row r="3" spans="1:2" x14ac:dyDescent="0.2">
      <c r="A3" s="39" t="s">
        <v>4</v>
      </c>
      <c r="B3" t="s">
        <v>47</v>
      </c>
    </row>
    <row r="4" spans="1:2" x14ac:dyDescent="0.2">
      <c r="A4" t="s">
        <v>73</v>
      </c>
      <c r="B4" s="38">
        <v>16523</v>
      </c>
    </row>
    <row r="5" spans="1:2" x14ac:dyDescent="0.2">
      <c r="A5" t="s">
        <v>74</v>
      </c>
      <c r="B5" s="38">
        <v>7883</v>
      </c>
    </row>
    <row r="6" spans="1:2" x14ac:dyDescent="0.2">
      <c r="A6" t="s">
        <v>75</v>
      </c>
      <c r="B6" s="38">
        <v>24406</v>
      </c>
    </row>
    <row r="7" spans="1:2" x14ac:dyDescent="0.2">
      <c r="A7" t="s">
        <v>2</v>
      </c>
      <c r="B7" s="38">
        <v>48812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26FF-5DB5-4F13-848A-C907EFAA3122}">
  <dimension ref="A1:AC397"/>
  <sheetViews>
    <sheetView topLeftCell="I1" workbookViewId="0">
      <selection activeCell="X13" sqref="X13"/>
    </sheetView>
  </sheetViews>
  <sheetFormatPr defaultColWidth="9.14453125" defaultRowHeight="15" x14ac:dyDescent="0.2"/>
  <cols>
    <col min="1" max="1" width="7.3984375" style="32" bestFit="1" customWidth="1"/>
    <col min="2" max="2" width="10.22265625" style="32" bestFit="1" customWidth="1"/>
    <col min="3" max="3" width="7.26171875" style="32" bestFit="1" customWidth="1"/>
    <col min="4" max="4" width="2.5546875" style="32" bestFit="1" customWidth="1"/>
    <col min="5" max="5" width="5.37890625" style="32" bestFit="1" customWidth="1"/>
    <col min="6" max="6" width="5.109375" style="32" bestFit="1" customWidth="1"/>
    <col min="7" max="7" width="7.3984375" style="32" bestFit="1" customWidth="1"/>
    <col min="8" max="8" width="8.609375" style="32" bestFit="1" customWidth="1"/>
    <col min="9" max="9" width="9.953125" style="32" bestFit="1" customWidth="1"/>
    <col min="10" max="10" width="5.24609375" style="32" bestFit="1" customWidth="1"/>
    <col min="11" max="11" width="7.80078125" style="32" bestFit="1" customWidth="1"/>
    <col min="12" max="12" width="6.859375" style="32" bestFit="1" customWidth="1"/>
    <col min="13" max="13" width="10.22265625" style="32" bestFit="1" customWidth="1"/>
    <col min="14" max="14" width="6.58984375" style="32" bestFit="1" customWidth="1"/>
    <col min="15" max="15" width="9.81640625" style="32" bestFit="1" customWidth="1"/>
    <col min="16" max="16" width="6.3203125" style="32" bestFit="1" customWidth="1"/>
    <col min="17" max="17" width="9.14453125" style="32" bestFit="1" customWidth="1"/>
    <col min="18" max="18" width="8.875" style="45" bestFit="1" customWidth="1"/>
    <col min="19" max="19" width="12.23828125" style="45" bestFit="1" customWidth="1"/>
    <col min="20" max="20" width="9.28125" style="45" bestFit="1" customWidth="1"/>
    <col min="21" max="21" width="12.64453125" style="45" bestFit="1" customWidth="1"/>
    <col min="22" max="22" width="13.44921875" style="45" bestFit="1" customWidth="1"/>
    <col min="23" max="23" width="15.19921875" style="45" bestFit="1" customWidth="1"/>
    <col min="24" max="24" width="6.859375" style="45" bestFit="1" customWidth="1"/>
    <col min="25" max="25" width="7.26171875" style="32" bestFit="1" customWidth="1"/>
    <col min="26" max="26" width="5.6484375" style="32" bestFit="1" customWidth="1"/>
    <col min="27" max="28" width="12.23828125" style="32" bestFit="1" customWidth="1"/>
    <col min="29" max="29" width="17.62109375" style="32" bestFit="1" customWidth="1"/>
    <col min="30" max="16384" width="9.14453125" style="32"/>
  </cols>
  <sheetData>
    <row r="1" spans="1:29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11</v>
      </c>
      <c r="H1" s="1" t="s">
        <v>12</v>
      </c>
      <c r="I1" s="1" t="s">
        <v>3</v>
      </c>
      <c r="J1" s="1" t="s">
        <v>13</v>
      </c>
      <c r="K1" s="1" t="s">
        <v>53</v>
      </c>
      <c r="L1" s="1" t="s">
        <v>48</v>
      </c>
      <c r="M1" s="1" t="s">
        <v>54</v>
      </c>
      <c r="N1" s="1" t="s">
        <v>55</v>
      </c>
      <c r="O1" s="1" t="s">
        <v>56</v>
      </c>
      <c r="P1" s="1" t="s">
        <v>46</v>
      </c>
      <c r="Q1" s="2" t="s">
        <v>4</v>
      </c>
      <c r="R1" s="41" t="s">
        <v>76</v>
      </c>
      <c r="S1" s="41" t="s">
        <v>64</v>
      </c>
      <c r="T1" s="41" t="s">
        <v>65</v>
      </c>
      <c r="U1" s="41" t="s">
        <v>77</v>
      </c>
      <c r="V1" s="41" t="s">
        <v>78</v>
      </c>
      <c r="W1" s="41" t="s">
        <v>79</v>
      </c>
      <c r="X1" s="41" t="s">
        <v>80</v>
      </c>
      <c r="Y1" s="2" t="s">
        <v>69</v>
      </c>
      <c r="Z1" s="2" t="s">
        <v>24</v>
      </c>
      <c r="AA1" s="2" t="s">
        <v>81</v>
      </c>
      <c r="AB1" s="2" t="s">
        <v>26</v>
      </c>
      <c r="AC1" s="2" t="s">
        <v>82</v>
      </c>
    </row>
    <row r="2" spans="1:29" x14ac:dyDescent="0.2">
      <c r="A2" s="4">
        <v>620</v>
      </c>
      <c r="B2" s="4" t="s">
        <v>83</v>
      </c>
      <c r="C2" s="4">
        <v>1</v>
      </c>
      <c r="D2" s="4">
        <v>0</v>
      </c>
      <c r="E2" s="4">
        <v>1</v>
      </c>
      <c r="F2" s="4">
        <v>1</v>
      </c>
      <c r="G2" s="4" t="b">
        <v>0</v>
      </c>
      <c r="H2" s="4">
        <v>6</v>
      </c>
      <c r="I2" s="4">
        <v>1</v>
      </c>
      <c r="J2" s="4">
        <v>0.22</v>
      </c>
      <c r="K2" s="4">
        <v>0.2273</v>
      </c>
      <c r="L2" s="4">
        <v>0.64</v>
      </c>
      <c r="M2" s="4">
        <v>0.19400000000000001</v>
      </c>
      <c r="N2" s="4">
        <v>0</v>
      </c>
      <c r="O2" s="4">
        <v>20</v>
      </c>
      <c r="P2" s="4">
        <v>20</v>
      </c>
      <c r="Q2" s="6" t="str">
        <f>IF(H2=0,"Weekend",IF(H2=6,"Weekend","Weekday"))</f>
        <v>Weekend</v>
      </c>
      <c r="R2" s="42">
        <f>SUM(P2:P391)</f>
        <v>24406</v>
      </c>
      <c r="S2" s="42">
        <f>AVERAGE($P$2:$P$392)</f>
        <v>124.8388746803069</v>
      </c>
      <c r="T2" s="42">
        <f>COUNT(P2:P392)</f>
        <v>391</v>
      </c>
      <c r="U2" s="42" t="str">
        <f>LEFT(Q3,3)</f>
        <v>Wee</v>
      </c>
      <c r="V2" s="42" t="str">
        <f>RIGHT(Q3,4)</f>
        <v>kend</v>
      </c>
      <c r="W2" s="42">
        <f>LEN(Q2)</f>
        <v>7</v>
      </c>
      <c r="X2" s="42">
        <f>INDEX(K:K,MATCH(A2,A:A,0))</f>
        <v>0.2273</v>
      </c>
      <c r="Y2" s="3">
        <f>COUNTIF(P:P,"&gt;100")</f>
        <v>82</v>
      </c>
      <c r="Z2" s="3">
        <f>SUMIF(Q:Q,"Weekend",P:P)</f>
        <v>7883</v>
      </c>
      <c r="AA2" s="3">
        <f>STDEV(P:P)</f>
        <v>1232.2489122187819</v>
      </c>
      <c r="AB2" s="3">
        <f>CORREL(J:J,P:P)</f>
        <v>0.99911573903365103</v>
      </c>
      <c r="AC2" s="3" t="str">
        <f>IF(ABS(P2-AVERAGE($P$2:$P$784))&gt;2*STDEV($P$2:$P$784),"ANOMALY","Normal")</f>
        <v>Normal</v>
      </c>
    </row>
    <row r="3" spans="1:29" x14ac:dyDescent="0.2">
      <c r="A3" s="4">
        <v>621</v>
      </c>
      <c r="B3" s="4" t="s">
        <v>83</v>
      </c>
      <c r="C3" s="4">
        <v>1</v>
      </c>
      <c r="D3" s="4">
        <v>0</v>
      </c>
      <c r="E3" s="4">
        <v>1</v>
      </c>
      <c r="F3" s="4">
        <v>2</v>
      </c>
      <c r="G3" s="4" t="b">
        <v>0</v>
      </c>
      <c r="H3" s="4">
        <v>6</v>
      </c>
      <c r="I3" s="4">
        <v>1</v>
      </c>
      <c r="J3" s="4">
        <v>0.22</v>
      </c>
      <c r="K3" s="4">
        <v>0.2273</v>
      </c>
      <c r="L3" s="4">
        <v>0.64</v>
      </c>
      <c r="M3" s="4">
        <v>0.16420000000000001</v>
      </c>
      <c r="N3" s="4">
        <v>0</v>
      </c>
      <c r="O3" s="4">
        <v>15</v>
      </c>
      <c r="P3" s="4">
        <v>15</v>
      </c>
      <c r="Q3" s="6" t="str">
        <f t="shared" ref="Q3:Q66" si="0">IF(H3=0,"Weekend",IF(H3=6,"Weekend","Weekday"))</f>
        <v>Weekend</v>
      </c>
      <c r="R3" s="42">
        <f t="shared" ref="R3:R66" si="1">SUM(P3:P392)</f>
        <v>48792</v>
      </c>
      <c r="S3" s="42">
        <f t="shared" ref="S3:S66" si="2">AVERAGE($P$2:$P$392)</f>
        <v>124.8388746803069</v>
      </c>
      <c r="T3" s="42">
        <f t="shared" ref="T3:T66" si="3">COUNT(P3:P393)</f>
        <v>390</v>
      </c>
      <c r="U3" s="42" t="str">
        <f t="shared" ref="U3:U66" si="4">LEFT(Q4,3)</f>
        <v>Wee</v>
      </c>
      <c r="V3" s="42" t="str">
        <f t="shared" ref="V3:V66" si="5">RIGHT(Q4,4)</f>
        <v>kend</v>
      </c>
      <c r="W3" s="42">
        <f t="shared" ref="W3:W66" si="6">LEN(Q3)</f>
        <v>7</v>
      </c>
      <c r="X3" s="42">
        <f t="shared" ref="X3:X66" si="7">INDEX(K:K,MATCH(A3,A:A,0))</f>
        <v>0.2273</v>
      </c>
      <c r="Y3" s="3">
        <f>COUNTIF(P:P,"&gt;100")</f>
        <v>82</v>
      </c>
      <c r="Z3" s="3">
        <f>SUMIF(Q:Q,"Weekend",P:P)</f>
        <v>7883</v>
      </c>
      <c r="AA3" s="3">
        <f t="shared" ref="AA3:AA66" si="8">STDEV(P:P)</f>
        <v>1232.2489122187819</v>
      </c>
      <c r="AB3" s="3">
        <f t="shared" ref="AB3:AB66" si="9">CORREL(J:J,P:P)</f>
        <v>0.99911573903365103</v>
      </c>
      <c r="AC3" s="3" t="str">
        <f t="shared" ref="AC3:AC66" si="10">IF(ABS(P3-AVERAGE($P$2:$P$784))&gt;2*STDEV($P$2:$P$784),"ANOMALY","Normal")</f>
        <v>Normal</v>
      </c>
    </row>
    <row r="4" spans="1:29" x14ac:dyDescent="0.2">
      <c r="A4" s="4">
        <v>622</v>
      </c>
      <c r="B4" s="4" t="s">
        <v>83</v>
      </c>
      <c r="C4" s="4">
        <v>1</v>
      </c>
      <c r="D4" s="4">
        <v>0</v>
      </c>
      <c r="E4" s="4">
        <v>1</v>
      </c>
      <c r="F4" s="4">
        <v>3</v>
      </c>
      <c r="G4" s="4" t="b">
        <v>0</v>
      </c>
      <c r="H4" s="4">
        <v>6</v>
      </c>
      <c r="I4" s="4">
        <v>1</v>
      </c>
      <c r="J4" s="4">
        <v>0.2</v>
      </c>
      <c r="K4" s="4">
        <v>0.21210000000000001</v>
      </c>
      <c r="L4" s="4">
        <v>0.64</v>
      </c>
      <c r="M4" s="4">
        <v>0.1343</v>
      </c>
      <c r="N4" s="4">
        <v>3</v>
      </c>
      <c r="O4" s="4">
        <v>5</v>
      </c>
      <c r="P4" s="4">
        <v>8</v>
      </c>
      <c r="Q4" s="6" t="str">
        <f t="shared" si="0"/>
        <v>Weekend</v>
      </c>
      <c r="R4" s="42">
        <f t="shared" si="1"/>
        <v>48777</v>
      </c>
      <c r="S4" s="42">
        <f t="shared" si="2"/>
        <v>124.8388746803069</v>
      </c>
      <c r="T4" s="42">
        <f t="shared" si="3"/>
        <v>389</v>
      </c>
      <c r="U4" s="42" t="str">
        <f t="shared" si="4"/>
        <v>Wee</v>
      </c>
      <c r="V4" s="42" t="str">
        <f t="shared" si="5"/>
        <v>kend</v>
      </c>
      <c r="W4" s="42">
        <f t="shared" si="6"/>
        <v>7</v>
      </c>
      <c r="X4" s="42">
        <f t="shared" si="7"/>
        <v>0.21210000000000001</v>
      </c>
      <c r="Y4" s="3">
        <f t="shared" ref="Y3:Y66" si="11">COUNTIF(P:P,"&gt;100")</f>
        <v>82</v>
      </c>
      <c r="Z4" s="3">
        <f t="shared" ref="Z4:Z67" si="12">SUMIF(Q:Q,"Weekend",P:P)</f>
        <v>7883</v>
      </c>
      <c r="AA4" s="3">
        <f t="shared" si="8"/>
        <v>1232.2489122187819</v>
      </c>
      <c r="AB4" s="3">
        <f t="shared" si="9"/>
        <v>0.99911573903365103</v>
      </c>
      <c r="AC4" s="3" t="str">
        <f t="shared" si="10"/>
        <v>Normal</v>
      </c>
    </row>
    <row r="5" spans="1:29" x14ac:dyDescent="0.2">
      <c r="A5" s="4">
        <v>623</v>
      </c>
      <c r="B5" s="4" t="s">
        <v>83</v>
      </c>
      <c r="C5" s="4">
        <v>1</v>
      </c>
      <c r="D5" s="4">
        <v>0</v>
      </c>
      <c r="E5" s="4">
        <v>1</v>
      </c>
      <c r="F5" s="4">
        <v>4</v>
      </c>
      <c r="G5" s="4" t="b">
        <v>0</v>
      </c>
      <c r="H5" s="4">
        <v>6</v>
      </c>
      <c r="I5" s="4">
        <v>1</v>
      </c>
      <c r="J5" s="4">
        <v>0.16</v>
      </c>
      <c r="K5" s="4">
        <v>0.18179999999999999</v>
      </c>
      <c r="L5" s="4">
        <v>0.69</v>
      </c>
      <c r="M5" s="4">
        <v>0.1045</v>
      </c>
      <c r="N5" s="4">
        <v>1</v>
      </c>
      <c r="O5" s="4">
        <v>2</v>
      </c>
      <c r="P5" s="4">
        <v>3</v>
      </c>
      <c r="Q5" s="6" t="str">
        <f t="shared" si="0"/>
        <v>Weekend</v>
      </c>
      <c r="R5" s="42">
        <f t="shared" si="1"/>
        <v>48769</v>
      </c>
      <c r="S5" s="42">
        <f t="shared" si="2"/>
        <v>124.8388746803069</v>
      </c>
      <c r="T5" s="42">
        <f t="shared" si="3"/>
        <v>388</v>
      </c>
      <c r="U5" s="42" t="str">
        <f t="shared" si="4"/>
        <v>Wee</v>
      </c>
      <c r="V5" s="42" t="str">
        <f t="shared" si="5"/>
        <v>kend</v>
      </c>
      <c r="W5" s="42">
        <f t="shared" si="6"/>
        <v>7</v>
      </c>
      <c r="X5" s="42">
        <f t="shared" si="7"/>
        <v>0.18179999999999999</v>
      </c>
      <c r="Y5" s="3">
        <f t="shared" si="11"/>
        <v>82</v>
      </c>
      <c r="Z5" s="3">
        <f t="shared" si="12"/>
        <v>7883</v>
      </c>
      <c r="AA5" s="3">
        <f t="shared" si="8"/>
        <v>1232.2489122187819</v>
      </c>
      <c r="AB5" s="3">
        <f t="shared" si="9"/>
        <v>0.99911573903365103</v>
      </c>
      <c r="AC5" s="3" t="str">
        <f t="shared" si="10"/>
        <v>Normal</v>
      </c>
    </row>
    <row r="6" spans="1:29" x14ac:dyDescent="0.2">
      <c r="A6" s="4">
        <v>624</v>
      </c>
      <c r="B6" s="4" t="s">
        <v>83</v>
      </c>
      <c r="C6" s="4">
        <v>1</v>
      </c>
      <c r="D6" s="4">
        <v>0</v>
      </c>
      <c r="E6" s="4">
        <v>1</v>
      </c>
      <c r="F6" s="4">
        <v>6</v>
      </c>
      <c r="G6" s="4" t="b">
        <v>0</v>
      </c>
      <c r="H6" s="4">
        <v>6</v>
      </c>
      <c r="I6" s="4">
        <v>1</v>
      </c>
      <c r="J6" s="4">
        <v>0.16</v>
      </c>
      <c r="K6" s="4">
        <v>0.18179999999999999</v>
      </c>
      <c r="L6" s="4">
        <v>0.64</v>
      </c>
      <c r="M6" s="4">
        <v>0.1343</v>
      </c>
      <c r="N6" s="4">
        <v>0</v>
      </c>
      <c r="O6" s="4">
        <v>2</v>
      </c>
      <c r="P6" s="4">
        <v>2</v>
      </c>
      <c r="Q6" s="6" t="str">
        <f t="shared" si="0"/>
        <v>Weekend</v>
      </c>
      <c r="R6" s="42">
        <f t="shared" si="1"/>
        <v>48766</v>
      </c>
      <c r="S6" s="42">
        <f t="shared" si="2"/>
        <v>124.8388746803069</v>
      </c>
      <c r="T6" s="42">
        <f t="shared" si="3"/>
        <v>387</v>
      </c>
      <c r="U6" s="42" t="str">
        <f t="shared" si="4"/>
        <v>Wee</v>
      </c>
      <c r="V6" s="42" t="str">
        <f t="shared" si="5"/>
        <v>kend</v>
      </c>
      <c r="W6" s="42">
        <f t="shared" si="6"/>
        <v>7</v>
      </c>
      <c r="X6" s="42">
        <f t="shared" si="7"/>
        <v>0.18179999999999999</v>
      </c>
      <c r="Y6" s="3">
        <f t="shared" si="11"/>
        <v>82</v>
      </c>
      <c r="Z6" s="3">
        <f t="shared" si="12"/>
        <v>7883</v>
      </c>
      <c r="AA6" s="3">
        <f t="shared" si="8"/>
        <v>1232.2489122187819</v>
      </c>
      <c r="AB6" s="3">
        <f t="shared" si="9"/>
        <v>0.99911573903365103</v>
      </c>
      <c r="AC6" s="3" t="str">
        <f t="shared" si="10"/>
        <v>Normal</v>
      </c>
    </row>
    <row r="7" spans="1:29" x14ac:dyDescent="0.2">
      <c r="A7" s="4">
        <v>625</v>
      </c>
      <c r="B7" s="4" t="s">
        <v>83</v>
      </c>
      <c r="C7" s="4">
        <v>1</v>
      </c>
      <c r="D7" s="4">
        <v>0</v>
      </c>
      <c r="E7" s="4">
        <v>1</v>
      </c>
      <c r="F7" s="4">
        <v>7</v>
      </c>
      <c r="G7" s="4" t="b">
        <v>0</v>
      </c>
      <c r="H7" s="4">
        <v>6</v>
      </c>
      <c r="I7" s="4">
        <v>1</v>
      </c>
      <c r="J7" s="4">
        <v>0.16</v>
      </c>
      <c r="K7" s="4">
        <v>0.18179999999999999</v>
      </c>
      <c r="L7" s="4">
        <v>0.59</v>
      </c>
      <c r="M7" s="4">
        <v>0.1045</v>
      </c>
      <c r="N7" s="4">
        <v>1</v>
      </c>
      <c r="O7" s="4">
        <v>4</v>
      </c>
      <c r="P7" s="4">
        <v>5</v>
      </c>
      <c r="Q7" s="6" t="str">
        <f t="shared" si="0"/>
        <v>Weekend</v>
      </c>
      <c r="R7" s="42">
        <f t="shared" si="1"/>
        <v>48764</v>
      </c>
      <c r="S7" s="42">
        <f t="shared" si="2"/>
        <v>124.8388746803069</v>
      </c>
      <c r="T7" s="42">
        <f t="shared" si="3"/>
        <v>386</v>
      </c>
      <c r="U7" s="42" t="str">
        <f t="shared" si="4"/>
        <v>Wee</v>
      </c>
      <c r="V7" s="42" t="str">
        <f t="shared" si="5"/>
        <v>kend</v>
      </c>
      <c r="W7" s="42">
        <f t="shared" si="6"/>
        <v>7</v>
      </c>
      <c r="X7" s="42">
        <f t="shared" si="7"/>
        <v>0.18179999999999999</v>
      </c>
      <c r="Y7" s="3">
        <f t="shared" si="11"/>
        <v>82</v>
      </c>
      <c r="Z7" s="3">
        <f t="shared" si="12"/>
        <v>7883</v>
      </c>
      <c r="AA7" s="3">
        <f t="shared" si="8"/>
        <v>1232.2489122187819</v>
      </c>
      <c r="AB7" s="3">
        <f t="shared" si="9"/>
        <v>0.99911573903365103</v>
      </c>
      <c r="AC7" s="3" t="str">
        <f t="shared" si="10"/>
        <v>Normal</v>
      </c>
    </row>
    <row r="8" spans="1:29" x14ac:dyDescent="0.2">
      <c r="A8" s="4">
        <v>626</v>
      </c>
      <c r="B8" s="4" t="s">
        <v>83</v>
      </c>
      <c r="C8" s="4">
        <v>1</v>
      </c>
      <c r="D8" s="4">
        <v>0</v>
      </c>
      <c r="E8" s="4">
        <v>1</v>
      </c>
      <c r="F8" s="4">
        <v>8</v>
      </c>
      <c r="G8" s="4" t="b">
        <v>0</v>
      </c>
      <c r="H8" s="4">
        <v>6</v>
      </c>
      <c r="I8" s="4">
        <v>1</v>
      </c>
      <c r="J8" s="4">
        <v>0.18</v>
      </c>
      <c r="K8" s="4">
        <v>0.19700000000000001</v>
      </c>
      <c r="L8" s="4">
        <v>0.55000000000000004</v>
      </c>
      <c r="M8" s="4">
        <v>0.16420000000000001</v>
      </c>
      <c r="N8" s="4">
        <v>3</v>
      </c>
      <c r="O8" s="4">
        <v>31</v>
      </c>
      <c r="P8" s="4">
        <v>34</v>
      </c>
      <c r="Q8" s="6" t="str">
        <f t="shared" si="0"/>
        <v>Weekend</v>
      </c>
      <c r="R8" s="42">
        <f t="shared" si="1"/>
        <v>48759</v>
      </c>
      <c r="S8" s="42">
        <f t="shared" si="2"/>
        <v>124.8388746803069</v>
      </c>
      <c r="T8" s="42">
        <f t="shared" si="3"/>
        <v>385</v>
      </c>
      <c r="U8" s="42" t="str">
        <f t="shared" si="4"/>
        <v>Wee</v>
      </c>
      <c r="V8" s="42" t="str">
        <f t="shared" si="5"/>
        <v>kend</v>
      </c>
      <c r="W8" s="42">
        <f t="shared" si="6"/>
        <v>7</v>
      </c>
      <c r="X8" s="42">
        <f t="shared" si="7"/>
        <v>0.19700000000000001</v>
      </c>
      <c r="Y8" s="3">
        <f t="shared" si="11"/>
        <v>82</v>
      </c>
      <c r="Z8" s="3">
        <f t="shared" si="12"/>
        <v>7883</v>
      </c>
      <c r="AA8" s="3">
        <f t="shared" si="8"/>
        <v>1232.2489122187819</v>
      </c>
      <c r="AB8" s="3">
        <f t="shared" si="9"/>
        <v>0.99911573903365103</v>
      </c>
      <c r="AC8" s="3" t="str">
        <f t="shared" si="10"/>
        <v>Normal</v>
      </c>
    </row>
    <row r="9" spans="1:29" x14ac:dyDescent="0.2">
      <c r="A9" s="4">
        <v>627</v>
      </c>
      <c r="B9" s="4" t="s">
        <v>83</v>
      </c>
      <c r="C9" s="4">
        <v>1</v>
      </c>
      <c r="D9" s="4">
        <v>0</v>
      </c>
      <c r="E9" s="4">
        <v>1</v>
      </c>
      <c r="F9" s="4">
        <v>9</v>
      </c>
      <c r="G9" s="4" t="b">
        <v>0</v>
      </c>
      <c r="H9" s="4">
        <v>6</v>
      </c>
      <c r="I9" s="4">
        <v>1</v>
      </c>
      <c r="J9" s="4">
        <v>0.18</v>
      </c>
      <c r="K9" s="4">
        <v>0.21210000000000001</v>
      </c>
      <c r="L9" s="4">
        <v>0.59</v>
      </c>
      <c r="M9" s="4">
        <v>8.9599999999999999E-2</v>
      </c>
      <c r="N9" s="4">
        <v>0</v>
      </c>
      <c r="O9" s="4">
        <v>34</v>
      </c>
      <c r="P9" s="4">
        <v>34</v>
      </c>
      <c r="Q9" s="6" t="str">
        <f t="shared" si="0"/>
        <v>Weekend</v>
      </c>
      <c r="R9" s="42">
        <f t="shared" si="1"/>
        <v>48725</v>
      </c>
      <c r="S9" s="42">
        <f t="shared" si="2"/>
        <v>124.8388746803069</v>
      </c>
      <c r="T9" s="42">
        <f t="shared" si="3"/>
        <v>384</v>
      </c>
      <c r="U9" s="42" t="str">
        <f t="shared" si="4"/>
        <v>Wee</v>
      </c>
      <c r="V9" s="42" t="str">
        <f t="shared" si="5"/>
        <v>kend</v>
      </c>
      <c r="W9" s="42">
        <f t="shared" si="6"/>
        <v>7</v>
      </c>
      <c r="X9" s="42">
        <f t="shared" si="7"/>
        <v>0.21210000000000001</v>
      </c>
      <c r="Y9" s="3">
        <f t="shared" si="11"/>
        <v>82</v>
      </c>
      <c r="Z9" s="3">
        <f t="shared" si="12"/>
        <v>7883</v>
      </c>
      <c r="AA9" s="3">
        <f t="shared" si="8"/>
        <v>1232.2489122187819</v>
      </c>
      <c r="AB9" s="3">
        <f t="shared" si="9"/>
        <v>0.99911573903365103</v>
      </c>
      <c r="AC9" s="3" t="str">
        <f t="shared" si="10"/>
        <v>Normal</v>
      </c>
    </row>
    <row r="10" spans="1:29" x14ac:dyDescent="0.2">
      <c r="A10" s="4">
        <v>628</v>
      </c>
      <c r="B10" s="4" t="s">
        <v>83</v>
      </c>
      <c r="C10" s="4">
        <v>1</v>
      </c>
      <c r="D10" s="4">
        <v>0</v>
      </c>
      <c r="E10" s="4">
        <v>1</v>
      </c>
      <c r="F10" s="4">
        <v>10</v>
      </c>
      <c r="G10" s="4" t="b">
        <v>0</v>
      </c>
      <c r="H10" s="4">
        <v>6</v>
      </c>
      <c r="I10" s="4">
        <v>2</v>
      </c>
      <c r="J10" s="4">
        <v>0.18</v>
      </c>
      <c r="K10" s="4">
        <v>0.21210000000000001</v>
      </c>
      <c r="L10" s="4">
        <v>0.64</v>
      </c>
      <c r="M10" s="4">
        <v>0.1045</v>
      </c>
      <c r="N10" s="4">
        <v>4</v>
      </c>
      <c r="O10" s="4">
        <v>51</v>
      </c>
      <c r="P10" s="4">
        <v>55</v>
      </c>
      <c r="Q10" s="6" t="str">
        <f t="shared" si="0"/>
        <v>Weekend</v>
      </c>
      <c r="R10" s="42">
        <f t="shared" si="1"/>
        <v>48691</v>
      </c>
      <c r="S10" s="42">
        <f t="shared" si="2"/>
        <v>124.8388746803069</v>
      </c>
      <c r="T10" s="42">
        <f t="shared" si="3"/>
        <v>383</v>
      </c>
      <c r="U10" s="42" t="str">
        <f t="shared" si="4"/>
        <v>Wee</v>
      </c>
      <c r="V10" s="42" t="str">
        <f t="shared" si="5"/>
        <v>kend</v>
      </c>
      <c r="W10" s="42">
        <f t="shared" si="6"/>
        <v>7</v>
      </c>
      <c r="X10" s="42">
        <f t="shared" si="7"/>
        <v>0.21210000000000001</v>
      </c>
      <c r="Y10" s="3">
        <f t="shared" si="11"/>
        <v>82</v>
      </c>
      <c r="Z10" s="3">
        <f t="shared" si="12"/>
        <v>7883</v>
      </c>
      <c r="AA10" s="3">
        <f t="shared" si="8"/>
        <v>1232.2489122187819</v>
      </c>
      <c r="AB10" s="3">
        <f t="shared" si="9"/>
        <v>0.99911573903365103</v>
      </c>
      <c r="AC10" s="3" t="str">
        <f t="shared" si="10"/>
        <v>Normal</v>
      </c>
    </row>
    <row r="11" spans="1:29" x14ac:dyDescent="0.2">
      <c r="A11" s="4">
        <v>629</v>
      </c>
      <c r="B11" s="4" t="s">
        <v>83</v>
      </c>
      <c r="C11" s="4">
        <v>1</v>
      </c>
      <c r="D11" s="4">
        <v>0</v>
      </c>
      <c r="E11" s="4">
        <v>1</v>
      </c>
      <c r="F11" s="4">
        <v>11</v>
      </c>
      <c r="G11" s="4" t="b">
        <v>0</v>
      </c>
      <c r="H11" s="4">
        <v>6</v>
      </c>
      <c r="I11" s="4">
        <v>2</v>
      </c>
      <c r="J11" s="4">
        <v>0.18</v>
      </c>
      <c r="K11" s="4">
        <v>0.19700000000000001</v>
      </c>
      <c r="L11" s="4">
        <v>0.64</v>
      </c>
      <c r="M11" s="4">
        <v>0.1343</v>
      </c>
      <c r="N11" s="4">
        <v>4</v>
      </c>
      <c r="O11" s="4">
        <v>60</v>
      </c>
      <c r="P11" s="4">
        <v>64</v>
      </c>
      <c r="Q11" s="6" t="str">
        <f t="shared" si="0"/>
        <v>Weekend</v>
      </c>
      <c r="R11" s="42">
        <f t="shared" si="1"/>
        <v>48636</v>
      </c>
      <c r="S11" s="42">
        <f t="shared" si="2"/>
        <v>124.8388746803069</v>
      </c>
      <c r="T11" s="42">
        <f t="shared" si="3"/>
        <v>382</v>
      </c>
      <c r="U11" s="42" t="str">
        <f t="shared" si="4"/>
        <v>Wee</v>
      </c>
      <c r="V11" s="42" t="str">
        <f t="shared" si="5"/>
        <v>kend</v>
      </c>
      <c r="W11" s="42">
        <f t="shared" si="6"/>
        <v>7</v>
      </c>
      <c r="X11" s="42">
        <f t="shared" si="7"/>
        <v>0.19700000000000001</v>
      </c>
      <c r="Y11" s="3">
        <f t="shared" si="11"/>
        <v>82</v>
      </c>
      <c r="Z11" s="3">
        <f t="shared" si="12"/>
        <v>7883</v>
      </c>
      <c r="AA11" s="3">
        <f t="shared" si="8"/>
        <v>1232.2489122187819</v>
      </c>
      <c r="AB11" s="3">
        <f t="shared" si="9"/>
        <v>0.99911573903365103</v>
      </c>
      <c r="AC11" s="3" t="str">
        <f t="shared" si="10"/>
        <v>Normal</v>
      </c>
    </row>
    <row r="12" spans="1:29" x14ac:dyDescent="0.2">
      <c r="A12" s="4">
        <v>630</v>
      </c>
      <c r="B12" s="4" t="s">
        <v>83</v>
      </c>
      <c r="C12" s="4">
        <v>1</v>
      </c>
      <c r="D12" s="4">
        <v>0</v>
      </c>
      <c r="E12" s="4">
        <v>1</v>
      </c>
      <c r="F12" s="4">
        <v>12</v>
      </c>
      <c r="G12" s="4" t="b">
        <v>0</v>
      </c>
      <c r="H12" s="4">
        <v>6</v>
      </c>
      <c r="I12" s="4">
        <v>2</v>
      </c>
      <c r="J12" s="4">
        <v>0.2</v>
      </c>
      <c r="K12" s="4">
        <v>0.19700000000000001</v>
      </c>
      <c r="L12" s="4">
        <v>0.59</v>
      </c>
      <c r="M12" s="4">
        <v>0.19400000000000001</v>
      </c>
      <c r="N12" s="4">
        <v>12</v>
      </c>
      <c r="O12" s="4">
        <v>66</v>
      </c>
      <c r="P12" s="4">
        <v>78</v>
      </c>
      <c r="Q12" s="6" t="str">
        <f t="shared" si="0"/>
        <v>Weekend</v>
      </c>
      <c r="R12" s="42">
        <f t="shared" si="1"/>
        <v>48572</v>
      </c>
      <c r="S12" s="42">
        <f t="shared" si="2"/>
        <v>124.8388746803069</v>
      </c>
      <c r="T12" s="42">
        <f t="shared" si="3"/>
        <v>381</v>
      </c>
      <c r="U12" s="42" t="str">
        <f t="shared" si="4"/>
        <v>Wee</v>
      </c>
      <c r="V12" s="42" t="str">
        <f t="shared" si="5"/>
        <v>kend</v>
      </c>
      <c r="W12" s="42">
        <f t="shared" si="6"/>
        <v>7</v>
      </c>
      <c r="X12" s="42">
        <f t="shared" si="7"/>
        <v>0.19700000000000001</v>
      </c>
      <c r="Y12" s="3">
        <f t="shared" si="11"/>
        <v>82</v>
      </c>
      <c r="Z12" s="3">
        <f t="shared" si="12"/>
        <v>7883</v>
      </c>
      <c r="AA12" s="3">
        <f t="shared" si="8"/>
        <v>1232.2489122187819</v>
      </c>
      <c r="AB12" s="3">
        <f t="shared" si="9"/>
        <v>0.99911573903365103</v>
      </c>
      <c r="AC12" s="3" t="str">
        <f t="shared" si="10"/>
        <v>Normal</v>
      </c>
    </row>
    <row r="13" spans="1:29" x14ac:dyDescent="0.2">
      <c r="A13" s="4">
        <v>631</v>
      </c>
      <c r="B13" s="4" t="s">
        <v>83</v>
      </c>
      <c r="C13" s="4">
        <v>1</v>
      </c>
      <c r="D13" s="4">
        <v>0</v>
      </c>
      <c r="E13" s="4">
        <v>1</v>
      </c>
      <c r="F13" s="4">
        <v>13</v>
      </c>
      <c r="G13" s="4" t="b">
        <v>0</v>
      </c>
      <c r="H13" s="4">
        <v>6</v>
      </c>
      <c r="I13" s="4">
        <v>2</v>
      </c>
      <c r="J13" s="4">
        <v>0.22</v>
      </c>
      <c r="K13" s="4">
        <v>0.2273</v>
      </c>
      <c r="L13" s="4">
        <v>0.55000000000000004</v>
      </c>
      <c r="M13" s="4">
        <v>0.16420000000000001</v>
      </c>
      <c r="N13" s="4">
        <v>9</v>
      </c>
      <c r="O13" s="4">
        <v>56</v>
      </c>
      <c r="P13" s="4">
        <v>65</v>
      </c>
      <c r="Q13" s="6" t="str">
        <f t="shared" si="0"/>
        <v>Weekend</v>
      </c>
      <c r="R13" s="42">
        <f t="shared" si="1"/>
        <v>48494</v>
      </c>
      <c r="S13" s="42">
        <f t="shared" si="2"/>
        <v>124.8388746803069</v>
      </c>
      <c r="T13" s="42">
        <f t="shared" si="3"/>
        <v>380</v>
      </c>
      <c r="U13" s="42" t="str">
        <f t="shared" si="4"/>
        <v>Wee</v>
      </c>
      <c r="V13" s="42" t="str">
        <f t="shared" si="5"/>
        <v>kend</v>
      </c>
      <c r="W13" s="42">
        <f t="shared" si="6"/>
        <v>7</v>
      </c>
      <c r="X13" s="42">
        <f t="shared" si="7"/>
        <v>0.2273</v>
      </c>
      <c r="Y13" s="3">
        <f t="shared" si="11"/>
        <v>82</v>
      </c>
      <c r="Z13" s="3">
        <f t="shared" si="12"/>
        <v>7883</v>
      </c>
      <c r="AA13" s="3">
        <f t="shared" si="8"/>
        <v>1232.2489122187819</v>
      </c>
      <c r="AB13" s="3">
        <f t="shared" si="9"/>
        <v>0.99911573903365103</v>
      </c>
      <c r="AC13" s="3" t="str">
        <f t="shared" si="10"/>
        <v>Normal</v>
      </c>
    </row>
    <row r="14" spans="1:29" x14ac:dyDescent="0.2">
      <c r="A14" s="4">
        <v>632</v>
      </c>
      <c r="B14" s="4" t="s">
        <v>83</v>
      </c>
      <c r="C14" s="4">
        <v>1</v>
      </c>
      <c r="D14" s="4">
        <v>0</v>
      </c>
      <c r="E14" s="4">
        <v>1</v>
      </c>
      <c r="F14" s="4">
        <v>14</v>
      </c>
      <c r="G14" s="4" t="b">
        <v>0</v>
      </c>
      <c r="H14" s="4">
        <v>6</v>
      </c>
      <c r="I14" s="4">
        <v>2</v>
      </c>
      <c r="J14" s="4">
        <v>0.22</v>
      </c>
      <c r="K14" s="4">
        <v>0.2273</v>
      </c>
      <c r="L14" s="4">
        <v>0.6</v>
      </c>
      <c r="M14" s="4">
        <v>0.1343</v>
      </c>
      <c r="N14" s="4">
        <v>10</v>
      </c>
      <c r="O14" s="4">
        <v>89</v>
      </c>
      <c r="P14" s="4">
        <v>99</v>
      </c>
      <c r="Q14" s="6" t="str">
        <f t="shared" si="0"/>
        <v>Weekend</v>
      </c>
      <c r="R14" s="42">
        <f t="shared" si="1"/>
        <v>48429</v>
      </c>
      <c r="S14" s="42">
        <f t="shared" si="2"/>
        <v>124.8388746803069</v>
      </c>
      <c r="T14" s="42">
        <f t="shared" si="3"/>
        <v>379</v>
      </c>
      <c r="U14" s="42" t="str">
        <f t="shared" si="4"/>
        <v>Wee</v>
      </c>
      <c r="V14" s="42" t="str">
        <f t="shared" si="5"/>
        <v>kend</v>
      </c>
      <c r="W14" s="42">
        <f t="shared" si="6"/>
        <v>7</v>
      </c>
      <c r="X14" s="42">
        <f t="shared" si="7"/>
        <v>0.2273</v>
      </c>
      <c r="Y14" s="3">
        <f t="shared" si="11"/>
        <v>82</v>
      </c>
      <c r="Z14" s="3">
        <f t="shared" si="12"/>
        <v>7883</v>
      </c>
      <c r="AA14" s="3">
        <f t="shared" si="8"/>
        <v>1232.2489122187819</v>
      </c>
      <c r="AB14" s="3">
        <f t="shared" si="9"/>
        <v>0.99911573903365103</v>
      </c>
      <c r="AC14" s="3" t="str">
        <f t="shared" si="10"/>
        <v>Normal</v>
      </c>
    </row>
    <row r="15" spans="1:29" x14ac:dyDescent="0.2">
      <c r="A15" s="4">
        <v>633</v>
      </c>
      <c r="B15" s="4" t="s">
        <v>83</v>
      </c>
      <c r="C15" s="4">
        <v>1</v>
      </c>
      <c r="D15" s="4">
        <v>0</v>
      </c>
      <c r="E15" s="4">
        <v>1</v>
      </c>
      <c r="F15" s="4">
        <v>15</v>
      </c>
      <c r="G15" s="4" t="b">
        <v>0</v>
      </c>
      <c r="H15" s="4">
        <v>6</v>
      </c>
      <c r="I15" s="4">
        <v>1</v>
      </c>
      <c r="J15" s="4">
        <v>0.22</v>
      </c>
      <c r="K15" s="4">
        <v>0.21210000000000001</v>
      </c>
      <c r="L15" s="4">
        <v>0.69</v>
      </c>
      <c r="M15" s="4">
        <v>0.25369999999999998</v>
      </c>
      <c r="N15" s="4">
        <v>22</v>
      </c>
      <c r="O15" s="4">
        <v>98</v>
      </c>
      <c r="P15" s="4">
        <v>120</v>
      </c>
      <c r="Q15" s="6" t="str">
        <f t="shared" si="0"/>
        <v>Weekend</v>
      </c>
      <c r="R15" s="42">
        <f t="shared" si="1"/>
        <v>48330</v>
      </c>
      <c r="S15" s="42">
        <f t="shared" si="2"/>
        <v>124.8388746803069</v>
      </c>
      <c r="T15" s="42">
        <f t="shared" si="3"/>
        <v>378</v>
      </c>
      <c r="U15" s="42" t="str">
        <f t="shared" si="4"/>
        <v>Wee</v>
      </c>
      <c r="V15" s="42" t="str">
        <f t="shared" si="5"/>
        <v>kend</v>
      </c>
      <c r="W15" s="42">
        <f t="shared" si="6"/>
        <v>7</v>
      </c>
      <c r="X15" s="42">
        <f t="shared" si="7"/>
        <v>0.21210000000000001</v>
      </c>
      <c r="Y15" s="3">
        <f t="shared" si="11"/>
        <v>82</v>
      </c>
      <c r="Z15" s="3">
        <f t="shared" si="12"/>
        <v>7883</v>
      </c>
      <c r="AA15" s="3">
        <f t="shared" si="8"/>
        <v>1232.2489122187819</v>
      </c>
      <c r="AB15" s="3">
        <f t="shared" si="9"/>
        <v>0.99911573903365103</v>
      </c>
      <c r="AC15" s="3" t="str">
        <f t="shared" si="10"/>
        <v>Normal</v>
      </c>
    </row>
    <row r="16" spans="1:29" x14ac:dyDescent="0.2">
      <c r="A16" s="4">
        <v>634</v>
      </c>
      <c r="B16" s="4" t="s">
        <v>83</v>
      </c>
      <c r="C16" s="4">
        <v>1</v>
      </c>
      <c r="D16" s="4">
        <v>0</v>
      </c>
      <c r="E16" s="4">
        <v>1</v>
      </c>
      <c r="F16" s="4">
        <v>16</v>
      </c>
      <c r="G16" s="4" t="b">
        <v>0</v>
      </c>
      <c r="H16" s="4">
        <v>6</v>
      </c>
      <c r="I16" s="4">
        <v>1</v>
      </c>
      <c r="J16" s="4">
        <v>0.24</v>
      </c>
      <c r="K16" s="4">
        <v>0.2424</v>
      </c>
      <c r="L16" s="4">
        <v>0.6</v>
      </c>
      <c r="M16" s="4">
        <v>0.16420000000000001</v>
      </c>
      <c r="N16" s="4">
        <v>19</v>
      </c>
      <c r="O16" s="4">
        <v>88</v>
      </c>
      <c r="P16" s="4">
        <v>107</v>
      </c>
      <c r="Q16" s="6" t="str">
        <f t="shared" si="0"/>
        <v>Weekend</v>
      </c>
      <c r="R16" s="42">
        <f t="shared" si="1"/>
        <v>48210</v>
      </c>
      <c r="S16" s="42">
        <f t="shared" si="2"/>
        <v>124.8388746803069</v>
      </c>
      <c r="T16" s="42">
        <f t="shared" si="3"/>
        <v>377</v>
      </c>
      <c r="U16" s="42" t="str">
        <f t="shared" si="4"/>
        <v>Wee</v>
      </c>
      <c r="V16" s="42" t="str">
        <f t="shared" si="5"/>
        <v>kend</v>
      </c>
      <c r="W16" s="42">
        <f t="shared" si="6"/>
        <v>7</v>
      </c>
      <c r="X16" s="42">
        <f t="shared" si="7"/>
        <v>0.2424</v>
      </c>
      <c r="Y16" s="3">
        <f t="shared" si="11"/>
        <v>82</v>
      </c>
      <c r="Z16" s="3">
        <f t="shared" si="12"/>
        <v>7883</v>
      </c>
      <c r="AA16" s="3">
        <f t="shared" si="8"/>
        <v>1232.2489122187819</v>
      </c>
      <c r="AB16" s="3">
        <f t="shared" si="9"/>
        <v>0.99911573903365103</v>
      </c>
      <c r="AC16" s="3" t="str">
        <f t="shared" si="10"/>
        <v>Normal</v>
      </c>
    </row>
    <row r="17" spans="1:29" x14ac:dyDescent="0.2">
      <c r="A17" s="4">
        <v>635</v>
      </c>
      <c r="B17" s="4" t="s">
        <v>83</v>
      </c>
      <c r="C17" s="4">
        <v>1</v>
      </c>
      <c r="D17" s="4">
        <v>0</v>
      </c>
      <c r="E17" s="4">
        <v>1</v>
      </c>
      <c r="F17" s="4">
        <v>17</v>
      </c>
      <c r="G17" s="4" t="b">
        <v>0</v>
      </c>
      <c r="H17" s="4">
        <v>6</v>
      </c>
      <c r="I17" s="4">
        <v>1</v>
      </c>
      <c r="J17" s="4">
        <v>0.24</v>
      </c>
      <c r="K17" s="4">
        <v>0.28789999999999999</v>
      </c>
      <c r="L17" s="4">
        <v>0.6</v>
      </c>
      <c r="M17" s="4">
        <v>0</v>
      </c>
      <c r="N17" s="4">
        <v>9</v>
      </c>
      <c r="O17" s="4">
        <v>82</v>
      </c>
      <c r="P17" s="4">
        <v>91</v>
      </c>
      <c r="Q17" s="6" t="str">
        <f t="shared" si="0"/>
        <v>Weekend</v>
      </c>
      <c r="R17" s="42">
        <f t="shared" si="1"/>
        <v>48103</v>
      </c>
      <c r="S17" s="42">
        <f t="shared" si="2"/>
        <v>124.8388746803069</v>
      </c>
      <c r="T17" s="42">
        <f t="shared" si="3"/>
        <v>376</v>
      </c>
      <c r="U17" s="42" t="str">
        <f t="shared" si="4"/>
        <v>Wee</v>
      </c>
      <c r="V17" s="42" t="str">
        <f t="shared" si="5"/>
        <v>kend</v>
      </c>
      <c r="W17" s="42">
        <f t="shared" si="6"/>
        <v>7</v>
      </c>
      <c r="X17" s="42">
        <f t="shared" si="7"/>
        <v>0.28789999999999999</v>
      </c>
      <c r="Y17" s="3">
        <f t="shared" si="11"/>
        <v>82</v>
      </c>
      <c r="Z17" s="3">
        <f t="shared" si="12"/>
        <v>7883</v>
      </c>
      <c r="AA17" s="3">
        <f t="shared" si="8"/>
        <v>1232.2489122187819</v>
      </c>
      <c r="AB17" s="3">
        <f t="shared" si="9"/>
        <v>0.99911573903365103</v>
      </c>
      <c r="AC17" s="3" t="str">
        <f t="shared" si="10"/>
        <v>Normal</v>
      </c>
    </row>
    <row r="18" spans="1:29" x14ac:dyDescent="0.2">
      <c r="A18" s="4">
        <v>636</v>
      </c>
      <c r="B18" s="4" t="s">
        <v>83</v>
      </c>
      <c r="C18" s="4">
        <v>1</v>
      </c>
      <c r="D18" s="4">
        <v>0</v>
      </c>
      <c r="E18" s="4">
        <v>1</v>
      </c>
      <c r="F18" s="4">
        <v>18</v>
      </c>
      <c r="G18" s="4" t="b">
        <v>0</v>
      </c>
      <c r="H18" s="4">
        <v>6</v>
      </c>
      <c r="I18" s="4">
        <v>1</v>
      </c>
      <c r="J18" s="4">
        <v>0.22</v>
      </c>
      <c r="K18" s="4">
        <v>0.2273</v>
      </c>
      <c r="L18" s="4">
        <v>0.69</v>
      </c>
      <c r="M18" s="4">
        <v>0.1343</v>
      </c>
      <c r="N18" s="4">
        <v>9</v>
      </c>
      <c r="O18" s="4">
        <v>59</v>
      </c>
      <c r="P18" s="4">
        <v>68</v>
      </c>
      <c r="Q18" s="6" t="str">
        <f t="shared" si="0"/>
        <v>Weekend</v>
      </c>
      <c r="R18" s="42">
        <f t="shared" si="1"/>
        <v>48012</v>
      </c>
      <c r="S18" s="42">
        <f t="shared" si="2"/>
        <v>124.8388746803069</v>
      </c>
      <c r="T18" s="42">
        <f t="shared" si="3"/>
        <v>375</v>
      </c>
      <c r="U18" s="42" t="str">
        <f t="shared" si="4"/>
        <v>Wee</v>
      </c>
      <c r="V18" s="42" t="str">
        <f t="shared" si="5"/>
        <v>kend</v>
      </c>
      <c r="W18" s="42">
        <f t="shared" si="6"/>
        <v>7</v>
      </c>
      <c r="X18" s="42">
        <f t="shared" si="7"/>
        <v>0.2273</v>
      </c>
      <c r="Y18" s="3">
        <f t="shared" si="11"/>
        <v>82</v>
      </c>
      <c r="Z18" s="3">
        <f t="shared" si="12"/>
        <v>7883</v>
      </c>
      <c r="AA18" s="3">
        <f t="shared" si="8"/>
        <v>1232.2489122187819</v>
      </c>
      <c r="AB18" s="3">
        <f t="shared" si="9"/>
        <v>0.99911573903365103</v>
      </c>
      <c r="AC18" s="3" t="str">
        <f t="shared" si="10"/>
        <v>Normal</v>
      </c>
    </row>
    <row r="19" spans="1:29" x14ac:dyDescent="0.2">
      <c r="A19" s="4">
        <v>637</v>
      </c>
      <c r="B19" s="4" t="s">
        <v>83</v>
      </c>
      <c r="C19" s="4">
        <v>1</v>
      </c>
      <c r="D19" s="4">
        <v>0</v>
      </c>
      <c r="E19" s="4">
        <v>1</v>
      </c>
      <c r="F19" s="4">
        <v>19</v>
      </c>
      <c r="G19" s="4" t="b">
        <v>0</v>
      </c>
      <c r="H19" s="4">
        <v>6</v>
      </c>
      <c r="I19" s="4">
        <v>2</v>
      </c>
      <c r="J19" s="4">
        <v>0.22</v>
      </c>
      <c r="K19" s="4">
        <v>0.21210000000000001</v>
      </c>
      <c r="L19" s="4">
        <v>0.69</v>
      </c>
      <c r="M19" s="4">
        <v>0.25369999999999998</v>
      </c>
      <c r="N19" s="4">
        <v>6</v>
      </c>
      <c r="O19" s="4">
        <v>52</v>
      </c>
      <c r="P19" s="4">
        <v>58</v>
      </c>
      <c r="Q19" s="6" t="str">
        <f t="shared" si="0"/>
        <v>Weekend</v>
      </c>
      <c r="R19" s="42">
        <f t="shared" si="1"/>
        <v>47944</v>
      </c>
      <c r="S19" s="42">
        <f t="shared" si="2"/>
        <v>124.8388746803069</v>
      </c>
      <c r="T19" s="42">
        <f t="shared" si="3"/>
        <v>374</v>
      </c>
      <c r="U19" s="42" t="str">
        <f t="shared" si="4"/>
        <v>Wee</v>
      </c>
      <c r="V19" s="42" t="str">
        <f t="shared" si="5"/>
        <v>kend</v>
      </c>
      <c r="W19" s="42">
        <f t="shared" si="6"/>
        <v>7</v>
      </c>
      <c r="X19" s="42">
        <f t="shared" si="7"/>
        <v>0.21210000000000001</v>
      </c>
      <c r="Y19" s="3">
        <f t="shared" si="11"/>
        <v>82</v>
      </c>
      <c r="Z19" s="3">
        <f t="shared" si="12"/>
        <v>7883</v>
      </c>
      <c r="AA19" s="3">
        <f t="shared" si="8"/>
        <v>1232.2489122187819</v>
      </c>
      <c r="AB19" s="3">
        <f t="shared" si="9"/>
        <v>0.99911573903365103</v>
      </c>
      <c r="AC19" s="3" t="str">
        <f t="shared" si="10"/>
        <v>Normal</v>
      </c>
    </row>
    <row r="20" spans="1:29" x14ac:dyDescent="0.2">
      <c r="A20" s="4">
        <v>638</v>
      </c>
      <c r="B20" s="4" t="s">
        <v>83</v>
      </c>
      <c r="C20" s="4">
        <v>1</v>
      </c>
      <c r="D20" s="4">
        <v>0</v>
      </c>
      <c r="E20" s="4">
        <v>1</v>
      </c>
      <c r="F20" s="4">
        <v>20</v>
      </c>
      <c r="G20" s="4" t="b">
        <v>0</v>
      </c>
      <c r="H20" s="4">
        <v>6</v>
      </c>
      <c r="I20" s="4">
        <v>1</v>
      </c>
      <c r="J20" s="4">
        <v>0.18</v>
      </c>
      <c r="K20" s="4">
        <v>0.21210000000000001</v>
      </c>
      <c r="L20" s="4">
        <v>0.74</v>
      </c>
      <c r="M20" s="4">
        <v>8.9599999999999999E-2</v>
      </c>
      <c r="N20" s="4">
        <v>1</v>
      </c>
      <c r="O20" s="4">
        <v>42</v>
      </c>
      <c r="P20" s="4">
        <v>43</v>
      </c>
      <c r="Q20" s="6" t="str">
        <f t="shared" si="0"/>
        <v>Weekend</v>
      </c>
      <c r="R20" s="42">
        <f t="shared" si="1"/>
        <v>47886</v>
      </c>
      <c r="S20" s="42">
        <f t="shared" si="2"/>
        <v>124.8388746803069</v>
      </c>
      <c r="T20" s="42">
        <f t="shared" si="3"/>
        <v>373</v>
      </c>
      <c r="U20" s="42" t="str">
        <f t="shared" si="4"/>
        <v>Wee</v>
      </c>
      <c r="V20" s="42" t="str">
        <f t="shared" si="5"/>
        <v>kend</v>
      </c>
      <c r="W20" s="42">
        <f t="shared" si="6"/>
        <v>7</v>
      </c>
      <c r="X20" s="42">
        <f t="shared" si="7"/>
        <v>0.21210000000000001</v>
      </c>
      <c r="Y20" s="3">
        <f t="shared" si="11"/>
        <v>82</v>
      </c>
      <c r="Z20" s="3">
        <f t="shared" si="12"/>
        <v>7883</v>
      </c>
      <c r="AA20" s="3">
        <f t="shared" si="8"/>
        <v>1232.2489122187819</v>
      </c>
      <c r="AB20" s="3">
        <f t="shared" si="9"/>
        <v>0.99911573903365103</v>
      </c>
      <c r="AC20" s="3" t="str">
        <f t="shared" si="10"/>
        <v>Normal</v>
      </c>
    </row>
    <row r="21" spans="1:29" x14ac:dyDescent="0.2">
      <c r="A21" s="4">
        <v>639</v>
      </c>
      <c r="B21" s="4" t="s">
        <v>83</v>
      </c>
      <c r="C21" s="4">
        <v>1</v>
      </c>
      <c r="D21" s="4">
        <v>0</v>
      </c>
      <c r="E21" s="4">
        <v>1</v>
      </c>
      <c r="F21" s="4">
        <v>21</v>
      </c>
      <c r="G21" s="4" t="b">
        <v>0</v>
      </c>
      <c r="H21" s="4">
        <v>6</v>
      </c>
      <c r="I21" s="4">
        <v>1</v>
      </c>
      <c r="J21" s="4">
        <v>0.18</v>
      </c>
      <c r="K21" s="4">
        <v>0.21210000000000001</v>
      </c>
      <c r="L21" s="4">
        <v>0.74</v>
      </c>
      <c r="M21" s="4">
        <v>8.9599999999999999E-2</v>
      </c>
      <c r="N21" s="4">
        <v>1</v>
      </c>
      <c r="O21" s="4">
        <v>35</v>
      </c>
      <c r="P21" s="4">
        <v>36</v>
      </c>
      <c r="Q21" s="6" t="str">
        <f t="shared" si="0"/>
        <v>Weekend</v>
      </c>
      <c r="R21" s="42">
        <f t="shared" si="1"/>
        <v>47843</v>
      </c>
      <c r="S21" s="42">
        <f t="shared" si="2"/>
        <v>124.8388746803069</v>
      </c>
      <c r="T21" s="42">
        <f t="shared" si="3"/>
        <v>372</v>
      </c>
      <c r="U21" s="42" t="str">
        <f t="shared" si="4"/>
        <v>Wee</v>
      </c>
      <c r="V21" s="42" t="str">
        <f t="shared" si="5"/>
        <v>kend</v>
      </c>
      <c r="W21" s="42">
        <f t="shared" si="6"/>
        <v>7</v>
      </c>
      <c r="X21" s="42">
        <f t="shared" si="7"/>
        <v>0.21210000000000001</v>
      </c>
      <c r="Y21" s="3">
        <f t="shared" si="11"/>
        <v>82</v>
      </c>
      <c r="Z21" s="3">
        <f t="shared" si="12"/>
        <v>7883</v>
      </c>
      <c r="AA21" s="3">
        <f t="shared" si="8"/>
        <v>1232.2489122187819</v>
      </c>
      <c r="AB21" s="3">
        <f t="shared" si="9"/>
        <v>0.99911573903365103</v>
      </c>
      <c r="AC21" s="3" t="str">
        <f t="shared" si="10"/>
        <v>Normal</v>
      </c>
    </row>
    <row r="22" spans="1:29" x14ac:dyDescent="0.2">
      <c r="A22" s="4">
        <v>640</v>
      </c>
      <c r="B22" s="4" t="s">
        <v>83</v>
      </c>
      <c r="C22" s="4">
        <v>1</v>
      </c>
      <c r="D22" s="4">
        <v>0</v>
      </c>
      <c r="E22" s="4">
        <v>1</v>
      </c>
      <c r="F22" s="4">
        <v>22</v>
      </c>
      <c r="G22" s="4" t="b">
        <v>0</v>
      </c>
      <c r="H22" s="4">
        <v>6</v>
      </c>
      <c r="I22" s="4">
        <v>1</v>
      </c>
      <c r="J22" s="4">
        <v>0.16</v>
      </c>
      <c r="K22" s="4">
        <v>0.19700000000000001</v>
      </c>
      <c r="L22" s="4">
        <v>0.8</v>
      </c>
      <c r="M22" s="4">
        <v>8.9599999999999999E-2</v>
      </c>
      <c r="N22" s="4">
        <v>4</v>
      </c>
      <c r="O22" s="4">
        <v>28</v>
      </c>
      <c r="P22" s="4">
        <v>32</v>
      </c>
      <c r="Q22" s="6" t="str">
        <f t="shared" si="0"/>
        <v>Weekend</v>
      </c>
      <c r="R22" s="42">
        <f t="shared" si="1"/>
        <v>47807</v>
      </c>
      <c r="S22" s="42">
        <f t="shared" si="2"/>
        <v>124.8388746803069</v>
      </c>
      <c r="T22" s="42">
        <f t="shared" si="3"/>
        <v>371</v>
      </c>
      <c r="U22" s="42" t="str">
        <f t="shared" si="4"/>
        <v>Wee</v>
      </c>
      <c r="V22" s="42" t="str">
        <f t="shared" si="5"/>
        <v>kend</v>
      </c>
      <c r="W22" s="42">
        <f t="shared" si="6"/>
        <v>7</v>
      </c>
      <c r="X22" s="42">
        <f t="shared" si="7"/>
        <v>0.19700000000000001</v>
      </c>
      <c r="Y22" s="3">
        <f t="shared" si="11"/>
        <v>82</v>
      </c>
      <c r="Z22" s="3">
        <f t="shared" si="12"/>
        <v>7883</v>
      </c>
      <c r="AA22" s="3">
        <f t="shared" si="8"/>
        <v>1232.2489122187819</v>
      </c>
      <c r="AB22" s="3">
        <f t="shared" si="9"/>
        <v>0.99911573903365103</v>
      </c>
      <c r="AC22" s="3" t="str">
        <f t="shared" si="10"/>
        <v>Normal</v>
      </c>
    </row>
    <row r="23" spans="1:29" x14ac:dyDescent="0.2">
      <c r="A23" s="4">
        <v>641</v>
      </c>
      <c r="B23" s="4" t="s">
        <v>83</v>
      </c>
      <c r="C23" s="4">
        <v>1</v>
      </c>
      <c r="D23" s="4">
        <v>0</v>
      </c>
      <c r="E23" s="4">
        <v>1</v>
      </c>
      <c r="F23" s="4">
        <v>23</v>
      </c>
      <c r="G23" s="4" t="b">
        <v>0</v>
      </c>
      <c r="H23" s="4">
        <v>6</v>
      </c>
      <c r="I23" s="4">
        <v>1</v>
      </c>
      <c r="J23" s="4">
        <v>0.16</v>
      </c>
      <c r="K23" s="4">
        <v>0.19700000000000001</v>
      </c>
      <c r="L23" s="4">
        <v>0.8</v>
      </c>
      <c r="M23" s="4">
        <v>8.9599999999999999E-2</v>
      </c>
      <c r="N23" s="4">
        <v>3</v>
      </c>
      <c r="O23" s="4">
        <v>30</v>
      </c>
      <c r="P23" s="4">
        <v>33</v>
      </c>
      <c r="Q23" s="6" t="str">
        <f t="shared" si="0"/>
        <v>Weekend</v>
      </c>
      <c r="R23" s="42">
        <f t="shared" si="1"/>
        <v>47775</v>
      </c>
      <c r="S23" s="42">
        <f t="shared" si="2"/>
        <v>124.8388746803069</v>
      </c>
      <c r="T23" s="42">
        <f t="shared" si="3"/>
        <v>370</v>
      </c>
      <c r="U23" s="42" t="str">
        <f t="shared" si="4"/>
        <v>Wee</v>
      </c>
      <c r="V23" s="42" t="str">
        <f t="shared" si="5"/>
        <v>kend</v>
      </c>
      <c r="W23" s="42">
        <f t="shared" si="6"/>
        <v>7</v>
      </c>
      <c r="X23" s="42">
        <f t="shared" si="7"/>
        <v>0.19700000000000001</v>
      </c>
      <c r="Y23" s="3">
        <f t="shared" si="11"/>
        <v>82</v>
      </c>
      <c r="Z23" s="3">
        <f t="shared" si="12"/>
        <v>7883</v>
      </c>
      <c r="AA23" s="3">
        <f t="shared" si="8"/>
        <v>1232.2489122187819</v>
      </c>
      <c r="AB23" s="3">
        <f t="shared" si="9"/>
        <v>0.99911573903365103</v>
      </c>
      <c r="AC23" s="3" t="str">
        <f t="shared" si="10"/>
        <v>Normal</v>
      </c>
    </row>
    <row r="24" spans="1:29" x14ac:dyDescent="0.2">
      <c r="A24" s="4">
        <v>642</v>
      </c>
      <c r="B24" s="4" t="s">
        <v>84</v>
      </c>
      <c r="C24" s="4">
        <v>1</v>
      </c>
      <c r="D24" s="4">
        <v>0</v>
      </c>
      <c r="E24" s="4">
        <v>1</v>
      </c>
      <c r="F24" s="4">
        <v>0</v>
      </c>
      <c r="G24" s="4" t="b">
        <v>0</v>
      </c>
      <c r="H24" s="4">
        <v>0</v>
      </c>
      <c r="I24" s="4">
        <v>1</v>
      </c>
      <c r="J24" s="4">
        <v>0.16</v>
      </c>
      <c r="K24" s="4">
        <v>0.18179999999999999</v>
      </c>
      <c r="L24" s="4">
        <v>0.8</v>
      </c>
      <c r="M24" s="4">
        <v>0.1045</v>
      </c>
      <c r="N24" s="4">
        <v>0</v>
      </c>
      <c r="O24" s="4">
        <v>33</v>
      </c>
      <c r="P24" s="4">
        <v>33</v>
      </c>
      <c r="Q24" s="6" t="str">
        <f t="shared" si="0"/>
        <v>Weekend</v>
      </c>
      <c r="R24" s="42">
        <f t="shared" si="1"/>
        <v>47742</v>
      </c>
      <c r="S24" s="42">
        <f t="shared" si="2"/>
        <v>124.8388746803069</v>
      </c>
      <c r="T24" s="42">
        <f t="shared" si="3"/>
        <v>369</v>
      </c>
      <c r="U24" s="42" t="str">
        <f t="shared" si="4"/>
        <v>Wee</v>
      </c>
      <c r="V24" s="42" t="str">
        <f t="shared" si="5"/>
        <v>kend</v>
      </c>
      <c r="W24" s="42">
        <f t="shared" si="6"/>
        <v>7</v>
      </c>
      <c r="X24" s="42">
        <f t="shared" si="7"/>
        <v>0.18179999999999999</v>
      </c>
      <c r="Y24" s="3">
        <f t="shared" si="11"/>
        <v>82</v>
      </c>
      <c r="Z24" s="3">
        <f t="shared" si="12"/>
        <v>7883</v>
      </c>
      <c r="AA24" s="3">
        <f t="shared" si="8"/>
        <v>1232.2489122187819</v>
      </c>
      <c r="AB24" s="3">
        <f t="shared" si="9"/>
        <v>0.99911573903365103</v>
      </c>
      <c r="AC24" s="3" t="str">
        <f t="shared" si="10"/>
        <v>Normal</v>
      </c>
    </row>
    <row r="25" spans="1:29" x14ac:dyDescent="0.2">
      <c r="A25" s="4">
        <v>643</v>
      </c>
      <c r="B25" s="4" t="s">
        <v>84</v>
      </c>
      <c r="C25" s="4">
        <v>1</v>
      </c>
      <c r="D25" s="4">
        <v>0</v>
      </c>
      <c r="E25" s="4">
        <v>1</v>
      </c>
      <c r="F25" s="4">
        <v>1</v>
      </c>
      <c r="G25" s="4" t="b">
        <v>0</v>
      </c>
      <c r="H25" s="4">
        <v>0</v>
      </c>
      <c r="I25" s="4">
        <v>1</v>
      </c>
      <c r="J25" s="4">
        <v>0.14000000000000001</v>
      </c>
      <c r="K25" s="4">
        <v>0.21210000000000001</v>
      </c>
      <c r="L25" s="4">
        <v>0.8</v>
      </c>
      <c r="M25" s="4">
        <v>0</v>
      </c>
      <c r="N25" s="4">
        <v>7</v>
      </c>
      <c r="O25" s="4">
        <v>22</v>
      </c>
      <c r="P25" s="4">
        <v>29</v>
      </c>
      <c r="Q25" s="6" t="str">
        <f t="shared" si="0"/>
        <v>Weekend</v>
      </c>
      <c r="R25" s="42">
        <f t="shared" si="1"/>
        <v>47709</v>
      </c>
      <c r="S25" s="42">
        <f t="shared" si="2"/>
        <v>124.8388746803069</v>
      </c>
      <c r="T25" s="42">
        <f t="shared" si="3"/>
        <v>368</v>
      </c>
      <c r="U25" s="42" t="str">
        <f t="shared" si="4"/>
        <v>Wee</v>
      </c>
      <c r="V25" s="42" t="str">
        <f t="shared" si="5"/>
        <v>kend</v>
      </c>
      <c r="W25" s="42">
        <f t="shared" si="6"/>
        <v>7</v>
      </c>
      <c r="X25" s="42">
        <f t="shared" si="7"/>
        <v>0.21210000000000001</v>
      </c>
      <c r="Y25" s="3">
        <f t="shared" si="11"/>
        <v>82</v>
      </c>
      <c r="Z25" s="3">
        <f t="shared" si="12"/>
        <v>7883</v>
      </c>
      <c r="AA25" s="3">
        <f t="shared" si="8"/>
        <v>1232.2489122187819</v>
      </c>
      <c r="AB25" s="3">
        <f t="shared" si="9"/>
        <v>0.99911573903365103</v>
      </c>
      <c r="AC25" s="3" t="str">
        <f t="shared" si="10"/>
        <v>Normal</v>
      </c>
    </row>
    <row r="26" spans="1:29" x14ac:dyDescent="0.2">
      <c r="A26" s="4">
        <v>644</v>
      </c>
      <c r="B26" s="4" t="s">
        <v>84</v>
      </c>
      <c r="C26" s="4">
        <v>1</v>
      </c>
      <c r="D26" s="4">
        <v>0</v>
      </c>
      <c r="E26" s="4">
        <v>1</v>
      </c>
      <c r="F26" s="4">
        <v>2</v>
      </c>
      <c r="G26" s="4" t="b">
        <v>0</v>
      </c>
      <c r="H26" s="4">
        <v>0</v>
      </c>
      <c r="I26" s="4">
        <v>1</v>
      </c>
      <c r="J26" s="4">
        <v>0.16</v>
      </c>
      <c r="K26" s="4">
        <v>0.2273</v>
      </c>
      <c r="L26" s="4">
        <v>0.8</v>
      </c>
      <c r="M26" s="4">
        <v>0</v>
      </c>
      <c r="N26" s="4">
        <v>1</v>
      </c>
      <c r="O26" s="4">
        <v>10</v>
      </c>
      <c r="P26" s="4">
        <v>11</v>
      </c>
      <c r="Q26" s="6" t="str">
        <f t="shared" si="0"/>
        <v>Weekend</v>
      </c>
      <c r="R26" s="42">
        <f t="shared" si="1"/>
        <v>47680</v>
      </c>
      <c r="S26" s="42">
        <f t="shared" si="2"/>
        <v>124.8388746803069</v>
      </c>
      <c r="T26" s="42">
        <f t="shared" si="3"/>
        <v>367</v>
      </c>
      <c r="U26" s="42" t="str">
        <f t="shared" si="4"/>
        <v>Wee</v>
      </c>
      <c r="V26" s="42" t="str">
        <f t="shared" si="5"/>
        <v>kend</v>
      </c>
      <c r="W26" s="42">
        <f t="shared" si="6"/>
        <v>7</v>
      </c>
      <c r="X26" s="42">
        <f t="shared" si="7"/>
        <v>0.2273</v>
      </c>
      <c r="Y26" s="3">
        <f t="shared" si="11"/>
        <v>82</v>
      </c>
      <c r="Z26" s="3">
        <f t="shared" si="12"/>
        <v>7883</v>
      </c>
      <c r="AA26" s="3">
        <f t="shared" si="8"/>
        <v>1232.2489122187819</v>
      </c>
      <c r="AB26" s="3">
        <f t="shared" si="9"/>
        <v>0.99911573903365103</v>
      </c>
      <c r="AC26" s="3" t="str">
        <f t="shared" si="10"/>
        <v>Normal</v>
      </c>
    </row>
    <row r="27" spans="1:29" x14ac:dyDescent="0.2">
      <c r="A27" s="4">
        <v>645</v>
      </c>
      <c r="B27" s="4" t="s">
        <v>84</v>
      </c>
      <c r="C27" s="4">
        <v>1</v>
      </c>
      <c r="D27" s="4">
        <v>0</v>
      </c>
      <c r="E27" s="4">
        <v>1</v>
      </c>
      <c r="F27" s="4">
        <v>3</v>
      </c>
      <c r="G27" s="4" t="b">
        <v>0</v>
      </c>
      <c r="H27" s="4">
        <v>0</v>
      </c>
      <c r="I27" s="4">
        <v>1</v>
      </c>
      <c r="J27" s="4">
        <v>0.14000000000000001</v>
      </c>
      <c r="K27" s="4">
        <v>0.21210000000000001</v>
      </c>
      <c r="L27" s="4">
        <v>0.93</v>
      </c>
      <c r="M27" s="4">
        <v>0</v>
      </c>
      <c r="N27" s="4">
        <v>1</v>
      </c>
      <c r="O27" s="4">
        <v>7</v>
      </c>
      <c r="P27" s="4">
        <v>8</v>
      </c>
      <c r="Q27" s="6" t="str">
        <f t="shared" si="0"/>
        <v>Weekend</v>
      </c>
      <c r="R27" s="42">
        <f t="shared" si="1"/>
        <v>47669</v>
      </c>
      <c r="S27" s="42">
        <f t="shared" si="2"/>
        <v>124.8388746803069</v>
      </c>
      <c r="T27" s="42">
        <f t="shared" si="3"/>
        <v>366</v>
      </c>
      <c r="U27" s="42" t="str">
        <f t="shared" si="4"/>
        <v>Wee</v>
      </c>
      <c r="V27" s="42" t="str">
        <f t="shared" si="5"/>
        <v>kend</v>
      </c>
      <c r="W27" s="42">
        <f t="shared" si="6"/>
        <v>7</v>
      </c>
      <c r="X27" s="42">
        <f t="shared" si="7"/>
        <v>0.21210000000000001</v>
      </c>
      <c r="Y27" s="3">
        <f t="shared" si="11"/>
        <v>82</v>
      </c>
      <c r="Z27" s="3">
        <f t="shared" si="12"/>
        <v>7883</v>
      </c>
      <c r="AA27" s="3">
        <f t="shared" si="8"/>
        <v>1232.2489122187819</v>
      </c>
      <c r="AB27" s="3">
        <f t="shared" si="9"/>
        <v>0.99911573903365103</v>
      </c>
      <c r="AC27" s="3" t="str">
        <f t="shared" si="10"/>
        <v>Normal</v>
      </c>
    </row>
    <row r="28" spans="1:29" x14ac:dyDescent="0.2">
      <c r="A28" s="4">
        <v>646</v>
      </c>
      <c r="B28" s="4" t="s">
        <v>84</v>
      </c>
      <c r="C28" s="4">
        <v>1</v>
      </c>
      <c r="D28" s="4">
        <v>0</v>
      </c>
      <c r="E28" s="4">
        <v>1</v>
      </c>
      <c r="F28" s="4">
        <v>4</v>
      </c>
      <c r="G28" s="4" t="b">
        <v>0</v>
      </c>
      <c r="H28" s="4">
        <v>0</v>
      </c>
      <c r="I28" s="4">
        <v>1</v>
      </c>
      <c r="J28" s="4">
        <v>0.14000000000000001</v>
      </c>
      <c r="K28" s="4">
        <v>0.21210000000000001</v>
      </c>
      <c r="L28" s="4">
        <v>0.93</v>
      </c>
      <c r="M28" s="4">
        <v>0</v>
      </c>
      <c r="N28" s="4">
        <v>0</v>
      </c>
      <c r="O28" s="4">
        <v>1</v>
      </c>
      <c r="P28" s="4">
        <v>1</v>
      </c>
      <c r="Q28" s="6" t="str">
        <f t="shared" si="0"/>
        <v>Weekend</v>
      </c>
      <c r="R28" s="42">
        <f t="shared" si="1"/>
        <v>47661</v>
      </c>
      <c r="S28" s="42">
        <f t="shared" si="2"/>
        <v>124.8388746803069</v>
      </c>
      <c r="T28" s="42">
        <f t="shared" si="3"/>
        <v>365</v>
      </c>
      <c r="U28" s="42" t="str">
        <f t="shared" si="4"/>
        <v>Wee</v>
      </c>
      <c r="V28" s="42" t="str">
        <f t="shared" si="5"/>
        <v>kend</v>
      </c>
      <c r="W28" s="42">
        <f t="shared" si="6"/>
        <v>7</v>
      </c>
      <c r="X28" s="42">
        <f t="shared" si="7"/>
        <v>0.21210000000000001</v>
      </c>
      <c r="Y28" s="3">
        <f t="shared" si="11"/>
        <v>82</v>
      </c>
      <c r="Z28" s="3">
        <f t="shared" si="12"/>
        <v>7883</v>
      </c>
      <c r="AA28" s="3">
        <f t="shared" si="8"/>
        <v>1232.2489122187819</v>
      </c>
      <c r="AB28" s="3">
        <f t="shared" si="9"/>
        <v>0.99911573903365103</v>
      </c>
      <c r="AC28" s="3" t="str">
        <f t="shared" si="10"/>
        <v>Normal</v>
      </c>
    </row>
    <row r="29" spans="1:29" x14ac:dyDescent="0.2">
      <c r="A29" s="4">
        <v>647</v>
      </c>
      <c r="B29" s="4" t="s">
        <v>84</v>
      </c>
      <c r="C29" s="4">
        <v>1</v>
      </c>
      <c r="D29" s="4">
        <v>0</v>
      </c>
      <c r="E29" s="4">
        <v>1</v>
      </c>
      <c r="F29" s="4">
        <v>5</v>
      </c>
      <c r="G29" s="4" t="b">
        <v>0</v>
      </c>
      <c r="H29" s="4">
        <v>0</v>
      </c>
      <c r="I29" s="4">
        <v>1</v>
      </c>
      <c r="J29" s="4">
        <v>0.14000000000000001</v>
      </c>
      <c r="K29" s="4">
        <v>0.21210000000000001</v>
      </c>
      <c r="L29" s="4">
        <v>0.86</v>
      </c>
      <c r="M29" s="4">
        <v>0</v>
      </c>
      <c r="N29" s="4">
        <v>0</v>
      </c>
      <c r="O29" s="4">
        <v>3</v>
      </c>
      <c r="P29" s="4">
        <v>3</v>
      </c>
      <c r="Q29" s="6" t="str">
        <f t="shared" si="0"/>
        <v>Weekend</v>
      </c>
      <c r="R29" s="42">
        <f t="shared" si="1"/>
        <v>47660</v>
      </c>
      <c r="S29" s="42">
        <f t="shared" si="2"/>
        <v>124.8388746803069</v>
      </c>
      <c r="T29" s="42">
        <f t="shared" si="3"/>
        <v>364</v>
      </c>
      <c r="U29" s="42" t="str">
        <f t="shared" si="4"/>
        <v>Wee</v>
      </c>
      <c r="V29" s="42" t="str">
        <f t="shared" si="5"/>
        <v>kend</v>
      </c>
      <c r="W29" s="42">
        <f t="shared" si="6"/>
        <v>7</v>
      </c>
      <c r="X29" s="42">
        <f t="shared" si="7"/>
        <v>0.21210000000000001</v>
      </c>
      <c r="Y29" s="3">
        <f t="shared" si="11"/>
        <v>82</v>
      </c>
      <c r="Z29" s="3">
        <f t="shared" si="12"/>
        <v>7883</v>
      </c>
      <c r="AA29" s="3">
        <f t="shared" si="8"/>
        <v>1232.2489122187819</v>
      </c>
      <c r="AB29" s="3">
        <f t="shared" si="9"/>
        <v>0.99911573903365103</v>
      </c>
      <c r="AC29" s="3" t="str">
        <f t="shared" si="10"/>
        <v>Normal</v>
      </c>
    </row>
    <row r="30" spans="1:29" x14ac:dyDescent="0.2">
      <c r="A30" s="4">
        <v>648</v>
      </c>
      <c r="B30" s="4" t="s">
        <v>84</v>
      </c>
      <c r="C30" s="4">
        <v>1</v>
      </c>
      <c r="D30" s="4">
        <v>0</v>
      </c>
      <c r="E30" s="4">
        <v>1</v>
      </c>
      <c r="F30" s="4">
        <v>7</v>
      </c>
      <c r="G30" s="4" t="b">
        <v>0</v>
      </c>
      <c r="H30" s="4">
        <v>0</v>
      </c>
      <c r="I30" s="4">
        <v>1</v>
      </c>
      <c r="J30" s="4">
        <v>0.14000000000000001</v>
      </c>
      <c r="K30" s="4">
        <v>0.21210000000000001</v>
      </c>
      <c r="L30" s="4">
        <v>0.86</v>
      </c>
      <c r="M30" s="4">
        <v>0</v>
      </c>
      <c r="N30" s="4">
        <v>0</v>
      </c>
      <c r="O30" s="4">
        <v>3</v>
      </c>
      <c r="P30" s="4">
        <v>3</v>
      </c>
      <c r="Q30" s="6" t="str">
        <f t="shared" si="0"/>
        <v>Weekend</v>
      </c>
      <c r="R30" s="42">
        <f t="shared" si="1"/>
        <v>47657</v>
      </c>
      <c r="S30" s="42">
        <f t="shared" si="2"/>
        <v>124.8388746803069</v>
      </c>
      <c r="T30" s="42">
        <f t="shared" si="3"/>
        <v>363</v>
      </c>
      <c r="U30" s="42" t="str">
        <f t="shared" si="4"/>
        <v>Wee</v>
      </c>
      <c r="V30" s="42" t="str">
        <f t="shared" si="5"/>
        <v>kend</v>
      </c>
      <c r="W30" s="42">
        <f t="shared" si="6"/>
        <v>7</v>
      </c>
      <c r="X30" s="42">
        <f t="shared" si="7"/>
        <v>0.21210000000000001</v>
      </c>
      <c r="Y30" s="3">
        <f t="shared" si="11"/>
        <v>82</v>
      </c>
      <c r="Z30" s="3">
        <f t="shared" si="12"/>
        <v>7883</v>
      </c>
      <c r="AA30" s="3">
        <f t="shared" si="8"/>
        <v>1232.2489122187819</v>
      </c>
      <c r="AB30" s="3">
        <f t="shared" si="9"/>
        <v>0.99911573903365103</v>
      </c>
      <c r="AC30" s="3" t="str">
        <f t="shared" si="10"/>
        <v>Normal</v>
      </c>
    </row>
    <row r="31" spans="1:29" x14ac:dyDescent="0.2">
      <c r="A31" s="4">
        <v>649</v>
      </c>
      <c r="B31" s="4" t="s">
        <v>84</v>
      </c>
      <c r="C31" s="4">
        <v>1</v>
      </c>
      <c r="D31" s="4">
        <v>0</v>
      </c>
      <c r="E31" s="4">
        <v>1</v>
      </c>
      <c r="F31" s="4">
        <v>8</v>
      </c>
      <c r="G31" s="4" t="b">
        <v>0</v>
      </c>
      <c r="H31" s="4">
        <v>0</v>
      </c>
      <c r="I31" s="4">
        <v>2</v>
      </c>
      <c r="J31" s="4">
        <v>0.14000000000000001</v>
      </c>
      <c r="K31" s="4">
        <v>0.21210000000000001</v>
      </c>
      <c r="L31" s="4">
        <v>0.86</v>
      </c>
      <c r="M31" s="4">
        <v>0</v>
      </c>
      <c r="N31" s="4">
        <v>1</v>
      </c>
      <c r="O31" s="4">
        <v>11</v>
      </c>
      <c r="P31" s="4">
        <v>12</v>
      </c>
      <c r="Q31" s="6" t="str">
        <f t="shared" si="0"/>
        <v>Weekend</v>
      </c>
      <c r="R31" s="42">
        <f t="shared" si="1"/>
        <v>47654</v>
      </c>
      <c r="S31" s="42">
        <f t="shared" si="2"/>
        <v>124.8388746803069</v>
      </c>
      <c r="T31" s="42">
        <f t="shared" si="3"/>
        <v>362</v>
      </c>
      <c r="U31" s="42" t="str">
        <f t="shared" si="4"/>
        <v>Wee</v>
      </c>
      <c r="V31" s="42" t="str">
        <f t="shared" si="5"/>
        <v>kend</v>
      </c>
      <c r="W31" s="42">
        <f t="shared" si="6"/>
        <v>7</v>
      </c>
      <c r="X31" s="42">
        <f t="shared" si="7"/>
        <v>0.21210000000000001</v>
      </c>
      <c r="Y31" s="3">
        <f t="shared" si="11"/>
        <v>82</v>
      </c>
      <c r="Z31" s="3">
        <f t="shared" si="12"/>
        <v>7883</v>
      </c>
      <c r="AA31" s="3">
        <f t="shared" si="8"/>
        <v>1232.2489122187819</v>
      </c>
      <c r="AB31" s="3">
        <f t="shared" si="9"/>
        <v>0.99911573903365103</v>
      </c>
      <c r="AC31" s="3" t="str">
        <f t="shared" si="10"/>
        <v>Normal</v>
      </c>
    </row>
    <row r="32" spans="1:29" x14ac:dyDescent="0.2">
      <c r="A32" s="4">
        <v>650</v>
      </c>
      <c r="B32" s="4" t="s">
        <v>84</v>
      </c>
      <c r="C32" s="4">
        <v>1</v>
      </c>
      <c r="D32" s="4">
        <v>0</v>
      </c>
      <c r="E32" s="4">
        <v>1</v>
      </c>
      <c r="F32" s="4">
        <v>9</v>
      </c>
      <c r="G32" s="4" t="b">
        <v>0</v>
      </c>
      <c r="H32" s="4">
        <v>0</v>
      </c>
      <c r="I32" s="4">
        <v>2</v>
      </c>
      <c r="J32" s="4">
        <v>0.16</v>
      </c>
      <c r="K32" s="4">
        <v>0.2273</v>
      </c>
      <c r="L32" s="4">
        <v>0.8</v>
      </c>
      <c r="M32" s="4">
        <v>0</v>
      </c>
      <c r="N32" s="4">
        <v>4</v>
      </c>
      <c r="O32" s="4">
        <v>34</v>
      </c>
      <c r="P32" s="4">
        <v>38</v>
      </c>
      <c r="Q32" s="6" t="str">
        <f t="shared" si="0"/>
        <v>Weekend</v>
      </c>
      <c r="R32" s="42">
        <f t="shared" si="1"/>
        <v>47642</v>
      </c>
      <c r="S32" s="42">
        <f t="shared" si="2"/>
        <v>124.8388746803069</v>
      </c>
      <c r="T32" s="42">
        <f t="shared" si="3"/>
        <v>361</v>
      </c>
      <c r="U32" s="42" t="str">
        <f t="shared" si="4"/>
        <v>Wee</v>
      </c>
      <c r="V32" s="42" t="str">
        <f t="shared" si="5"/>
        <v>kend</v>
      </c>
      <c r="W32" s="42">
        <f t="shared" si="6"/>
        <v>7</v>
      </c>
      <c r="X32" s="42">
        <f t="shared" si="7"/>
        <v>0.2273</v>
      </c>
      <c r="Y32" s="3">
        <f t="shared" si="11"/>
        <v>82</v>
      </c>
      <c r="Z32" s="3">
        <f t="shared" si="12"/>
        <v>7883</v>
      </c>
      <c r="AA32" s="3">
        <f t="shared" si="8"/>
        <v>1232.2489122187819</v>
      </c>
      <c r="AB32" s="3">
        <f t="shared" si="9"/>
        <v>0.99911573903365103</v>
      </c>
      <c r="AC32" s="3" t="str">
        <f t="shared" si="10"/>
        <v>Normal</v>
      </c>
    </row>
    <row r="33" spans="1:29" x14ac:dyDescent="0.2">
      <c r="A33" s="4">
        <v>651</v>
      </c>
      <c r="B33" s="4" t="s">
        <v>84</v>
      </c>
      <c r="C33" s="4">
        <v>1</v>
      </c>
      <c r="D33" s="4">
        <v>0</v>
      </c>
      <c r="E33" s="4">
        <v>1</v>
      </c>
      <c r="F33" s="4">
        <v>10</v>
      </c>
      <c r="G33" s="4" t="b">
        <v>0</v>
      </c>
      <c r="H33" s="4">
        <v>0</v>
      </c>
      <c r="I33" s="4">
        <v>2</v>
      </c>
      <c r="J33" s="4">
        <v>0.18</v>
      </c>
      <c r="K33" s="4">
        <v>0.2424</v>
      </c>
      <c r="L33" s="4">
        <v>0.8</v>
      </c>
      <c r="M33" s="4">
        <v>0</v>
      </c>
      <c r="N33" s="4">
        <v>7</v>
      </c>
      <c r="O33" s="4">
        <v>57</v>
      </c>
      <c r="P33" s="4">
        <v>64</v>
      </c>
      <c r="Q33" s="6" t="str">
        <f t="shared" si="0"/>
        <v>Weekend</v>
      </c>
      <c r="R33" s="42">
        <f t="shared" si="1"/>
        <v>47604</v>
      </c>
      <c r="S33" s="42">
        <f t="shared" si="2"/>
        <v>124.8388746803069</v>
      </c>
      <c r="T33" s="42">
        <f t="shared" si="3"/>
        <v>360</v>
      </c>
      <c r="U33" s="42" t="str">
        <f t="shared" si="4"/>
        <v>Wee</v>
      </c>
      <c r="V33" s="42" t="str">
        <f t="shared" si="5"/>
        <v>kend</v>
      </c>
      <c r="W33" s="42">
        <f t="shared" si="6"/>
        <v>7</v>
      </c>
      <c r="X33" s="42">
        <f t="shared" si="7"/>
        <v>0.2424</v>
      </c>
      <c r="Y33" s="3">
        <f t="shared" si="11"/>
        <v>82</v>
      </c>
      <c r="Z33" s="3">
        <f t="shared" si="12"/>
        <v>7883</v>
      </c>
      <c r="AA33" s="3">
        <f t="shared" si="8"/>
        <v>1232.2489122187819</v>
      </c>
      <c r="AB33" s="3">
        <f t="shared" si="9"/>
        <v>0.99911573903365103</v>
      </c>
      <c r="AC33" s="3" t="str">
        <f t="shared" si="10"/>
        <v>Normal</v>
      </c>
    </row>
    <row r="34" spans="1:29" x14ac:dyDescent="0.2">
      <c r="A34" s="4">
        <v>652</v>
      </c>
      <c r="B34" s="4" t="s">
        <v>84</v>
      </c>
      <c r="C34" s="4">
        <v>1</v>
      </c>
      <c r="D34" s="4">
        <v>0</v>
      </c>
      <c r="E34" s="4">
        <v>1</v>
      </c>
      <c r="F34" s="4">
        <v>11</v>
      </c>
      <c r="G34" s="4" t="b">
        <v>0</v>
      </c>
      <c r="H34" s="4">
        <v>0</v>
      </c>
      <c r="I34" s="4">
        <v>1</v>
      </c>
      <c r="J34" s="4">
        <v>0.22</v>
      </c>
      <c r="K34" s="4">
        <v>0.2727</v>
      </c>
      <c r="L34" s="4">
        <v>0.75</v>
      </c>
      <c r="M34" s="4">
        <v>0</v>
      </c>
      <c r="N34" s="4">
        <v>9</v>
      </c>
      <c r="O34" s="4">
        <v>50</v>
      </c>
      <c r="P34" s="4">
        <v>59</v>
      </c>
      <c r="Q34" s="6" t="str">
        <f t="shared" si="0"/>
        <v>Weekend</v>
      </c>
      <c r="R34" s="42">
        <f t="shared" si="1"/>
        <v>47540</v>
      </c>
      <c r="S34" s="42">
        <f t="shared" si="2"/>
        <v>124.8388746803069</v>
      </c>
      <c r="T34" s="42">
        <f t="shared" si="3"/>
        <v>359</v>
      </c>
      <c r="U34" s="42" t="str">
        <f t="shared" si="4"/>
        <v>Wee</v>
      </c>
      <c r="V34" s="42" t="str">
        <f t="shared" si="5"/>
        <v>kend</v>
      </c>
      <c r="W34" s="42">
        <f t="shared" si="6"/>
        <v>7</v>
      </c>
      <c r="X34" s="42">
        <f t="shared" si="7"/>
        <v>0.2727</v>
      </c>
      <c r="Y34" s="3">
        <f t="shared" si="11"/>
        <v>82</v>
      </c>
      <c r="Z34" s="3">
        <f t="shared" si="12"/>
        <v>7883</v>
      </c>
      <c r="AA34" s="3">
        <f t="shared" si="8"/>
        <v>1232.2489122187819</v>
      </c>
      <c r="AB34" s="3">
        <f t="shared" si="9"/>
        <v>0.99911573903365103</v>
      </c>
      <c r="AC34" s="3" t="str">
        <f t="shared" si="10"/>
        <v>Normal</v>
      </c>
    </row>
    <row r="35" spans="1:29" x14ac:dyDescent="0.2">
      <c r="A35" s="4">
        <v>653</v>
      </c>
      <c r="B35" s="4" t="s">
        <v>84</v>
      </c>
      <c r="C35" s="4">
        <v>1</v>
      </c>
      <c r="D35" s="4">
        <v>0</v>
      </c>
      <c r="E35" s="4">
        <v>1</v>
      </c>
      <c r="F35" s="4">
        <v>12</v>
      </c>
      <c r="G35" s="4" t="b">
        <v>0</v>
      </c>
      <c r="H35" s="4">
        <v>0</v>
      </c>
      <c r="I35" s="4">
        <v>1</v>
      </c>
      <c r="J35" s="4">
        <v>0.3</v>
      </c>
      <c r="K35" s="4">
        <v>0.31819999999999998</v>
      </c>
      <c r="L35" s="4">
        <v>0.52</v>
      </c>
      <c r="M35" s="4">
        <v>0.1045</v>
      </c>
      <c r="N35" s="4">
        <v>10</v>
      </c>
      <c r="O35" s="4">
        <v>87</v>
      </c>
      <c r="P35" s="4">
        <v>97</v>
      </c>
      <c r="Q35" s="6" t="str">
        <f t="shared" si="0"/>
        <v>Weekend</v>
      </c>
      <c r="R35" s="42">
        <f t="shared" si="1"/>
        <v>47481</v>
      </c>
      <c r="S35" s="42">
        <f t="shared" si="2"/>
        <v>124.8388746803069</v>
      </c>
      <c r="T35" s="42">
        <f t="shared" si="3"/>
        <v>358</v>
      </c>
      <c r="U35" s="42" t="str">
        <f t="shared" si="4"/>
        <v>Wee</v>
      </c>
      <c r="V35" s="42" t="str">
        <f t="shared" si="5"/>
        <v>kend</v>
      </c>
      <c r="W35" s="42">
        <f t="shared" si="6"/>
        <v>7</v>
      </c>
      <c r="X35" s="42">
        <f t="shared" si="7"/>
        <v>0.31819999999999998</v>
      </c>
      <c r="Y35" s="3">
        <f t="shared" si="11"/>
        <v>82</v>
      </c>
      <c r="Z35" s="3">
        <f t="shared" si="12"/>
        <v>7883</v>
      </c>
      <c r="AA35" s="3">
        <f t="shared" si="8"/>
        <v>1232.2489122187819</v>
      </c>
      <c r="AB35" s="3">
        <f t="shared" si="9"/>
        <v>0.99911573903365103</v>
      </c>
      <c r="AC35" s="3" t="str">
        <f t="shared" si="10"/>
        <v>Normal</v>
      </c>
    </row>
    <row r="36" spans="1:29" x14ac:dyDescent="0.2">
      <c r="A36" s="4">
        <v>654</v>
      </c>
      <c r="B36" s="4" t="s">
        <v>84</v>
      </c>
      <c r="C36" s="4">
        <v>1</v>
      </c>
      <c r="D36" s="4">
        <v>0</v>
      </c>
      <c r="E36" s="4">
        <v>1</v>
      </c>
      <c r="F36" s="4">
        <v>13</v>
      </c>
      <c r="G36" s="4" t="b">
        <v>0</v>
      </c>
      <c r="H36" s="4">
        <v>0</v>
      </c>
      <c r="I36" s="4">
        <v>1</v>
      </c>
      <c r="J36" s="4">
        <v>0.28000000000000003</v>
      </c>
      <c r="K36" s="4">
        <v>0.28789999999999999</v>
      </c>
      <c r="L36" s="4">
        <v>0.61</v>
      </c>
      <c r="M36" s="4">
        <v>0.1045</v>
      </c>
      <c r="N36" s="4">
        <v>13</v>
      </c>
      <c r="O36" s="4">
        <v>71</v>
      </c>
      <c r="P36" s="4">
        <v>84</v>
      </c>
      <c r="Q36" s="6" t="str">
        <f t="shared" si="0"/>
        <v>Weekend</v>
      </c>
      <c r="R36" s="42">
        <f t="shared" si="1"/>
        <v>47384</v>
      </c>
      <c r="S36" s="42">
        <f t="shared" si="2"/>
        <v>124.8388746803069</v>
      </c>
      <c r="T36" s="42">
        <f t="shared" si="3"/>
        <v>357</v>
      </c>
      <c r="U36" s="42" t="str">
        <f t="shared" si="4"/>
        <v>Wee</v>
      </c>
      <c r="V36" s="42" t="str">
        <f t="shared" si="5"/>
        <v>kend</v>
      </c>
      <c r="W36" s="42">
        <f t="shared" si="6"/>
        <v>7</v>
      </c>
      <c r="X36" s="42">
        <f t="shared" si="7"/>
        <v>0.28789999999999999</v>
      </c>
      <c r="Y36" s="3">
        <f t="shared" si="11"/>
        <v>82</v>
      </c>
      <c r="Z36" s="3">
        <f t="shared" si="12"/>
        <v>7883</v>
      </c>
      <c r="AA36" s="3">
        <f t="shared" si="8"/>
        <v>1232.2489122187819</v>
      </c>
      <c r="AB36" s="3">
        <f t="shared" si="9"/>
        <v>0.99911573903365103</v>
      </c>
      <c r="AC36" s="3" t="str">
        <f t="shared" si="10"/>
        <v>Normal</v>
      </c>
    </row>
    <row r="37" spans="1:29" x14ac:dyDescent="0.2">
      <c r="A37" s="4">
        <v>655</v>
      </c>
      <c r="B37" s="4" t="s">
        <v>84</v>
      </c>
      <c r="C37" s="4">
        <v>1</v>
      </c>
      <c r="D37" s="4">
        <v>0</v>
      </c>
      <c r="E37" s="4">
        <v>1</v>
      </c>
      <c r="F37" s="4">
        <v>14</v>
      </c>
      <c r="G37" s="4" t="b">
        <v>0</v>
      </c>
      <c r="H37" s="4">
        <v>0</v>
      </c>
      <c r="I37" s="4">
        <v>1</v>
      </c>
      <c r="J37" s="4">
        <v>0.28000000000000003</v>
      </c>
      <c r="K37" s="4">
        <v>0.30299999999999999</v>
      </c>
      <c r="L37" s="4">
        <v>0.61</v>
      </c>
      <c r="M37" s="4">
        <v>8.9599999999999999E-2</v>
      </c>
      <c r="N37" s="4">
        <v>18</v>
      </c>
      <c r="O37" s="4">
        <v>104</v>
      </c>
      <c r="P37" s="4">
        <v>122</v>
      </c>
      <c r="Q37" s="6" t="str">
        <f t="shared" si="0"/>
        <v>Weekend</v>
      </c>
      <c r="R37" s="42">
        <f t="shared" si="1"/>
        <v>47300</v>
      </c>
      <c r="S37" s="42">
        <f t="shared" si="2"/>
        <v>124.8388746803069</v>
      </c>
      <c r="T37" s="42">
        <f t="shared" si="3"/>
        <v>356</v>
      </c>
      <c r="U37" s="42" t="str">
        <f t="shared" si="4"/>
        <v>Wee</v>
      </c>
      <c r="V37" s="42" t="str">
        <f t="shared" si="5"/>
        <v>kend</v>
      </c>
      <c r="W37" s="42">
        <f t="shared" si="6"/>
        <v>7</v>
      </c>
      <c r="X37" s="42">
        <f t="shared" si="7"/>
        <v>0.30299999999999999</v>
      </c>
      <c r="Y37" s="3">
        <f t="shared" si="11"/>
        <v>82</v>
      </c>
      <c r="Z37" s="3">
        <f t="shared" si="12"/>
        <v>7883</v>
      </c>
      <c r="AA37" s="3">
        <f t="shared" si="8"/>
        <v>1232.2489122187819</v>
      </c>
      <c r="AB37" s="3">
        <f t="shared" si="9"/>
        <v>0.99911573903365103</v>
      </c>
      <c r="AC37" s="3" t="str">
        <f t="shared" si="10"/>
        <v>Normal</v>
      </c>
    </row>
    <row r="38" spans="1:29" x14ac:dyDescent="0.2">
      <c r="A38" s="4">
        <v>656</v>
      </c>
      <c r="B38" s="4" t="s">
        <v>84</v>
      </c>
      <c r="C38" s="4">
        <v>1</v>
      </c>
      <c r="D38" s="4">
        <v>0</v>
      </c>
      <c r="E38" s="4">
        <v>1</v>
      </c>
      <c r="F38" s="4">
        <v>15</v>
      </c>
      <c r="G38" s="4" t="b">
        <v>0</v>
      </c>
      <c r="H38" s="4">
        <v>0</v>
      </c>
      <c r="I38" s="4">
        <v>1</v>
      </c>
      <c r="J38" s="4">
        <v>0.3</v>
      </c>
      <c r="K38" s="4">
        <v>0.33329999999999999</v>
      </c>
      <c r="L38" s="4">
        <v>0.56000000000000005</v>
      </c>
      <c r="M38" s="4">
        <v>0</v>
      </c>
      <c r="N38" s="4">
        <v>14</v>
      </c>
      <c r="O38" s="4">
        <v>95</v>
      </c>
      <c r="P38" s="4">
        <v>109</v>
      </c>
      <c r="Q38" s="6" t="str">
        <f t="shared" si="0"/>
        <v>Weekend</v>
      </c>
      <c r="R38" s="42">
        <f t="shared" si="1"/>
        <v>47178</v>
      </c>
      <c r="S38" s="42">
        <f t="shared" si="2"/>
        <v>124.8388746803069</v>
      </c>
      <c r="T38" s="42">
        <f t="shared" si="3"/>
        <v>355</v>
      </c>
      <c r="U38" s="42" t="str">
        <f t="shared" si="4"/>
        <v>Wee</v>
      </c>
      <c r="V38" s="42" t="str">
        <f t="shared" si="5"/>
        <v>kend</v>
      </c>
      <c r="W38" s="42">
        <f t="shared" si="6"/>
        <v>7</v>
      </c>
      <c r="X38" s="42">
        <f t="shared" si="7"/>
        <v>0.33329999999999999</v>
      </c>
      <c r="Y38" s="3">
        <f t="shared" si="11"/>
        <v>82</v>
      </c>
      <c r="Z38" s="3">
        <f t="shared" si="12"/>
        <v>7883</v>
      </c>
      <c r="AA38" s="3">
        <f t="shared" si="8"/>
        <v>1232.2489122187819</v>
      </c>
      <c r="AB38" s="3">
        <f t="shared" si="9"/>
        <v>0.99911573903365103</v>
      </c>
      <c r="AC38" s="3" t="str">
        <f t="shared" si="10"/>
        <v>Normal</v>
      </c>
    </row>
    <row r="39" spans="1:29" x14ac:dyDescent="0.2">
      <c r="A39" s="4">
        <v>657</v>
      </c>
      <c r="B39" s="4" t="s">
        <v>84</v>
      </c>
      <c r="C39" s="4">
        <v>1</v>
      </c>
      <c r="D39" s="4">
        <v>0</v>
      </c>
      <c r="E39" s="4">
        <v>1</v>
      </c>
      <c r="F39" s="4">
        <v>16</v>
      </c>
      <c r="G39" s="4" t="b">
        <v>0</v>
      </c>
      <c r="H39" s="4">
        <v>0</v>
      </c>
      <c r="I39" s="4">
        <v>1</v>
      </c>
      <c r="J39" s="4">
        <v>0.3</v>
      </c>
      <c r="K39" s="4">
        <v>0.33329999999999999</v>
      </c>
      <c r="L39" s="4">
        <v>0.56000000000000005</v>
      </c>
      <c r="M39" s="4">
        <v>0</v>
      </c>
      <c r="N39" s="4">
        <v>19</v>
      </c>
      <c r="O39" s="4">
        <v>104</v>
      </c>
      <c r="P39" s="4">
        <v>123</v>
      </c>
      <c r="Q39" s="6" t="str">
        <f t="shared" si="0"/>
        <v>Weekend</v>
      </c>
      <c r="R39" s="42">
        <f t="shared" si="1"/>
        <v>47069</v>
      </c>
      <c r="S39" s="42">
        <f t="shared" si="2"/>
        <v>124.8388746803069</v>
      </c>
      <c r="T39" s="42">
        <f t="shared" si="3"/>
        <v>354</v>
      </c>
      <c r="U39" s="42" t="str">
        <f t="shared" si="4"/>
        <v>Wee</v>
      </c>
      <c r="V39" s="42" t="str">
        <f t="shared" si="5"/>
        <v>kend</v>
      </c>
      <c r="W39" s="42">
        <f t="shared" si="6"/>
        <v>7</v>
      </c>
      <c r="X39" s="42">
        <f t="shared" si="7"/>
        <v>0.33329999999999999</v>
      </c>
      <c r="Y39" s="3">
        <f t="shared" si="11"/>
        <v>82</v>
      </c>
      <c r="Z39" s="3">
        <f t="shared" si="12"/>
        <v>7883</v>
      </c>
      <c r="AA39" s="3">
        <f t="shared" si="8"/>
        <v>1232.2489122187819</v>
      </c>
      <c r="AB39" s="3">
        <f t="shared" si="9"/>
        <v>0.99911573903365103</v>
      </c>
      <c r="AC39" s="3" t="str">
        <f t="shared" si="10"/>
        <v>Normal</v>
      </c>
    </row>
    <row r="40" spans="1:29" x14ac:dyDescent="0.2">
      <c r="A40" s="4">
        <v>658</v>
      </c>
      <c r="B40" s="4" t="s">
        <v>84</v>
      </c>
      <c r="C40" s="4">
        <v>1</v>
      </c>
      <c r="D40" s="4">
        <v>0</v>
      </c>
      <c r="E40" s="4">
        <v>1</v>
      </c>
      <c r="F40" s="4">
        <v>17</v>
      </c>
      <c r="G40" s="4" t="b">
        <v>0</v>
      </c>
      <c r="H40" s="4">
        <v>0</v>
      </c>
      <c r="I40" s="4">
        <v>1</v>
      </c>
      <c r="J40" s="4">
        <v>0.3</v>
      </c>
      <c r="K40" s="4">
        <v>0.28789999999999999</v>
      </c>
      <c r="L40" s="4">
        <v>0.56000000000000005</v>
      </c>
      <c r="M40" s="4">
        <v>0.19400000000000001</v>
      </c>
      <c r="N40" s="4">
        <v>6</v>
      </c>
      <c r="O40" s="4">
        <v>71</v>
      </c>
      <c r="P40" s="4">
        <v>77</v>
      </c>
      <c r="Q40" s="6" t="str">
        <f t="shared" si="0"/>
        <v>Weekend</v>
      </c>
      <c r="R40" s="42">
        <f t="shared" si="1"/>
        <v>46946</v>
      </c>
      <c r="S40" s="42">
        <f t="shared" si="2"/>
        <v>124.8388746803069</v>
      </c>
      <c r="T40" s="42">
        <f t="shared" si="3"/>
        <v>353</v>
      </c>
      <c r="U40" s="42" t="str">
        <f t="shared" si="4"/>
        <v>Wee</v>
      </c>
      <c r="V40" s="42" t="str">
        <f t="shared" si="5"/>
        <v>kend</v>
      </c>
      <c r="W40" s="42">
        <f t="shared" si="6"/>
        <v>7</v>
      </c>
      <c r="X40" s="42">
        <f t="shared" si="7"/>
        <v>0.28789999999999999</v>
      </c>
      <c r="Y40" s="3">
        <f t="shared" si="11"/>
        <v>82</v>
      </c>
      <c r="Z40" s="3">
        <f t="shared" si="12"/>
        <v>7883</v>
      </c>
      <c r="AA40" s="3">
        <f t="shared" si="8"/>
        <v>1232.2489122187819</v>
      </c>
      <c r="AB40" s="3">
        <f t="shared" si="9"/>
        <v>0.99911573903365103</v>
      </c>
      <c r="AC40" s="3" t="str">
        <f t="shared" si="10"/>
        <v>Normal</v>
      </c>
    </row>
    <row r="41" spans="1:29" x14ac:dyDescent="0.2">
      <c r="A41" s="4">
        <v>659</v>
      </c>
      <c r="B41" s="4" t="s">
        <v>84</v>
      </c>
      <c r="C41" s="4">
        <v>1</v>
      </c>
      <c r="D41" s="4">
        <v>0</v>
      </c>
      <c r="E41" s="4">
        <v>1</v>
      </c>
      <c r="F41" s="4">
        <v>18</v>
      </c>
      <c r="G41" s="4" t="b">
        <v>0</v>
      </c>
      <c r="H41" s="4">
        <v>0</v>
      </c>
      <c r="I41" s="4">
        <v>1</v>
      </c>
      <c r="J41" s="4">
        <v>0.26</v>
      </c>
      <c r="K41" s="4">
        <v>0.2576</v>
      </c>
      <c r="L41" s="4">
        <v>0.65</v>
      </c>
      <c r="M41" s="4">
        <v>0.16420000000000001</v>
      </c>
      <c r="N41" s="4">
        <v>8</v>
      </c>
      <c r="O41" s="4">
        <v>57</v>
      </c>
      <c r="P41" s="4">
        <v>65</v>
      </c>
      <c r="Q41" s="6" t="str">
        <f t="shared" si="0"/>
        <v>Weekend</v>
      </c>
      <c r="R41" s="42">
        <f t="shared" si="1"/>
        <v>46869</v>
      </c>
      <c r="S41" s="42">
        <f t="shared" si="2"/>
        <v>124.8388746803069</v>
      </c>
      <c r="T41" s="42">
        <f t="shared" si="3"/>
        <v>352</v>
      </c>
      <c r="U41" s="42" t="str">
        <f t="shared" si="4"/>
        <v>Wee</v>
      </c>
      <c r="V41" s="42" t="str">
        <f t="shared" si="5"/>
        <v>kend</v>
      </c>
      <c r="W41" s="42">
        <f t="shared" si="6"/>
        <v>7</v>
      </c>
      <c r="X41" s="42">
        <f t="shared" si="7"/>
        <v>0.2576</v>
      </c>
      <c r="Y41" s="3">
        <f t="shared" si="11"/>
        <v>82</v>
      </c>
      <c r="Z41" s="3">
        <f t="shared" si="12"/>
        <v>7883</v>
      </c>
      <c r="AA41" s="3">
        <f t="shared" si="8"/>
        <v>1232.2489122187819</v>
      </c>
      <c r="AB41" s="3">
        <f t="shared" si="9"/>
        <v>0.99911573903365103</v>
      </c>
      <c r="AC41" s="3" t="str">
        <f t="shared" si="10"/>
        <v>Normal</v>
      </c>
    </row>
    <row r="42" spans="1:29" x14ac:dyDescent="0.2">
      <c r="A42" s="4">
        <v>660</v>
      </c>
      <c r="B42" s="4" t="s">
        <v>84</v>
      </c>
      <c r="C42" s="4">
        <v>1</v>
      </c>
      <c r="D42" s="4">
        <v>0</v>
      </c>
      <c r="E42" s="4">
        <v>1</v>
      </c>
      <c r="F42" s="4">
        <v>19</v>
      </c>
      <c r="G42" s="4" t="b">
        <v>0</v>
      </c>
      <c r="H42" s="4">
        <v>0</v>
      </c>
      <c r="I42" s="4">
        <v>1</v>
      </c>
      <c r="J42" s="4">
        <v>0.26</v>
      </c>
      <c r="K42" s="4">
        <v>0.2576</v>
      </c>
      <c r="L42" s="4">
        <v>0.65</v>
      </c>
      <c r="M42" s="4">
        <v>0.19400000000000001</v>
      </c>
      <c r="N42" s="4">
        <v>9</v>
      </c>
      <c r="O42" s="4">
        <v>46</v>
      </c>
      <c r="P42" s="4">
        <v>55</v>
      </c>
      <c r="Q42" s="6" t="str">
        <f t="shared" si="0"/>
        <v>Weekend</v>
      </c>
      <c r="R42" s="42">
        <f t="shared" si="1"/>
        <v>46804</v>
      </c>
      <c r="S42" s="42">
        <f t="shared" si="2"/>
        <v>124.8388746803069</v>
      </c>
      <c r="T42" s="42">
        <f t="shared" si="3"/>
        <v>351</v>
      </c>
      <c r="U42" s="42" t="str">
        <f t="shared" si="4"/>
        <v>Wee</v>
      </c>
      <c r="V42" s="42" t="str">
        <f t="shared" si="5"/>
        <v>kend</v>
      </c>
      <c r="W42" s="42">
        <f t="shared" si="6"/>
        <v>7</v>
      </c>
      <c r="X42" s="42">
        <f t="shared" si="7"/>
        <v>0.2576</v>
      </c>
      <c r="Y42" s="3">
        <f t="shared" si="11"/>
        <v>82</v>
      </c>
      <c r="Z42" s="3">
        <f t="shared" si="12"/>
        <v>7883</v>
      </c>
      <c r="AA42" s="3">
        <f t="shared" si="8"/>
        <v>1232.2489122187819</v>
      </c>
      <c r="AB42" s="3">
        <f t="shared" si="9"/>
        <v>0.99911573903365103</v>
      </c>
      <c r="AC42" s="3" t="str">
        <f t="shared" si="10"/>
        <v>Normal</v>
      </c>
    </row>
    <row r="43" spans="1:29" x14ac:dyDescent="0.2">
      <c r="A43" s="4">
        <v>661</v>
      </c>
      <c r="B43" s="4" t="s">
        <v>84</v>
      </c>
      <c r="C43" s="4">
        <v>1</v>
      </c>
      <c r="D43" s="4">
        <v>0</v>
      </c>
      <c r="E43" s="4">
        <v>1</v>
      </c>
      <c r="F43" s="4">
        <v>20</v>
      </c>
      <c r="G43" s="4" t="b">
        <v>0</v>
      </c>
      <c r="H43" s="4">
        <v>0</v>
      </c>
      <c r="I43" s="4">
        <v>2</v>
      </c>
      <c r="J43" s="4">
        <v>0.26</v>
      </c>
      <c r="K43" s="4">
        <v>0.2727</v>
      </c>
      <c r="L43" s="4">
        <v>0.65</v>
      </c>
      <c r="M43" s="4">
        <v>0.1045</v>
      </c>
      <c r="N43" s="4">
        <v>3</v>
      </c>
      <c r="O43" s="4">
        <v>30</v>
      </c>
      <c r="P43" s="4">
        <v>33</v>
      </c>
      <c r="Q43" s="6" t="str">
        <f t="shared" si="0"/>
        <v>Weekend</v>
      </c>
      <c r="R43" s="42">
        <f t="shared" si="1"/>
        <v>46749</v>
      </c>
      <c r="S43" s="42">
        <f t="shared" si="2"/>
        <v>124.8388746803069</v>
      </c>
      <c r="T43" s="42">
        <f t="shared" si="3"/>
        <v>350</v>
      </c>
      <c r="U43" s="42" t="str">
        <f t="shared" si="4"/>
        <v>Wee</v>
      </c>
      <c r="V43" s="42" t="str">
        <f t="shared" si="5"/>
        <v>kend</v>
      </c>
      <c r="W43" s="42">
        <f t="shared" si="6"/>
        <v>7</v>
      </c>
      <c r="X43" s="42">
        <f t="shared" si="7"/>
        <v>0.2727</v>
      </c>
      <c r="Y43" s="3">
        <f t="shared" si="11"/>
        <v>82</v>
      </c>
      <c r="Z43" s="3">
        <f t="shared" si="12"/>
        <v>7883</v>
      </c>
      <c r="AA43" s="3">
        <f t="shared" si="8"/>
        <v>1232.2489122187819</v>
      </c>
      <c r="AB43" s="3">
        <f t="shared" si="9"/>
        <v>0.99911573903365103</v>
      </c>
      <c r="AC43" s="3" t="str">
        <f t="shared" si="10"/>
        <v>Normal</v>
      </c>
    </row>
    <row r="44" spans="1:29" x14ac:dyDescent="0.2">
      <c r="A44" s="4">
        <v>662</v>
      </c>
      <c r="B44" s="4" t="s">
        <v>84</v>
      </c>
      <c r="C44" s="4">
        <v>1</v>
      </c>
      <c r="D44" s="4">
        <v>0</v>
      </c>
      <c r="E44" s="4">
        <v>1</v>
      </c>
      <c r="F44" s="4">
        <v>21</v>
      </c>
      <c r="G44" s="4" t="b">
        <v>0</v>
      </c>
      <c r="H44" s="4">
        <v>0</v>
      </c>
      <c r="I44" s="4">
        <v>2</v>
      </c>
      <c r="J44" s="4">
        <v>0.24</v>
      </c>
      <c r="K44" s="4">
        <v>0.2424</v>
      </c>
      <c r="L44" s="4">
        <v>0.7</v>
      </c>
      <c r="M44" s="4">
        <v>0.16420000000000001</v>
      </c>
      <c r="N44" s="4">
        <v>3</v>
      </c>
      <c r="O44" s="4">
        <v>25</v>
      </c>
      <c r="P44" s="4">
        <v>28</v>
      </c>
      <c r="Q44" s="6" t="str">
        <f t="shared" si="0"/>
        <v>Weekend</v>
      </c>
      <c r="R44" s="42">
        <f t="shared" si="1"/>
        <v>46716</v>
      </c>
      <c r="S44" s="42">
        <f t="shared" si="2"/>
        <v>124.8388746803069</v>
      </c>
      <c r="T44" s="42">
        <f t="shared" si="3"/>
        <v>349</v>
      </c>
      <c r="U44" s="42" t="str">
        <f t="shared" si="4"/>
        <v>Wee</v>
      </c>
      <c r="V44" s="42" t="str">
        <f t="shared" si="5"/>
        <v>kend</v>
      </c>
      <c r="W44" s="42">
        <f t="shared" si="6"/>
        <v>7</v>
      </c>
      <c r="X44" s="42">
        <f t="shared" si="7"/>
        <v>0.2424</v>
      </c>
      <c r="Y44" s="3">
        <f t="shared" si="11"/>
        <v>82</v>
      </c>
      <c r="Z44" s="3">
        <f t="shared" si="12"/>
        <v>7883</v>
      </c>
      <c r="AA44" s="3">
        <f t="shared" si="8"/>
        <v>1232.2489122187819</v>
      </c>
      <c r="AB44" s="3">
        <f t="shared" si="9"/>
        <v>0.99911573903365103</v>
      </c>
      <c r="AC44" s="3" t="str">
        <f t="shared" si="10"/>
        <v>Normal</v>
      </c>
    </row>
    <row r="45" spans="1:29" x14ac:dyDescent="0.2">
      <c r="A45" s="4">
        <v>663</v>
      </c>
      <c r="B45" s="4" t="s">
        <v>84</v>
      </c>
      <c r="C45" s="4">
        <v>1</v>
      </c>
      <c r="D45" s="4">
        <v>0</v>
      </c>
      <c r="E45" s="4">
        <v>1</v>
      </c>
      <c r="F45" s="4">
        <v>22</v>
      </c>
      <c r="G45" s="4" t="b">
        <v>0</v>
      </c>
      <c r="H45" s="4">
        <v>0</v>
      </c>
      <c r="I45" s="4">
        <v>2</v>
      </c>
      <c r="J45" s="4">
        <v>0.24</v>
      </c>
      <c r="K45" s="4">
        <v>0.2273</v>
      </c>
      <c r="L45" s="4">
        <v>0.7</v>
      </c>
      <c r="M45" s="4">
        <v>0.19400000000000001</v>
      </c>
      <c r="N45" s="4">
        <v>2</v>
      </c>
      <c r="O45" s="4">
        <v>19</v>
      </c>
      <c r="P45" s="4">
        <v>21</v>
      </c>
      <c r="Q45" s="6" t="str">
        <f t="shared" si="0"/>
        <v>Weekend</v>
      </c>
      <c r="R45" s="42">
        <f t="shared" si="1"/>
        <v>46688</v>
      </c>
      <c r="S45" s="42">
        <f t="shared" si="2"/>
        <v>124.8388746803069</v>
      </c>
      <c r="T45" s="42">
        <f t="shared" si="3"/>
        <v>348</v>
      </c>
      <c r="U45" s="42" t="str">
        <f t="shared" si="4"/>
        <v>Wee</v>
      </c>
      <c r="V45" s="42" t="str">
        <f t="shared" si="5"/>
        <v>kend</v>
      </c>
      <c r="W45" s="42">
        <f t="shared" si="6"/>
        <v>7</v>
      </c>
      <c r="X45" s="42">
        <f t="shared" si="7"/>
        <v>0.2273</v>
      </c>
      <c r="Y45" s="3">
        <f t="shared" si="11"/>
        <v>82</v>
      </c>
      <c r="Z45" s="3">
        <f t="shared" si="12"/>
        <v>7883</v>
      </c>
      <c r="AA45" s="3">
        <f t="shared" si="8"/>
        <v>1232.2489122187819</v>
      </c>
      <c r="AB45" s="3">
        <f t="shared" si="9"/>
        <v>0.99911573903365103</v>
      </c>
      <c r="AC45" s="3" t="str">
        <f t="shared" si="10"/>
        <v>Normal</v>
      </c>
    </row>
    <row r="46" spans="1:29" x14ac:dyDescent="0.2">
      <c r="A46" s="4">
        <v>664</v>
      </c>
      <c r="B46" s="4" t="s">
        <v>84</v>
      </c>
      <c r="C46" s="4">
        <v>1</v>
      </c>
      <c r="D46" s="4">
        <v>0</v>
      </c>
      <c r="E46" s="4">
        <v>1</v>
      </c>
      <c r="F46" s="4">
        <v>23</v>
      </c>
      <c r="G46" s="4" t="b">
        <v>0</v>
      </c>
      <c r="H46" s="4">
        <v>0</v>
      </c>
      <c r="I46" s="4">
        <v>2</v>
      </c>
      <c r="J46" s="4">
        <v>0.24</v>
      </c>
      <c r="K46" s="4">
        <v>0.21210000000000001</v>
      </c>
      <c r="L46" s="4">
        <v>0.65</v>
      </c>
      <c r="M46" s="4">
        <v>0.28360000000000002</v>
      </c>
      <c r="N46" s="4">
        <v>5</v>
      </c>
      <c r="O46" s="4">
        <v>16</v>
      </c>
      <c r="P46" s="4">
        <v>21</v>
      </c>
      <c r="Q46" s="6" t="str">
        <f t="shared" si="0"/>
        <v>Weekend</v>
      </c>
      <c r="R46" s="42">
        <f t="shared" si="1"/>
        <v>46667</v>
      </c>
      <c r="S46" s="42">
        <f t="shared" si="2"/>
        <v>124.8388746803069</v>
      </c>
      <c r="T46" s="42">
        <f t="shared" si="3"/>
        <v>347</v>
      </c>
      <c r="U46" s="42" t="str">
        <f t="shared" si="4"/>
        <v>Wee</v>
      </c>
      <c r="V46" s="42" t="str">
        <f t="shared" si="5"/>
        <v>kday</v>
      </c>
      <c r="W46" s="42">
        <f t="shared" si="6"/>
        <v>7</v>
      </c>
      <c r="X46" s="42">
        <f t="shared" si="7"/>
        <v>0.21210000000000001</v>
      </c>
      <c r="Y46" s="3">
        <f t="shared" si="11"/>
        <v>82</v>
      </c>
      <c r="Z46" s="3">
        <f t="shared" si="12"/>
        <v>7883</v>
      </c>
      <c r="AA46" s="3">
        <f t="shared" si="8"/>
        <v>1232.2489122187819</v>
      </c>
      <c r="AB46" s="3">
        <f t="shared" si="9"/>
        <v>0.99911573903365103</v>
      </c>
      <c r="AC46" s="3" t="str">
        <f t="shared" si="10"/>
        <v>Normal</v>
      </c>
    </row>
    <row r="47" spans="1:29" x14ac:dyDescent="0.2">
      <c r="A47" s="4">
        <v>665</v>
      </c>
      <c r="B47" s="4" t="s">
        <v>85</v>
      </c>
      <c r="C47" s="4">
        <v>1</v>
      </c>
      <c r="D47" s="4">
        <v>0</v>
      </c>
      <c r="E47" s="4">
        <v>1</v>
      </c>
      <c r="F47" s="4">
        <v>0</v>
      </c>
      <c r="G47" s="4" t="b">
        <v>0</v>
      </c>
      <c r="H47" s="4">
        <v>1</v>
      </c>
      <c r="I47" s="4">
        <v>2</v>
      </c>
      <c r="J47" s="4">
        <v>0.24</v>
      </c>
      <c r="K47" s="4">
        <v>0.2273</v>
      </c>
      <c r="L47" s="4">
        <v>0.65</v>
      </c>
      <c r="M47" s="4">
        <v>0.22389999999999999</v>
      </c>
      <c r="N47" s="4">
        <v>1</v>
      </c>
      <c r="O47" s="4">
        <v>6</v>
      </c>
      <c r="P47" s="4">
        <v>7</v>
      </c>
      <c r="Q47" s="6" t="str">
        <f t="shared" si="0"/>
        <v>Weekday</v>
      </c>
      <c r="R47" s="42">
        <f t="shared" si="1"/>
        <v>46646</v>
      </c>
      <c r="S47" s="42">
        <f t="shared" si="2"/>
        <v>124.8388746803069</v>
      </c>
      <c r="T47" s="42">
        <f t="shared" si="3"/>
        <v>346</v>
      </c>
      <c r="U47" s="42" t="str">
        <f t="shared" si="4"/>
        <v>Wee</v>
      </c>
      <c r="V47" s="42" t="str">
        <f t="shared" si="5"/>
        <v>kday</v>
      </c>
      <c r="W47" s="42">
        <f t="shared" si="6"/>
        <v>7</v>
      </c>
      <c r="X47" s="42">
        <f t="shared" si="7"/>
        <v>0.2273</v>
      </c>
      <c r="Y47" s="3">
        <f t="shared" si="11"/>
        <v>82</v>
      </c>
      <c r="Z47" s="3">
        <f t="shared" si="12"/>
        <v>7883</v>
      </c>
      <c r="AA47" s="3">
        <f t="shared" si="8"/>
        <v>1232.2489122187819</v>
      </c>
      <c r="AB47" s="3">
        <f t="shared" si="9"/>
        <v>0.99911573903365103</v>
      </c>
      <c r="AC47" s="3" t="str">
        <f t="shared" si="10"/>
        <v>Normal</v>
      </c>
    </row>
    <row r="48" spans="1:29" x14ac:dyDescent="0.2">
      <c r="A48" s="4">
        <v>666</v>
      </c>
      <c r="B48" s="4" t="s">
        <v>85</v>
      </c>
      <c r="C48" s="4">
        <v>1</v>
      </c>
      <c r="D48" s="4">
        <v>0</v>
      </c>
      <c r="E48" s="4">
        <v>1</v>
      </c>
      <c r="F48" s="4">
        <v>1</v>
      </c>
      <c r="G48" s="4" t="b">
        <v>0</v>
      </c>
      <c r="H48" s="4">
        <v>1</v>
      </c>
      <c r="I48" s="4">
        <v>1</v>
      </c>
      <c r="J48" s="4">
        <v>0.22</v>
      </c>
      <c r="K48" s="4">
        <v>0.21210000000000001</v>
      </c>
      <c r="L48" s="4">
        <v>0.64</v>
      </c>
      <c r="M48" s="4">
        <v>0.25369999999999998</v>
      </c>
      <c r="N48" s="4">
        <v>2</v>
      </c>
      <c r="O48" s="4">
        <v>5</v>
      </c>
      <c r="P48" s="4">
        <v>7</v>
      </c>
      <c r="Q48" s="6" t="str">
        <f t="shared" si="0"/>
        <v>Weekday</v>
      </c>
      <c r="R48" s="42">
        <f t="shared" si="1"/>
        <v>46639</v>
      </c>
      <c r="S48" s="42">
        <f t="shared" si="2"/>
        <v>124.8388746803069</v>
      </c>
      <c r="T48" s="42">
        <f t="shared" si="3"/>
        <v>345</v>
      </c>
      <c r="U48" s="42" t="str">
        <f t="shared" si="4"/>
        <v>Wee</v>
      </c>
      <c r="V48" s="42" t="str">
        <f t="shared" si="5"/>
        <v>kday</v>
      </c>
      <c r="W48" s="42">
        <f t="shared" si="6"/>
        <v>7</v>
      </c>
      <c r="X48" s="42">
        <f t="shared" si="7"/>
        <v>0.21210000000000001</v>
      </c>
      <c r="Y48" s="3">
        <f t="shared" si="11"/>
        <v>82</v>
      </c>
      <c r="Z48" s="3">
        <f t="shared" si="12"/>
        <v>7883</v>
      </c>
      <c r="AA48" s="3">
        <f t="shared" si="8"/>
        <v>1232.2489122187819</v>
      </c>
      <c r="AB48" s="3">
        <f t="shared" si="9"/>
        <v>0.99911573903365103</v>
      </c>
      <c r="AC48" s="3" t="str">
        <f t="shared" si="10"/>
        <v>Normal</v>
      </c>
    </row>
    <row r="49" spans="1:29" x14ac:dyDescent="0.2">
      <c r="A49" s="4">
        <v>667</v>
      </c>
      <c r="B49" s="4" t="s">
        <v>85</v>
      </c>
      <c r="C49" s="4">
        <v>1</v>
      </c>
      <c r="D49" s="4">
        <v>0</v>
      </c>
      <c r="E49" s="4">
        <v>1</v>
      </c>
      <c r="F49" s="4">
        <v>2</v>
      </c>
      <c r="G49" s="4" t="b">
        <v>0</v>
      </c>
      <c r="H49" s="4">
        <v>1</v>
      </c>
      <c r="I49" s="4">
        <v>1</v>
      </c>
      <c r="J49" s="4">
        <v>0.22</v>
      </c>
      <c r="K49" s="4">
        <v>0.2273</v>
      </c>
      <c r="L49" s="4">
        <v>0.64</v>
      </c>
      <c r="M49" s="4">
        <v>0.19400000000000001</v>
      </c>
      <c r="N49" s="4">
        <v>0</v>
      </c>
      <c r="O49" s="4">
        <v>1</v>
      </c>
      <c r="P49" s="4">
        <v>1</v>
      </c>
      <c r="Q49" s="6" t="str">
        <f t="shared" si="0"/>
        <v>Weekday</v>
      </c>
      <c r="R49" s="42">
        <f t="shared" si="1"/>
        <v>46632</v>
      </c>
      <c r="S49" s="42">
        <f t="shared" si="2"/>
        <v>124.8388746803069</v>
      </c>
      <c r="T49" s="42">
        <f t="shared" si="3"/>
        <v>344</v>
      </c>
      <c r="U49" s="42" t="str">
        <f t="shared" si="4"/>
        <v>Wee</v>
      </c>
      <c r="V49" s="42" t="str">
        <f t="shared" si="5"/>
        <v>kday</v>
      </c>
      <c r="W49" s="42">
        <f t="shared" si="6"/>
        <v>7</v>
      </c>
      <c r="X49" s="42">
        <f t="shared" si="7"/>
        <v>0.2273</v>
      </c>
      <c r="Y49" s="3">
        <f t="shared" si="11"/>
        <v>82</v>
      </c>
      <c r="Z49" s="3">
        <f t="shared" si="12"/>
        <v>7883</v>
      </c>
      <c r="AA49" s="3">
        <f t="shared" si="8"/>
        <v>1232.2489122187819</v>
      </c>
      <c r="AB49" s="3">
        <f t="shared" si="9"/>
        <v>0.99911573903365103</v>
      </c>
      <c r="AC49" s="3" t="str">
        <f t="shared" si="10"/>
        <v>Normal</v>
      </c>
    </row>
    <row r="50" spans="1:29" x14ac:dyDescent="0.2">
      <c r="A50" s="4">
        <v>668</v>
      </c>
      <c r="B50" s="4" t="s">
        <v>85</v>
      </c>
      <c r="C50" s="4">
        <v>1</v>
      </c>
      <c r="D50" s="4">
        <v>0</v>
      </c>
      <c r="E50" s="4">
        <v>1</v>
      </c>
      <c r="F50" s="4">
        <v>3</v>
      </c>
      <c r="G50" s="4" t="b">
        <v>0</v>
      </c>
      <c r="H50" s="4">
        <v>1</v>
      </c>
      <c r="I50" s="4">
        <v>1</v>
      </c>
      <c r="J50" s="4">
        <v>0.22</v>
      </c>
      <c r="K50" s="4">
        <v>0.2273</v>
      </c>
      <c r="L50" s="4">
        <v>0.64</v>
      </c>
      <c r="M50" s="4">
        <v>0.19400000000000001</v>
      </c>
      <c r="N50" s="4">
        <v>0</v>
      </c>
      <c r="O50" s="4">
        <v>2</v>
      </c>
      <c r="P50" s="4">
        <v>2</v>
      </c>
      <c r="Q50" s="6" t="str">
        <f t="shared" si="0"/>
        <v>Weekday</v>
      </c>
      <c r="R50" s="42">
        <f t="shared" si="1"/>
        <v>46631</v>
      </c>
      <c r="S50" s="42">
        <f t="shared" si="2"/>
        <v>124.8388746803069</v>
      </c>
      <c r="T50" s="42">
        <f t="shared" si="3"/>
        <v>343</v>
      </c>
      <c r="U50" s="42" t="str">
        <f t="shared" si="4"/>
        <v>Wee</v>
      </c>
      <c r="V50" s="42" t="str">
        <f t="shared" si="5"/>
        <v>kday</v>
      </c>
      <c r="W50" s="42">
        <f t="shared" si="6"/>
        <v>7</v>
      </c>
      <c r="X50" s="42">
        <f t="shared" si="7"/>
        <v>0.2273</v>
      </c>
      <c r="Y50" s="3">
        <f t="shared" si="11"/>
        <v>82</v>
      </c>
      <c r="Z50" s="3">
        <f t="shared" si="12"/>
        <v>7883</v>
      </c>
      <c r="AA50" s="3">
        <f t="shared" si="8"/>
        <v>1232.2489122187819</v>
      </c>
      <c r="AB50" s="3">
        <f t="shared" si="9"/>
        <v>0.99911573903365103</v>
      </c>
      <c r="AC50" s="3" t="str">
        <f t="shared" si="10"/>
        <v>Normal</v>
      </c>
    </row>
    <row r="51" spans="1:29" x14ac:dyDescent="0.2">
      <c r="A51" s="4">
        <v>669</v>
      </c>
      <c r="B51" s="4" t="s">
        <v>85</v>
      </c>
      <c r="C51" s="4">
        <v>1</v>
      </c>
      <c r="D51" s="4">
        <v>0</v>
      </c>
      <c r="E51" s="4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0.2</v>
      </c>
      <c r="K51" s="4">
        <v>0.19700000000000001</v>
      </c>
      <c r="L51" s="4">
        <v>0.59</v>
      </c>
      <c r="M51" s="4">
        <v>0.22389999999999999</v>
      </c>
      <c r="N51" s="4">
        <v>0</v>
      </c>
      <c r="O51" s="4">
        <v>2</v>
      </c>
      <c r="P51" s="4">
        <v>2</v>
      </c>
      <c r="Q51" s="6" t="str">
        <f t="shared" si="0"/>
        <v>Weekday</v>
      </c>
      <c r="R51" s="42">
        <f t="shared" si="1"/>
        <v>46629</v>
      </c>
      <c r="S51" s="42">
        <f t="shared" si="2"/>
        <v>124.8388746803069</v>
      </c>
      <c r="T51" s="42">
        <f t="shared" si="3"/>
        <v>342</v>
      </c>
      <c r="U51" s="42" t="str">
        <f t="shared" si="4"/>
        <v>Wee</v>
      </c>
      <c r="V51" s="42" t="str">
        <f t="shared" si="5"/>
        <v>kday</v>
      </c>
      <c r="W51" s="42">
        <f t="shared" si="6"/>
        <v>7</v>
      </c>
      <c r="X51" s="42">
        <f t="shared" si="7"/>
        <v>0.19700000000000001</v>
      </c>
      <c r="Y51" s="3">
        <f t="shared" si="11"/>
        <v>82</v>
      </c>
      <c r="Z51" s="3">
        <f t="shared" si="12"/>
        <v>7883</v>
      </c>
      <c r="AA51" s="3">
        <f t="shared" si="8"/>
        <v>1232.2489122187819</v>
      </c>
      <c r="AB51" s="3">
        <f t="shared" si="9"/>
        <v>0.99911573903365103</v>
      </c>
      <c r="AC51" s="3" t="str">
        <f t="shared" si="10"/>
        <v>Normal</v>
      </c>
    </row>
    <row r="52" spans="1:29" x14ac:dyDescent="0.2">
      <c r="A52" s="4">
        <v>670</v>
      </c>
      <c r="B52" s="4" t="s">
        <v>85</v>
      </c>
      <c r="C52" s="4">
        <v>1</v>
      </c>
      <c r="D52" s="4">
        <v>0</v>
      </c>
      <c r="E52" s="4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0.18</v>
      </c>
      <c r="K52" s="4">
        <v>0.16669999999999999</v>
      </c>
      <c r="L52" s="4">
        <v>0.64</v>
      </c>
      <c r="M52" s="4">
        <v>0.28360000000000002</v>
      </c>
      <c r="N52" s="4">
        <v>0</v>
      </c>
      <c r="O52" s="4">
        <v>8</v>
      </c>
      <c r="P52" s="4">
        <v>8</v>
      </c>
      <c r="Q52" s="6" t="str">
        <f t="shared" si="0"/>
        <v>Weekday</v>
      </c>
      <c r="R52" s="42">
        <f t="shared" si="1"/>
        <v>46627</v>
      </c>
      <c r="S52" s="42">
        <f t="shared" si="2"/>
        <v>124.8388746803069</v>
      </c>
      <c r="T52" s="42">
        <f t="shared" si="3"/>
        <v>341</v>
      </c>
      <c r="U52" s="42" t="str">
        <f t="shared" si="4"/>
        <v>Wee</v>
      </c>
      <c r="V52" s="42" t="str">
        <f t="shared" si="5"/>
        <v>kday</v>
      </c>
      <c r="W52" s="42">
        <f t="shared" si="6"/>
        <v>7</v>
      </c>
      <c r="X52" s="42">
        <f t="shared" si="7"/>
        <v>0.16669999999999999</v>
      </c>
      <c r="Y52" s="3">
        <f t="shared" si="11"/>
        <v>82</v>
      </c>
      <c r="Z52" s="3">
        <f t="shared" si="12"/>
        <v>7883</v>
      </c>
      <c r="AA52" s="3">
        <f t="shared" si="8"/>
        <v>1232.2489122187819</v>
      </c>
      <c r="AB52" s="3">
        <f t="shared" si="9"/>
        <v>0.99911573903365103</v>
      </c>
      <c r="AC52" s="3" t="str">
        <f t="shared" si="10"/>
        <v>Normal</v>
      </c>
    </row>
    <row r="53" spans="1:29" x14ac:dyDescent="0.2">
      <c r="A53" s="4">
        <v>671</v>
      </c>
      <c r="B53" s="4" t="s">
        <v>85</v>
      </c>
      <c r="C53" s="4">
        <v>1</v>
      </c>
      <c r="D53" s="4">
        <v>0</v>
      </c>
      <c r="E53" s="4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0.16</v>
      </c>
      <c r="K53" s="4">
        <v>0.13639999999999999</v>
      </c>
      <c r="L53" s="4">
        <v>0.69</v>
      </c>
      <c r="M53" s="4">
        <v>0.32840000000000003</v>
      </c>
      <c r="N53" s="4">
        <v>0</v>
      </c>
      <c r="O53" s="4">
        <v>37</v>
      </c>
      <c r="P53" s="4">
        <v>37</v>
      </c>
      <c r="Q53" s="6" t="str">
        <f t="shared" si="0"/>
        <v>Weekday</v>
      </c>
      <c r="R53" s="42">
        <f t="shared" si="1"/>
        <v>46619</v>
      </c>
      <c r="S53" s="42">
        <f t="shared" si="2"/>
        <v>124.8388746803069</v>
      </c>
      <c r="T53" s="42">
        <f t="shared" si="3"/>
        <v>340</v>
      </c>
      <c r="U53" s="42" t="str">
        <f t="shared" si="4"/>
        <v>Wee</v>
      </c>
      <c r="V53" s="42" t="str">
        <f t="shared" si="5"/>
        <v>kday</v>
      </c>
      <c r="W53" s="42">
        <f t="shared" si="6"/>
        <v>7</v>
      </c>
      <c r="X53" s="42">
        <f t="shared" si="7"/>
        <v>0.13639999999999999</v>
      </c>
      <c r="Y53" s="3">
        <f t="shared" si="11"/>
        <v>82</v>
      </c>
      <c r="Z53" s="3">
        <f t="shared" si="12"/>
        <v>7883</v>
      </c>
      <c r="AA53" s="3">
        <f t="shared" si="8"/>
        <v>1232.2489122187819</v>
      </c>
      <c r="AB53" s="3">
        <f t="shared" si="9"/>
        <v>0.99911573903365103</v>
      </c>
      <c r="AC53" s="3" t="str">
        <f t="shared" si="10"/>
        <v>Normal</v>
      </c>
    </row>
    <row r="54" spans="1:29" x14ac:dyDescent="0.2">
      <c r="A54" s="4">
        <v>672</v>
      </c>
      <c r="B54" s="4" t="s">
        <v>85</v>
      </c>
      <c r="C54" s="4">
        <v>1</v>
      </c>
      <c r="D54" s="4">
        <v>0</v>
      </c>
      <c r="E54" s="4">
        <v>1</v>
      </c>
      <c r="F54" s="4">
        <v>7</v>
      </c>
      <c r="G54" s="4" t="b">
        <v>0</v>
      </c>
      <c r="H54" s="4">
        <v>1</v>
      </c>
      <c r="I54" s="4">
        <v>2</v>
      </c>
      <c r="J54" s="4">
        <v>0.16</v>
      </c>
      <c r="K54" s="4">
        <v>0.13639999999999999</v>
      </c>
      <c r="L54" s="4">
        <v>0.64</v>
      </c>
      <c r="M54" s="4">
        <v>0.28360000000000002</v>
      </c>
      <c r="N54" s="4">
        <v>1</v>
      </c>
      <c r="O54" s="4">
        <v>71</v>
      </c>
      <c r="P54" s="4">
        <v>72</v>
      </c>
      <c r="Q54" s="6" t="str">
        <f t="shared" si="0"/>
        <v>Weekday</v>
      </c>
      <c r="R54" s="42">
        <f t="shared" si="1"/>
        <v>46582</v>
      </c>
      <c r="S54" s="42">
        <f t="shared" si="2"/>
        <v>124.8388746803069</v>
      </c>
      <c r="T54" s="42">
        <f t="shared" si="3"/>
        <v>339</v>
      </c>
      <c r="U54" s="42" t="str">
        <f t="shared" si="4"/>
        <v>Wee</v>
      </c>
      <c r="V54" s="42" t="str">
        <f t="shared" si="5"/>
        <v>kday</v>
      </c>
      <c r="W54" s="42">
        <f t="shared" si="6"/>
        <v>7</v>
      </c>
      <c r="X54" s="42">
        <f t="shared" si="7"/>
        <v>0.13639999999999999</v>
      </c>
      <c r="Y54" s="3">
        <f t="shared" si="11"/>
        <v>82</v>
      </c>
      <c r="Z54" s="3">
        <f t="shared" si="12"/>
        <v>7883</v>
      </c>
      <c r="AA54" s="3">
        <f t="shared" si="8"/>
        <v>1232.2489122187819</v>
      </c>
      <c r="AB54" s="3">
        <f t="shared" si="9"/>
        <v>0.99911573903365103</v>
      </c>
      <c r="AC54" s="3" t="str">
        <f t="shared" si="10"/>
        <v>Normal</v>
      </c>
    </row>
    <row r="55" spans="1:29" x14ac:dyDescent="0.2">
      <c r="A55" s="4">
        <v>673</v>
      </c>
      <c r="B55" s="4" t="s">
        <v>85</v>
      </c>
      <c r="C55" s="4">
        <v>1</v>
      </c>
      <c r="D55" s="4">
        <v>0</v>
      </c>
      <c r="E55" s="4">
        <v>1</v>
      </c>
      <c r="F55" s="4">
        <v>8</v>
      </c>
      <c r="G55" s="4" t="b">
        <v>0</v>
      </c>
      <c r="H55" s="4">
        <v>1</v>
      </c>
      <c r="I55" s="4">
        <v>2</v>
      </c>
      <c r="J55" s="4">
        <v>0.16</v>
      </c>
      <c r="K55" s="4">
        <v>0.13639999999999999</v>
      </c>
      <c r="L55" s="4">
        <v>0.59</v>
      </c>
      <c r="M55" s="4">
        <v>0.28360000000000002</v>
      </c>
      <c r="N55" s="4">
        <v>3</v>
      </c>
      <c r="O55" s="4">
        <v>182</v>
      </c>
      <c r="P55" s="4">
        <v>185</v>
      </c>
      <c r="Q55" s="6" t="str">
        <f t="shared" si="0"/>
        <v>Weekday</v>
      </c>
      <c r="R55" s="42">
        <f t="shared" si="1"/>
        <v>46510</v>
      </c>
      <c r="S55" s="42">
        <f t="shared" si="2"/>
        <v>124.8388746803069</v>
      </c>
      <c r="T55" s="42">
        <f t="shared" si="3"/>
        <v>338</v>
      </c>
      <c r="U55" s="42" t="str">
        <f t="shared" si="4"/>
        <v>Wee</v>
      </c>
      <c r="V55" s="42" t="str">
        <f t="shared" si="5"/>
        <v>kday</v>
      </c>
      <c r="W55" s="42">
        <f t="shared" si="6"/>
        <v>7</v>
      </c>
      <c r="X55" s="42">
        <f t="shared" si="7"/>
        <v>0.13639999999999999</v>
      </c>
      <c r="Y55" s="3">
        <f t="shared" si="11"/>
        <v>82</v>
      </c>
      <c r="Z55" s="3">
        <f t="shared" si="12"/>
        <v>7883</v>
      </c>
      <c r="AA55" s="3">
        <f t="shared" si="8"/>
        <v>1232.2489122187819</v>
      </c>
      <c r="AB55" s="3">
        <f t="shared" si="9"/>
        <v>0.99911573903365103</v>
      </c>
      <c r="AC55" s="3" t="str">
        <f t="shared" si="10"/>
        <v>Normal</v>
      </c>
    </row>
    <row r="56" spans="1:29" x14ac:dyDescent="0.2">
      <c r="A56" s="4">
        <v>674</v>
      </c>
      <c r="B56" s="4" t="s">
        <v>85</v>
      </c>
      <c r="C56" s="4">
        <v>1</v>
      </c>
      <c r="D56" s="4">
        <v>0</v>
      </c>
      <c r="E56" s="4">
        <v>1</v>
      </c>
      <c r="F56" s="4">
        <v>9</v>
      </c>
      <c r="G56" s="4" t="b">
        <v>0</v>
      </c>
      <c r="H56" s="4">
        <v>1</v>
      </c>
      <c r="I56" s="4">
        <v>2</v>
      </c>
      <c r="J56" s="4">
        <v>0.16</v>
      </c>
      <c r="K56" s="4">
        <v>0.13639999999999999</v>
      </c>
      <c r="L56" s="4">
        <v>0.59</v>
      </c>
      <c r="M56" s="4">
        <v>0.29849999999999999</v>
      </c>
      <c r="N56" s="4">
        <v>0</v>
      </c>
      <c r="O56" s="4">
        <v>112</v>
      </c>
      <c r="P56" s="4">
        <v>112</v>
      </c>
      <c r="Q56" s="6" t="str">
        <f t="shared" si="0"/>
        <v>Weekday</v>
      </c>
      <c r="R56" s="42">
        <f t="shared" si="1"/>
        <v>46325</v>
      </c>
      <c r="S56" s="42">
        <f t="shared" si="2"/>
        <v>124.8388746803069</v>
      </c>
      <c r="T56" s="42">
        <f t="shared" si="3"/>
        <v>337</v>
      </c>
      <c r="U56" s="42" t="str">
        <f t="shared" si="4"/>
        <v>Wee</v>
      </c>
      <c r="V56" s="42" t="str">
        <f t="shared" si="5"/>
        <v>kday</v>
      </c>
      <c r="W56" s="42">
        <f t="shared" si="6"/>
        <v>7</v>
      </c>
      <c r="X56" s="42">
        <f t="shared" si="7"/>
        <v>0.13639999999999999</v>
      </c>
      <c r="Y56" s="3">
        <f t="shared" si="11"/>
        <v>82</v>
      </c>
      <c r="Z56" s="3">
        <f t="shared" si="12"/>
        <v>7883</v>
      </c>
      <c r="AA56" s="3">
        <f t="shared" si="8"/>
        <v>1232.2489122187819</v>
      </c>
      <c r="AB56" s="3">
        <f t="shared" si="9"/>
        <v>0.99911573903365103</v>
      </c>
      <c r="AC56" s="3" t="str">
        <f t="shared" si="10"/>
        <v>Normal</v>
      </c>
    </row>
    <row r="57" spans="1:29" x14ac:dyDescent="0.2">
      <c r="A57" s="4">
        <v>675</v>
      </c>
      <c r="B57" s="4" t="s">
        <v>85</v>
      </c>
      <c r="C57" s="4">
        <v>1</v>
      </c>
      <c r="D57" s="4">
        <v>0</v>
      </c>
      <c r="E57" s="4">
        <v>1</v>
      </c>
      <c r="F57" s="4">
        <v>10</v>
      </c>
      <c r="G57" s="4" t="b">
        <v>0</v>
      </c>
      <c r="H57" s="4">
        <v>1</v>
      </c>
      <c r="I57" s="4">
        <v>2</v>
      </c>
      <c r="J57" s="4">
        <v>0.16</v>
      </c>
      <c r="K57" s="4">
        <v>0.1515</v>
      </c>
      <c r="L57" s="4">
        <v>0.59</v>
      </c>
      <c r="M57" s="4">
        <v>0.19400000000000001</v>
      </c>
      <c r="N57" s="4">
        <v>1</v>
      </c>
      <c r="O57" s="4">
        <v>68</v>
      </c>
      <c r="P57" s="4">
        <v>69</v>
      </c>
      <c r="Q57" s="6" t="str">
        <f t="shared" si="0"/>
        <v>Weekday</v>
      </c>
      <c r="R57" s="42">
        <f t="shared" si="1"/>
        <v>46213</v>
      </c>
      <c r="S57" s="42">
        <f t="shared" si="2"/>
        <v>124.8388746803069</v>
      </c>
      <c r="T57" s="42">
        <f t="shared" si="3"/>
        <v>336</v>
      </c>
      <c r="U57" s="42" t="str">
        <f t="shared" si="4"/>
        <v>Wee</v>
      </c>
      <c r="V57" s="42" t="str">
        <f t="shared" si="5"/>
        <v>kday</v>
      </c>
      <c r="W57" s="42">
        <f t="shared" si="6"/>
        <v>7</v>
      </c>
      <c r="X57" s="42">
        <f t="shared" si="7"/>
        <v>0.1515</v>
      </c>
      <c r="Y57" s="3">
        <f t="shared" si="11"/>
        <v>82</v>
      </c>
      <c r="Z57" s="3">
        <f t="shared" si="12"/>
        <v>7883</v>
      </c>
      <c r="AA57" s="3">
        <f t="shared" si="8"/>
        <v>1232.2489122187819</v>
      </c>
      <c r="AB57" s="3">
        <f t="shared" si="9"/>
        <v>0.99911573903365103</v>
      </c>
      <c r="AC57" s="3" t="str">
        <f t="shared" si="10"/>
        <v>Normal</v>
      </c>
    </row>
    <row r="58" spans="1:29" x14ac:dyDescent="0.2">
      <c r="A58" s="4">
        <v>676</v>
      </c>
      <c r="B58" s="4" t="s">
        <v>85</v>
      </c>
      <c r="C58" s="4">
        <v>1</v>
      </c>
      <c r="D58" s="4">
        <v>0</v>
      </c>
      <c r="E58" s="4">
        <v>1</v>
      </c>
      <c r="F58" s="4">
        <v>11</v>
      </c>
      <c r="G58" s="4" t="b">
        <v>0</v>
      </c>
      <c r="H58" s="4">
        <v>1</v>
      </c>
      <c r="I58" s="4">
        <v>2</v>
      </c>
      <c r="J58" s="4">
        <v>0.16</v>
      </c>
      <c r="K58" s="4">
        <v>0.1515</v>
      </c>
      <c r="L58" s="4">
        <v>0.59</v>
      </c>
      <c r="M58" s="4">
        <v>0.19400000000000001</v>
      </c>
      <c r="N58" s="4">
        <v>2</v>
      </c>
      <c r="O58" s="4">
        <v>46</v>
      </c>
      <c r="P58" s="4">
        <v>48</v>
      </c>
      <c r="Q58" s="6" t="str">
        <f t="shared" si="0"/>
        <v>Weekday</v>
      </c>
      <c r="R58" s="42">
        <f t="shared" si="1"/>
        <v>46144</v>
      </c>
      <c r="S58" s="42">
        <f t="shared" si="2"/>
        <v>124.8388746803069</v>
      </c>
      <c r="T58" s="42">
        <f t="shared" si="3"/>
        <v>335</v>
      </c>
      <c r="U58" s="42" t="str">
        <f t="shared" si="4"/>
        <v>Wee</v>
      </c>
      <c r="V58" s="42" t="str">
        <f t="shared" si="5"/>
        <v>kday</v>
      </c>
      <c r="W58" s="42">
        <f t="shared" si="6"/>
        <v>7</v>
      </c>
      <c r="X58" s="42">
        <f t="shared" si="7"/>
        <v>0.1515</v>
      </c>
      <c r="Y58" s="3">
        <f t="shared" si="11"/>
        <v>82</v>
      </c>
      <c r="Z58" s="3">
        <f t="shared" si="12"/>
        <v>7883</v>
      </c>
      <c r="AA58" s="3">
        <f t="shared" si="8"/>
        <v>1232.2489122187819</v>
      </c>
      <c r="AB58" s="3">
        <f t="shared" si="9"/>
        <v>0.99911573903365103</v>
      </c>
      <c r="AC58" s="3" t="str">
        <f t="shared" si="10"/>
        <v>Normal</v>
      </c>
    </row>
    <row r="59" spans="1:29" x14ac:dyDescent="0.2">
      <c r="A59" s="4">
        <v>677</v>
      </c>
      <c r="B59" s="4" t="s">
        <v>85</v>
      </c>
      <c r="C59" s="4">
        <v>1</v>
      </c>
      <c r="D59" s="4">
        <v>0</v>
      </c>
      <c r="E59" s="4">
        <v>1</v>
      </c>
      <c r="F59" s="4">
        <v>12</v>
      </c>
      <c r="G59" s="4" t="b">
        <v>0</v>
      </c>
      <c r="H59" s="4">
        <v>1</v>
      </c>
      <c r="I59" s="4">
        <v>2</v>
      </c>
      <c r="J59" s="4">
        <v>0.18</v>
      </c>
      <c r="K59" s="4">
        <v>0.21210000000000001</v>
      </c>
      <c r="L59" s="4">
        <v>0.55000000000000004</v>
      </c>
      <c r="M59" s="4">
        <v>0.1045</v>
      </c>
      <c r="N59" s="4">
        <v>6</v>
      </c>
      <c r="O59" s="4">
        <v>62</v>
      </c>
      <c r="P59" s="4">
        <v>68</v>
      </c>
      <c r="Q59" s="6" t="str">
        <f t="shared" si="0"/>
        <v>Weekday</v>
      </c>
      <c r="R59" s="42">
        <f t="shared" si="1"/>
        <v>46096</v>
      </c>
      <c r="S59" s="42">
        <f t="shared" si="2"/>
        <v>124.8388746803069</v>
      </c>
      <c r="T59" s="42">
        <f t="shared" si="3"/>
        <v>334</v>
      </c>
      <c r="U59" s="42" t="str">
        <f t="shared" si="4"/>
        <v>Wee</v>
      </c>
      <c r="V59" s="42" t="str">
        <f t="shared" si="5"/>
        <v>kday</v>
      </c>
      <c r="W59" s="42">
        <f t="shared" si="6"/>
        <v>7</v>
      </c>
      <c r="X59" s="42">
        <f t="shared" si="7"/>
        <v>0.21210000000000001</v>
      </c>
      <c r="Y59" s="3">
        <f t="shared" si="11"/>
        <v>82</v>
      </c>
      <c r="Z59" s="3">
        <f t="shared" si="12"/>
        <v>7883</v>
      </c>
      <c r="AA59" s="3">
        <f t="shared" si="8"/>
        <v>1232.2489122187819</v>
      </c>
      <c r="AB59" s="3">
        <f t="shared" si="9"/>
        <v>0.99911573903365103</v>
      </c>
      <c r="AC59" s="3" t="str">
        <f t="shared" si="10"/>
        <v>Normal</v>
      </c>
    </row>
    <row r="60" spans="1:29" x14ac:dyDescent="0.2">
      <c r="A60" s="4">
        <v>678</v>
      </c>
      <c r="B60" s="4" t="s">
        <v>85</v>
      </c>
      <c r="C60" s="4">
        <v>1</v>
      </c>
      <c r="D60" s="4">
        <v>0</v>
      </c>
      <c r="E60" s="4">
        <v>1</v>
      </c>
      <c r="F60" s="4">
        <v>13</v>
      </c>
      <c r="G60" s="4" t="b">
        <v>0</v>
      </c>
      <c r="H60" s="4">
        <v>1</v>
      </c>
      <c r="I60" s="4">
        <v>2</v>
      </c>
      <c r="J60" s="4">
        <v>0.16</v>
      </c>
      <c r="K60" s="4">
        <v>0.2273</v>
      </c>
      <c r="L60" s="4">
        <v>0.59</v>
      </c>
      <c r="M60" s="4">
        <v>0</v>
      </c>
      <c r="N60" s="4">
        <v>2</v>
      </c>
      <c r="O60" s="4">
        <v>52</v>
      </c>
      <c r="P60" s="4">
        <v>54</v>
      </c>
      <c r="Q60" s="6" t="str">
        <f t="shared" si="0"/>
        <v>Weekday</v>
      </c>
      <c r="R60" s="42">
        <f t="shared" si="1"/>
        <v>46028</v>
      </c>
      <c r="S60" s="42">
        <f t="shared" si="2"/>
        <v>124.8388746803069</v>
      </c>
      <c r="T60" s="42">
        <f t="shared" si="3"/>
        <v>333</v>
      </c>
      <c r="U60" s="42" t="str">
        <f t="shared" si="4"/>
        <v>Wee</v>
      </c>
      <c r="V60" s="42" t="str">
        <f t="shared" si="5"/>
        <v>kday</v>
      </c>
      <c r="W60" s="42">
        <f t="shared" si="6"/>
        <v>7</v>
      </c>
      <c r="X60" s="42">
        <f t="shared" si="7"/>
        <v>0.2273</v>
      </c>
      <c r="Y60" s="3">
        <f t="shared" si="11"/>
        <v>82</v>
      </c>
      <c r="Z60" s="3">
        <f t="shared" si="12"/>
        <v>7883</v>
      </c>
      <c r="AA60" s="3">
        <f t="shared" si="8"/>
        <v>1232.2489122187819</v>
      </c>
      <c r="AB60" s="3">
        <f t="shared" si="9"/>
        <v>0.99911573903365103</v>
      </c>
      <c r="AC60" s="3" t="str">
        <f t="shared" si="10"/>
        <v>Normal</v>
      </c>
    </row>
    <row r="61" spans="1:29" x14ac:dyDescent="0.2">
      <c r="A61" s="4">
        <v>679</v>
      </c>
      <c r="B61" s="4" t="s">
        <v>85</v>
      </c>
      <c r="C61" s="4">
        <v>1</v>
      </c>
      <c r="D61" s="4">
        <v>0</v>
      </c>
      <c r="E61" s="4">
        <v>1</v>
      </c>
      <c r="F61" s="4">
        <v>14</v>
      </c>
      <c r="G61" s="4" t="b">
        <v>0</v>
      </c>
      <c r="H61" s="4">
        <v>1</v>
      </c>
      <c r="I61" s="4">
        <v>2</v>
      </c>
      <c r="J61" s="4">
        <v>0.18</v>
      </c>
      <c r="K61" s="4">
        <v>0.19700000000000001</v>
      </c>
      <c r="L61" s="4">
        <v>0.55000000000000004</v>
      </c>
      <c r="M61" s="4">
        <v>0.1343</v>
      </c>
      <c r="N61" s="4">
        <v>1</v>
      </c>
      <c r="O61" s="4">
        <v>85</v>
      </c>
      <c r="P61" s="4">
        <v>86</v>
      </c>
      <c r="Q61" s="6" t="str">
        <f t="shared" si="0"/>
        <v>Weekday</v>
      </c>
      <c r="R61" s="42">
        <f t="shared" si="1"/>
        <v>45974</v>
      </c>
      <c r="S61" s="42">
        <f t="shared" si="2"/>
        <v>124.8388746803069</v>
      </c>
      <c r="T61" s="42">
        <f t="shared" si="3"/>
        <v>332</v>
      </c>
      <c r="U61" s="42" t="str">
        <f t="shared" si="4"/>
        <v>Wee</v>
      </c>
      <c r="V61" s="42" t="str">
        <f t="shared" si="5"/>
        <v>kday</v>
      </c>
      <c r="W61" s="42">
        <f t="shared" si="6"/>
        <v>7</v>
      </c>
      <c r="X61" s="42">
        <f t="shared" si="7"/>
        <v>0.19700000000000001</v>
      </c>
      <c r="Y61" s="3">
        <f t="shared" si="11"/>
        <v>82</v>
      </c>
      <c r="Z61" s="3">
        <f t="shared" si="12"/>
        <v>7883</v>
      </c>
      <c r="AA61" s="3">
        <f t="shared" si="8"/>
        <v>1232.2489122187819</v>
      </c>
      <c r="AB61" s="3">
        <f t="shared" si="9"/>
        <v>0.99911573903365103</v>
      </c>
      <c r="AC61" s="3" t="str">
        <f t="shared" si="10"/>
        <v>Normal</v>
      </c>
    </row>
    <row r="62" spans="1:29" x14ac:dyDescent="0.2">
      <c r="A62" s="4">
        <v>680</v>
      </c>
      <c r="B62" s="4" t="s">
        <v>85</v>
      </c>
      <c r="C62" s="4">
        <v>1</v>
      </c>
      <c r="D62" s="4">
        <v>0</v>
      </c>
      <c r="E62" s="4">
        <v>1</v>
      </c>
      <c r="F62" s="4">
        <v>15</v>
      </c>
      <c r="G62" s="4" t="b">
        <v>0</v>
      </c>
      <c r="H62" s="4">
        <v>1</v>
      </c>
      <c r="I62" s="4">
        <v>2</v>
      </c>
      <c r="J62" s="4">
        <v>0.16</v>
      </c>
      <c r="K62" s="4">
        <v>0.18179999999999999</v>
      </c>
      <c r="L62" s="4">
        <v>0.59</v>
      </c>
      <c r="M62" s="4">
        <v>0.1343</v>
      </c>
      <c r="N62" s="4">
        <v>3</v>
      </c>
      <c r="O62" s="4">
        <v>41</v>
      </c>
      <c r="P62" s="4">
        <v>44</v>
      </c>
      <c r="Q62" s="6" t="str">
        <f t="shared" si="0"/>
        <v>Weekday</v>
      </c>
      <c r="R62" s="42">
        <f t="shared" si="1"/>
        <v>45888</v>
      </c>
      <c r="S62" s="42">
        <f t="shared" si="2"/>
        <v>124.8388746803069</v>
      </c>
      <c r="T62" s="42">
        <f t="shared" si="3"/>
        <v>331</v>
      </c>
      <c r="U62" s="42" t="str">
        <f t="shared" si="4"/>
        <v>Wee</v>
      </c>
      <c r="V62" s="42" t="str">
        <f t="shared" si="5"/>
        <v>kday</v>
      </c>
      <c r="W62" s="42">
        <f t="shared" si="6"/>
        <v>7</v>
      </c>
      <c r="X62" s="42">
        <f t="shared" si="7"/>
        <v>0.18179999999999999</v>
      </c>
      <c r="Y62" s="3">
        <f t="shared" si="11"/>
        <v>82</v>
      </c>
      <c r="Z62" s="3">
        <f t="shared" si="12"/>
        <v>7883</v>
      </c>
      <c r="AA62" s="3">
        <f t="shared" si="8"/>
        <v>1232.2489122187819</v>
      </c>
      <c r="AB62" s="3">
        <f t="shared" si="9"/>
        <v>0.99911573903365103</v>
      </c>
      <c r="AC62" s="3" t="str">
        <f t="shared" si="10"/>
        <v>Normal</v>
      </c>
    </row>
    <row r="63" spans="1:29" x14ac:dyDescent="0.2">
      <c r="A63" s="4">
        <v>681</v>
      </c>
      <c r="B63" s="4" t="s">
        <v>85</v>
      </c>
      <c r="C63" s="4">
        <v>1</v>
      </c>
      <c r="D63" s="4">
        <v>0</v>
      </c>
      <c r="E63" s="4">
        <v>1</v>
      </c>
      <c r="F63" s="4">
        <v>16</v>
      </c>
      <c r="G63" s="4" t="b">
        <v>0</v>
      </c>
      <c r="H63" s="4">
        <v>1</v>
      </c>
      <c r="I63" s="4">
        <v>2</v>
      </c>
      <c r="J63" s="4">
        <v>0.16</v>
      </c>
      <c r="K63" s="4">
        <v>0.18179999999999999</v>
      </c>
      <c r="L63" s="4">
        <v>0.56000000000000005</v>
      </c>
      <c r="M63" s="4">
        <v>0.19400000000000001</v>
      </c>
      <c r="N63" s="4">
        <v>3</v>
      </c>
      <c r="O63" s="4">
        <v>83</v>
      </c>
      <c r="P63" s="4">
        <v>86</v>
      </c>
      <c r="Q63" s="6" t="str">
        <f t="shared" si="0"/>
        <v>Weekday</v>
      </c>
      <c r="R63" s="42">
        <f t="shared" si="1"/>
        <v>45844</v>
      </c>
      <c r="S63" s="42">
        <f t="shared" si="2"/>
        <v>124.8388746803069</v>
      </c>
      <c r="T63" s="42">
        <f t="shared" si="3"/>
        <v>330</v>
      </c>
      <c r="U63" s="42" t="str">
        <f t="shared" si="4"/>
        <v>Wee</v>
      </c>
      <c r="V63" s="42" t="str">
        <f t="shared" si="5"/>
        <v>kday</v>
      </c>
      <c r="W63" s="42">
        <f t="shared" si="6"/>
        <v>7</v>
      </c>
      <c r="X63" s="42">
        <f t="shared" si="7"/>
        <v>0.18179999999999999</v>
      </c>
      <c r="Y63" s="3">
        <f t="shared" si="11"/>
        <v>82</v>
      </c>
      <c r="Z63" s="3">
        <f t="shared" si="12"/>
        <v>7883</v>
      </c>
      <c r="AA63" s="3">
        <f t="shared" si="8"/>
        <v>1232.2489122187819</v>
      </c>
      <c r="AB63" s="3">
        <f t="shared" si="9"/>
        <v>0.99911573903365103</v>
      </c>
      <c r="AC63" s="3" t="str">
        <f t="shared" si="10"/>
        <v>Normal</v>
      </c>
    </row>
    <row r="64" spans="1:29" x14ac:dyDescent="0.2">
      <c r="A64" s="4">
        <v>682</v>
      </c>
      <c r="B64" s="4" t="s">
        <v>85</v>
      </c>
      <c r="C64" s="4">
        <v>1</v>
      </c>
      <c r="D64" s="4">
        <v>0</v>
      </c>
      <c r="E64" s="4">
        <v>1</v>
      </c>
      <c r="F64" s="4">
        <v>17</v>
      </c>
      <c r="G64" s="4" t="b">
        <v>0</v>
      </c>
      <c r="H64" s="4">
        <v>1</v>
      </c>
      <c r="I64" s="4">
        <v>2</v>
      </c>
      <c r="J64" s="4">
        <v>0.16</v>
      </c>
      <c r="K64" s="4">
        <v>0.1515</v>
      </c>
      <c r="L64" s="4">
        <v>0.59</v>
      </c>
      <c r="M64" s="4">
        <v>0.19400000000000001</v>
      </c>
      <c r="N64" s="4">
        <v>6</v>
      </c>
      <c r="O64" s="4">
        <v>155</v>
      </c>
      <c r="P64" s="4">
        <v>161</v>
      </c>
      <c r="Q64" s="6" t="str">
        <f t="shared" si="0"/>
        <v>Weekday</v>
      </c>
      <c r="R64" s="42">
        <f t="shared" si="1"/>
        <v>45758</v>
      </c>
      <c r="S64" s="42">
        <f t="shared" si="2"/>
        <v>124.8388746803069</v>
      </c>
      <c r="T64" s="42">
        <f t="shared" si="3"/>
        <v>329</v>
      </c>
      <c r="U64" s="42" t="str">
        <f t="shared" si="4"/>
        <v>Wee</v>
      </c>
      <c r="V64" s="42" t="str">
        <f t="shared" si="5"/>
        <v>kday</v>
      </c>
      <c r="W64" s="42">
        <f t="shared" si="6"/>
        <v>7</v>
      </c>
      <c r="X64" s="42">
        <f t="shared" si="7"/>
        <v>0.1515</v>
      </c>
      <c r="Y64" s="3">
        <f t="shared" si="11"/>
        <v>82</v>
      </c>
      <c r="Z64" s="3">
        <f t="shared" si="12"/>
        <v>7883</v>
      </c>
      <c r="AA64" s="3">
        <f t="shared" si="8"/>
        <v>1232.2489122187819</v>
      </c>
      <c r="AB64" s="3">
        <f t="shared" si="9"/>
        <v>0.99911573903365103</v>
      </c>
      <c r="AC64" s="3" t="str">
        <f t="shared" si="10"/>
        <v>Normal</v>
      </c>
    </row>
    <row r="65" spans="1:29" x14ac:dyDescent="0.2">
      <c r="A65" s="4">
        <v>683</v>
      </c>
      <c r="B65" s="4" t="s">
        <v>85</v>
      </c>
      <c r="C65" s="4">
        <v>1</v>
      </c>
      <c r="D65" s="4">
        <v>0</v>
      </c>
      <c r="E65" s="4">
        <v>1</v>
      </c>
      <c r="F65" s="4">
        <v>18</v>
      </c>
      <c r="G65" s="4" t="b">
        <v>0</v>
      </c>
      <c r="H65" s="4">
        <v>1</v>
      </c>
      <c r="I65" s="4">
        <v>2</v>
      </c>
      <c r="J65" s="4">
        <v>0.16</v>
      </c>
      <c r="K65" s="4">
        <v>0.1515</v>
      </c>
      <c r="L65" s="4">
        <v>0.55000000000000004</v>
      </c>
      <c r="M65" s="4">
        <v>0.22389999999999999</v>
      </c>
      <c r="N65" s="4">
        <v>3</v>
      </c>
      <c r="O65" s="4">
        <v>153</v>
      </c>
      <c r="P65" s="4">
        <v>156</v>
      </c>
      <c r="Q65" s="6" t="str">
        <f t="shared" si="0"/>
        <v>Weekday</v>
      </c>
      <c r="R65" s="42">
        <f t="shared" si="1"/>
        <v>45597</v>
      </c>
      <c r="S65" s="42">
        <f t="shared" si="2"/>
        <v>124.8388746803069</v>
      </c>
      <c r="T65" s="42">
        <f t="shared" si="3"/>
        <v>328</v>
      </c>
      <c r="U65" s="42" t="str">
        <f t="shared" si="4"/>
        <v>Wee</v>
      </c>
      <c r="V65" s="42" t="str">
        <f t="shared" si="5"/>
        <v>kday</v>
      </c>
      <c r="W65" s="42">
        <f t="shared" si="6"/>
        <v>7</v>
      </c>
      <c r="X65" s="42">
        <f t="shared" si="7"/>
        <v>0.1515</v>
      </c>
      <c r="Y65" s="3">
        <f t="shared" si="11"/>
        <v>82</v>
      </c>
      <c r="Z65" s="3">
        <f t="shared" si="12"/>
        <v>7883</v>
      </c>
      <c r="AA65" s="3">
        <f t="shared" si="8"/>
        <v>1232.2489122187819</v>
      </c>
      <c r="AB65" s="3">
        <f t="shared" si="9"/>
        <v>0.99911573903365103</v>
      </c>
      <c r="AC65" s="3" t="str">
        <f t="shared" si="10"/>
        <v>Normal</v>
      </c>
    </row>
    <row r="66" spans="1:29" x14ac:dyDescent="0.2">
      <c r="A66" s="4">
        <v>684</v>
      </c>
      <c r="B66" s="4" t="s">
        <v>85</v>
      </c>
      <c r="C66" s="4">
        <v>1</v>
      </c>
      <c r="D66" s="4">
        <v>0</v>
      </c>
      <c r="E66" s="4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0.3</v>
      </c>
      <c r="K66" s="4">
        <v>0.31819999999999998</v>
      </c>
      <c r="L66" s="4">
        <v>0.61</v>
      </c>
      <c r="M66" s="4">
        <v>0.1045</v>
      </c>
      <c r="N66" s="4">
        <v>3</v>
      </c>
      <c r="O66" s="4">
        <v>108</v>
      </c>
      <c r="P66" s="4">
        <v>111</v>
      </c>
      <c r="Q66" s="6" t="str">
        <f t="shared" si="0"/>
        <v>Weekday</v>
      </c>
      <c r="R66" s="42">
        <f t="shared" si="1"/>
        <v>45441</v>
      </c>
      <c r="S66" s="42">
        <f t="shared" si="2"/>
        <v>124.8388746803069</v>
      </c>
      <c r="T66" s="42">
        <f t="shared" si="3"/>
        <v>327</v>
      </c>
      <c r="U66" s="42" t="str">
        <f t="shared" si="4"/>
        <v>Wee</v>
      </c>
      <c r="V66" s="42" t="str">
        <f t="shared" si="5"/>
        <v>kday</v>
      </c>
      <c r="W66" s="42">
        <f t="shared" si="6"/>
        <v>7</v>
      </c>
      <c r="X66" s="42">
        <f t="shared" si="7"/>
        <v>0.31819999999999998</v>
      </c>
      <c r="Y66" s="3">
        <f t="shared" si="11"/>
        <v>82</v>
      </c>
      <c r="Z66" s="3">
        <f t="shared" si="12"/>
        <v>7883</v>
      </c>
      <c r="AA66" s="3">
        <f t="shared" si="8"/>
        <v>1232.2489122187819</v>
      </c>
      <c r="AB66" s="3">
        <f t="shared" si="9"/>
        <v>0.99911573903365103</v>
      </c>
      <c r="AC66" s="3" t="str">
        <f t="shared" si="10"/>
        <v>Normal</v>
      </c>
    </row>
    <row r="67" spans="1:29" x14ac:dyDescent="0.2">
      <c r="A67" s="4">
        <v>685</v>
      </c>
      <c r="B67" s="4" t="s">
        <v>85</v>
      </c>
      <c r="C67" s="4">
        <v>1</v>
      </c>
      <c r="D67" s="4">
        <v>0</v>
      </c>
      <c r="E67" s="4">
        <v>1</v>
      </c>
      <c r="F67" s="4">
        <v>20</v>
      </c>
      <c r="G67" s="4" t="b">
        <v>0</v>
      </c>
      <c r="H67" s="4">
        <v>1</v>
      </c>
      <c r="I67" s="4">
        <v>3</v>
      </c>
      <c r="J67" s="4">
        <v>0.16</v>
      </c>
      <c r="K67" s="4">
        <v>0.16669999999999999</v>
      </c>
      <c r="L67" s="4">
        <v>0.59</v>
      </c>
      <c r="M67" s="4">
        <v>0.16420000000000001</v>
      </c>
      <c r="N67" s="4">
        <v>0</v>
      </c>
      <c r="O67" s="4">
        <v>78</v>
      </c>
      <c r="P67" s="4">
        <v>78</v>
      </c>
      <c r="Q67" s="6" t="str">
        <f t="shared" ref="Q67:Q130" si="13">IF(H67=0,"Weekend",IF(H67=6,"Weekend","Weekday"))</f>
        <v>Weekday</v>
      </c>
      <c r="R67" s="42">
        <f t="shared" ref="R67:R130" si="14">SUM(P67:P456)</f>
        <v>45330</v>
      </c>
      <c r="S67" s="42">
        <f t="shared" ref="S67:S130" si="15">AVERAGE($P$2:$P$392)</f>
        <v>124.8388746803069</v>
      </c>
      <c r="T67" s="42">
        <f t="shared" ref="T67:T130" si="16">COUNT(P67:P457)</f>
        <v>326</v>
      </c>
      <c r="U67" s="42" t="str">
        <f t="shared" ref="U67:U130" si="17">LEFT(Q68,3)</f>
        <v>Wee</v>
      </c>
      <c r="V67" s="42" t="str">
        <f t="shared" ref="V67:V130" si="18">RIGHT(Q68,4)</f>
        <v>kday</v>
      </c>
      <c r="W67" s="42">
        <f t="shared" ref="W67:W130" si="19">LEN(Q67)</f>
        <v>7</v>
      </c>
      <c r="X67" s="42">
        <f t="shared" ref="X67:X130" si="20">INDEX(K:K,MATCH(A67,A:A,0))</f>
        <v>0.16669999999999999</v>
      </c>
      <c r="Y67" s="3">
        <f t="shared" ref="Y67:Y130" si="21">COUNTIF(P:P,"&gt;100")</f>
        <v>82</v>
      </c>
      <c r="Z67" s="3">
        <f t="shared" si="12"/>
        <v>7883</v>
      </c>
      <c r="AA67" s="3">
        <f t="shared" ref="AA67:AA130" si="22">STDEV(P:P)</f>
        <v>1232.2489122187819</v>
      </c>
      <c r="AB67" s="3">
        <f t="shared" ref="AB67:AB130" si="23">CORREL(J:J,P:P)</f>
        <v>0.99911573903365103</v>
      </c>
      <c r="AC67" s="3" t="str">
        <f t="shared" ref="AC67:AC130" si="24">IF(ABS(P67-AVERAGE($P$2:$P$784))&gt;2*STDEV($P$2:$P$784),"ANOMALY","Normal")</f>
        <v>Normal</v>
      </c>
    </row>
    <row r="68" spans="1:29" x14ac:dyDescent="0.2">
      <c r="A68" s="4">
        <v>686</v>
      </c>
      <c r="B68" s="4" t="s">
        <v>85</v>
      </c>
      <c r="C68" s="4">
        <v>1</v>
      </c>
      <c r="D68" s="4">
        <v>0</v>
      </c>
      <c r="E68" s="4">
        <v>1</v>
      </c>
      <c r="F68" s="4">
        <v>21</v>
      </c>
      <c r="G68" s="4" t="b">
        <v>0</v>
      </c>
      <c r="H68" s="4">
        <v>1</v>
      </c>
      <c r="I68" s="4">
        <v>3</v>
      </c>
      <c r="J68" s="4">
        <v>0.16</v>
      </c>
      <c r="K68" s="4">
        <v>0.19700000000000001</v>
      </c>
      <c r="L68" s="4">
        <v>0.59</v>
      </c>
      <c r="M68" s="4">
        <v>8.9599999999999999E-2</v>
      </c>
      <c r="N68" s="4">
        <v>3</v>
      </c>
      <c r="O68" s="4">
        <v>53</v>
      </c>
      <c r="P68" s="4">
        <v>56</v>
      </c>
      <c r="Q68" s="6" t="str">
        <f t="shared" si="13"/>
        <v>Weekday</v>
      </c>
      <c r="R68" s="42">
        <f t="shared" si="14"/>
        <v>45252</v>
      </c>
      <c r="S68" s="42">
        <f t="shared" si="15"/>
        <v>124.8388746803069</v>
      </c>
      <c r="T68" s="42">
        <f t="shared" si="16"/>
        <v>325</v>
      </c>
      <c r="U68" s="42" t="str">
        <f t="shared" si="17"/>
        <v>Wee</v>
      </c>
      <c r="V68" s="42" t="str">
        <f t="shared" si="18"/>
        <v>kday</v>
      </c>
      <c r="W68" s="42">
        <f t="shared" si="19"/>
        <v>7</v>
      </c>
      <c r="X68" s="42">
        <f t="shared" si="20"/>
        <v>0.19700000000000001</v>
      </c>
      <c r="Y68" s="3">
        <f t="shared" si="21"/>
        <v>82</v>
      </c>
      <c r="Z68" s="3">
        <f t="shared" ref="Z68:Z131" si="25">SUMIF(Q:Q,"Weekend",P:P)</f>
        <v>7883</v>
      </c>
      <c r="AA68" s="3">
        <f t="shared" si="22"/>
        <v>1232.2489122187819</v>
      </c>
      <c r="AB68" s="3">
        <f t="shared" si="23"/>
        <v>0.99911573903365103</v>
      </c>
      <c r="AC68" s="3" t="str">
        <f t="shared" si="24"/>
        <v>Normal</v>
      </c>
    </row>
    <row r="69" spans="1:29" x14ac:dyDescent="0.2">
      <c r="A69" s="4">
        <v>687</v>
      </c>
      <c r="B69" s="4" t="s">
        <v>85</v>
      </c>
      <c r="C69" s="4">
        <v>1</v>
      </c>
      <c r="D69" s="4">
        <v>0</v>
      </c>
      <c r="E69" s="4">
        <v>1</v>
      </c>
      <c r="F69" s="4">
        <v>22</v>
      </c>
      <c r="G69" s="4" t="b">
        <v>0</v>
      </c>
      <c r="H69" s="4">
        <v>1</v>
      </c>
      <c r="I69" s="4">
        <v>2</v>
      </c>
      <c r="J69" s="4">
        <v>0.16</v>
      </c>
      <c r="K69" s="4">
        <v>0.18179999999999999</v>
      </c>
      <c r="L69" s="4">
        <v>0.59</v>
      </c>
      <c r="M69" s="4">
        <v>0.1045</v>
      </c>
      <c r="N69" s="4">
        <v>0</v>
      </c>
      <c r="O69" s="4">
        <v>34</v>
      </c>
      <c r="P69" s="4">
        <v>34</v>
      </c>
      <c r="Q69" s="6" t="str">
        <f t="shared" si="13"/>
        <v>Weekday</v>
      </c>
      <c r="R69" s="42">
        <f t="shared" si="14"/>
        <v>45196</v>
      </c>
      <c r="S69" s="42">
        <f t="shared" si="15"/>
        <v>124.8388746803069</v>
      </c>
      <c r="T69" s="42">
        <f t="shared" si="16"/>
        <v>324</v>
      </c>
      <c r="U69" s="42" t="str">
        <f t="shared" si="17"/>
        <v>Wee</v>
      </c>
      <c r="V69" s="42" t="str">
        <f t="shared" si="18"/>
        <v>kday</v>
      </c>
      <c r="W69" s="42">
        <f t="shared" si="19"/>
        <v>7</v>
      </c>
      <c r="X69" s="42">
        <f t="shared" si="20"/>
        <v>0.18179999999999999</v>
      </c>
      <c r="Y69" s="3">
        <f t="shared" si="21"/>
        <v>82</v>
      </c>
      <c r="Z69" s="3">
        <f t="shared" si="25"/>
        <v>7883</v>
      </c>
      <c r="AA69" s="3">
        <f t="shared" si="22"/>
        <v>1232.2489122187819</v>
      </c>
      <c r="AB69" s="3">
        <f t="shared" si="23"/>
        <v>0.99911573903365103</v>
      </c>
      <c r="AC69" s="3" t="str">
        <f t="shared" si="24"/>
        <v>Normal</v>
      </c>
    </row>
    <row r="70" spans="1:29" x14ac:dyDescent="0.2">
      <c r="A70" s="4">
        <v>688</v>
      </c>
      <c r="B70" s="4" t="s">
        <v>85</v>
      </c>
      <c r="C70" s="4">
        <v>1</v>
      </c>
      <c r="D70" s="4">
        <v>0</v>
      </c>
      <c r="E70" s="4">
        <v>1</v>
      </c>
      <c r="F70" s="4">
        <v>23</v>
      </c>
      <c r="G70" s="4" t="b">
        <v>0</v>
      </c>
      <c r="H70" s="4">
        <v>1</v>
      </c>
      <c r="I70" s="4">
        <v>2</v>
      </c>
      <c r="J70" s="4">
        <v>0.16</v>
      </c>
      <c r="K70" s="4">
        <v>0.19700000000000001</v>
      </c>
      <c r="L70" s="4">
        <v>0.64</v>
      </c>
      <c r="M70" s="4">
        <v>8.9599999999999999E-2</v>
      </c>
      <c r="N70" s="4">
        <v>2</v>
      </c>
      <c r="O70" s="4">
        <v>15</v>
      </c>
      <c r="P70" s="4">
        <v>17</v>
      </c>
      <c r="Q70" s="6" t="str">
        <f t="shared" si="13"/>
        <v>Weekday</v>
      </c>
      <c r="R70" s="42">
        <f t="shared" si="14"/>
        <v>45162</v>
      </c>
      <c r="S70" s="42">
        <f t="shared" si="15"/>
        <v>124.8388746803069</v>
      </c>
      <c r="T70" s="42">
        <f t="shared" si="16"/>
        <v>323</v>
      </c>
      <c r="U70" s="42" t="str">
        <f t="shared" si="17"/>
        <v>Wee</v>
      </c>
      <c r="V70" s="42" t="str">
        <f t="shared" si="18"/>
        <v>kday</v>
      </c>
      <c r="W70" s="42">
        <f t="shared" si="19"/>
        <v>7</v>
      </c>
      <c r="X70" s="42">
        <f t="shared" si="20"/>
        <v>0.19700000000000001</v>
      </c>
      <c r="Y70" s="3">
        <f t="shared" si="21"/>
        <v>82</v>
      </c>
      <c r="Z70" s="3">
        <f t="shared" si="25"/>
        <v>7883</v>
      </c>
      <c r="AA70" s="3">
        <f t="shared" si="22"/>
        <v>1232.2489122187819</v>
      </c>
      <c r="AB70" s="3">
        <f t="shared" si="23"/>
        <v>0.99911573903365103</v>
      </c>
      <c r="AC70" s="3" t="str">
        <f t="shared" si="24"/>
        <v>Normal</v>
      </c>
    </row>
    <row r="71" spans="1:29" x14ac:dyDescent="0.2">
      <c r="A71" s="4">
        <v>689</v>
      </c>
      <c r="B71" s="5">
        <v>40545</v>
      </c>
      <c r="C71" s="4">
        <v>1</v>
      </c>
      <c r="D71" s="4">
        <v>0</v>
      </c>
      <c r="E71" s="4">
        <v>2</v>
      </c>
      <c r="F71" s="4">
        <v>0</v>
      </c>
      <c r="G71" s="4" t="b">
        <v>0</v>
      </c>
      <c r="H71" s="4">
        <v>2</v>
      </c>
      <c r="I71" s="4">
        <v>2</v>
      </c>
      <c r="J71" s="4">
        <v>0.16</v>
      </c>
      <c r="K71" s="4">
        <v>0.18179999999999999</v>
      </c>
      <c r="L71" s="4">
        <v>0.64</v>
      </c>
      <c r="M71" s="4">
        <v>0.1045</v>
      </c>
      <c r="N71" s="4">
        <v>2</v>
      </c>
      <c r="O71" s="4">
        <v>6</v>
      </c>
      <c r="P71" s="4">
        <v>8</v>
      </c>
      <c r="Q71" s="6" t="str">
        <f t="shared" si="13"/>
        <v>Weekday</v>
      </c>
      <c r="R71" s="42">
        <f t="shared" si="14"/>
        <v>45145</v>
      </c>
      <c r="S71" s="42">
        <f t="shared" si="15"/>
        <v>124.8388746803069</v>
      </c>
      <c r="T71" s="42">
        <f t="shared" si="16"/>
        <v>322</v>
      </c>
      <c r="U71" s="42" t="str">
        <f t="shared" si="17"/>
        <v>Wee</v>
      </c>
      <c r="V71" s="42" t="str">
        <f t="shared" si="18"/>
        <v>kday</v>
      </c>
      <c r="W71" s="42">
        <f t="shared" si="19"/>
        <v>7</v>
      </c>
      <c r="X71" s="42">
        <f t="shared" si="20"/>
        <v>0.18179999999999999</v>
      </c>
      <c r="Y71" s="3">
        <f t="shared" si="21"/>
        <v>82</v>
      </c>
      <c r="Z71" s="3">
        <f t="shared" si="25"/>
        <v>7883</v>
      </c>
      <c r="AA71" s="3">
        <f t="shared" si="22"/>
        <v>1232.2489122187819</v>
      </c>
      <c r="AB71" s="3">
        <f t="shared" si="23"/>
        <v>0.99911573903365103</v>
      </c>
      <c r="AC71" s="3" t="str">
        <f t="shared" si="24"/>
        <v>Normal</v>
      </c>
    </row>
    <row r="72" spans="1:29" x14ac:dyDescent="0.2">
      <c r="A72" s="4">
        <v>690</v>
      </c>
      <c r="B72" s="5">
        <v>40545</v>
      </c>
      <c r="C72" s="4">
        <v>1</v>
      </c>
      <c r="D72" s="4">
        <v>0</v>
      </c>
      <c r="E72" s="4">
        <v>2</v>
      </c>
      <c r="F72" s="4">
        <v>1</v>
      </c>
      <c r="G72" s="4" t="b">
        <v>0</v>
      </c>
      <c r="H72" s="4">
        <v>2</v>
      </c>
      <c r="I72" s="4">
        <v>2</v>
      </c>
      <c r="J72" s="4">
        <v>0.16</v>
      </c>
      <c r="K72" s="4">
        <v>0.18179999999999999</v>
      </c>
      <c r="L72" s="4">
        <v>0.69</v>
      </c>
      <c r="M72" s="4">
        <v>0.1045</v>
      </c>
      <c r="N72" s="4">
        <v>0</v>
      </c>
      <c r="O72" s="4">
        <v>3</v>
      </c>
      <c r="P72" s="4">
        <v>3</v>
      </c>
      <c r="Q72" s="6" t="str">
        <f t="shared" si="13"/>
        <v>Weekday</v>
      </c>
      <c r="R72" s="42">
        <f t="shared" si="14"/>
        <v>45137</v>
      </c>
      <c r="S72" s="42">
        <f t="shared" si="15"/>
        <v>124.8388746803069</v>
      </c>
      <c r="T72" s="42">
        <f t="shared" si="16"/>
        <v>321</v>
      </c>
      <c r="U72" s="42" t="str">
        <f t="shared" si="17"/>
        <v>Wee</v>
      </c>
      <c r="V72" s="42" t="str">
        <f t="shared" si="18"/>
        <v>kday</v>
      </c>
      <c r="W72" s="42">
        <f t="shared" si="19"/>
        <v>7</v>
      </c>
      <c r="X72" s="42">
        <f t="shared" si="20"/>
        <v>0.18179999999999999</v>
      </c>
      <c r="Y72" s="3">
        <f t="shared" si="21"/>
        <v>82</v>
      </c>
      <c r="Z72" s="3">
        <f t="shared" si="25"/>
        <v>7883</v>
      </c>
      <c r="AA72" s="3">
        <f t="shared" si="22"/>
        <v>1232.2489122187819</v>
      </c>
      <c r="AB72" s="3">
        <f t="shared" si="23"/>
        <v>0.99911573903365103</v>
      </c>
      <c r="AC72" s="3" t="str">
        <f t="shared" si="24"/>
        <v>Normal</v>
      </c>
    </row>
    <row r="73" spans="1:29" x14ac:dyDescent="0.2">
      <c r="A73" s="4">
        <v>691</v>
      </c>
      <c r="B73" s="5">
        <v>40545</v>
      </c>
      <c r="C73" s="4">
        <v>1</v>
      </c>
      <c r="D73" s="4">
        <v>0</v>
      </c>
      <c r="E73" s="4">
        <v>2</v>
      </c>
      <c r="F73" s="4">
        <v>2</v>
      </c>
      <c r="G73" s="4" t="b">
        <v>0</v>
      </c>
      <c r="H73" s="4">
        <v>2</v>
      </c>
      <c r="I73" s="4">
        <v>2</v>
      </c>
      <c r="J73" s="4">
        <v>0.16</v>
      </c>
      <c r="K73" s="4">
        <v>0.2273</v>
      </c>
      <c r="L73" s="4">
        <v>0.69</v>
      </c>
      <c r="M73" s="4">
        <v>0</v>
      </c>
      <c r="N73" s="4">
        <v>0</v>
      </c>
      <c r="O73" s="4">
        <v>2</v>
      </c>
      <c r="P73" s="4">
        <v>2</v>
      </c>
      <c r="Q73" s="6" t="str">
        <f t="shared" si="13"/>
        <v>Weekday</v>
      </c>
      <c r="R73" s="42">
        <f t="shared" si="14"/>
        <v>45134</v>
      </c>
      <c r="S73" s="42">
        <f t="shared" si="15"/>
        <v>124.8388746803069</v>
      </c>
      <c r="T73" s="42">
        <f t="shared" si="16"/>
        <v>320</v>
      </c>
      <c r="U73" s="42" t="str">
        <f t="shared" si="17"/>
        <v>Wee</v>
      </c>
      <c r="V73" s="42" t="str">
        <f t="shared" si="18"/>
        <v>kday</v>
      </c>
      <c r="W73" s="42">
        <f t="shared" si="19"/>
        <v>7</v>
      </c>
      <c r="X73" s="42">
        <f t="shared" si="20"/>
        <v>0.2273</v>
      </c>
      <c r="Y73" s="3">
        <f t="shared" si="21"/>
        <v>82</v>
      </c>
      <c r="Z73" s="3">
        <f t="shared" si="25"/>
        <v>7883</v>
      </c>
      <c r="AA73" s="3">
        <f t="shared" si="22"/>
        <v>1232.2489122187819</v>
      </c>
      <c r="AB73" s="3">
        <f t="shared" si="23"/>
        <v>0.99911573903365103</v>
      </c>
      <c r="AC73" s="3" t="str">
        <f t="shared" si="24"/>
        <v>Normal</v>
      </c>
    </row>
    <row r="74" spans="1:29" x14ac:dyDescent="0.2">
      <c r="A74" s="4">
        <v>692</v>
      </c>
      <c r="B74" s="5">
        <v>40545</v>
      </c>
      <c r="C74" s="4">
        <v>1</v>
      </c>
      <c r="D74" s="4">
        <v>0</v>
      </c>
      <c r="E74" s="4">
        <v>2</v>
      </c>
      <c r="F74" s="4">
        <v>3</v>
      </c>
      <c r="G74" s="4" t="b">
        <v>0</v>
      </c>
      <c r="H74" s="4">
        <v>2</v>
      </c>
      <c r="I74" s="4">
        <v>2</v>
      </c>
      <c r="J74" s="4">
        <v>0.16</v>
      </c>
      <c r="K74" s="4">
        <v>0.2273</v>
      </c>
      <c r="L74" s="4">
        <v>0.69</v>
      </c>
      <c r="M74" s="4">
        <v>0</v>
      </c>
      <c r="N74" s="4">
        <v>0</v>
      </c>
      <c r="O74" s="4">
        <v>2</v>
      </c>
      <c r="P74" s="4">
        <v>2</v>
      </c>
      <c r="Q74" s="6" t="str">
        <f t="shared" si="13"/>
        <v>Weekday</v>
      </c>
      <c r="R74" s="42">
        <f t="shared" si="14"/>
        <v>45132</v>
      </c>
      <c r="S74" s="42">
        <f t="shared" si="15"/>
        <v>124.8388746803069</v>
      </c>
      <c r="T74" s="42">
        <f t="shared" si="16"/>
        <v>319</v>
      </c>
      <c r="U74" s="42" t="str">
        <f t="shared" si="17"/>
        <v>Wee</v>
      </c>
      <c r="V74" s="42" t="str">
        <f t="shared" si="18"/>
        <v>kday</v>
      </c>
      <c r="W74" s="42">
        <f t="shared" si="19"/>
        <v>7</v>
      </c>
      <c r="X74" s="42">
        <f t="shared" si="20"/>
        <v>0.2273</v>
      </c>
      <c r="Y74" s="3">
        <f t="shared" si="21"/>
        <v>82</v>
      </c>
      <c r="Z74" s="3">
        <f t="shared" si="25"/>
        <v>7883</v>
      </c>
      <c r="AA74" s="3">
        <f t="shared" si="22"/>
        <v>1232.2489122187819</v>
      </c>
      <c r="AB74" s="3">
        <f t="shared" si="23"/>
        <v>0.99911573903365103</v>
      </c>
      <c r="AC74" s="3" t="str">
        <f t="shared" si="24"/>
        <v>Normal</v>
      </c>
    </row>
    <row r="75" spans="1:29" x14ac:dyDescent="0.2">
      <c r="A75" s="4">
        <v>693</v>
      </c>
      <c r="B75" s="5">
        <v>40545</v>
      </c>
      <c r="C75" s="4">
        <v>1</v>
      </c>
      <c r="D75" s="4">
        <v>0</v>
      </c>
      <c r="E75" s="4">
        <v>2</v>
      </c>
      <c r="F75" s="4">
        <v>5</v>
      </c>
      <c r="G75" s="4" t="b">
        <v>0</v>
      </c>
      <c r="H75" s="4">
        <v>2</v>
      </c>
      <c r="I75" s="4">
        <v>3</v>
      </c>
      <c r="J75" s="4">
        <v>0.14000000000000001</v>
      </c>
      <c r="K75" s="4">
        <v>0.21210000000000001</v>
      </c>
      <c r="L75" s="4">
        <v>0.93</v>
      </c>
      <c r="M75" s="4">
        <v>0</v>
      </c>
      <c r="N75" s="4">
        <v>0</v>
      </c>
      <c r="O75" s="4">
        <v>3</v>
      </c>
      <c r="P75" s="4">
        <v>3</v>
      </c>
      <c r="Q75" s="6" t="str">
        <f t="shared" si="13"/>
        <v>Weekday</v>
      </c>
      <c r="R75" s="42">
        <f t="shared" si="14"/>
        <v>45130</v>
      </c>
      <c r="S75" s="42">
        <f t="shared" si="15"/>
        <v>124.8388746803069</v>
      </c>
      <c r="T75" s="42">
        <f t="shared" si="16"/>
        <v>318</v>
      </c>
      <c r="U75" s="42" t="str">
        <f t="shared" si="17"/>
        <v>Wee</v>
      </c>
      <c r="V75" s="42" t="str">
        <f t="shared" si="18"/>
        <v>kday</v>
      </c>
      <c r="W75" s="42">
        <f t="shared" si="19"/>
        <v>7</v>
      </c>
      <c r="X75" s="42">
        <f t="shared" si="20"/>
        <v>0.21210000000000001</v>
      </c>
      <c r="Y75" s="3">
        <f t="shared" si="21"/>
        <v>82</v>
      </c>
      <c r="Z75" s="3">
        <f t="shared" si="25"/>
        <v>7883</v>
      </c>
      <c r="AA75" s="3">
        <f t="shared" si="22"/>
        <v>1232.2489122187819</v>
      </c>
      <c r="AB75" s="3">
        <f t="shared" si="23"/>
        <v>0.99911573903365103</v>
      </c>
      <c r="AC75" s="3" t="str">
        <f t="shared" si="24"/>
        <v>Normal</v>
      </c>
    </row>
    <row r="76" spans="1:29" x14ac:dyDescent="0.2">
      <c r="A76" s="4">
        <v>694</v>
      </c>
      <c r="B76" s="5">
        <v>40545</v>
      </c>
      <c r="C76" s="4">
        <v>1</v>
      </c>
      <c r="D76" s="4">
        <v>0</v>
      </c>
      <c r="E76" s="4">
        <v>2</v>
      </c>
      <c r="F76" s="4">
        <v>6</v>
      </c>
      <c r="G76" s="4" t="b">
        <v>0</v>
      </c>
      <c r="H76" s="4">
        <v>2</v>
      </c>
      <c r="I76" s="4">
        <v>3</v>
      </c>
      <c r="J76" s="4">
        <v>0.14000000000000001</v>
      </c>
      <c r="K76" s="4">
        <v>0.21210000000000001</v>
      </c>
      <c r="L76" s="4">
        <v>0.93</v>
      </c>
      <c r="M76" s="4">
        <v>0</v>
      </c>
      <c r="N76" s="4">
        <v>0</v>
      </c>
      <c r="O76" s="4">
        <v>22</v>
      </c>
      <c r="P76" s="4">
        <v>22</v>
      </c>
      <c r="Q76" s="6" t="str">
        <f t="shared" si="13"/>
        <v>Weekday</v>
      </c>
      <c r="R76" s="42">
        <f t="shared" si="14"/>
        <v>45127</v>
      </c>
      <c r="S76" s="42">
        <f t="shared" si="15"/>
        <v>124.8388746803069</v>
      </c>
      <c r="T76" s="42">
        <f t="shared" si="16"/>
        <v>317</v>
      </c>
      <c r="U76" s="42" t="str">
        <f t="shared" si="17"/>
        <v>Wee</v>
      </c>
      <c r="V76" s="42" t="str">
        <f t="shared" si="18"/>
        <v>kday</v>
      </c>
      <c r="W76" s="42">
        <f t="shared" si="19"/>
        <v>7</v>
      </c>
      <c r="X76" s="42">
        <f t="shared" si="20"/>
        <v>0.21210000000000001</v>
      </c>
      <c r="Y76" s="3">
        <f t="shared" si="21"/>
        <v>82</v>
      </c>
      <c r="Z76" s="3">
        <f t="shared" si="25"/>
        <v>7883</v>
      </c>
      <c r="AA76" s="3">
        <f t="shared" si="22"/>
        <v>1232.2489122187819</v>
      </c>
      <c r="AB76" s="3">
        <f t="shared" si="23"/>
        <v>0.99911573903365103</v>
      </c>
      <c r="AC76" s="3" t="str">
        <f t="shared" si="24"/>
        <v>Normal</v>
      </c>
    </row>
    <row r="77" spans="1:29" x14ac:dyDescent="0.2">
      <c r="A77" s="4">
        <v>695</v>
      </c>
      <c r="B77" s="5">
        <v>40545</v>
      </c>
      <c r="C77" s="4">
        <v>1</v>
      </c>
      <c r="D77" s="4">
        <v>0</v>
      </c>
      <c r="E77" s="4">
        <v>2</v>
      </c>
      <c r="F77" s="4">
        <v>7</v>
      </c>
      <c r="G77" s="4" t="b">
        <v>0</v>
      </c>
      <c r="H77" s="4">
        <v>2</v>
      </c>
      <c r="I77" s="4">
        <v>3</v>
      </c>
      <c r="J77" s="4">
        <v>0.16</v>
      </c>
      <c r="K77" s="4">
        <v>0.2273</v>
      </c>
      <c r="L77" s="4">
        <v>0.93</v>
      </c>
      <c r="M77" s="4">
        <v>0</v>
      </c>
      <c r="N77" s="4">
        <v>0</v>
      </c>
      <c r="O77" s="4">
        <v>52</v>
      </c>
      <c r="P77" s="4">
        <v>52</v>
      </c>
      <c r="Q77" s="6" t="str">
        <f t="shared" si="13"/>
        <v>Weekday</v>
      </c>
      <c r="R77" s="42">
        <f t="shared" si="14"/>
        <v>45105</v>
      </c>
      <c r="S77" s="42">
        <f t="shared" si="15"/>
        <v>124.8388746803069</v>
      </c>
      <c r="T77" s="42">
        <f t="shared" si="16"/>
        <v>316</v>
      </c>
      <c r="U77" s="42" t="str">
        <f t="shared" si="17"/>
        <v>Wee</v>
      </c>
      <c r="V77" s="42" t="str">
        <f t="shared" si="18"/>
        <v>kday</v>
      </c>
      <c r="W77" s="42">
        <f t="shared" si="19"/>
        <v>7</v>
      </c>
      <c r="X77" s="42">
        <f t="shared" si="20"/>
        <v>0.2273</v>
      </c>
      <c r="Y77" s="3">
        <f t="shared" si="21"/>
        <v>82</v>
      </c>
      <c r="Z77" s="3">
        <f t="shared" si="25"/>
        <v>7883</v>
      </c>
      <c r="AA77" s="3">
        <f t="shared" si="22"/>
        <v>1232.2489122187819</v>
      </c>
      <c r="AB77" s="3">
        <f t="shared" si="23"/>
        <v>0.99911573903365103</v>
      </c>
      <c r="AC77" s="3" t="str">
        <f t="shared" si="24"/>
        <v>Normal</v>
      </c>
    </row>
    <row r="78" spans="1:29" x14ac:dyDescent="0.2">
      <c r="A78" s="4">
        <v>696</v>
      </c>
      <c r="B78" s="5">
        <v>40545</v>
      </c>
      <c r="C78" s="4">
        <v>1</v>
      </c>
      <c r="D78" s="4">
        <v>0</v>
      </c>
      <c r="E78" s="4">
        <v>2</v>
      </c>
      <c r="F78" s="4">
        <v>8</v>
      </c>
      <c r="G78" s="4" t="b">
        <v>0</v>
      </c>
      <c r="H78" s="4">
        <v>2</v>
      </c>
      <c r="I78" s="4">
        <v>3</v>
      </c>
      <c r="J78" s="4">
        <v>0.16</v>
      </c>
      <c r="K78" s="4">
        <v>0.2273</v>
      </c>
      <c r="L78" s="4">
        <v>0.93</v>
      </c>
      <c r="M78" s="4">
        <v>0</v>
      </c>
      <c r="N78" s="4">
        <v>3</v>
      </c>
      <c r="O78" s="4">
        <v>132</v>
      </c>
      <c r="P78" s="4">
        <v>135</v>
      </c>
      <c r="Q78" s="6" t="str">
        <f t="shared" si="13"/>
        <v>Weekday</v>
      </c>
      <c r="R78" s="42">
        <f t="shared" si="14"/>
        <v>45053</v>
      </c>
      <c r="S78" s="42">
        <f t="shared" si="15"/>
        <v>124.8388746803069</v>
      </c>
      <c r="T78" s="42">
        <f t="shared" si="16"/>
        <v>315</v>
      </c>
      <c r="U78" s="42" t="str">
        <f t="shared" si="17"/>
        <v>Wee</v>
      </c>
      <c r="V78" s="42" t="str">
        <f t="shared" si="18"/>
        <v>kday</v>
      </c>
      <c r="W78" s="42">
        <f t="shared" si="19"/>
        <v>7</v>
      </c>
      <c r="X78" s="42">
        <f t="shared" si="20"/>
        <v>0.2273</v>
      </c>
      <c r="Y78" s="3">
        <f t="shared" si="21"/>
        <v>82</v>
      </c>
      <c r="Z78" s="3">
        <f t="shared" si="25"/>
        <v>7883</v>
      </c>
      <c r="AA78" s="3">
        <f t="shared" si="22"/>
        <v>1232.2489122187819</v>
      </c>
      <c r="AB78" s="3">
        <f t="shared" si="23"/>
        <v>0.99911573903365103</v>
      </c>
      <c r="AC78" s="3" t="str">
        <f t="shared" si="24"/>
        <v>Normal</v>
      </c>
    </row>
    <row r="79" spans="1:29" x14ac:dyDescent="0.2">
      <c r="A79" s="4">
        <v>697</v>
      </c>
      <c r="B79" s="5">
        <v>40545</v>
      </c>
      <c r="C79" s="4">
        <v>1</v>
      </c>
      <c r="D79" s="4">
        <v>0</v>
      </c>
      <c r="E79" s="4">
        <v>2</v>
      </c>
      <c r="F79" s="4">
        <v>9</v>
      </c>
      <c r="G79" s="4" t="b">
        <v>0</v>
      </c>
      <c r="H79" s="4">
        <v>2</v>
      </c>
      <c r="I79" s="4">
        <v>2</v>
      </c>
      <c r="J79" s="4">
        <v>0.16</v>
      </c>
      <c r="K79" s="4">
        <v>0.2273</v>
      </c>
      <c r="L79" s="4">
        <v>0.93</v>
      </c>
      <c r="M79" s="4">
        <v>0</v>
      </c>
      <c r="N79" s="4">
        <v>2</v>
      </c>
      <c r="O79" s="4">
        <v>114</v>
      </c>
      <c r="P79" s="4">
        <v>116</v>
      </c>
      <c r="Q79" s="6" t="str">
        <f t="shared" si="13"/>
        <v>Weekday</v>
      </c>
      <c r="R79" s="42">
        <f t="shared" si="14"/>
        <v>44918</v>
      </c>
      <c r="S79" s="42">
        <f t="shared" si="15"/>
        <v>124.8388746803069</v>
      </c>
      <c r="T79" s="42">
        <f t="shared" si="16"/>
        <v>314</v>
      </c>
      <c r="U79" s="42" t="str">
        <f t="shared" si="17"/>
        <v>Wee</v>
      </c>
      <c r="V79" s="42" t="str">
        <f t="shared" si="18"/>
        <v>kday</v>
      </c>
      <c r="W79" s="42">
        <f t="shared" si="19"/>
        <v>7</v>
      </c>
      <c r="X79" s="42">
        <f t="shared" si="20"/>
        <v>0.2273</v>
      </c>
      <c r="Y79" s="3">
        <f t="shared" si="21"/>
        <v>82</v>
      </c>
      <c r="Z79" s="3">
        <f t="shared" si="25"/>
        <v>7883</v>
      </c>
      <c r="AA79" s="3">
        <f t="shared" si="22"/>
        <v>1232.2489122187819</v>
      </c>
      <c r="AB79" s="3">
        <f t="shared" si="23"/>
        <v>0.99911573903365103</v>
      </c>
      <c r="AC79" s="3" t="str">
        <f t="shared" si="24"/>
        <v>Normal</v>
      </c>
    </row>
    <row r="80" spans="1:29" x14ac:dyDescent="0.2">
      <c r="A80" s="4">
        <v>698</v>
      </c>
      <c r="B80" s="5">
        <v>40545</v>
      </c>
      <c r="C80" s="4">
        <v>1</v>
      </c>
      <c r="D80" s="4">
        <v>0</v>
      </c>
      <c r="E80" s="4">
        <v>2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  <c r="K80" s="4">
        <v>0.2273</v>
      </c>
      <c r="L80" s="4">
        <v>0.93</v>
      </c>
      <c r="M80" s="4">
        <v>0</v>
      </c>
      <c r="N80" s="4">
        <v>0</v>
      </c>
      <c r="O80" s="4">
        <v>47</v>
      </c>
      <c r="P80" s="4">
        <v>47</v>
      </c>
      <c r="Q80" s="6" t="str">
        <f t="shared" si="13"/>
        <v>Weekday</v>
      </c>
      <c r="R80" s="42">
        <f t="shared" si="14"/>
        <v>44802</v>
      </c>
      <c r="S80" s="42">
        <f t="shared" si="15"/>
        <v>124.8388746803069</v>
      </c>
      <c r="T80" s="42">
        <f t="shared" si="16"/>
        <v>313</v>
      </c>
      <c r="U80" s="42" t="str">
        <f t="shared" si="17"/>
        <v>Wee</v>
      </c>
      <c r="V80" s="42" t="str">
        <f t="shared" si="18"/>
        <v>kday</v>
      </c>
      <c r="W80" s="42">
        <f t="shared" si="19"/>
        <v>7</v>
      </c>
      <c r="X80" s="42">
        <f t="shared" si="20"/>
        <v>0.2273</v>
      </c>
      <c r="Y80" s="3">
        <f t="shared" si="21"/>
        <v>82</v>
      </c>
      <c r="Z80" s="3">
        <f t="shared" si="25"/>
        <v>7883</v>
      </c>
      <c r="AA80" s="3">
        <f t="shared" si="22"/>
        <v>1232.2489122187819</v>
      </c>
      <c r="AB80" s="3">
        <f t="shared" si="23"/>
        <v>0.99911573903365103</v>
      </c>
      <c r="AC80" s="3" t="str">
        <f t="shared" si="24"/>
        <v>Normal</v>
      </c>
    </row>
    <row r="81" spans="1:29" x14ac:dyDescent="0.2">
      <c r="A81" s="4">
        <v>699</v>
      </c>
      <c r="B81" s="5">
        <v>40545</v>
      </c>
      <c r="C81" s="4">
        <v>1</v>
      </c>
      <c r="D81" s="4">
        <v>0</v>
      </c>
      <c r="E81" s="4">
        <v>2</v>
      </c>
      <c r="F81" s="4">
        <v>11</v>
      </c>
      <c r="G81" s="4" t="b">
        <v>0</v>
      </c>
      <c r="H81" s="4">
        <v>2</v>
      </c>
      <c r="I81" s="4">
        <v>2</v>
      </c>
      <c r="J81" s="4">
        <v>0.18</v>
      </c>
      <c r="K81" s="4">
        <v>0.2424</v>
      </c>
      <c r="L81" s="4">
        <v>0.86</v>
      </c>
      <c r="M81" s="4">
        <v>0</v>
      </c>
      <c r="N81" s="4">
        <v>2</v>
      </c>
      <c r="O81" s="4">
        <v>49</v>
      </c>
      <c r="P81" s="4">
        <v>51</v>
      </c>
      <c r="Q81" s="6" t="str">
        <f t="shared" si="13"/>
        <v>Weekday</v>
      </c>
      <c r="R81" s="42">
        <f t="shared" si="14"/>
        <v>44755</v>
      </c>
      <c r="S81" s="42">
        <f t="shared" si="15"/>
        <v>124.8388746803069</v>
      </c>
      <c r="T81" s="42">
        <f t="shared" si="16"/>
        <v>312</v>
      </c>
      <c r="U81" s="42" t="str">
        <f t="shared" si="17"/>
        <v>Wee</v>
      </c>
      <c r="V81" s="42" t="str">
        <f t="shared" si="18"/>
        <v>kday</v>
      </c>
      <c r="W81" s="42">
        <f t="shared" si="19"/>
        <v>7</v>
      </c>
      <c r="X81" s="42">
        <f t="shared" si="20"/>
        <v>0.2424</v>
      </c>
      <c r="Y81" s="3">
        <f t="shared" si="21"/>
        <v>82</v>
      </c>
      <c r="Z81" s="3">
        <f t="shared" si="25"/>
        <v>7883</v>
      </c>
      <c r="AA81" s="3">
        <f t="shared" si="22"/>
        <v>1232.2489122187819</v>
      </c>
      <c r="AB81" s="3">
        <f t="shared" si="23"/>
        <v>0.99911573903365103</v>
      </c>
      <c r="AC81" s="3" t="str">
        <f t="shared" si="24"/>
        <v>Normal</v>
      </c>
    </row>
    <row r="82" spans="1:29" x14ac:dyDescent="0.2">
      <c r="A82" s="4">
        <v>700</v>
      </c>
      <c r="B82" s="5">
        <v>40545</v>
      </c>
      <c r="C82" s="4">
        <v>1</v>
      </c>
      <c r="D82" s="4">
        <v>0</v>
      </c>
      <c r="E82" s="4">
        <v>2</v>
      </c>
      <c r="F82" s="4">
        <v>12</v>
      </c>
      <c r="G82" s="4" t="b">
        <v>0</v>
      </c>
      <c r="H82" s="4">
        <v>2</v>
      </c>
      <c r="I82" s="4">
        <v>2</v>
      </c>
      <c r="J82" s="4">
        <v>0.2</v>
      </c>
      <c r="K82" s="4">
        <v>0.2576</v>
      </c>
      <c r="L82" s="4">
        <v>0.86</v>
      </c>
      <c r="M82" s="4">
        <v>0</v>
      </c>
      <c r="N82" s="4">
        <v>2</v>
      </c>
      <c r="O82" s="4">
        <v>53</v>
      </c>
      <c r="P82" s="4">
        <v>55</v>
      </c>
      <c r="Q82" s="6" t="str">
        <f t="shared" si="13"/>
        <v>Weekday</v>
      </c>
      <c r="R82" s="42">
        <f t="shared" si="14"/>
        <v>44704</v>
      </c>
      <c r="S82" s="42">
        <f t="shared" si="15"/>
        <v>124.8388746803069</v>
      </c>
      <c r="T82" s="42">
        <f t="shared" si="16"/>
        <v>311</v>
      </c>
      <c r="U82" s="42" t="str">
        <f t="shared" si="17"/>
        <v>Wee</v>
      </c>
      <c r="V82" s="42" t="str">
        <f t="shared" si="18"/>
        <v>kday</v>
      </c>
      <c r="W82" s="42">
        <f t="shared" si="19"/>
        <v>7</v>
      </c>
      <c r="X82" s="42">
        <f t="shared" si="20"/>
        <v>0.2576</v>
      </c>
      <c r="Y82" s="3">
        <f t="shared" si="21"/>
        <v>82</v>
      </c>
      <c r="Z82" s="3">
        <f t="shared" si="25"/>
        <v>7883</v>
      </c>
      <c r="AA82" s="3">
        <f t="shared" si="22"/>
        <v>1232.2489122187819</v>
      </c>
      <c r="AB82" s="3">
        <f t="shared" si="23"/>
        <v>0.99911573903365103</v>
      </c>
      <c r="AC82" s="3" t="str">
        <f t="shared" si="24"/>
        <v>Normal</v>
      </c>
    </row>
    <row r="83" spans="1:29" x14ac:dyDescent="0.2">
      <c r="A83" s="4">
        <v>701</v>
      </c>
      <c r="B83" s="5">
        <v>40545</v>
      </c>
      <c r="C83" s="4">
        <v>1</v>
      </c>
      <c r="D83" s="4">
        <v>0</v>
      </c>
      <c r="E83" s="4">
        <v>2</v>
      </c>
      <c r="F83" s="4">
        <v>13</v>
      </c>
      <c r="G83" s="4" t="b">
        <v>0</v>
      </c>
      <c r="H83" s="4">
        <v>2</v>
      </c>
      <c r="I83" s="4">
        <v>2</v>
      </c>
      <c r="J83" s="4">
        <v>0.2</v>
      </c>
      <c r="K83" s="4">
        <v>0.2576</v>
      </c>
      <c r="L83" s="4">
        <v>0.86</v>
      </c>
      <c r="M83" s="4">
        <v>0</v>
      </c>
      <c r="N83" s="4">
        <v>3</v>
      </c>
      <c r="O83" s="4">
        <v>49</v>
      </c>
      <c r="P83" s="4">
        <v>52</v>
      </c>
      <c r="Q83" s="6" t="str">
        <f t="shared" si="13"/>
        <v>Weekday</v>
      </c>
      <c r="R83" s="42">
        <f t="shared" si="14"/>
        <v>44649</v>
      </c>
      <c r="S83" s="42">
        <f t="shared" si="15"/>
        <v>124.8388746803069</v>
      </c>
      <c r="T83" s="42">
        <f t="shared" si="16"/>
        <v>310</v>
      </c>
      <c r="U83" s="42" t="str">
        <f t="shared" si="17"/>
        <v>Wee</v>
      </c>
      <c r="V83" s="42" t="str">
        <f t="shared" si="18"/>
        <v>kday</v>
      </c>
      <c r="W83" s="42">
        <f t="shared" si="19"/>
        <v>7</v>
      </c>
      <c r="X83" s="42">
        <f t="shared" si="20"/>
        <v>0.2576</v>
      </c>
      <c r="Y83" s="3">
        <f t="shared" si="21"/>
        <v>82</v>
      </c>
      <c r="Z83" s="3">
        <f t="shared" si="25"/>
        <v>7883</v>
      </c>
      <c r="AA83" s="3">
        <f t="shared" si="22"/>
        <v>1232.2489122187819</v>
      </c>
      <c r="AB83" s="3">
        <f t="shared" si="23"/>
        <v>0.99911573903365103</v>
      </c>
      <c r="AC83" s="3" t="str">
        <f t="shared" si="24"/>
        <v>Normal</v>
      </c>
    </row>
    <row r="84" spans="1:29" x14ac:dyDescent="0.2">
      <c r="A84" s="4">
        <v>702</v>
      </c>
      <c r="B84" s="5">
        <v>40545</v>
      </c>
      <c r="C84" s="4">
        <v>1</v>
      </c>
      <c r="D84" s="4">
        <v>0</v>
      </c>
      <c r="E84" s="4">
        <v>2</v>
      </c>
      <c r="F84" s="4">
        <v>14</v>
      </c>
      <c r="G84" s="4" t="b">
        <v>0</v>
      </c>
      <c r="H84" s="4">
        <v>2</v>
      </c>
      <c r="I84" s="4">
        <v>2</v>
      </c>
      <c r="J84" s="4">
        <v>0.22</v>
      </c>
      <c r="K84" s="4">
        <v>0.2576</v>
      </c>
      <c r="L84" s="4">
        <v>0.8</v>
      </c>
      <c r="M84" s="4">
        <v>8.9599999999999999E-2</v>
      </c>
      <c r="N84" s="4">
        <v>5</v>
      </c>
      <c r="O84" s="4">
        <v>49</v>
      </c>
      <c r="P84" s="4">
        <v>54</v>
      </c>
      <c r="Q84" s="6" t="str">
        <f t="shared" si="13"/>
        <v>Weekday</v>
      </c>
      <c r="R84" s="42">
        <f t="shared" si="14"/>
        <v>44597</v>
      </c>
      <c r="S84" s="42">
        <f t="shared" si="15"/>
        <v>124.8388746803069</v>
      </c>
      <c r="T84" s="42">
        <f t="shared" si="16"/>
        <v>309</v>
      </c>
      <c r="U84" s="42" t="str">
        <f t="shared" si="17"/>
        <v>Wee</v>
      </c>
      <c r="V84" s="42" t="str">
        <f t="shared" si="18"/>
        <v>kday</v>
      </c>
      <c r="W84" s="42">
        <f t="shared" si="19"/>
        <v>7</v>
      </c>
      <c r="X84" s="42">
        <f t="shared" si="20"/>
        <v>0.2576</v>
      </c>
      <c r="Y84" s="3">
        <f t="shared" si="21"/>
        <v>82</v>
      </c>
      <c r="Z84" s="3">
        <f t="shared" si="25"/>
        <v>7883</v>
      </c>
      <c r="AA84" s="3">
        <f t="shared" si="22"/>
        <v>1232.2489122187819</v>
      </c>
      <c r="AB84" s="3">
        <f t="shared" si="23"/>
        <v>0.99911573903365103</v>
      </c>
      <c r="AC84" s="3" t="str">
        <f t="shared" si="24"/>
        <v>Normal</v>
      </c>
    </row>
    <row r="85" spans="1:29" x14ac:dyDescent="0.2">
      <c r="A85" s="4">
        <v>703</v>
      </c>
      <c r="B85" s="5">
        <v>40545</v>
      </c>
      <c r="C85" s="4">
        <v>1</v>
      </c>
      <c r="D85" s="4">
        <v>0</v>
      </c>
      <c r="E85" s="4">
        <v>2</v>
      </c>
      <c r="F85" s="4">
        <v>15</v>
      </c>
      <c r="G85" s="4" t="b">
        <v>0</v>
      </c>
      <c r="H85" s="4">
        <v>2</v>
      </c>
      <c r="I85" s="4">
        <v>2</v>
      </c>
      <c r="J85" s="4">
        <v>0.24</v>
      </c>
      <c r="K85" s="4">
        <v>0.28789999999999999</v>
      </c>
      <c r="L85" s="4">
        <v>0.75</v>
      </c>
      <c r="M85" s="4">
        <v>0</v>
      </c>
      <c r="N85" s="4">
        <v>7</v>
      </c>
      <c r="O85" s="4">
        <v>45</v>
      </c>
      <c r="P85" s="4">
        <v>52</v>
      </c>
      <c r="Q85" s="6" t="str">
        <f t="shared" si="13"/>
        <v>Weekday</v>
      </c>
      <c r="R85" s="42">
        <f t="shared" si="14"/>
        <v>44543</v>
      </c>
      <c r="S85" s="42">
        <f t="shared" si="15"/>
        <v>124.8388746803069</v>
      </c>
      <c r="T85" s="42">
        <f t="shared" si="16"/>
        <v>308</v>
      </c>
      <c r="U85" s="42" t="str">
        <f t="shared" si="17"/>
        <v>Wee</v>
      </c>
      <c r="V85" s="42" t="str">
        <f t="shared" si="18"/>
        <v>kday</v>
      </c>
      <c r="W85" s="42">
        <f t="shared" si="19"/>
        <v>7</v>
      </c>
      <c r="X85" s="42">
        <f t="shared" si="20"/>
        <v>0.28789999999999999</v>
      </c>
      <c r="Y85" s="3">
        <f t="shared" si="21"/>
        <v>82</v>
      </c>
      <c r="Z85" s="3">
        <f t="shared" si="25"/>
        <v>7883</v>
      </c>
      <c r="AA85" s="3">
        <f t="shared" si="22"/>
        <v>1232.2489122187819</v>
      </c>
      <c r="AB85" s="3">
        <f t="shared" si="23"/>
        <v>0.99911573903365103</v>
      </c>
      <c r="AC85" s="3" t="str">
        <f t="shared" si="24"/>
        <v>Normal</v>
      </c>
    </row>
    <row r="86" spans="1:29" x14ac:dyDescent="0.2">
      <c r="A86" s="4">
        <v>704</v>
      </c>
      <c r="B86" s="5">
        <v>40545</v>
      </c>
      <c r="C86" s="4">
        <v>1</v>
      </c>
      <c r="D86" s="4">
        <v>0</v>
      </c>
      <c r="E86" s="4">
        <v>2</v>
      </c>
      <c r="F86" s="4">
        <v>16</v>
      </c>
      <c r="G86" s="4" t="b">
        <v>0</v>
      </c>
      <c r="H86" s="4">
        <v>2</v>
      </c>
      <c r="I86" s="4">
        <v>2</v>
      </c>
      <c r="J86" s="4">
        <v>0.24</v>
      </c>
      <c r="K86" s="4">
        <v>0.2424</v>
      </c>
      <c r="L86" s="4">
        <v>0.75</v>
      </c>
      <c r="M86" s="4">
        <v>0.1343</v>
      </c>
      <c r="N86" s="4">
        <v>3</v>
      </c>
      <c r="O86" s="4">
        <v>61</v>
      </c>
      <c r="P86" s="4">
        <v>64</v>
      </c>
      <c r="Q86" s="6" t="str">
        <f t="shared" si="13"/>
        <v>Weekday</v>
      </c>
      <c r="R86" s="42">
        <f t="shared" si="14"/>
        <v>44491</v>
      </c>
      <c r="S86" s="42">
        <f t="shared" si="15"/>
        <v>124.8388746803069</v>
      </c>
      <c r="T86" s="42">
        <f t="shared" si="16"/>
        <v>307</v>
      </c>
      <c r="U86" s="42" t="str">
        <f t="shared" si="17"/>
        <v>Wee</v>
      </c>
      <c r="V86" s="42" t="str">
        <f t="shared" si="18"/>
        <v>kday</v>
      </c>
      <c r="W86" s="42">
        <f t="shared" si="19"/>
        <v>7</v>
      </c>
      <c r="X86" s="42">
        <f t="shared" si="20"/>
        <v>0.2424</v>
      </c>
      <c r="Y86" s="3">
        <f t="shared" si="21"/>
        <v>82</v>
      </c>
      <c r="Z86" s="3">
        <f t="shared" si="25"/>
        <v>7883</v>
      </c>
      <c r="AA86" s="3">
        <f t="shared" si="22"/>
        <v>1232.2489122187819</v>
      </c>
      <c r="AB86" s="3">
        <f t="shared" si="23"/>
        <v>0.99911573903365103</v>
      </c>
      <c r="AC86" s="3" t="str">
        <f t="shared" si="24"/>
        <v>Normal</v>
      </c>
    </row>
    <row r="87" spans="1:29" x14ac:dyDescent="0.2">
      <c r="A87" s="4">
        <v>705</v>
      </c>
      <c r="B87" s="5">
        <v>40545</v>
      </c>
      <c r="C87" s="4">
        <v>1</v>
      </c>
      <c r="D87" s="4">
        <v>0</v>
      </c>
      <c r="E87" s="4">
        <v>2</v>
      </c>
      <c r="F87" s="4">
        <v>17</v>
      </c>
      <c r="G87" s="4" t="b">
        <v>0</v>
      </c>
      <c r="H87" s="4">
        <v>2</v>
      </c>
      <c r="I87" s="4">
        <v>2</v>
      </c>
      <c r="J87" s="4">
        <v>0.24</v>
      </c>
      <c r="K87" s="4">
        <v>0.28789999999999999</v>
      </c>
      <c r="L87" s="4">
        <v>0.75</v>
      </c>
      <c r="M87" s="4">
        <v>0</v>
      </c>
      <c r="N87" s="4">
        <v>4</v>
      </c>
      <c r="O87" s="4">
        <v>172</v>
      </c>
      <c r="P87" s="4">
        <v>176</v>
      </c>
      <c r="Q87" s="6" t="str">
        <f t="shared" si="13"/>
        <v>Weekday</v>
      </c>
      <c r="R87" s="42">
        <f t="shared" si="14"/>
        <v>44427</v>
      </c>
      <c r="S87" s="42">
        <f t="shared" si="15"/>
        <v>124.8388746803069</v>
      </c>
      <c r="T87" s="42">
        <f t="shared" si="16"/>
        <v>306</v>
      </c>
      <c r="U87" s="42" t="str">
        <f t="shared" si="17"/>
        <v>Wee</v>
      </c>
      <c r="V87" s="42" t="str">
        <f t="shared" si="18"/>
        <v>kday</v>
      </c>
      <c r="W87" s="42">
        <f t="shared" si="19"/>
        <v>7</v>
      </c>
      <c r="X87" s="42">
        <f t="shared" si="20"/>
        <v>0.28789999999999999</v>
      </c>
      <c r="Y87" s="3">
        <f t="shared" si="21"/>
        <v>82</v>
      </c>
      <c r="Z87" s="3">
        <f t="shared" si="25"/>
        <v>7883</v>
      </c>
      <c r="AA87" s="3">
        <f t="shared" si="22"/>
        <v>1232.2489122187819</v>
      </c>
      <c r="AB87" s="3">
        <f t="shared" si="23"/>
        <v>0.99911573903365103</v>
      </c>
      <c r="AC87" s="3" t="str">
        <f t="shared" si="24"/>
        <v>Normal</v>
      </c>
    </row>
    <row r="88" spans="1:29" x14ac:dyDescent="0.2">
      <c r="A88" s="4">
        <v>706</v>
      </c>
      <c r="B88" s="5">
        <v>40545</v>
      </c>
      <c r="C88" s="4">
        <v>1</v>
      </c>
      <c r="D88" s="4">
        <v>0</v>
      </c>
      <c r="E88" s="4">
        <v>2</v>
      </c>
      <c r="F88" s="4">
        <v>18</v>
      </c>
      <c r="G88" s="4" t="b">
        <v>0</v>
      </c>
      <c r="H88" s="4">
        <v>2</v>
      </c>
      <c r="I88" s="4">
        <v>2</v>
      </c>
      <c r="J88" s="4">
        <v>0.24</v>
      </c>
      <c r="K88" s="4">
        <v>0.2576</v>
      </c>
      <c r="L88" s="4">
        <v>0.81</v>
      </c>
      <c r="M88" s="4">
        <v>0.1045</v>
      </c>
      <c r="N88" s="4">
        <v>3</v>
      </c>
      <c r="O88" s="4">
        <v>165</v>
      </c>
      <c r="P88" s="4">
        <v>168</v>
      </c>
      <c r="Q88" s="6" t="str">
        <f t="shared" si="13"/>
        <v>Weekday</v>
      </c>
      <c r="R88" s="42">
        <f t="shared" si="14"/>
        <v>44251</v>
      </c>
      <c r="S88" s="42">
        <f t="shared" si="15"/>
        <v>124.8388746803069</v>
      </c>
      <c r="T88" s="42">
        <f t="shared" si="16"/>
        <v>305</v>
      </c>
      <c r="U88" s="42" t="str">
        <f t="shared" si="17"/>
        <v>Wee</v>
      </c>
      <c r="V88" s="42" t="str">
        <f t="shared" si="18"/>
        <v>kday</v>
      </c>
      <c r="W88" s="42">
        <f t="shared" si="19"/>
        <v>7</v>
      </c>
      <c r="X88" s="42">
        <f t="shared" si="20"/>
        <v>0.2576</v>
      </c>
      <c r="Y88" s="3">
        <f t="shared" si="21"/>
        <v>82</v>
      </c>
      <c r="Z88" s="3">
        <f t="shared" si="25"/>
        <v>7883</v>
      </c>
      <c r="AA88" s="3">
        <f t="shared" si="22"/>
        <v>1232.2489122187819</v>
      </c>
      <c r="AB88" s="3">
        <f t="shared" si="23"/>
        <v>0.99911573903365103</v>
      </c>
      <c r="AC88" s="3" t="str">
        <f t="shared" si="24"/>
        <v>Normal</v>
      </c>
    </row>
    <row r="89" spans="1:29" x14ac:dyDescent="0.2">
      <c r="A89" s="4">
        <v>707</v>
      </c>
      <c r="B89" s="5">
        <v>40545</v>
      </c>
      <c r="C89" s="4">
        <v>1</v>
      </c>
      <c r="D89" s="4">
        <v>0</v>
      </c>
      <c r="E89" s="4">
        <v>2</v>
      </c>
      <c r="F89" s="4">
        <v>19</v>
      </c>
      <c r="G89" s="4" t="b">
        <v>0</v>
      </c>
      <c r="H89" s="4">
        <v>2</v>
      </c>
      <c r="I89" s="4">
        <v>2</v>
      </c>
      <c r="J89" s="4">
        <v>0.24</v>
      </c>
      <c r="K89" s="4">
        <v>0.2424</v>
      </c>
      <c r="L89" s="4">
        <v>0.81</v>
      </c>
      <c r="M89" s="4">
        <v>0.1343</v>
      </c>
      <c r="N89" s="4">
        <v>3</v>
      </c>
      <c r="O89" s="4">
        <v>105</v>
      </c>
      <c r="P89" s="4">
        <v>108</v>
      </c>
      <c r="Q89" s="6" t="str">
        <f t="shared" si="13"/>
        <v>Weekday</v>
      </c>
      <c r="R89" s="42">
        <f t="shared" si="14"/>
        <v>44083</v>
      </c>
      <c r="S89" s="42">
        <f t="shared" si="15"/>
        <v>124.8388746803069</v>
      </c>
      <c r="T89" s="42">
        <f t="shared" si="16"/>
        <v>304</v>
      </c>
      <c r="U89" s="42" t="str">
        <f t="shared" si="17"/>
        <v>Wee</v>
      </c>
      <c r="V89" s="42" t="str">
        <f t="shared" si="18"/>
        <v>kday</v>
      </c>
      <c r="W89" s="42">
        <f t="shared" si="19"/>
        <v>7</v>
      </c>
      <c r="X89" s="42">
        <f t="shared" si="20"/>
        <v>0.2424</v>
      </c>
      <c r="Y89" s="3">
        <f t="shared" si="21"/>
        <v>82</v>
      </c>
      <c r="Z89" s="3">
        <f t="shared" si="25"/>
        <v>7883</v>
      </c>
      <c r="AA89" s="3">
        <f t="shared" si="22"/>
        <v>1232.2489122187819</v>
      </c>
      <c r="AB89" s="3">
        <f t="shared" si="23"/>
        <v>0.99911573903365103</v>
      </c>
      <c r="AC89" s="3" t="str">
        <f t="shared" si="24"/>
        <v>Normal</v>
      </c>
    </row>
    <row r="90" spans="1:29" x14ac:dyDescent="0.2">
      <c r="A90" s="4">
        <v>708</v>
      </c>
      <c r="B90" s="5">
        <v>40545</v>
      </c>
      <c r="C90" s="4">
        <v>1</v>
      </c>
      <c r="D90" s="4">
        <v>0</v>
      </c>
      <c r="E90" s="4">
        <v>2</v>
      </c>
      <c r="F90" s="4">
        <v>20</v>
      </c>
      <c r="G90" s="4" t="b">
        <v>0</v>
      </c>
      <c r="H90" s="4">
        <v>2</v>
      </c>
      <c r="I90" s="4">
        <v>2</v>
      </c>
      <c r="J90" s="4">
        <v>0.22</v>
      </c>
      <c r="K90" s="4">
        <v>0.2273</v>
      </c>
      <c r="L90" s="4">
        <v>0.87</v>
      </c>
      <c r="M90" s="4">
        <v>0.1343</v>
      </c>
      <c r="N90" s="4">
        <v>5</v>
      </c>
      <c r="O90" s="4">
        <v>69</v>
      </c>
      <c r="P90" s="4">
        <v>74</v>
      </c>
      <c r="Q90" s="6" t="str">
        <f t="shared" si="13"/>
        <v>Weekday</v>
      </c>
      <c r="R90" s="42">
        <f t="shared" si="14"/>
        <v>43975</v>
      </c>
      <c r="S90" s="42">
        <f t="shared" si="15"/>
        <v>124.8388746803069</v>
      </c>
      <c r="T90" s="42">
        <f t="shared" si="16"/>
        <v>303</v>
      </c>
      <c r="U90" s="42" t="str">
        <f t="shared" si="17"/>
        <v>Wee</v>
      </c>
      <c r="V90" s="42" t="str">
        <f t="shared" si="18"/>
        <v>kday</v>
      </c>
      <c r="W90" s="42">
        <f t="shared" si="19"/>
        <v>7</v>
      </c>
      <c r="X90" s="42">
        <f t="shared" si="20"/>
        <v>0.2273</v>
      </c>
      <c r="Y90" s="3">
        <f t="shared" si="21"/>
        <v>82</v>
      </c>
      <c r="Z90" s="3">
        <f t="shared" si="25"/>
        <v>7883</v>
      </c>
      <c r="AA90" s="3">
        <f t="shared" si="22"/>
        <v>1232.2489122187819</v>
      </c>
      <c r="AB90" s="3">
        <f t="shared" si="23"/>
        <v>0.99911573903365103</v>
      </c>
      <c r="AC90" s="3" t="str">
        <f t="shared" si="24"/>
        <v>Normal</v>
      </c>
    </row>
    <row r="91" spans="1:29" x14ac:dyDescent="0.2">
      <c r="A91" s="4">
        <v>709</v>
      </c>
      <c r="B91" s="5">
        <v>40545</v>
      </c>
      <c r="C91" s="4">
        <v>1</v>
      </c>
      <c r="D91" s="4">
        <v>0</v>
      </c>
      <c r="E91" s="4">
        <v>2</v>
      </c>
      <c r="F91" s="4">
        <v>21</v>
      </c>
      <c r="G91" s="4" t="b">
        <v>0</v>
      </c>
      <c r="H91" s="4">
        <v>2</v>
      </c>
      <c r="I91" s="4">
        <v>2</v>
      </c>
      <c r="J91" s="4">
        <v>0.22</v>
      </c>
      <c r="K91" s="4">
        <v>0.2273</v>
      </c>
      <c r="L91" s="4">
        <v>0.87</v>
      </c>
      <c r="M91" s="4">
        <v>0.1343</v>
      </c>
      <c r="N91" s="4">
        <v>0</v>
      </c>
      <c r="O91" s="4">
        <v>64</v>
      </c>
      <c r="P91" s="4">
        <v>64</v>
      </c>
      <c r="Q91" s="6" t="str">
        <f t="shared" si="13"/>
        <v>Weekday</v>
      </c>
      <c r="R91" s="42">
        <f t="shared" si="14"/>
        <v>43901</v>
      </c>
      <c r="S91" s="42">
        <f t="shared" si="15"/>
        <v>124.8388746803069</v>
      </c>
      <c r="T91" s="42">
        <f t="shared" si="16"/>
        <v>302</v>
      </c>
      <c r="U91" s="42" t="str">
        <f t="shared" si="17"/>
        <v>Wee</v>
      </c>
      <c r="V91" s="42" t="str">
        <f t="shared" si="18"/>
        <v>kday</v>
      </c>
      <c r="W91" s="42">
        <f t="shared" si="19"/>
        <v>7</v>
      </c>
      <c r="X91" s="42">
        <f t="shared" si="20"/>
        <v>0.2273</v>
      </c>
      <c r="Y91" s="3">
        <f t="shared" si="21"/>
        <v>82</v>
      </c>
      <c r="Z91" s="3">
        <f t="shared" si="25"/>
        <v>7883</v>
      </c>
      <c r="AA91" s="3">
        <f t="shared" si="22"/>
        <v>1232.2489122187819</v>
      </c>
      <c r="AB91" s="3">
        <f t="shared" si="23"/>
        <v>0.99911573903365103</v>
      </c>
      <c r="AC91" s="3" t="str">
        <f t="shared" si="24"/>
        <v>Normal</v>
      </c>
    </row>
    <row r="92" spans="1:29" x14ac:dyDescent="0.2">
      <c r="A92" s="4">
        <v>710</v>
      </c>
      <c r="B92" s="5">
        <v>40545</v>
      </c>
      <c r="C92" s="4">
        <v>1</v>
      </c>
      <c r="D92" s="4">
        <v>0</v>
      </c>
      <c r="E92" s="4">
        <v>2</v>
      </c>
      <c r="F92" s="4">
        <v>22</v>
      </c>
      <c r="G92" s="4" t="b">
        <v>0</v>
      </c>
      <c r="H92" s="4">
        <v>2</v>
      </c>
      <c r="I92" s="4">
        <v>2</v>
      </c>
      <c r="J92" s="4">
        <v>0.22</v>
      </c>
      <c r="K92" s="4">
        <v>0.2576</v>
      </c>
      <c r="L92" s="4">
        <v>0.87</v>
      </c>
      <c r="M92" s="4">
        <v>8.9599999999999999E-2</v>
      </c>
      <c r="N92" s="4">
        <v>2</v>
      </c>
      <c r="O92" s="4">
        <v>34</v>
      </c>
      <c r="P92" s="4">
        <v>36</v>
      </c>
      <c r="Q92" s="6" t="str">
        <f t="shared" si="13"/>
        <v>Weekday</v>
      </c>
      <c r="R92" s="42">
        <f t="shared" si="14"/>
        <v>43837</v>
      </c>
      <c r="S92" s="42">
        <f t="shared" si="15"/>
        <v>124.8388746803069</v>
      </c>
      <c r="T92" s="42">
        <f t="shared" si="16"/>
        <v>301</v>
      </c>
      <c r="U92" s="42" t="str">
        <f t="shared" si="17"/>
        <v>Wee</v>
      </c>
      <c r="V92" s="42" t="str">
        <f t="shared" si="18"/>
        <v>kday</v>
      </c>
      <c r="W92" s="42">
        <f t="shared" si="19"/>
        <v>7</v>
      </c>
      <c r="X92" s="42">
        <f t="shared" si="20"/>
        <v>0.2576</v>
      </c>
      <c r="Y92" s="3">
        <f t="shared" si="21"/>
        <v>82</v>
      </c>
      <c r="Z92" s="3">
        <f t="shared" si="25"/>
        <v>7883</v>
      </c>
      <c r="AA92" s="3">
        <f t="shared" si="22"/>
        <v>1232.2489122187819</v>
      </c>
      <c r="AB92" s="3">
        <f t="shared" si="23"/>
        <v>0.99911573903365103</v>
      </c>
      <c r="AC92" s="3" t="str">
        <f t="shared" si="24"/>
        <v>Normal</v>
      </c>
    </row>
    <row r="93" spans="1:29" x14ac:dyDescent="0.2">
      <c r="A93" s="4">
        <v>711</v>
      </c>
      <c r="B93" s="5">
        <v>40545</v>
      </c>
      <c r="C93" s="4">
        <v>1</v>
      </c>
      <c r="D93" s="4">
        <v>0</v>
      </c>
      <c r="E93" s="4">
        <v>2</v>
      </c>
      <c r="F93" s="4">
        <v>23</v>
      </c>
      <c r="G93" s="4" t="b">
        <v>0</v>
      </c>
      <c r="H93" s="4">
        <v>2</v>
      </c>
      <c r="I93" s="4">
        <v>3</v>
      </c>
      <c r="J93" s="4">
        <v>0.2</v>
      </c>
      <c r="K93" s="4">
        <v>0.19700000000000001</v>
      </c>
      <c r="L93" s="4">
        <v>0.93</v>
      </c>
      <c r="M93" s="4">
        <v>0.19400000000000001</v>
      </c>
      <c r="N93" s="4">
        <v>1</v>
      </c>
      <c r="O93" s="4">
        <v>15</v>
      </c>
      <c r="P93" s="4">
        <v>16</v>
      </c>
      <c r="Q93" s="6" t="str">
        <f t="shared" si="13"/>
        <v>Weekday</v>
      </c>
      <c r="R93" s="42">
        <f t="shared" si="14"/>
        <v>43801</v>
      </c>
      <c r="S93" s="42">
        <f t="shared" si="15"/>
        <v>124.8388746803069</v>
      </c>
      <c r="T93" s="42">
        <f t="shared" si="16"/>
        <v>300</v>
      </c>
      <c r="U93" s="42" t="str">
        <f t="shared" si="17"/>
        <v>Wee</v>
      </c>
      <c r="V93" s="42" t="str">
        <f t="shared" si="18"/>
        <v>kday</v>
      </c>
      <c r="W93" s="42">
        <f t="shared" si="19"/>
        <v>7</v>
      </c>
      <c r="X93" s="42">
        <f t="shared" si="20"/>
        <v>0.19700000000000001</v>
      </c>
      <c r="Y93" s="3">
        <f t="shared" si="21"/>
        <v>82</v>
      </c>
      <c r="Z93" s="3">
        <f t="shared" si="25"/>
        <v>7883</v>
      </c>
      <c r="AA93" s="3">
        <f t="shared" si="22"/>
        <v>1232.2489122187819</v>
      </c>
      <c r="AB93" s="3">
        <f t="shared" si="23"/>
        <v>0.99911573903365103</v>
      </c>
      <c r="AC93" s="3" t="str">
        <f t="shared" si="24"/>
        <v>Normal</v>
      </c>
    </row>
    <row r="94" spans="1:29" x14ac:dyDescent="0.2">
      <c r="A94" s="4">
        <v>712</v>
      </c>
      <c r="B94" s="5">
        <v>40576</v>
      </c>
      <c r="C94" s="4">
        <v>1</v>
      </c>
      <c r="D94" s="4">
        <v>0</v>
      </c>
      <c r="E94" s="4">
        <v>2</v>
      </c>
      <c r="F94" s="4">
        <v>0</v>
      </c>
      <c r="G94" s="4" t="b">
        <v>0</v>
      </c>
      <c r="H94" s="4">
        <v>3</v>
      </c>
      <c r="I94" s="4">
        <v>3</v>
      </c>
      <c r="J94" s="4">
        <v>0.22</v>
      </c>
      <c r="K94" s="4">
        <v>0.2424</v>
      </c>
      <c r="L94" s="4">
        <v>0.93</v>
      </c>
      <c r="M94" s="4">
        <v>0.1045</v>
      </c>
      <c r="N94" s="4">
        <v>0</v>
      </c>
      <c r="O94" s="4">
        <v>2</v>
      </c>
      <c r="P94" s="4">
        <v>2</v>
      </c>
      <c r="Q94" s="6" t="str">
        <f t="shared" si="13"/>
        <v>Weekday</v>
      </c>
      <c r="R94" s="42">
        <f t="shared" si="14"/>
        <v>43785</v>
      </c>
      <c r="S94" s="42">
        <f t="shared" si="15"/>
        <v>124.8388746803069</v>
      </c>
      <c r="T94" s="42">
        <f t="shared" si="16"/>
        <v>299</v>
      </c>
      <c r="U94" s="42" t="str">
        <f t="shared" si="17"/>
        <v>Wee</v>
      </c>
      <c r="V94" s="42" t="str">
        <f t="shared" si="18"/>
        <v>kday</v>
      </c>
      <c r="W94" s="42">
        <f t="shared" si="19"/>
        <v>7</v>
      </c>
      <c r="X94" s="42">
        <f t="shared" si="20"/>
        <v>0.2424</v>
      </c>
      <c r="Y94" s="3">
        <f t="shared" si="21"/>
        <v>82</v>
      </c>
      <c r="Z94" s="3">
        <f t="shared" si="25"/>
        <v>7883</v>
      </c>
      <c r="AA94" s="3">
        <f t="shared" si="22"/>
        <v>1232.2489122187819</v>
      </c>
      <c r="AB94" s="3">
        <f t="shared" si="23"/>
        <v>0.99911573903365103</v>
      </c>
      <c r="AC94" s="3" t="str">
        <f t="shared" si="24"/>
        <v>Normal</v>
      </c>
    </row>
    <row r="95" spans="1:29" x14ac:dyDescent="0.2">
      <c r="A95" s="4">
        <v>713</v>
      </c>
      <c r="B95" s="5">
        <v>40576</v>
      </c>
      <c r="C95" s="4">
        <v>1</v>
      </c>
      <c r="D95" s="4">
        <v>0</v>
      </c>
      <c r="E95" s="4">
        <v>2</v>
      </c>
      <c r="F95" s="4">
        <v>1</v>
      </c>
      <c r="G95" s="4" t="b">
        <v>0</v>
      </c>
      <c r="H95" s="4">
        <v>3</v>
      </c>
      <c r="I95" s="4">
        <v>3</v>
      </c>
      <c r="J95" s="4">
        <v>0.22</v>
      </c>
      <c r="K95" s="4">
        <v>0.2273</v>
      </c>
      <c r="L95" s="4">
        <v>0.93</v>
      </c>
      <c r="M95" s="4">
        <v>0.19400000000000001</v>
      </c>
      <c r="N95" s="4">
        <v>0</v>
      </c>
      <c r="O95" s="4">
        <v>3</v>
      </c>
      <c r="P95" s="4">
        <v>3</v>
      </c>
      <c r="Q95" s="6" t="str">
        <f t="shared" si="13"/>
        <v>Weekday</v>
      </c>
      <c r="R95" s="42">
        <f t="shared" si="14"/>
        <v>43783</v>
      </c>
      <c r="S95" s="42">
        <f t="shared" si="15"/>
        <v>124.8388746803069</v>
      </c>
      <c r="T95" s="42">
        <f t="shared" si="16"/>
        <v>298</v>
      </c>
      <c r="U95" s="42" t="str">
        <f t="shared" si="17"/>
        <v>Wee</v>
      </c>
      <c r="V95" s="42" t="str">
        <f t="shared" si="18"/>
        <v>kday</v>
      </c>
      <c r="W95" s="42">
        <f t="shared" si="19"/>
        <v>7</v>
      </c>
      <c r="X95" s="42">
        <f t="shared" si="20"/>
        <v>0.2273</v>
      </c>
      <c r="Y95" s="3">
        <f t="shared" si="21"/>
        <v>82</v>
      </c>
      <c r="Z95" s="3">
        <f t="shared" si="25"/>
        <v>7883</v>
      </c>
      <c r="AA95" s="3">
        <f t="shared" si="22"/>
        <v>1232.2489122187819</v>
      </c>
      <c r="AB95" s="3">
        <f t="shared" si="23"/>
        <v>0.99911573903365103</v>
      </c>
      <c r="AC95" s="3" t="str">
        <f t="shared" si="24"/>
        <v>Normal</v>
      </c>
    </row>
    <row r="96" spans="1:29" x14ac:dyDescent="0.2">
      <c r="A96" s="4">
        <v>714</v>
      </c>
      <c r="B96" s="5">
        <v>40576</v>
      </c>
      <c r="C96" s="4">
        <v>1</v>
      </c>
      <c r="D96" s="4">
        <v>0</v>
      </c>
      <c r="E96" s="4">
        <v>2</v>
      </c>
      <c r="F96" s="4">
        <v>2</v>
      </c>
      <c r="G96" s="4" t="b">
        <v>0</v>
      </c>
      <c r="H96" s="4">
        <v>3</v>
      </c>
      <c r="I96" s="4">
        <v>3</v>
      </c>
      <c r="J96" s="4">
        <v>0.22</v>
      </c>
      <c r="K96" s="4">
        <v>0.2273</v>
      </c>
      <c r="L96" s="4">
        <v>0.93</v>
      </c>
      <c r="M96" s="4">
        <v>0.1343</v>
      </c>
      <c r="N96" s="4">
        <v>4</v>
      </c>
      <c r="O96" s="4">
        <v>0</v>
      </c>
      <c r="P96" s="4">
        <v>4</v>
      </c>
      <c r="Q96" s="6" t="str">
        <f t="shared" si="13"/>
        <v>Weekday</v>
      </c>
      <c r="R96" s="42">
        <f t="shared" si="14"/>
        <v>43780</v>
      </c>
      <c r="S96" s="42">
        <f t="shared" si="15"/>
        <v>124.8388746803069</v>
      </c>
      <c r="T96" s="42">
        <f t="shared" si="16"/>
        <v>297</v>
      </c>
      <c r="U96" s="42" t="str">
        <f t="shared" si="17"/>
        <v>Wee</v>
      </c>
      <c r="V96" s="42" t="str">
        <f t="shared" si="18"/>
        <v>kday</v>
      </c>
      <c r="W96" s="42">
        <f t="shared" si="19"/>
        <v>7</v>
      </c>
      <c r="X96" s="42">
        <f t="shared" si="20"/>
        <v>0.2273</v>
      </c>
      <c r="Y96" s="3">
        <f t="shared" si="21"/>
        <v>82</v>
      </c>
      <c r="Z96" s="3">
        <f t="shared" si="25"/>
        <v>7883</v>
      </c>
      <c r="AA96" s="3">
        <f t="shared" si="22"/>
        <v>1232.2489122187819</v>
      </c>
      <c r="AB96" s="3">
        <f t="shared" si="23"/>
        <v>0.99911573903365103</v>
      </c>
      <c r="AC96" s="3" t="str">
        <f t="shared" si="24"/>
        <v>Normal</v>
      </c>
    </row>
    <row r="97" spans="1:29" x14ac:dyDescent="0.2">
      <c r="A97" s="4">
        <v>715</v>
      </c>
      <c r="B97" s="5">
        <v>40576</v>
      </c>
      <c r="C97" s="4">
        <v>1</v>
      </c>
      <c r="D97" s="4">
        <v>0</v>
      </c>
      <c r="E97" s="4">
        <v>2</v>
      </c>
      <c r="F97" s="4">
        <v>3</v>
      </c>
      <c r="G97" s="4" t="b">
        <v>0</v>
      </c>
      <c r="H97" s="4">
        <v>3</v>
      </c>
      <c r="I97" s="4">
        <v>3</v>
      </c>
      <c r="J97" s="4">
        <v>0.22</v>
      </c>
      <c r="K97" s="4">
        <v>0.2273</v>
      </c>
      <c r="L97" s="4">
        <v>0.93</v>
      </c>
      <c r="M97" s="4">
        <v>0.1343</v>
      </c>
      <c r="N97" s="4">
        <v>0</v>
      </c>
      <c r="O97" s="4">
        <v>1</v>
      </c>
      <c r="P97" s="4">
        <v>1</v>
      </c>
      <c r="Q97" s="6" t="str">
        <f t="shared" si="13"/>
        <v>Weekday</v>
      </c>
      <c r="R97" s="42">
        <f t="shared" si="14"/>
        <v>43776</v>
      </c>
      <c r="S97" s="42">
        <f t="shared" si="15"/>
        <v>124.8388746803069</v>
      </c>
      <c r="T97" s="42">
        <f t="shared" si="16"/>
        <v>296</v>
      </c>
      <c r="U97" s="42" t="str">
        <f t="shared" si="17"/>
        <v>Wee</v>
      </c>
      <c r="V97" s="42" t="str">
        <f t="shared" si="18"/>
        <v>kday</v>
      </c>
      <c r="W97" s="42">
        <f t="shared" si="19"/>
        <v>7</v>
      </c>
      <c r="X97" s="42">
        <f t="shared" si="20"/>
        <v>0.2273</v>
      </c>
      <c r="Y97" s="3">
        <f t="shared" si="21"/>
        <v>82</v>
      </c>
      <c r="Z97" s="3">
        <f t="shared" si="25"/>
        <v>7883</v>
      </c>
      <c r="AA97" s="3">
        <f t="shared" si="22"/>
        <v>1232.2489122187819</v>
      </c>
      <c r="AB97" s="3">
        <f t="shared" si="23"/>
        <v>0.99911573903365103</v>
      </c>
      <c r="AC97" s="3" t="str">
        <f t="shared" si="24"/>
        <v>Normal</v>
      </c>
    </row>
    <row r="98" spans="1:29" x14ac:dyDescent="0.2">
      <c r="A98" s="4">
        <v>716</v>
      </c>
      <c r="B98" s="5">
        <v>40576</v>
      </c>
      <c r="C98" s="4">
        <v>1</v>
      </c>
      <c r="D98" s="4">
        <v>0</v>
      </c>
      <c r="E98" s="4">
        <v>2</v>
      </c>
      <c r="F98" s="4">
        <v>4</v>
      </c>
      <c r="G98" s="4" t="b">
        <v>0</v>
      </c>
      <c r="H98" s="4">
        <v>3</v>
      </c>
      <c r="I98" s="4">
        <v>3</v>
      </c>
      <c r="J98" s="4">
        <v>0.22</v>
      </c>
      <c r="K98" s="4">
        <v>0.21210000000000001</v>
      </c>
      <c r="L98" s="4">
        <v>0.93</v>
      </c>
      <c r="M98" s="4">
        <v>0.28360000000000002</v>
      </c>
      <c r="N98" s="4">
        <v>0</v>
      </c>
      <c r="O98" s="4">
        <v>1</v>
      </c>
      <c r="P98" s="4">
        <v>1</v>
      </c>
      <c r="Q98" s="6" t="str">
        <f t="shared" si="13"/>
        <v>Weekday</v>
      </c>
      <c r="R98" s="42">
        <f t="shared" si="14"/>
        <v>43775</v>
      </c>
      <c r="S98" s="42">
        <f t="shared" si="15"/>
        <v>124.8388746803069</v>
      </c>
      <c r="T98" s="42">
        <f t="shared" si="16"/>
        <v>295</v>
      </c>
      <c r="U98" s="42" t="str">
        <f t="shared" si="17"/>
        <v>Wee</v>
      </c>
      <c r="V98" s="42" t="str">
        <f t="shared" si="18"/>
        <v>kday</v>
      </c>
      <c r="W98" s="42">
        <f t="shared" si="19"/>
        <v>7</v>
      </c>
      <c r="X98" s="42">
        <f t="shared" si="20"/>
        <v>0.21210000000000001</v>
      </c>
      <c r="Y98" s="3">
        <f t="shared" si="21"/>
        <v>82</v>
      </c>
      <c r="Z98" s="3">
        <f t="shared" si="25"/>
        <v>7883</v>
      </c>
      <c r="AA98" s="3">
        <f t="shared" si="22"/>
        <v>1232.2489122187819</v>
      </c>
      <c r="AB98" s="3">
        <f t="shared" si="23"/>
        <v>0.99911573903365103</v>
      </c>
      <c r="AC98" s="3" t="str">
        <f t="shared" si="24"/>
        <v>Normal</v>
      </c>
    </row>
    <row r="99" spans="1:29" x14ac:dyDescent="0.2">
      <c r="A99" s="4">
        <v>717</v>
      </c>
      <c r="B99" s="5">
        <v>40576</v>
      </c>
      <c r="C99" s="4">
        <v>1</v>
      </c>
      <c r="D99" s="4">
        <v>0</v>
      </c>
      <c r="E99" s="4">
        <v>2</v>
      </c>
      <c r="F99" s="4">
        <v>5</v>
      </c>
      <c r="G99" s="4" t="b">
        <v>0</v>
      </c>
      <c r="H99" s="4">
        <v>3</v>
      </c>
      <c r="I99" s="4">
        <v>3</v>
      </c>
      <c r="J99" s="4">
        <v>0.22</v>
      </c>
      <c r="K99" s="4">
        <v>0.2424</v>
      </c>
      <c r="L99" s="4">
        <v>0.93</v>
      </c>
      <c r="M99" s="4">
        <v>0.1045</v>
      </c>
      <c r="N99" s="4">
        <v>0</v>
      </c>
      <c r="O99" s="4">
        <v>3</v>
      </c>
      <c r="P99" s="4">
        <v>3</v>
      </c>
      <c r="Q99" s="6" t="str">
        <f t="shared" si="13"/>
        <v>Weekday</v>
      </c>
      <c r="R99" s="42">
        <f t="shared" si="14"/>
        <v>43774</v>
      </c>
      <c r="S99" s="42">
        <f t="shared" si="15"/>
        <v>124.8388746803069</v>
      </c>
      <c r="T99" s="42">
        <f t="shared" si="16"/>
        <v>294</v>
      </c>
      <c r="U99" s="42" t="str">
        <f t="shared" si="17"/>
        <v>Wee</v>
      </c>
      <c r="V99" s="42" t="str">
        <f t="shared" si="18"/>
        <v>kday</v>
      </c>
      <c r="W99" s="42">
        <f t="shared" si="19"/>
        <v>7</v>
      </c>
      <c r="X99" s="42">
        <f t="shared" si="20"/>
        <v>0.2424</v>
      </c>
      <c r="Y99" s="3">
        <f t="shared" si="21"/>
        <v>82</v>
      </c>
      <c r="Z99" s="3">
        <f t="shared" si="25"/>
        <v>7883</v>
      </c>
      <c r="AA99" s="3">
        <f t="shared" si="22"/>
        <v>1232.2489122187819</v>
      </c>
      <c r="AB99" s="3">
        <f t="shared" si="23"/>
        <v>0.99911573903365103</v>
      </c>
      <c r="AC99" s="3" t="str">
        <f t="shared" si="24"/>
        <v>Normal</v>
      </c>
    </row>
    <row r="100" spans="1:29" x14ac:dyDescent="0.2">
      <c r="A100" s="4">
        <v>718</v>
      </c>
      <c r="B100" s="5">
        <v>40576</v>
      </c>
      <c r="C100" s="4">
        <v>1</v>
      </c>
      <c r="D100" s="4">
        <v>0</v>
      </c>
      <c r="E100" s="4">
        <v>2</v>
      </c>
      <c r="F100" s="4">
        <v>6</v>
      </c>
      <c r="G100" s="4" t="b">
        <v>0</v>
      </c>
      <c r="H100" s="4">
        <v>3</v>
      </c>
      <c r="I100" s="4">
        <v>3</v>
      </c>
      <c r="J100" s="4">
        <v>0.22</v>
      </c>
      <c r="K100" s="4">
        <v>0.2424</v>
      </c>
      <c r="L100" s="4">
        <v>0.93</v>
      </c>
      <c r="M100" s="4">
        <v>0.1045</v>
      </c>
      <c r="N100" s="4">
        <v>1</v>
      </c>
      <c r="O100" s="4">
        <v>17</v>
      </c>
      <c r="P100" s="4">
        <v>18</v>
      </c>
      <c r="Q100" s="6" t="str">
        <f t="shared" si="13"/>
        <v>Weekday</v>
      </c>
      <c r="R100" s="42">
        <f t="shared" si="14"/>
        <v>43771</v>
      </c>
      <c r="S100" s="42">
        <f t="shared" si="15"/>
        <v>124.8388746803069</v>
      </c>
      <c r="T100" s="42">
        <f t="shared" si="16"/>
        <v>293</v>
      </c>
      <c r="U100" s="42" t="str">
        <f t="shared" si="17"/>
        <v>Wee</v>
      </c>
      <c r="V100" s="42" t="str">
        <f t="shared" si="18"/>
        <v>kday</v>
      </c>
      <c r="W100" s="42">
        <f t="shared" si="19"/>
        <v>7</v>
      </c>
      <c r="X100" s="42">
        <f t="shared" si="20"/>
        <v>0.2424</v>
      </c>
      <c r="Y100" s="3">
        <f t="shared" si="21"/>
        <v>82</v>
      </c>
      <c r="Z100" s="3">
        <f t="shared" si="25"/>
        <v>7883</v>
      </c>
      <c r="AA100" s="3">
        <f t="shared" si="22"/>
        <v>1232.2489122187819</v>
      </c>
      <c r="AB100" s="3">
        <f t="shared" si="23"/>
        <v>0.99911573903365103</v>
      </c>
      <c r="AC100" s="3" t="str">
        <f t="shared" si="24"/>
        <v>Normal</v>
      </c>
    </row>
    <row r="101" spans="1:29" x14ac:dyDescent="0.2">
      <c r="A101" s="4">
        <v>719</v>
      </c>
      <c r="B101" s="5">
        <v>40576</v>
      </c>
      <c r="C101" s="4">
        <v>1</v>
      </c>
      <c r="D101" s="4">
        <v>0</v>
      </c>
      <c r="E101" s="4">
        <v>2</v>
      </c>
      <c r="F101" s="4">
        <v>7</v>
      </c>
      <c r="G101" s="4" t="b">
        <v>0</v>
      </c>
      <c r="H101" s="4">
        <v>3</v>
      </c>
      <c r="I101" s="4">
        <v>3</v>
      </c>
      <c r="J101" s="4">
        <v>0.22</v>
      </c>
      <c r="K101" s="4">
        <v>0.21210000000000001</v>
      </c>
      <c r="L101" s="4">
        <v>0.93</v>
      </c>
      <c r="M101" s="4">
        <v>0.22389999999999999</v>
      </c>
      <c r="N101" s="4">
        <v>1</v>
      </c>
      <c r="O101" s="4">
        <v>48</v>
      </c>
      <c r="P101" s="4">
        <v>49</v>
      </c>
      <c r="Q101" s="6" t="str">
        <f t="shared" si="13"/>
        <v>Weekday</v>
      </c>
      <c r="R101" s="42">
        <f t="shared" si="14"/>
        <v>43753</v>
      </c>
      <c r="S101" s="42">
        <f t="shared" si="15"/>
        <v>124.8388746803069</v>
      </c>
      <c r="T101" s="42">
        <f t="shared" si="16"/>
        <v>292</v>
      </c>
      <c r="U101" s="42" t="str">
        <f t="shared" si="17"/>
        <v>Wee</v>
      </c>
      <c r="V101" s="42" t="str">
        <f t="shared" si="18"/>
        <v>kday</v>
      </c>
      <c r="W101" s="42">
        <f t="shared" si="19"/>
        <v>7</v>
      </c>
      <c r="X101" s="42">
        <f t="shared" si="20"/>
        <v>0.21210000000000001</v>
      </c>
      <c r="Y101" s="3">
        <f t="shared" si="21"/>
        <v>82</v>
      </c>
      <c r="Z101" s="3">
        <f t="shared" si="25"/>
        <v>7883</v>
      </c>
      <c r="AA101" s="3">
        <f t="shared" si="22"/>
        <v>1232.2489122187819</v>
      </c>
      <c r="AB101" s="3">
        <f t="shared" si="23"/>
        <v>0.99911573903365103</v>
      </c>
      <c r="AC101" s="3" t="str">
        <f t="shared" si="24"/>
        <v>Normal</v>
      </c>
    </row>
    <row r="102" spans="1:29" x14ac:dyDescent="0.2">
      <c r="A102" s="4">
        <v>720</v>
      </c>
      <c r="B102" s="5">
        <v>40576</v>
      </c>
      <c r="C102" s="4">
        <v>1</v>
      </c>
      <c r="D102" s="4">
        <v>0</v>
      </c>
      <c r="E102" s="4">
        <v>2</v>
      </c>
      <c r="F102" s="4">
        <v>8</v>
      </c>
      <c r="G102" s="4" t="b">
        <v>0</v>
      </c>
      <c r="H102" s="4">
        <v>3</v>
      </c>
      <c r="I102" s="4">
        <v>3</v>
      </c>
      <c r="J102" s="4">
        <v>0.22</v>
      </c>
      <c r="K102" s="4">
        <v>0.21210000000000001</v>
      </c>
      <c r="L102" s="4">
        <v>0.93</v>
      </c>
      <c r="M102" s="4">
        <v>0.22389999999999999</v>
      </c>
      <c r="N102" s="4">
        <v>1</v>
      </c>
      <c r="O102" s="4">
        <v>154</v>
      </c>
      <c r="P102" s="4">
        <v>155</v>
      </c>
      <c r="Q102" s="6" t="str">
        <f t="shared" si="13"/>
        <v>Weekday</v>
      </c>
      <c r="R102" s="42">
        <f t="shared" si="14"/>
        <v>43704</v>
      </c>
      <c r="S102" s="42">
        <f t="shared" si="15"/>
        <v>124.8388746803069</v>
      </c>
      <c r="T102" s="42">
        <f t="shared" si="16"/>
        <v>291</v>
      </c>
      <c r="U102" s="42" t="str">
        <f t="shared" si="17"/>
        <v>Wee</v>
      </c>
      <c r="V102" s="42" t="str">
        <f t="shared" si="18"/>
        <v>kday</v>
      </c>
      <c r="W102" s="42">
        <f t="shared" si="19"/>
        <v>7</v>
      </c>
      <c r="X102" s="42">
        <f t="shared" si="20"/>
        <v>0.21210000000000001</v>
      </c>
      <c r="Y102" s="3">
        <f t="shared" si="21"/>
        <v>82</v>
      </c>
      <c r="Z102" s="3">
        <f t="shared" si="25"/>
        <v>7883</v>
      </c>
      <c r="AA102" s="3">
        <f t="shared" si="22"/>
        <v>1232.2489122187819</v>
      </c>
      <c r="AB102" s="3">
        <f t="shared" si="23"/>
        <v>0.99911573903365103</v>
      </c>
      <c r="AC102" s="3" t="str">
        <f t="shared" si="24"/>
        <v>Normal</v>
      </c>
    </row>
    <row r="103" spans="1:29" x14ac:dyDescent="0.2">
      <c r="A103" s="4">
        <v>721</v>
      </c>
      <c r="B103" s="5">
        <v>40576</v>
      </c>
      <c r="C103" s="4">
        <v>1</v>
      </c>
      <c r="D103" s="4">
        <v>0</v>
      </c>
      <c r="E103" s="4">
        <v>2</v>
      </c>
      <c r="F103" s="4">
        <v>9</v>
      </c>
      <c r="G103" s="4" t="b">
        <v>0</v>
      </c>
      <c r="H103" s="4">
        <v>3</v>
      </c>
      <c r="I103" s="4">
        <v>2</v>
      </c>
      <c r="J103" s="4">
        <v>0.24</v>
      </c>
      <c r="K103" s="4">
        <v>0.2576</v>
      </c>
      <c r="L103" s="4">
        <v>0.93</v>
      </c>
      <c r="M103" s="4">
        <v>8.9599999999999999E-2</v>
      </c>
      <c r="N103" s="4">
        <v>4</v>
      </c>
      <c r="O103" s="4">
        <v>119</v>
      </c>
      <c r="P103" s="4">
        <v>123</v>
      </c>
      <c r="Q103" s="6" t="str">
        <f t="shared" si="13"/>
        <v>Weekday</v>
      </c>
      <c r="R103" s="42">
        <f t="shared" si="14"/>
        <v>43549</v>
      </c>
      <c r="S103" s="42">
        <f t="shared" si="15"/>
        <v>124.8388746803069</v>
      </c>
      <c r="T103" s="42">
        <f t="shared" si="16"/>
        <v>290</v>
      </c>
      <c r="U103" s="42" t="str">
        <f t="shared" si="17"/>
        <v>Wee</v>
      </c>
      <c r="V103" s="42" t="str">
        <f t="shared" si="18"/>
        <v>kday</v>
      </c>
      <c r="W103" s="42">
        <f t="shared" si="19"/>
        <v>7</v>
      </c>
      <c r="X103" s="42">
        <f t="shared" si="20"/>
        <v>0.2576</v>
      </c>
      <c r="Y103" s="3">
        <f t="shared" si="21"/>
        <v>82</v>
      </c>
      <c r="Z103" s="3">
        <f t="shared" si="25"/>
        <v>7883</v>
      </c>
      <c r="AA103" s="3">
        <f t="shared" si="22"/>
        <v>1232.2489122187819</v>
      </c>
      <c r="AB103" s="3">
        <f t="shared" si="23"/>
        <v>0.99911573903365103</v>
      </c>
      <c r="AC103" s="3" t="str">
        <f t="shared" si="24"/>
        <v>Normal</v>
      </c>
    </row>
    <row r="104" spans="1:29" x14ac:dyDescent="0.2">
      <c r="A104" s="4">
        <v>722</v>
      </c>
      <c r="B104" s="5">
        <v>40576</v>
      </c>
      <c r="C104" s="4">
        <v>1</v>
      </c>
      <c r="D104" s="4">
        <v>0</v>
      </c>
      <c r="E104" s="4">
        <v>2</v>
      </c>
      <c r="F104" s="4">
        <v>10</v>
      </c>
      <c r="G104" s="4" t="b">
        <v>0</v>
      </c>
      <c r="H104" s="4">
        <v>3</v>
      </c>
      <c r="I104" s="4">
        <v>2</v>
      </c>
      <c r="J104" s="4">
        <v>0.22</v>
      </c>
      <c r="K104" s="4">
        <v>0.2727</v>
      </c>
      <c r="L104" s="4">
        <v>1</v>
      </c>
      <c r="M104" s="4">
        <v>0</v>
      </c>
      <c r="N104" s="4">
        <v>2</v>
      </c>
      <c r="O104" s="4">
        <v>59</v>
      </c>
      <c r="P104" s="4">
        <v>61</v>
      </c>
      <c r="Q104" s="6" t="str">
        <f t="shared" si="13"/>
        <v>Weekday</v>
      </c>
      <c r="R104" s="42">
        <f t="shared" si="14"/>
        <v>43426</v>
      </c>
      <c r="S104" s="42">
        <f t="shared" si="15"/>
        <v>124.8388746803069</v>
      </c>
      <c r="T104" s="42">
        <f t="shared" si="16"/>
        <v>289</v>
      </c>
      <c r="U104" s="42" t="str">
        <f t="shared" si="17"/>
        <v>Wee</v>
      </c>
      <c r="V104" s="42" t="str">
        <f t="shared" si="18"/>
        <v>kday</v>
      </c>
      <c r="W104" s="42">
        <f t="shared" si="19"/>
        <v>7</v>
      </c>
      <c r="X104" s="42">
        <f t="shared" si="20"/>
        <v>0.2727</v>
      </c>
      <c r="Y104" s="3">
        <f t="shared" si="21"/>
        <v>82</v>
      </c>
      <c r="Z104" s="3">
        <f t="shared" si="25"/>
        <v>7883</v>
      </c>
      <c r="AA104" s="3">
        <f t="shared" si="22"/>
        <v>1232.2489122187819</v>
      </c>
      <c r="AB104" s="3">
        <f t="shared" si="23"/>
        <v>0.99911573903365103</v>
      </c>
      <c r="AC104" s="3" t="str">
        <f t="shared" si="24"/>
        <v>Normal</v>
      </c>
    </row>
    <row r="105" spans="1:29" x14ac:dyDescent="0.2">
      <c r="A105" s="4">
        <v>723</v>
      </c>
      <c r="B105" s="5">
        <v>40576</v>
      </c>
      <c r="C105" s="4">
        <v>1</v>
      </c>
      <c r="D105" s="4">
        <v>0</v>
      </c>
      <c r="E105" s="4">
        <v>2</v>
      </c>
      <c r="F105" s="4">
        <v>11</v>
      </c>
      <c r="G105" s="4" t="b">
        <v>0</v>
      </c>
      <c r="H105" s="4">
        <v>3</v>
      </c>
      <c r="I105" s="4">
        <v>2</v>
      </c>
      <c r="J105" s="4">
        <v>0.24</v>
      </c>
      <c r="K105" s="4">
        <v>0.2273</v>
      </c>
      <c r="L105" s="4">
        <v>0.93</v>
      </c>
      <c r="M105" s="4">
        <v>0.19400000000000001</v>
      </c>
      <c r="N105" s="4">
        <v>5</v>
      </c>
      <c r="O105" s="4">
        <v>47</v>
      </c>
      <c r="P105" s="4">
        <v>52</v>
      </c>
      <c r="Q105" s="6" t="str">
        <f t="shared" si="13"/>
        <v>Weekday</v>
      </c>
      <c r="R105" s="42">
        <f t="shared" si="14"/>
        <v>43365</v>
      </c>
      <c r="S105" s="42">
        <f t="shared" si="15"/>
        <v>124.8388746803069</v>
      </c>
      <c r="T105" s="42">
        <f t="shared" si="16"/>
        <v>288</v>
      </c>
      <c r="U105" s="42" t="str">
        <f t="shared" si="17"/>
        <v>Wee</v>
      </c>
      <c r="V105" s="42" t="str">
        <f t="shared" si="18"/>
        <v>kday</v>
      </c>
      <c r="W105" s="42">
        <f t="shared" si="19"/>
        <v>7</v>
      </c>
      <c r="X105" s="42">
        <f t="shared" si="20"/>
        <v>0.2273</v>
      </c>
      <c r="Y105" s="3">
        <f t="shared" si="21"/>
        <v>82</v>
      </c>
      <c r="Z105" s="3">
        <f t="shared" si="25"/>
        <v>7883</v>
      </c>
      <c r="AA105" s="3">
        <f t="shared" si="22"/>
        <v>1232.2489122187819</v>
      </c>
      <c r="AB105" s="3">
        <f t="shared" si="23"/>
        <v>0.99911573903365103</v>
      </c>
      <c r="AC105" s="3" t="str">
        <f t="shared" si="24"/>
        <v>Normal</v>
      </c>
    </row>
    <row r="106" spans="1:29" x14ac:dyDescent="0.2">
      <c r="A106" s="4">
        <v>724</v>
      </c>
      <c r="B106" s="5">
        <v>40576</v>
      </c>
      <c r="C106" s="4">
        <v>1</v>
      </c>
      <c r="D106" s="4">
        <v>0</v>
      </c>
      <c r="E106" s="4">
        <v>2</v>
      </c>
      <c r="F106" s="4">
        <v>12</v>
      </c>
      <c r="G106" s="4" t="b">
        <v>0</v>
      </c>
      <c r="H106" s="4">
        <v>3</v>
      </c>
      <c r="I106" s="4">
        <v>2</v>
      </c>
      <c r="J106" s="4">
        <v>0.24</v>
      </c>
      <c r="K106" s="4">
        <v>0.2273</v>
      </c>
      <c r="L106" s="4">
        <v>0.93</v>
      </c>
      <c r="M106" s="4">
        <v>0.22389999999999999</v>
      </c>
      <c r="N106" s="4">
        <v>3</v>
      </c>
      <c r="O106" s="4">
        <v>61</v>
      </c>
      <c r="P106" s="4">
        <v>64</v>
      </c>
      <c r="Q106" s="6" t="str">
        <f t="shared" si="13"/>
        <v>Weekday</v>
      </c>
      <c r="R106" s="42">
        <f t="shared" si="14"/>
        <v>43313</v>
      </c>
      <c r="S106" s="42">
        <f t="shared" si="15"/>
        <v>124.8388746803069</v>
      </c>
      <c r="T106" s="42">
        <f t="shared" si="16"/>
        <v>287</v>
      </c>
      <c r="U106" s="42" t="str">
        <f t="shared" si="17"/>
        <v>Wee</v>
      </c>
      <c r="V106" s="42" t="str">
        <f t="shared" si="18"/>
        <v>kday</v>
      </c>
      <c r="W106" s="42">
        <f t="shared" si="19"/>
        <v>7</v>
      </c>
      <c r="X106" s="42">
        <f t="shared" si="20"/>
        <v>0.2273</v>
      </c>
      <c r="Y106" s="3">
        <f t="shared" si="21"/>
        <v>82</v>
      </c>
      <c r="Z106" s="3">
        <f t="shared" si="25"/>
        <v>7883</v>
      </c>
      <c r="AA106" s="3">
        <f t="shared" si="22"/>
        <v>1232.2489122187819</v>
      </c>
      <c r="AB106" s="3">
        <f t="shared" si="23"/>
        <v>0.99911573903365103</v>
      </c>
      <c r="AC106" s="3" t="str">
        <f t="shared" si="24"/>
        <v>Normal</v>
      </c>
    </row>
    <row r="107" spans="1:29" x14ac:dyDescent="0.2">
      <c r="A107" s="4">
        <v>725</v>
      </c>
      <c r="B107" s="5">
        <v>40576</v>
      </c>
      <c r="C107" s="4">
        <v>1</v>
      </c>
      <c r="D107" s="4">
        <v>0</v>
      </c>
      <c r="E107" s="4">
        <v>2</v>
      </c>
      <c r="F107" s="4">
        <v>13</v>
      </c>
      <c r="G107" s="4" t="b">
        <v>0</v>
      </c>
      <c r="H107" s="4">
        <v>3</v>
      </c>
      <c r="I107" s="4">
        <v>1</v>
      </c>
      <c r="J107" s="4">
        <v>0.34</v>
      </c>
      <c r="K107" s="4">
        <v>0.33329999999999999</v>
      </c>
      <c r="L107" s="4">
        <v>0.93</v>
      </c>
      <c r="M107" s="4">
        <v>0.16420000000000001</v>
      </c>
      <c r="N107" s="4">
        <v>1</v>
      </c>
      <c r="O107" s="4">
        <v>74</v>
      </c>
      <c r="P107" s="4">
        <v>75</v>
      </c>
      <c r="Q107" s="6" t="str">
        <f t="shared" si="13"/>
        <v>Weekday</v>
      </c>
      <c r="R107" s="42">
        <f t="shared" si="14"/>
        <v>43249</v>
      </c>
      <c r="S107" s="42">
        <f t="shared" si="15"/>
        <v>124.8388746803069</v>
      </c>
      <c r="T107" s="42">
        <f t="shared" si="16"/>
        <v>286</v>
      </c>
      <c r="U107" s="42" t="str">
        <f t="shared" si="17"/>
        <v>Wee</v>
      </c>
      <c r="V107" s="42" t="str">
        <f t="shared" si="18"/>
        <v>kday</v>
      </c>
      <c r="W107" s="42">
        <f t="shared" si="19"/>
        <v>7</v>
      </c>
      <c r="X107" s="42">
        <f t="shared" si="20"/>
        <v>0.33329999999999999</v>
      </c>
      <c r="Y107" s="3">
        <f t="shared" si="21"/>
        <v>82</v>
      </c>
      <c r="Z107" s="3">
        <f t="shared" si="25"/>
        <v>7883</v>
      </c>
      <c r="AA107" s="3">
        <f t="shared" si="22"/>
        <v>1232.2489122187819</v>
      </c>
      <c r="AB107" s="3">
        <f t="shared" si="23"/>
        <v>0.99911573903365103</v>
      </c>
      <c r="AC107" s="3" t="str">
        <f t="shared" si="24"/>
        <v>Normal</v>
      </c>
    </row>
    <row r="108" spans="1:29" x14ac:dyDescent="0.2">
      <c r="A108" s="4">
        <v>726</v>
      </c>
      <c r="B108" s="5">
        <v>40576</v>
      </c>
      <c r="C108" s="4">
        <v>1</v>
      </c>
      <c r="D108" s="4">
        <v>0</v>
      </c>
      <c r="E108" s="4">
        <v>2</v>
      </c>
      <c r="F108" s="4">
        <v>14</v>
      </c>
      <c r="G108" s="4" t="b">
        <v>0</v>
      </c>
      <c r="H108" s="4">
        <v>3</v>
      </c>
      <c r="I108" s="4">
        <v>1</v>
      </c>
      <c r="J108" s="4">
        <v>0.38</v>
      </c>
      <c r="K108" s="4">
        <v>0.39389999999999997</v>
      </c>
      <c r="L108" s="4">
        <v>0.82</v>
      </c>
      <c r="M108" s="4">
        <v>0.3881</v>
      </c>
      <c r="N108" s="4">
        <v>2</v>
      </c>
      <c r="O108" s="4">
        <v>61</v>
      </c>
      <c r="P108" s="4">
        <v>63</v>
      </c>
      <c r="Q108" s="6" t="str">
        <f t="shared" si="13"/>
        <v>Weekday</v>
      </c>
      <c r="R108" s="42">
        <f t="shared" si="14"/>
        <v>43174</v>
      </c>
      <c r="S108" s="42">
        <f t="shared" si="15"/>
        <v>124.8388746803069</v>
      </c>
      <c r="T108" s="42">
        <f t="shared" si="16"/>
        <v>285</v>
      </c>
      <c r="U108" s="42" t="str">
        <f t="shared" si="17"/>
        <v>Wee</v>
      </c>
      <c r="V108" s="42" t="str">
        <f t="shared" si="18"/>
        <v>kday</v>
      </c>
      <c r="W108" s="42">
        <f t="shared" si="19"/>
        <v>7</v>
      </c>
      <c r="X108" s="42">
        <f t="shared" si="20"/>
        <v>0.39389999999999997</v>
      </c>
      <c r="Y108" s="3">
        <f t="shared" si="21"/>
        <v>82</v>
      </c>
      <c r="Z108" s="3">
        <f t="shared" si="25"/>
        <v>7883</v>
      </c>
      <c r="AA108" s="3">
        <f t="shared" si="22"/>
        <v>1232.2489122187819</v>
      </c>
      <c r="AB108" s="3">
        <f t="shared" si="23"/>
        <v>0.99911573903365103</v>
      </c>
      <c r="AC108" s="3" t="str">
        <f t="shared" si="24"/>
        <v>Normal</v>
      </c>
    </row>
    <row r="109" spans="1:29" x14ac:dyDescent="0.2">
      <c r="A109" s="4">
        <v>727</v>
      </c>
      <c r="B109" s="5">
        <v>40576</v>
      </c>
      <c r="C109" s="4">
        <v>1</v>
      </c>
      <c r="D109" s="4">
        <v>0</v>
      </c>
      <c r="E109" s="4">
        <v>2</v>
      </c>
      <c r="F109" s="4">
        <v>15</v>
      </c>
      <c r="G109" s="4" t="b">
        <v>0</v>
      </c>
      <c r="H109" s="4">
        <v>3</v>
      </c>
      <c r="I109" s="4">
        <v>1</v>
      </c>
      <c r="J109" s="4">
        <v>0.38</v>
      </c>
      <c r="K109" s="4">
        <v>0.39389999999999997</v>
      </c>
      <c r="L109" s="4">
        <v>0.76</v>
      </c>
      <c r="M109" s="4">
        <v>0.32840000000000003</v>
      </c>
      <c r="N109" s="4">
        <v>10</v>
      </c>
      <c r="O109" s="4">
        <v>66</v>
      </c>
      <c r="P109" s="4">
        <v>76</v>
      </c>
      <c r="Q109" s="6" t="str">
        <f t="shared" si="13"/>
        <v>Weekday</v>
      </c>
      <c r="R109" s="42">
        <f t="shared" si="14"/>
        <v>43111</v>
      </c>
      <c r="S109" s="42">
        <f t="shared" si="15"/>
        <v>124.8388746803069</v>
      </c>
      <c r="T109" s="42">
        <f t="shared" si="16"/>
        <v>284</v>
      </c>
      <c r="U109" s="42" t="str">
        <f t="shared" si="17"/>
        <v>Wee</v>
      </c>
      <c r="V109" s="42" t="str">
        <f t="shared" si="18"/>
        <v>kday</v>
      </c>
      <c r="W109" s="42">
        <f t="shared" si="19"/>
        <v>7</v>
      </c>
      <c r="X109" s="42">
        <f t="shared" si="20"/>
        <v>0.39389999999999997</v>
      </c>
      <c r="Y109" s="3">
        <f t="shared" si="21"/>
        <v>82</v>
      </c>
      <c r="Z109" s="3">
        <f t="shared" si="25"/>
        <v>7883</v>
      </c>
      <c r="AA109" s="3">
        <f t="shared" si="22"/>
        <v>1232.2489122187819</v>
      </c>
      <c r="AB109" s="3">
        <f t="shared" si="23"/>
        <v>0.99911573903365103</v>
      </c>
      <c r="AC109" s="3" t="str">
        <f t="shared" si="24"/>
        <v>Normal</v>
      </c>
    </row>
    <row r="110" spans="1:29" x14ac:dyDescent="0.2">
      <c r="A110" s="4">
        <v>728</v>
      </c>
      <c r="B110" s="5">
        <v>40576</v>
      </c>
      <c r="C110" s="4">
        <v>1</v>
      </c>
      <c r="D110" s="4">
        <v>0</v>
      </c>
      <c r="E110" s="4">
        <v>2</v>
      </c>
      <c r="F110" s="4">
        <v>16</v>
      </c>
      <c r="G110" s="4" t="b">
        <v>0</v>
      </c>
      <c r="H110" s="4">
        <v>3</v>
      </c>
      <c r="I110" s="4">
        <v>1</v>
      </c>
      <c r="J110" s="4">
        <v>0.36</v>
      </c>
      <c r="K110" s="4">
        <v>0.33329999999999999</v>
      </c>
      <c r="L110" s="4">
        <v>0.71</v>
      </c>
      <c r="M110" s="4">
        <v>0.29849999999999999</v>
      </c>
      <c r="N110" s="4">
        <v>8</v>
      </c>
      <c r="O110" s="4">
        <v>95</v>
      </c>
      <c r="P110" s="4">
        <v>103</v>
      </c>
      <c r="Q110" s="6" t="str">
        <f t="shared" si="13"/>
        <v>Weekday</v>
      </c>
      <c r="R110" s="42">
        <f t="shared" si="14"/>
        <v>43035</v>
      </c>
      <c r="S110" s="42">
        <f t="shared" si="15"/>
        <v>124.8388746803069</v>
      </c>
      <c r="T110" s="42">
        <f t="shared" si="16"/>
        <v>283</v>
      </c>
      <c r="U110" s="42" t="str">
        <f t="shared" si="17"/>
        <v>Wee</v>
      </c>
      <c r="V110" s="42" t="str">
        <f t="shared" si="18"/>
        <v>kday</v>
      </c>
      <c r="W110" s="42">
        <f t="shared" si="19"/>
        <v>7</v>
      </c>
      <c r="X110" s="42">
        <f t="shared" si="20"/>
        <v>0.33329999999999999</v>
      </c>
      <c r="Y110" s="3">
        <f t="shared" si="21"/>
        <v>82</v>
      </c>
      <c r="Z110" s="3">
        <f t="shared" si="25"/>
        <v>7883</v>
      </c>
      <c r="AA110" s="3">
        <f t="shared" si="22"/>
        <v>1232.2489122187819</v>
      </c>
      <c r="AB110" s="3">
        <f t="shared" si="23"/>
        <v>0.99911573903365103</v>
      </c>
      <c r="AC110" s="3" t="str">
        <f t="shared" si="24"/>
        <v>Normal</v>
      </c>
    </row>
    <row r="111" spans="1:29" x14ac:dyDescent="0.2">
      <c r="A111" s="4">
        <v>729</v>
      </c>
      <c r="B111" s="5">
        <v>40576</v>
      </c>
      <c r="C111" s="4">
        <v>1</v>
      </c>
      <c r="D111" s="4">
        <v>0</v>
      </c>
      <c r="E111" s="4">
        <v>2</v>
      </c>
      <c r="F111" s="4">
        <v>17</v>
      </c>
      <c r="G111" s="4" t="b">
        <v>0</v>
      </c>
      <c r="H111" s="4">
        <v>3</v>
      </c>
      <c r="I111" s="4">
        <v>1</v>
      </c>
      <c r="J111" s="4">
        <v>0.36</v>
      </c>
      <c r="K111" s="4">
        <v>0.31819999999999998</v>
      </c>
      <c r="L111" s="4">
        <v>0.53</v>
      </c>
      <c r="M111" s="4">
        <v>0.52239999999999998</v>
      </c>
      <c r="N111" s="4">
        <v>7</v>
      </c>
      <c r="O111" s="4">
        <v>183</v>
      </c>
      <c r="P111" s="4">
        <v>190</v>
      </c>
      <c r="Q111" s="6" t="str">
        <f t="shared" si="13"/>
        <v>Weekday</v>
      </c>
      <c r="R111" s="42">
        <f t="shared" si="14"/>
        <v>42932</v>
      </c>
      <c r="S111" s="42">
        <f t="shared" si="15"/>
        <v>124.8388746803069</v>
      </c>
      <c r="T111" s="42">
        <f t="shared" si="16"/>
        <v>282</v>
      </c>
      <c r="U111" s="42" t="str">
        <f t="shared" si="17"/>
        <v>Wee</v>
      </c>
      <c r="V111" s="42" t="str">
        <f t="shared" si="18"/>
        <v>kday</v>
      </c>
      <c r="W111" s="42">
        <f t="shared" si="19"/>
        <v>7</v>
      </c>
      <c r="X111" s="42">
        <f t="shared" si="20"/>
        <v>0.31819999999999998</v>
      </c>
      <c r="Y111" s="3">
        <f t="shared" si="21"/>
        <v>82</v>
      </c>
      <c r="Z111" s="3">
        <f t="shared" si="25"/>
        <v>7883</v>
      </c>
      <c r="AA111" s="3">
        <f t="shared" si="22"/>
        <v>1232.2489122187819</v>
      </c>
      <c r="AB111" s="3">
        <f t="shared" si="23"/>
        <v>0.99911573903365103</v>
      </c>
      <c r="AC111" s="3" t="str">
        <f t="shared" si="24"/>
        <v>Normal</v>
      </c>
    </row>
    <row r="112" spans="1:29" x14ac:dyDescent="0.2">
      <c r="A112" s="4">
        <v>730</v>
      </c>
      <c r="B112" s="5">
        <v>40576</v>
      </c>
      <c r="C112" s="4">
        <v>1</v>
      </c>
      <c r="D112" s="4">
        <v>0</v>
      </c>
      <c r="E112" s="4">
        <v>2</v>
      </c>
      <c r="F112" s="4">
        <v>18</v>
      </c>
      <c r="G112" s="4" t="b">
        <v>0</v>
      </c>
      <c r="H112" s="4">
        <v>3</v>
      </c>
      <c r="I112" s="4">
        <v>1</v>
      </c>
      <c r="J112" s="4">
        <v>0.34</v>
      </c>
      <c r="K112" s="4">
        <v>0.28789999999999999</v>
      </c>
      <c r="L112" s="4">
        <v>0.42</v>
      </c>
      <c r="M112" s="4">
        <v>0.55220000000000002</v>
      </c>
      <c r="N112" s="4">
        <v>7</v>
      </c>
      <c r="O112" s="4">
        <v>175</v>
      </c>
      <c r="P112" s="4">
        <v>182</v>
      </c>
      <c r="Q112" s="6" t="str">
        <f t="shared" si="13"/>
        <v>Weekday</v>
      </c>
      <c r="R112" s="42">
        <f t="shared" si="14"/>
        <v>42742</v>
      </c>
      <c r="S112" s="42">
        <f t="shared" si="15"/>
        <v>124.8388746803069</v>
      </c>
      <c r="T112" s="42">
        <f t="shared" si="16"/>
        <v>281</v>
      </c>
      <c r="U112" s="42" t="str">
        <f t="shared" si="17"/>
        <v>Wee</v>
      </c>
      <c r="V112" s="42" t="str">
        <f t="shared" si="18"/>
        <v>kday</v>
      </c>
      <c r="W112" s="42">
        <f t="shared" si="19"/>
        <v>7</v>
      </c>
      <c r="X112" s="42">
        <f t="shared" si="20"/>
        <v>0.28789999999999999</v>
      </c>
      <c r="Y112" s="3">
        <f t="shared" si="21"/>
        <v>82</v>
      </c>
      <c r="Z112" s="3">
        <f t="shared" si="25"/>
        <v>7883</v>
      </c>
      <c r="AA112" s="3">
        <f t="shared" si="22"/>
        <v>1232.2489122187819</v>
      </c>
      <c r="AB112" s="3">
        <f t="shared" si="23"/>
        <v>0.99911573903365103</v>
      </c>
      <c r="AC112" s="3" t="str">
        <f t="shared" si="24"/>
        <v>Normal</v>
      </c>
    </row>
    <row r="113" spans="1:29" x14ac:dyDescent="0.2">
      <c r="A113" s="4">
        <v>731</v>
      </c>
      <c r="B113" s="5">
        <v>40576</v>
      </c>
      <c r="C113" s="4">
        <v>1</v>
      </c>
      <c r="D113" s="4">
        <v>0</v>
      </c>
      <c r="E113" s="4">
        <v>2</v>
      </c>
      <c r="F113" s="4">
        <v>19</v>
      </c>
      <c r="G113" s="4" t="b">
        <v>0</v>
      </c>
      <c r="H113" s="4">
        <v>3</v>
      </c>
      <c r="I113" s="4">
        <v>1</v>
      </c>
      <c r="J113" s="4">
        <v>0.28000000000000003</v>
      </c>
      <c r="K113" s="4">
        <v>0.2424</v>
      </c>
      <c r="L113" s="4">
        <v>0.45</v>
      </c>
      <c r="M113" s="4">
        <v>0.49249999999999999</v>
      </c>
      <c r="N113" s="4">
        <v>3</v>
      </c>
      <c r="O113" s="4">
        <v>88</v>
      </c>
      <c r="P113" s="4">
        <v>91</v>
      </c>
      <c r="Q113" s="6" t="str">
        <f t="shared" si="13"/>
        <v>Weekday</v>
      </c>
      <c r="R113" s="42">
        <f t="shared" si="14"/>
        <v>42560</v>
      </c>
      <c r="S113" s="42">
        <f t="shared" si="15"/>
        <v>124.8388746803069</v>
      </c>
      <c r="T113" s="42">
        <f t="shared" si="16"/>
        <v>280</v>
      </c>
      <c r="U113" s="42" t="str">
        <f t="shared" si="17"/>
        <v>Wee</v>
      </c>
      <c r="V113" s="42" t="str">
        <f t="shared" si="18"/>
        <v>kday</v>
      </c>
      <c r="W113" s="42">
        <f t="shared" si="19"/>
        <v>7</v>
      </c>
      <c r="X113" s="42">
        <f t="shared" si="20"/>
        <v>0.2424</v>
      </c>
      <c r="Y113" s="3">
        <f t="shared" si="21"/>
        <v>82</v>
      </c>
      <c r="Z113" s="3">
        <f t="shared" si="25"/>
        <v>7883</v>
      </c>
      <c r="AA113" s="3">
        <f t="shared" si="22"/>
        <v>1232.2489122187819</v>
      </c>
      <c r="AB113" s="3">
        <f t="shared" si="23"/>
        <v>0.99911573903365103</v>
      </c>
      <c r="AC113" s="3" t="str">
        <f t="shared" si="24"/>
        <v>Normal</v>
      </c>
    </row>
    <row r="114" spans="1:29" x14ac:dyDescent="0.2">
      <c r="A114" s="4">
        <v>732</v>
      </c>
      <c r="B114" s="5">
        <v>40576</v>
      </c>
      <c r="C114" s="4">
        <v>1</v>
      </c>
      <c r="D114" s="4">
        <v>0</v>
      </c>
      <c r="E114" s="4">
        <v>2</v>
      </c>
      <c r="F114" s="4">
        <v>20</v>
      </c>
      <c r="G114" s="4" t="b">
        <v>0</v>
      </c>
      <c r="H114" s="4">
        <v>3</v>
      </c>
      <c r="I114" s="4">
        <v>1</v>
      </c>
      <c r="J114" s="4">
        <v>0.24</v>
      </c>
      <c r="K114" s="4">
        <v>0.19700000000000001</v>
      </c>
      <c r="L114" s="4">
        <v>0.48</v>
      </c>
      <c r="M114" s="4">
        <v>0.55220000000000002</v>
      </c>
      <c r="N114" s="4">
        <v>4</v>
      </c>
      <c r="O114" s="4">
        <v>71</v>
      </c>
      <c r="P114" s="4">
        <v>75</v>
      </c>
      <c r="Q114" s="6" t="str">
        <f t="shared" si="13"/>
        <v>Weekday</v>
      </c>
      <c r="R114" s="42">
        <f t="shared" si="14"/>
        <v>42469</v>
      </c>
      <c r="S114" s="42">
        <f t="shared" si="15"/>
        <v>124.8388746803069</v>
      </c>
      <c r="T114" s="42">
        <f t="shared" si="16"/>
        <v>279</v>
      </c>
      <c r="U114" s="42" t="str">
        <f t="shared" si="17"/>
        <v>Wee</v>
      </c>
      <c r="V114" s="42" t="str">
        <f t="shared" si="18"/>
        <v>kday</v>
      </c>
      <c r="W114" s="42">
        <f t="shared" si="19"/>
        <v>7</v>
      </c>
      <c r="X114" s="42">
        <f t="shared" si="20"/>
        <v>0.19700000000000001</v>
      </c>
      <c r="Y114" s="3">
        <f t="shared" si="21"/>
        <v>82</v>
      </c>
      <c r="Z114" s="3">
        <f t="shared" si="25"/>
        <v>7883</v>
      </c>
      <c r="AA114" s="3">
        <f t="shared" si="22"/>
        <v>1232.2489122187819</v>
      </c>
      <c r="AB114" s="3">
        <f t="shared" si="23"/>
        <v>0.99911573903365103</v>
      </c>
      <c r="AC114" s="3" t="str">
        <f t="shared" si="24"/>
        <v>Normal</v>
      </c>
    </row>
    <row r="115" spans="1:29" x14ac:dyDescent="0.2">
      <c r="A115" s="4">
        <v>733</v>
      </c>
      <c r="B115" s="5">
        <v>40576</v>
      </c>
      <c r="C115" s="4">
        <v>1</v>
      </c>
      <c r="D115" s="4">
        <v>0</v>
      </c>
      <c r="E115" s="4">
        <v>2</v>
      </c>
      <c r="F115" s="4">
        <v>21</v>
      </c>
      <c r="G115" s="4" t="b">
        <v>0</v>
      </c>
      <c r="H115" s="4">
        <v>3</v>
      </c>
      <c r="I115" s="4">
        <v>1</v>
      </c>
      <c r="J115" s="4">
        <v>0.22</v>
      </c>
      <c r="K115" s="4">
        <v>0.19700000000000001</v>
      </c>
      <c r="L115" s="4">
        <v>0.47</v>
      </c>
      <c r="M115" s="4">
        <v>0.32840000000000003</v>
      </c>
      <c r="N115" s="4">
        <v>1</v>
      </c>
      <c r="O115" s="4">
        <v>62</v>
      </c>
      <c r="P115" s="4">
        <v>63</v>
      </c>
      <c r="Q115" s="6" t="str">
        <f t="shared" si="13"/>
        <v>Weekday</v>
      </c>
      <c r="R115" s="42">
        <f t="shared" si="14"/>
        <v>42394</v>
      </c>
      <c r="S115" s="42">
        <f t="shared" si="15"/>
        <v>124.8388746803069</v>
      </c>
      <c r="T115" s="42">
        <f t="shared" si="16"/>
        <v>278</v>
      </c>
      <c r="U115" s="42" t="str">
        <f t="shared" si="17"/>
        <v>Wee</v>
      </c>
      <c r="V115" s="42" t="str">
        <f t="shared" si="18"/>
        <v>kday</v>
      </c>
      <c r="W115" s="42">
        <f t="shared" si="19"/>
        <v>7</v>
      </c>
      <c r="X115" s="42">
        <f t="shared" si="20"/>
        <v>0.19700000000000001</v>
      </c>
      <c r="Y115" s="3">
        <f t="shared" si="21"/>
        <v>82</v>
      </c>
      <c r="Z115" s="3">
        <f t="shared" si="25"/>
        <v>7883</v>
      </c>
      <c r="AA115" s="3">
        <f t="shared" si="22"/>
        <v>1232.2489122187819</v>
      </c>
      <c r="AB115" s="3">
        <f t="shared" si="23"/>
        <v>0.99911573903365103</v>
      </c>
      <c r="AC115" s="3" t="str">
        <f t="shared" si="24"/>
        <v>Normal</v>
      </c>
    </row>
    <row r="116" spans="1:29" x14ac:dyDescent="0.2">
      <c r="A116" s="4">
        <v>734</v>
      </c>
      <c r="B116" s="5">
        <v>40576</v>
      </c>
      <c r="C116" s="4">
        <v>1</v>
      </c>
      <c r="D116" s="4">
        <v>0</v>
      </c>
      <c r="E116" s="4">
        <v>2</v>
      </c>
      <c r="F116" s="4">
        <v>22</v>
      </c>
      <c r="G116" s="4" t="b">
        <v>0</v>
      </c>
      <c r="H116" s="4">
        <v>3</v>
      </c>
      <c r="I116" s="4">
        <v>1</v>
      </c>
      <c r="J116" s="4">
        <v>0.22</v>
      </c>
      <c r="K116" s="4">
        <v>0.21210000000000001</v>
      </c>
      <c r="L116" s="4">
        <v>0.44</v>
      </c>
      <c r="M116" s="4">
        <v>0.25369999999999998</v>
      </c>
      <c r="N116" s="4">
        <v>5</v>
      </c>
      <c r="O116" s="4">
        <v>35</v>
      </c>
      <c r="P116" s="4">
        <v>40</v>
      </c>
      <c r="Q116" s="6" t="str">
        <f t="shared" si="13"/>
        <v>Weekday</v>
      </c>
      <c r="R116" s="42">
        <f t="shared" si="14"/>
        <v>42331</v>
      </c>
      <c r="S116" s="42">
        <f t="shared" si="15"/>
        <v>124.8388746803069</v>
      </c>
      <c r="T116" s="42">
        <f t="shared" si="16"/>
        <v>277</v>
      </c>
      <c r="U116" s="42" t="str">
        <f t="shared" si="17"/>
        <v>Wee</v>
      </c>
      <c r="V116" s="42" t="str">
        <f t="shared" si="18"/>
        <v>kday</v>
      </c>
      <c r="W116" s="42">
        <f t="shared" si="19"/>
        <v>7</v>
      </c>
      <c r="X116" s="42">
        <f t="shared" si="20"/>
        <v>0.21210000000000001</v>
      </c>
      <c r="Y116" s="3">
        <f t="shared" si="21"/>
        <v>82</v>
      </c>
      <c r="Z116" s="3">
        <f t="shared" si="25"/>
        <v>7883</v>
      </c>
      <c r="AA116" s="3">
        <f t="shared" si="22"/>
        <v>1232.2489122187819</v>
      </c>
      <c r="AB116" s="3">
        <f t="shared" si="23"/>
        <v>0.99911573903365103</v>
      </c>
      <c r="AC116" s="3" t="str">
        <f t="shared" si="24"/>
        <v>Normal</v>
      </c>
    </row>
    <row r="117" spans="1:29" x14ac:dyDescent="0.2">
      <c r="A117" s="4">
        <v>735</v>
      </c>
      <c r="B117" s="5">
        <v>40576</v>
      </c>
      <c r="C117" s="4">
        <v>1</v>
      </c>
      <c r="D117" s="4">
        <v>0</v>
      </c>
      <c r="E117" s="4">
        <v>2</v>
      </c>
      <c r="F117" s="4">
        <v>23</v>
      </c>
      <c r="G117" s="4" t="b">
        <v>0</v>
      </c>
      <c r="H117" s="4">
        <v>3</v>
      </c>
      <c r="I117" s="4">
        <v>1</v>
      </c>
      <c r="J117" s="4">
        <v>0.2</v>
      </c>
      <c r="K117" s="4">
        <v>0.16669999999999999</v>
      </c>
      <c r="L117" s="4">
        <v>0.44</v>
      </c>
      <c r="M117" s="4">
        <v>0.44779999999999998</v>
      </c>
      <c r="N117" s="4">
        <v>3</v>
      </c>
      <c r="O117" s="4">
        <v>29</v>
      </c>
      <c r="P117" s="4">
        <v>32</v>
      </c>
      <c r="Q117" s="6" t="str">
        <f t="shared" si="13"/>
        <v>Weekday</v>
      </c>
      <c r="R117" s="42">
        <f t="shared" si="14"/>
        <v>42291</v>
      </c>
      <c r="S117" s="42">
        <f t="shared" si="15"/>
        <v>124.8388746803069</v>
      </c>
      <c r="T117" s="42">
        <f t="shared" si="16"/>
        <v>276</v>
      </c>
      <c r="U117" s="42" t="str">
        <f t="shared" si="17"/>
        <v>Wee</v>
      </c>
      <c r="V117" s="42" t="str">
        <f t="shared" si="18"/>
        <v>kday</v>
      </c>
      <c r="W117" s="42">
        <f t="shared" si="19"/>
        <v>7</v>
      </c>
      <c r="X117" s="42">
        <f t="shared" si="20"/>
        <v>0.16669999999999999</v>
      </c>
      <c r="Y117" s="3">
        <f t="shared" si="21"/>
        <v>82</v>
      </c>
      <c r="Z117" s="3">
        <f t="shared" si="25"/>
        <v>7883</v>
      </c>
      <c r="AA117" s="3">
        <f t="shared" si="22"/>
        <v>1232.2489122187819</v>
      </c>
      <c r="AB117" s="3">
        <f t="shared" si="23"/>
        <v>0.99911573903365103</v>
      </c>
      <c r="AC117" s="3" t="str">
        <f t="shared" si="24"/>
        <v>Normal</v>
      </c>
    </row>
    <row r="118" spans="1:29" x14ac:dyDescent="0.2">
      <c r="A118" s="4">
        <v>736</v>
      </c>
      <c r="B118" s="5">
        <v>40604</v>
      </c>
      <c r="C118" s="4">
        <v>1</v>
      </c>
      <c r="D118" s="4">
        <v>0</v>
      </c>
      <c r="E118" s="4">
        <v>2</v>
      </c>
      <c r="F118" s="4">
        <v>0</v>
      </c>
      <c r="G118" s="4" t="b">
        <v>0</v>
      </c>
      <c r="H118" s="4">
        <v>4</v>
      </c>
      <c r="I118" s="4">
        <v>1</v>
      </c>
      <c r="J118" s="4">
        <v>0.2</v>
      </c>
      <c r="K118" s="4">
        <v>0.16669999999999999</v>
      </c>
      <c r="L118" s="4">
        <v>0.4</v>
      </c>
      <c r="M118" s="4">
        <v>0.44779999999999998</v>
      </c>
      <c r="N118" s="4">
        <v>1</v>
      </c>
      <c r="O118" s="4">
        <v>11</v>
      </c>
      <c r="P118" s="4">
        <v>12</v>
      </c>
      <c r="Q118" s="6" t="str">
        <f t="shared" si="13"/>
        <v>Weekday</v>
      </c>
      <c r="R118" s="42">
        <f t="shared" si="14"/>
        <v>42259</v>
      </c>
      <c r="S118" s="42">
        <f t="shared" si="15"/>
        <v>124.8388746803069</v>
      </c>
      <c r="T118" s="42">
        <f t="shared" si="16"/>
        <v>275</v>
      </c>
      <c r="U118" s="42" t="str">
        <f t="shared" si="17"/>
        <v>Wee</v>
      </c>
      <c r="V118" s="42" t="str">
        <f t="shared" si="18"/>
        <v>kday</v>
      </c>
      <c r="W118" s="42">
        <f t="shared" si="19"/>
        <v>7</v>
      </c>
      <c r="X118" s="42">
        <f t="shared" si="20"/>
        <v>0.16669999999999999</v>
      </c>
      <c r="Y118" s="3">
        <f t="shared" si="21"/>
        <v>82</v>
      </c>
      <c r="Z118" s="3">
        <f t="shared" si="25"/>
        <v>7883</v>
      </c>
      <c r="AA118" s="3">
        <f t="shared" si="22"/>
        <v>1232.2489122187819</v>
      </c>
      <c r="AB118" s="3">
        <f t="shared" si="23"/>
        <v>0.99911573903365103</v>
      </c>
      <c r="AC118" s="3" t="str">
        <f t="shared" si="24"/>
        <v>Normal</v>
      </c>
    </row>
    <row r="119" spans="1:29" x14ac:dyDescent="0.2">
      <c r="A119" s="4">
        <v>737</v>
      </c>
      <c r="B119" s="5">
        <v>40604</v>
      </c>
      <c r="C119" s="4">
        <v>1</v>
      </c>
      <c r="D119" s="4">
        <v>0</v>
      </c>
      <c r="E119" s="4">
        <v>2</v>
      </c>
      <c r="F119" s="4">
        <v>1</v>
      </c>
      <c r="G119" s="4" t="b">
        <v>0</v>
      </c>
      <c r="H119" s="4">
        <v>4</v>
      </c>
      <c r="I119" s="4">
        <v>1</v>
      </c>
      <c r="J119" s="4">
        <v>0.2</v>
      </c>
      <c r="K119" s="4">
        <v>0.1515</v>
      </c>
      <c r="L119" s="4">
        <v>0.44</v>
      </c>
      <c r="M119" s="4">
        <v>0.52239999999999998</v>
      </c>
      <c r="N119" s="4">
        <v>0</v>
      </c>
      <c r="O119" s="4">
        <v>5</v>
      </c>
      <c r="P119" s="4">
        <v>5</v>
      </c>
      <c r="Q119" s="6" t="str">
        <f t="shared" si="13"/>
        <v>Weekday</v>
      </c>
      <c r="R119" s="42">
        <f t="shared" si="14"/>
        <v>42247</v>
      </c>
      <c r="S119" s="42">
        <f t="shared" si="15"/>
        <v>124.8388746803069</v>
      </c>
      <c r="T119" s="42">
        <f t="shared" si="16"/>
        <v>274</v>
      </c>
      <c r="U119" s="42" t="str">
        <f t="shared" si="17"/>
        <v>Wee</v>
      </c>
      <c r="V119" s="42" t="str">
        <f t="shared" si="18"/>
        <v>kday</v>
      </c>
      <c r="W119" s="42">
        <f t="shared" si="19"/>
        <v>7</v>
      </c>
      <c r="X119" s="42">
        <f t="shared" si="20"/>
        <v>0.1515</v>
      </c>
      <c r="Y119" s="3">
        <f t="shared" si="21"/>
        <v>82</v>
      </c>
      <c r="Z119" s="3">
        <f t="shared" si="25"/>
        <v>7883</v>
      </c>
      <c r="AA119" s="3">
        <f t="shared" si="22"/>
        <v>1232.2489122187819</v>
      </c>
      <c r="AB119" s="3">
        <f t="shared" si="23"/>
        <v>0.99911573903365103</v>
      </c>
      <c r="AC119" s="3" t="str">
        <f t="shared" si="24"/>
        <v>Normal</v>
      </c>
    </row>
    <row r="120" spans="1:29" x14ac:dyDescent="0.2">
      <c r="A120" s="4">
        <v>738</v>
      </c>
      <c r="B120" s="5">
        <v>40604</v>
      </c>
      <c r="C120" s="4">
        <v>1</v>
      </c>
      <c r="D120" s="4">
        <v>0</v>
      </c>
      <c r="E120" s="4">
        <v>2</v>
      </c>
      <c r="F120" s="4">
        <v>2</v>
      </c>
      <c r="G120" s="4" t="b">
        <v>0</v>
      </c>
      <c r="H120" s="4">
        <v>4</v>
      </c>
      <c r="I120" s="4">
        <v>1</v>
      </c>
      <c r="J120" s="4">
        <v>0.18</v>
      </c>
      <c r="K120" s="4">
        <v>0.16669999999999999</v>
      </c>
      <c r="L120" s="4">
        <v>0.43</v>
      </c>
      <c r="M120" s="4">
        <v>0.25369999999999998</v>
      </c>
      <c r="N120" s="4">
        <v>0</v>
      </c>
      <c r="O120" s="4">
        <v>2</v>
      </c>
      <c r="P120" s="4">
        <v>2</v>
      </c>
      <c r="Q120" s="6" t="str">
        <f t="shared" si="13"/>
        <v>Weekday</v>
      </c>
      <c r="R120" s="42">
        <f t="shared" si="14"/>
        <v>42242</v>
      </c>
      <c r="S120" s="42">
        <f t="shared" si="15"/>
        <v>124.8388746803069</v>
      </c>
      <c r="T120" s="42">
        <f t="shared" si="16"/>
        <v>273</v>
      </c>
      <c r="U120" s="42" t="str">
        <f t="shared" si="17"/>
        <v>Wee</v>
      </c>
      <c r="V120" s="42" t="str">
        <f t="shared" si="18"/>
        <v>kday</v>
      </c>
      <c r="W120" s="42">
        <f t="shared" si="19"/>
        <v>7</v>
      </c>
      <c r="X120" s="42">
        <f t="shared" si="20"/>
        <v>0.16669999999999999</v>
      </c>
      <c r="Y120" s="3">
        <f t="shared" si="21"/>
        <v>82</v>
      </c>
      <c r="Z120" s="3">
        <f t="shared" si="25"/>
        <v>7883</v>
      </c>
      <c r="AA120" s="3">
        <f t="shared" si="22"/>
        <v>1232.2489122187819</v>
      </c>
      <c r="AB120" s="3">
        <f t="shared" si="23"/>
        <v>0.99911573903365103</v>
      </c>
      <c r="AC120" s="3" t="str">
        <f t="shared" si="24"/>
        <v>Normal</v>
      </c>
    </row>
    <row r="121" spans="1:29" x14ac:dyDescent="0.2">
      <c r="A121" s="4">
        <v>739</v>
      </c>
      <c r="B121" s="5">
        <v>40604</v>
      </c>
      <c r="C121" s="4">
        <v>1</v>
      </c>
      <c r="D121" s="4">
        <v>0</v>
      </c>
      <c r="E121" s="4">
        <v>2</v>
      </c>
      <c r="F121" s="4">
        <v>3</v>
      </c>
      <c r="G121" s="4" t="b">
        <v>0</v>
      </c>
      <c r="H121" s="4">
        <v>4</v>
      </c>
      <c r="I121" s="4">
        <v>1</v>
      </c>
      <c r="J121" s="4">
        <v>0.18</v>
      </c>
      <c r="K121" s="4">
        <v>0.16669999999999999</v>
      </c>
      <c r="L121" s="4">
        <v>0.43</v>
      </c>
      <c r="M121" s="4">
        <v>0.25369999999999998</v>
      </c>
      <c r="N121" s="4">
        <v>0</v>
      </c>
      <c r="O121" s="4">
        <v>1</v>
      </c>
      <c r="P121" s="4">
        <v>1</v>
      </c>
      <c r="Q121" s="6" t="str">
        <f t="shared" si="13"/>
        <v>Weekday</v>
      </c>
      <c r="R121" s="42">
        <f t="shared" si="14"/>
        <v>42240</v>
      </c>
      <c r="S121" s="42">
        <f t="shared" si="15"/>
        <v>124.8388746803069</v>
      </c>
      <c r="T121" s="42">
        <f t="shared" si="16"/>
        <v>272</v>
      </c>
      <c r="U121" s="42" t="str">
        <f t="shared" si="17"/>
        <v>Wee</v>
      </c>
      <c r="V121" s="42" t="str">
        <f t="shared" si="18"/>
        <v>kday</v>
      </c>
      <c r="W121" s="42">
        <f t="shared" si="19"/>
        <v>7</v>
      </c>
      <c r="X121" s="42">
        <f t="shared" si="20"/>
        <v>0.16669999999999999</v>
      </c>
      <c r="Y121" s="3">
        <f t="shared" si="21"/>
        <v>82</v>
      </c>
      <c r="Z121" s="3">
        <f t="shared" si="25"/>
        <v>7883</v>
      </c>
      <c r="AA121" s="3">
        <f t="shared" si="22"/>
        <v>1232.2489122187819</v>
      </c>
      <c r="AB121" s="3">
        <f t="shared" si="23"/>
        <v>0.99911573903365103</v>
      </c>
      <c r="AC121" s="3" t="str">
        <f t="shared" si="24"/>
        <v>Normal</v>
      </c>
    </row>
    <row r="122" spans="1:29" x14ac:dyDescent="0.2">
      <c r="A122" s="4">
        <v>740</v>
      </c>
      <c r="B122" s="5">
        <v>40604</v>
      </c>
      <c r="C122" s="4">
        <v>1</v>
      </c>
      <c r="D122" s="4">
        <v>0</v>
      </c>
      <c r="E122" s="4">
        <v>2</v>
      </c>
      <c r="F122" s="4">
        <v>5</v>
      </c>
      <c r="G122" s="4" t="b">
        <v>0</v>
      </c>
      <c r="H122" s="4">
        <v>4</v>
      </c>
      <c r="I122" s="4">
        <v>1</v>
      </c>
      <c r="J122" s="4">
        <v>0.16</v>
      </c>
      <c r="K122" s="4">
        <v>0.13639999999999999</v>
      </c>
      <c r="L122" s="4">
        <v>0.5</v>
      </c>
      <c r="M122" s="4">
        <v>0.29849999999999999</v>
      </c>
      <c r="N122" s="4">
        <v>0</v>
      </c>
      <c r="O122" s="4">
        <v>2</v>
      </c>
      <c r="P122" s="4">
        <v>2</v>
      </c>
      <c r="Q122" s="6" t="str">
        <f t="shared" si="13"/>
        <v>Weekday</v>
      </c>
      <c r="R122" s="42">
        <f t="shared" si="14"/>
        <v>42239</v>
      </c>
      <c r="S122" s="42">
        <f t="shared" si="15"/>
        <v>124.8388746803069</v>
      </c>
      <c r="T122" s="42">
        <f t="shared" si="16"/>
        <v>271</v>
      </c>
      <c r="U122" s="42" t="str">
        <f t="shared" si="17"/>
        <v>Wee</v>
      </c>
      <c r="V122" s="42" t="str">
        <f t="shared" si="18"/>
        <v>kday</v>
      </c>
      <c r="W122" s="42">
        <f t="shared" si="19"/>
        <v>7</v>
      </c>
      <c r="X122" s="42">
        <f t="shared" si="20"/>
        <v>0.13639999999999999</v>
      </c>
      <c r="Y122" s="3">
        <f t="shared" si="21"/>
        <v>82</v>
      </c>
      <c r="Z122" s="3">
        <f t="shared" si="25"/>
        <v>7883</v>
      </c>
      <c r="AA122" s="3">
        <f t="shared" si="22"/>
        <v>1232.2489122187819</v>
      </c>
      <c r="AB122" s="3">
        <f t="shared" si="23"/>
        <v>0.99911573903365103</v>
      </c>
      <c r="AC122" s="3" t="str">
        <f t="shared" si="24"/>
        <v>Normal</v>
      </c>
    </row>
    <row r="123" spans="1:29" x14ac:dyDescent="0.2">
      <c r="A123" s="4">
        <v>741</v>
      </c>
      <c r="B123" s="5">
        <v>40604</v>
      </c>
      <c r="C123" s="4">
        <v>1</v>
      </c>
      <c r="D123" s="4">
        <v>0</v>
      </c>
      <c r="E123" s="4">
        <v>2</v>
      </c>
      <c r="F123" s="4">
        <v>6</v>
      </c>
      <c r="G123" s="4" t="b">
        <v>0</v>
      </c>
      <c r="H123" s="4">
        <v>4</v>
      </c>
      <c r="I123" s="4">
        <v>1</v>
      </c>
      <c r="J123" s="4">
        <v>0.16</v>
      </c>
      <c r="K123" s="4">
        <v>0.13639999999999999</v>
      </c>
      <c r="L123" s="4">
        <v>0.43</v>
      </c>
      <c r="M123" s="4">
        <v>0.35820000000000002</v>
      </c>
      <c r="N123" s="4">
        <v>0</v>
      </c>
      <c r="O123" s="4">
        <v>39</v>
      </c>
      <c r="P123" s="4">
        <v>39</v>
      </c>
      <c r="Q123" s="6" t="str">
        <f t="shared" si="13"/>
        <v>Weekday</v>
      </c>
      <c r="R123" s="42">
        <f t="shared" si="14"/>
        <v>42237</v>
      </c>
      <c r="S123" s="42">
        <f t="shared" si="15"/>
        <v>124.8388746803069</v>
      </c>
      <c r="T123" s="42">
        <f t="shared" si="16"/>
        <v>270</v>
      </c>
      <c r="U123" s="42" t="str">
        <f t="shared" si="17"/>
        <v>Wee</v>
      </c>
      <c r="V123" s="42" t="str">
        <f t="shared" si="18"/>
        <v>kday</v>
      </c>
      <c r="W123" s="42">
        <f t="shared" si="19"/>
        <v>7</v>
      </c>
      <c r="X123" s="42">
        <f t="shared" si="20"/>
        <v>0.13639999999999999</v>
      </c>
      <c r="Y123" s="3">
        <f t="shared" si="21"/>
        <v>82</v>
      </c>
      <c r="Z123" s="3">
        <f t="shared" si="25"/>
        <v>7883</v>
      </c>
      <c r="AA123" s="3">
        <f t="shared" si="22"/>
        <v>1232.2489122187819</v>
      </c>
      <c r="AB123" s="3">
        <f t="shared" si="23"/>
        <v>0.99911573903365103</v>
      </c>
      <c r="AC123" s="3" t="str">
        <f t="shared" si="24"/>
        <v>Normal</v>
      </c>
    </row>
    <row r="124" spans="1:29" x14ac:dyDescent="0.2">
      <c r="A124" s="4">
        <v>742</v>
      </c>
      <c r="B124" s="5">
        <v>40604</v>
      </c>
      <c r="C124" s="4">
        <v>1</v>
      </c>
      <c r="D124" s="4">
        <v>0</v>
      </c>
      <c r="E124" s="4">
        <v>2</v>
      </c>
      <c r="F124" s="4">
        <v>7</v>
      </c>
      <c r="G124" s="4" t="b">
        <v>0</v>
      </c>
      <c r="H124" s="4">
        <v>4</v>
      </c>
      <c r="I124" s="4">
        <v>1</v>
      </c>
      <c r="J124" s="4">
        <v>0.14000000000000001</v>
      </c>
      <c r="K124" s="4">
        <v>0.1212</v>
      </c>
      <c r="L124" s="4">
        <v>0.5</v>
      </c>
      <c r="M124" s="4">
        <v>0.32840000000000003</v>
      </c>
      <c r="N124" s="4">
        <v>1</v>
      </c>
      <c r="O124" s="4">
        <v>86</v>
      </c>
      <c r="P124" s="4">
        <v>87</v>
      </c>
      <c r="Q124" s="6" t="str">
        <f t="shared" si="13"/>
        <v>Weekday</v>
      </c>
      <c r="R124" s="42">
        <f t="shared" si="14"/>
        <v>42198</v>
      </c>
      <c r="S124" s="42">
        <f t="shared" si="15"/>
        <v>124.8388746803069</v>
      </c>
      <c r="T124" s="42">
        <f t="shared" si="16"/>
        <v>269</v>
      </c>
      <c r="U124" s="42" t="str">
        <f t="shared" si="17"/>
        <v>Wee</v>
      </c>
      <c r="V124" s="42" t="str">
        <f t="shared" si="18"/>
        <v>kday</v>
      </c>
      <c r="W124" s="42">
        <f t="shared" si="19"/>
        <v>7</v>
      </c>
      <c r="X124" s="42">
        <f t="shared" si="20"/>
        <v>0.1212</v>
      </c>
      <c r="Y124" s="3">
        <f t="shared" si="21"/>
        <v>82</v>
      </c>
      <c r="Z124" s="3">
        <f t="shared" si="25"/>
        <v>7883</v>
      </c>
      <c r="AA124" s="3">
        <f t="shared" si="22"/>
        <v>1232.2489122187819</v>
      </c>
      <c r="AB124" s="3">
        <f t="shared" si="23"/>
        <v>0.99911573903365103</v>
      </c>
      <c r="AC124" s="3" t="str">
        <f t="shared" si="24"/>
        <v>Normal</v>
      </c>
    </row>
    <row r="125" spans="1:29" x14ac:dyDescent="0.2">
      <c r="A125" s="4">
        <v>743</v>
      </c>
      <c r="B125" s="5">
        <v>40604</v>
      </c>
      <c r="C125" s="4">
        <v>1</v>
      </c>
      <c r="D125" s="4">
        <v>0</v>
      </c>
      <c r="E125" s="4">
        <v>2</v>
      </c>
      <c r="F125" s="4">
        <v>8</v>
      </c>
      <c r="G125" s="4" t="b">
        <v>0</v>
      </c>
      <c r="H125" s="4">
        <v>4</v>
      </c>
      <c r="I125" s="4">
        <v>1</v>
      </c>
      <c r="J125" s="4">
        <v>0.14000000000000001</v>
      </c>
      <c r="K125" s="4">
        <v>0.1212</v>
      </c>
      <c r="L125" s="4">
        <v>0.5</v>
      </c>
      <c r="M125" s="4">
        <v>0.35820000000000002</v>
      </c>
      <c r="N125" s="4">
        <v>4</v>
      </c>
      <c r="O125" s="4">
        <v>184</v>
      </c>
      <c r="P125" s="4">
        <v>188</v>
      </c>
      <c r="Q125" s="6" t="str">
        <f t="shared" si="13"/>
        <v>Weekday</v>
      </c>
      <c r="R125" s="42">
        <f t="shared" si="14"/>
        <v>42111</v>
      </c>
      <c r="S125" s="42">
        <f t="shared" si="15"/>
        <v>124.8388746803069</v>
      </c>
      <c r="T125" s="42">
        <f t="shared" si="16"/>
        <v>268</v>
      </c>
      <c r="U125" s="42" t="str">
        <f t="shared" si="17"/>
        <v>Wee</v>
      </c>
      <c r="V125" s="42" t="str">
        <f t="shared" si="18"/>
        <v>kday</v>
      </c>
      <c r="W125" s="42">
        <f t="shared" si="19"/>
        <v>7</v>
      </c>
      <c r="X125" s="42">
        <f t="shared" si="20"/>
        <v>0.1212</v>
      </c>
      <c r="Y125" s="3">
        <f t="shared" si="21"/>
        <v>82</v>
      </c>
      <c r="Z125" s="3">
        <f t="shared" si="25"/>
        <v>7883</v>
      </c>
      <c r="AA125" s="3">
        <f t="shared" si="22"/>
        <v>1232.2489122187819</v>
      </c>
      <c r="AB125" s="3">
        <f t="shared" si="23"/>
        <v>0.99911573903365103</v>
      </c>
      <c r="AC125" s="3" t="str">
        <f t="shared" si="24"/>
        <v>Normal</v>
      </c>
    </row>
    <row r="126" spans="1:29" x14ac:dyDescent="0.2">
      <c r="A126" s="4">
        <v>744</v>
      </c>
      <c r="B126" s="5">
        <v>40604</v>
      </c>
      <c r="C126" s="4">
        <v>1</v>
      </c>
      <c r="D126" s="4">
        <v>0</v>
      </c>
      <c r="E126" s="4">
        <v>2</v>
      </c>
      <c r="F126" s="4">
        <v>9</v>
      </c>
      <c r="G126" s="4" t="b">
        <v>0</v>
      </c>
      <c r="H126" s="4">
        <v>4</v>
      </c>
      <c r="I126" s="4">
        <v>1</v>
      </c>
      <c r="J126" s="4">
        <v>0.16</v>
      </c>
      <c r="K126" s="4">
        <v>0.13639999999999999</v>
      </c>
      <c r="L126" s="4">
        <v>0.47</v>
      </c>
      <c r="M126" s="4">
        <v>0.29849999999999999</v>
      </c>
      <c r="N126" s="4">
        <v>6</v>
      </c>
      <c r="O126" s="4">
        <v>127</v>
      </c>
      <c r="P126" s="4">
        <v>133</v>
      </c>
      <c r="Q126" s="6" t="str">
        <f t="shared" si="13"/>
        <v>Weekday</v>
      </c>
      <c r="R126" s="42">
        <f t="shared" si="14"/>
        <v>41923</v>
      </c>
      <c r="S126" s="42">
        <f t="shared" si="15"/>
        <v>124.8388746803069</v>
      </c>
      <c r="T126" s="42">
        <f t="shared" si="16"/>
        <v>267</v>
      </c>
      <c r="U126" s="42" t="str">
        <f t="shared" si="17"/>
        <v>Wee</v>
      </c>
      <c r="V126" s="42" t="str">
        <f t="shared" si="18"/>
        <v>kday</v>
      </c>
      <c r="W126" s="42">
        <f t="shared" si="19"/>
        <v>7</v>
      </c>
      <c r="X126" s="42">
        <f t="shared" si="20"/>
        <v>0.13639999999999999</v>
      </c>
      <c r="Y126" s="3">
        <f t="shared" si="21"/>
        <v>82</v>
      </c>
      <c r="Z126" s="3">
        <f t="shared" si="25"/>
        <v>7883</v>
      </c>
      <c r="AA126" s="3">
        <f t="shared" si="22"/>
        <v>1232.2489122187819</v>
      </c>
      <c r="AB126" s="3">
        <f t="shared" si="23"/>
        <v>0.99911573903365103</v>
      </c>
      <c r="AC126" s="3" t="str">
        <f t="shared" si="24"/>
        <v>Normal</v>
      </c>
    </row>
    <row r="127" spans="1:29" x14ac:dyDescent="0.2">
      <c r="A127" s="4">
        <v>745</v>
      </c>
      <c r="B127" s="5">
        <v>40604</v>
      </c>
      <c r="C127" s="4">
        <v>1</v>
      </c>
      <c r="D127" s="4">
        <v>0</v>
      </c>
      <c r="E127" s="4">
        <v>2</v>
      </c>
      <c r="F127" s="4">
        <v>10</v>
      </c>
      <c r="G127" s="4" t="b">
        <v>0</v>
      </c>
      <c r="H127" s="4">
        <v>4</v>
      </c>
      <c r="I127" s="4">
        <v>1</v>
      </c>
      <c r="J127" s="4">
        <v>0.18</v>
      </c>
      <c r="K127" s="4">
        <v>0.1515</v>
      </c>
      <c r="L127" s="4">
        <v>0.43</v>
      </c>
      <c r="M127" s="4">
        <v>0.32840000000000003</v>
      </c>
      <c r="N127" s="4">
        <v>2</v>
      </c>
      <c r="O127" s="4">
        <v>50</v>
      </c>
      <c r="P127" s="4">
        <v>52</v>
      </c>
      <c r="Q127" s="6" t="str">
        <f t="shared" si="13"/>
        <v>Weekday</v>
      </c>
      <c r="R127" s="42">
        <f t="shared" si="14"/>
        <v>41790</v>
      </c>
      <c r="S127" s="42">
        <f t="shared" si="15"/>
        <v>124.8388746803069</v>
      </c>
      <c r="T127" s="42">
        <f t="shared" si="16"/>
        <v>266</v>
      </c>
      <c r="U127" s="42" t="str">
        <f t="shared" si="17"/>
        <v>Wee</v>
      </c>
      <c r="V127" s="42" t="str">
        <f t="shared" si="18"/>
        <v>kday</v>
      </c>
      <c r="W127" s="42">
        <f t="shared" si="19"/>
        <v>7</v>
      </c>
      <c r="X127" s="42">
        <f t="shared" si="20"/>
        <v>0.1515</v>
      </c>
      <c r="Y127" s="3">
        <f t="shared" si="21"/>
        <v>82</v>
      </c>
      <c r="Z127" s="3">
        <f t="shared" si="25"/>
        <v>7883</v>
      </c>
      <c r="AA127" s="3">
        <f t="shared" si="22"/>
        <v>1232.2489122187819</v>
      </c>
      <c r="AB127" s="3">
        <f t="shared" si="23"/>
        <v>0.99911573903365103</v>
      </c>
      <c r="AC127" s="3" t="str">
        <f t="shared" si="24"/>
        <v>Normal</v>
      </c>
    </row>
    <row r="128" spans="1:29" x14ac:dyDescent="0.2">
      <c r="A128" s="4">
        <v>746</v>
      </c>
      <c r="B128" s="5">
        <v>40604</v>
      </c>
      <c r="C128" s="4">
        <v>1</v>
      </c>
      <c r="D128" s="4">
        <v>0</v>
      </c>
      <c r="E128" s="4">
        <v>2</v>
      </c>
      <c r="F128" s="4">
        <v>11</v>
      </c>
      <c r="G128" s="4" t="b">
        <v>0</v>
      </c>
      <c r="H128" s="4">
        <v>4</v>
      </c>
      <c r="I128" s="4">
        <v>1</v>
      </c>
      <c r="J128" s="4">
        <v>0.18</v>
      </c>
      <c r="K128" s="4">
        <v>0.13639999999999999</v>
      </c>
      <c r="L128" s="4">
        <v>0.43</v>
      </c>
      <c r="M128" s="4">
        <v>0.44779999999999998</v>
      </c>
      <c r="N128" s="4">
        <v>9</v>
      </c>
      <c r="O128" s="4">
        <v>55</v>
      </c>
      <c r="P128" s="4">
        <v>64</v>
      </c>
      <c r="Q128" s="6" t="str">
        <f t="shared" si="13"/>
        <v>Weekday</v>
      </c>
      <c r="R128" s="42">
        <f t="shared" si="14"/>
        <v>41738</v>
      </c>
      <c r="S128" s="42">
        <f t="shared" si="15"/>
        <v>124.8388746803069</v>
      </c>
      <c r="T128" s="42">
        <f t="shared" si="16"/>
        <v>265</v>
      </c>
      <c r="U128" s="42" t="str">
        <f t="shared" si="17"/>
        <v>Wee</v>
      </c>
      <c r="V128" s="42" t="str">
        <f t="shared" si="18"/>
        <v>kday</v>
      </c>
      <c r="W128" s="42">
        <f t="shared" si="19"/>
        <v>7</v>
      </c>
      <c r="X128" s="42">
        <f t="shared" si="20"/>
        <v>0.13639999999999999</v>
      </c>
      <c r="Y128" s="3">
        <f t="shared" si="21"/>
        <v>82</v>
      </c>
      <c r="Z128" s="3">
        <f t="shared" si="25"/>
        <v>7883</v>
      </c>
      <c r="AA128" s="3">
        <f t="shared" si="22"/>
        <v>1232.2489122187819</v>
      </c>
      <c r="AB128" s="3">
        <f t="shared" si="23"/>
        <v>0.99911573903365103</v>
      </c>
      <c r="AC128" s="3" t="str">
        <f t="shared" si="24"/>
        <v>Normal</v>
      </c>
    </row>
    <row r="129" spans="1:29" x14ac:dyDescent="0.2">
      <c r="A129" s="4">
        <v>747</v>
      </c>
      <c r="B129" s="5">
        <v>40604</v>
      </c>
      <c r="C129" s="4">
        <v>1</v>
      </c>
      <c r="D129" s="4">
        <v>0</v>
      </c>
      <c r="E129" s="4">
        <v>2</v>
      </c>
      <c r="F129" s="4">
        <v>12</v>
      </c>
      <c r="G129" s="4" t="b">
        <v>0</v>
      </c>
      <c r="H129" s="4">
        <v>4</v>
      </c>
      <c r="I129" s="4">
        <v>1</v>
      </c>
      <c r="J129" s="4">
        <v>0.2</v>
      </c>
      <c r="K129" s="4">
        <v>0.18179999999999999</v>
      </c>
      <c r="L129" s="4">
        <v>0.4</v>
      </c>
      <c r="M129" s="4">
        <v>0.35820000000000002</v>
      </c>
      <c r="N129" s="4">
        <v>2</v>
      </c>
      <c r="O129" s="4">
        <v>67</v>
      </c>
      <c r="P129" s="4">
        <v>69</v>
      </c>
      <c r="Q129" s="6" t="str">
        <f t="shared" si="13"/>
        <v>Weekday</v>
      </c>
      <c r="R129" s="42">
        <f t="shared" si="14"/>
        <v>41674</v>
      </c>
      <c r="S129" s="42">
        <f t="shared" si="15"/>
        <v>124.8388746803069</v>
      </c>
      <c r="T129" s="42">
        <f t="shared" si="16"/>
        <v>264</v>
      </c>
      <c r="U129" s="42" t="str">
        <f t="shared" si="17"/>
        <v>Wee</v>
      </c>
      <c r="V129" s="42" t="str">
        <f t="shared" si="18"/>
        <v>kday</v>
      </c>
      <c r="W129" s="42">
        <f t="shared" si="19"/>
        <v>7</v>
      </c>
      <c r="X129" s="42">
        <f t="shared" si="20"/>
        <v>0.18179999999999999</v>
      </c>
      <c r="Y129" s="3">
        <f t="shared" si="21"/>
        <v>82</v>
      </c>
      <c r="Z129" s="3">
        <f t="shared" si="25"/>
        <v>7883</v>
      </c>
      <c r="AA129" s="3">
        <f t="shared" si="22"/>
        <v>1232.2489122187819</v>
      </c>
      <c r="AB129" s="3">
        <f t="shared" si="23"/>
        <v>0.99911573903365103</v>
      </c>
      <c r="AC129" s="3" t="str">
        <f t="shared" si="24"/>
        <v>Normal</v>
      </c>
    </row>
    <row r="130" spans="1:29" x14ac:dyDescent="0.2">
      <c r="A130" s="4">
        <v>748</v>
      </c>
      <c r="B130" s="5">
        <v>40604</v>
      </c>
      <c r="C130" s="4">
        <v>1</v>
      </c>
      <c r="D130" s="4">
        <v>0</v>
      </c>
      <c r="E130" s="4">
        <v>2</v>
      </c>
      <c r="F130" s="4">
        <v>13</v>
      </c>
      <c r="G130" s="4" t="b">
        <v>0</v>
      </c>
      <c r="H130" s="4">
        <v>4</v>
      </c>
      <c r="I130" s="4">
        <v>1</v>
      </c>
      <c r="J130" s="4">
        <v>0.2</v>
      </c>
      <c r="K130" s="4">
        <v>0.16669999999999999</v>
      </c>
      <c r="L130" s="4">
        <v>0.4</v>
      </c>
      <c r="M130" s="4">
        <v>0.41789999999999999</v>
      </c>
      <c r="N130" s="4">
        <v>4</v>
      </c>
      <c r="O130" s="4">
        <v>47</v>
      </c>
      <c r="P130" s="4">
        <v>51</v>
      </c>
      <c r="Q130" s="6" t="str">
        <f t="shared" si="13"/>
        <v>Weekday</v>
      </c>
      <c r="R130" s="42">
        <f t="shared" si="14"/>
        <v>41605</v>
      </c>
      <c r="S130" s="42">
        <f t="shared" si="15"/>
        <v>124.8388746803069</v>
      </c>
      <c r="T130" s="42">
        <f t="shared" si="16"/>
        <v>263</v>
      </c>
      <c r="U130" s="42" t="str">
        <f t="shared" si="17"/>
        <v>Wee</v>
      </c>
      <c r="V130" s="42" t="str">
        <f t="shared" si="18"/>
        <v>kday</v>
      </c>
      <c r="W130" s="42">
        <f t="shared" si="19"/>
        <v>7</v>
      </c>
      <c r="X130" s="42">
        <f t="shared" si="20"/>
        <v>0.16669999999999999</v>
      </c>
      <c r="Y130" s="3">
        <f t="shared" si="21"/>
        <v>82</v>
      </c>
      <c r="Z130" s="3">
        <f t="shared" si="25"/>
        <v>7883</v>
      </c>
      <c r="AA130" s="3">
        <f t="shared" si="22"/>
        <v>1232.2489122187819</v>
      </c>
      <c r="AB130" s="3">
        <f t="shared" si="23"/>
        <v>0.99911573903365103</v>
      </c>
      <c r="AC130" s="3" t="str">
        <f t="shared" si="24"/>
        <v>Normal</v>
      </c>
    </row>
    <row r="131" spans="1:29" x14ac:dyDescent="0.2">
      <c r="A131" s="4">
        <v>749</v>
      </c>
      <c r="B131" s="5">
        <v>40604</v>
      </c>
      <c r="C131" s="4">
        <v>1</v>
      </c>
      <c r="D131" s="4">
        <v>0</v>
      </c>
      <c r="E131" s="4">
        <v>2</v>
      </c>
      <c r="F131" s="4">
        <v>14</v>
      </c>
      <c r="G131" s="4" t="b">
        <v>0</v>
      </c>
      <c r="H131" s="4">
        <v>4</v>
      </c>
      <c r="I131" s="4">
        <v>1</v>
      </c>
      <c r="J131" s="4">
        <v>0.22</v>
      </c>
      <c r="K131" s="4">
        <v>0.19700000000000001</v>
      </c>
      <c r="L131" s="4">
        <v>0.37</v>
      </c>
      <c r="M131" s="4">
        <v>0.3881</v>
      </c>
      <c r="N131" s="4">
        <v>4</v>
      </c>
      <c r="O131" s="4">
        <v>43</v>
      </c>
      <c r="P131" s="4">
        <v>47</v>
      </c>
      <c r="Q131" s="6" t="str">
        <f t="shared" ref="Q131:Q194" si="26">IF(H131=0,"Weekend",IF(H131=6,"Weekend","Weekday"))</f>
        <v>Weekday</v>
      </c>
      <c r="R131" s="42">
        <f t="shared" ref="R131:R194" si="27">SUM(P131:P520)</f>
        <v>41554</v>
      </c>
      <c r="S131" s="42">
        <f t="shared" ref="S131:S194" si="28">AVERAGE($P$2:$P$392)</f>
        <v>124.8388746803069</v>
      </c>
      <c r="T131" s="42">
        <f t="shared" ref="T131:T194" si="29">COUNT(P131:P521)</f>
        <v>262</v>
      </c>
      <c r="U131" s="42" t="str">
        <f t="shared" ref="U131:U194" si="30">LEFT(Q132,3)</f>
        <v>Wee</v>
      </c>
      <c r="V131" s="42" t="str">
        <f t="shared" ref="V131:V194" si="31">RIGHT(Q132,4)</f>
        <v>kday</v>
      </c>
      <c r="W131" s="42">
        <f t="shared" ref="W131:W194" si="32">LEN(Q131)</f>
        <v>7</v>
      </c>
      <c r="X131" s="42">
        <f t="shared" ref="X131:X194" si="33">INDEX(K:K,MATCH(A131,A:A,0))</f>
        <v>0.19700000000000001</v>
      </c>
      <c r="Y131" s="3">
        <f t="shared" ref="Y131:Y194" si="34">COUNTIF(P:P,"&gt;100")</f>
        <v>82</v>
      </c>
      <c r="Z131" s="3">
        <f t="shared" si="25"/>
        <v>7883</v>
      </c>
      <c r="AA131" s="3">
        <f t="shared" ref="AA131:AA194" si="35">STDEV(P:P)</f>
        <v>1232.2489122187819</v>
      </c>
      <c r="AB131" s="3">
        <f t="shared" ref="AB131:AB194" si="36">CORREL(J:J,P:P)</f>
        <v>0.99911573903365103</v>
      </c>
      <c r="AC131" s="3" t="str">
        <f t="shared" ref="AC131:AC194" si="37">IF(ABS(P131-AVERAGE($P$2:$P$784))&gt;2*STDEV($P$2:$P$784),"ANOMALY","Normal")</f>
        <v>Normal</v>
      </c>
    </row>
    <row r="132" spans="1:29" x14ac:dyDescent="0.2">
      <c r="A132" s="4">
        <v>750</v>
      </c>
      <c r="B132" s="5">
        <v>40604</v>
      </c>
      <c r="C132" s="4">
        <v>1</v>
      </c>
      <c r="D132" s="4">
        <v>0</v>
      </c>
      <c r="E132" s="4">
        <v>2</v>
      </c>
      <c r="F132" s="4">
        <v>15</v>
      </c>
      <c r="G132" s="4" t="b">
        <v>0</v>
      </c>
      <c r="H132" s="4">
        <v>4</v>
      </c>
      <c r="I132" s="4">
        <v>1</v>
      </c>
      <c r="J132" s="4">
        <v>0.22</v>
      </c>
      <c r="K132" s="4">
        <v>0.19700000000000001</v>
      </c>
      <c r="L132" s="4">
        <v>0.37</v>
      </c>
      <c r="M132" s="4">
        <v>0.32840000000000003</v>
      </c>
      <c r="N132" s="4">
        <v>4</v>
      </c>
      <c r="O132" s="4">
        <v>56</v>
      </c>
      <c r="P132" s="4">
        <v>60</v>
      </c>
      <c r="Q132" s="6" t="str">
        <f t="shared" si="26"/>
        <v>Weekday</v>
      </c>
      <c r="R132" s="42">
        <f t="shared" si="27"/>
        <v>41507</v>
      </c>
      <c r="S132" s="42">
        <f t="shared" si="28"/>
        <v>124.8388746803069</v>
      </c>
      <c r="T132" s="42">
        <f t="shared" si="29"/>
        <v>261</v>
      </c>
      <c r="U132" s="42" t="str">
        <f t="shared" si="30"/>
        <v>Wee</v>
      </c>
      <c r="V132" s="42" t="str">
        <f t="shared" si="31"/>
        <v>kday</v>
      </c>
      <c r="W132" s="42">
        <f t="shared" si="32"/>
        <v>7</v>
      </c>
      <c r="X132" s="42">
        <f t="shared" si="33"/>
        <v>0.19700000000000001</v>
      </c>
      <c r="Y132" s="3">
        <f t="shared" si="34"/>
        <v>82</v>
      </c>
      <c r="Z132" s="3">
        <f t="shared" ref="Z132:Z195" si="38">SUMIF(Q:Q,"Weekend",P:P)</f>
        <v>7883</v>
      </c>
      <c r="AA132" s="3">
        <f t="shared" si="35"/>
        <v>1232.2489122187819</v>
      </c>
      <c r="AB132" s="3">
        <f t="shared" si="36"/>
        <v>0.99911573903365103</v>
      </c>
      <c r="AC132" s="3" t="str">
        <f t="shared" si="37"/>
        <v>Normal</v>
      </c>
    </row>
    <row r="133" spans="1:29" x14ac:dyDescent="0.2">
      <c r="A133" s="4">
        <v>751</v>
      </c>
      <c r="B133" s="5">
        <v>40604</v>
      </c>
      <c r="C133" s="4">
        <v>1</v>
      </c>
      <c r="D133" s="4">
        <v>0</v>
      </c>
      <c r="E133" s="4">
        <v>2</v>
      </c>
      <c r="F133" s="4">
        <v>16</v>
      </c>
      <c r="G133" s="4" t="b">
        <v>0</v>
      </c>
      <c r="H133" s="4">
        <v>4</v>
      </c>
      <c r="I133" s="4">
        <v>1</v>
      </c>
      <c r="J133" s="4">
        <v>0.22</v>
      </c>
      <c r="K133" s="4">
        <v>0.21210000000000001</v>
      </c>
      <c r="L133" s="4">
        <v>0.37</v>
      </c>
      <c r="M133" s="4">
        <v>0.25369999999999998</v>
      </c>
      <c r="N133" s="4">
        <v>5</v>
      </c>
      <c r="O133" s="4">
        <v>73</v>
      </c>
      <c r="P133" s="4">
        <v>78</v>
      </c>
      <c r="Q133" s="6" t="str">
        <f t="shared" si="26"/>
        <v>Weekday</v>
      </c>
      <c r="R133" s="42">
        <f t="shared" si="27"/>
        <v>41447</v>
      </c>
      <c r="S133" s="42">
        <f t="shared" si="28"/>
        <v>124.8388746803069</v>
      </c>
      <c r="T133" s="42">
        <f t="shared" si="29"/>
        <v>260</v>
      </c>
      <c r="U133" s="42" t="str">
        <f t="shared" si="30"/>
        <v>Wee</v>
      </c>
      <c r="V133" s="42" t="str">
        <f t="shared" si="31"/>
        <v>kday</v>
      </c>
      <c r="W133" s="42">
        <f t="shared" si="32"/>
        <v>7</v>
      </c>
      <c r="X133" s="42">
        <f t="shared" si="33"/>
        <v>0.21210000000000001</v>
      </c>
      <c r="Y133" s="3">
        <f t="shared" si="34"/>
        <v>82</v>
      </c>
      <c r="Z133" s="3">
        <f t="shared" si="38"/>
        <v>7883</v>
      </c>
      <c r="AA133" s="3">
        <f t="shared" si="35"/>
        <v>1232.2489122187819</v>
      </c>
      <c r="AB133" s="3">
        <f t="shared" si="36"/>
        <v>0.99911573903365103</v>
      </c>
      <c r="AC133" s="3" t="str">
        <f t="shared" si="37"/>
        <v>Normal</v>
      </c>
    </row>
    <row r="134" spans="1:29" x14ac:dyDescent="0.2">
      <c r="A134" s="4">
        <v>752</v>
      </c>
      <c r="B134" s="5">
        <v>40604</v>
      </c>
      <c r="C134" s="4">
        <v>1</v>
      </c>
      <c r="D134" s="4">
        <v>0</v>
      </c>
      <c r="E134" s="4">
        <v>2</v>
      </c>
      <c r="F134" s="4">
        <v>17</v>
      </c>
      <c r="G134" s="4" t="b">
        <v>0</v>
      </c>
      <c r="H134" s="4">
        <v>4</v>
      </c>
      <c r="I134" s="4">
        <v>1</v>
      </c>
      <c r="J134" s="4">
        <v>0.2</v>
      </c>
      <c r="K134" s="4">
        <v>0.19700000000000001</v>
      </c>
      <c r="L134" s="4">
        <v>0.4</v>
      </c>
      <c r="M134" s="4">
        <v>0.19400000000000001</v>
      </c>
      <c r="N134" s="4">
        <v>5</v>
      </c>
      <c r="O134" s="4">
        <v>170</v>
      </c>
      <c r="P134" s="4">
        <v>175</v>
      </c>
      <c r="Q134" s="6" t="str">
        <f t="shared" si="26"/>
        <v>Weekday</v>
      </c>
      <c r="R134" s="42">
        <f t="shared" si="27"/>
        <v>41369</v>
      </c>
      <c r="S134" s="42">
        <f t="shared" si="28"/>
        <v>124.8388746803069</v>
      </c>
      <c r="T134" s="42">
        <f t="shared" si="29"/>
        <v>259</v>
      </c>
      <c r="U134" s="42" t="str">
        <f t="shared" si="30"/>
        <v>Wee</v>
      </c>
      <c r="V134" s="42" t="str">
        <f t="shared" si="31"/>
        <v>kday</v>
      </c>
      <c r="W134" s="42">
        <f t="shared" si="32"/>
        <v>7</v>
      </c>
      <c r="X134" s="42">
        <f t="shared" si="33"/>
        <v>0.19700000000000001</v>
      </c>
      <c r="Y134" s="3">
        <f t="shared" si="34"/>
        <v>82</v>
      </c>
      <c r="Z134" s="3">
        <f t="shared" si="38"/>
        <v>7883</v>
      </c>
      <c r="AA134" s="3">
        <f t="shared" si="35"/>
        <v>1232.2489122187819</v>
      </c>
      <c r="AB134" s="3">
        <f t="shared" si="36"/>
        <v>0.99911573903365103</v>
      </c>
      <c r="AC134" s="3" t="str">
        <f t="shared" si="37"/>
        <v>Normal</v>
      </c>
    </row>
    <row r="135" spans="1:29" x14ac:dyDescent="0.2">
      <c r="A135" s="4">
        <v>753</v>
      </c>
      <c r="B135" s="5">
        <v>40604</v>
      </c>
      <c r="C135" s="4">
        <v>1</v>
      </c>
      <c r="D135" s="4">
        <v>0</v>
      </c>
      <c r="E135" s="4">
        <v>2</v>
      </c>
      <c r="F135" s="4">
        <v>18</v>
      </c>
      <c r="G135" s="4" t="b">
        <v>0</v>
      </c>
      <c r="H135" s="4">
        <v>4</v>
      </c>
      <c r="I135" s="4">
        <v>1</v>
      </c>
      <c r="J135" s="4">
        <v>0.2</v>
      </c>
      <c r="K135" s="4">
        <v>0.21210000000000001</v>
      </c>
      <c r="L135" s="4">
        <v>0.4</v>
      </c>
      <c r="M135" s="4">
        <v>0.16420000000000001</v>
      </c>
      <c r="N135" s="4">
        <v>2</v>
      </c>
      <c r="O135" s="4">
        <v>145</v>
      </c>
      <c r="P135" s="4">
        <v>147</v>
      </c>
      <c r="Q135" s="6" t="str">
        <f t="shared" si="26"/>
        <v>Weekday</v>
      </c>
      <c r="R135" s="42">
        <f t="shared" si="27"/>
        <v>41194</v>
      </c>
      <c r="S135" s="42">
        <f t="shared" si="28"/>
        <v>124.8388746803069</v>
      </c>
      <c r="T135" s="42">
        <f t="shared" si="29"/>
        <v>258</v>
      </c>
      <c r="U135" s="42" t="str">
        <f t="shared" si="30"/>
        <v>Wee</v>
      </c>
      <c r="V135" s="42" t="str">
        <f t="shared" si="31"/>
        <v>kday</v>
      </c>
      <c r="W135" s="42">
        <f t="shared" si="32"/>
        <v>7</v>
      </c>
      <c r="X135" s="42">
        <f t="shared" si="33"/>
        <v>0.21210000000000001</v>
      </c>
      <c r="Y135" s="3">
        <f t="shared" si="34"/>
        <v>82</v>
      </c>
      <c r="Z135" s="3">
        <f t="shared" si="38"/>
        <v>7883</v>
      </c>
      <c r="AA135" s="3">
        <f t="shared" si="35"/>
        <v>1232.2489122187819</v>
      </c>
      <c r="AB135" s="3">
        <f t="shared" si="36"/>
        <v>0.99911573903365103</v>
      </c>
      <c r="AC135" s="3" t="str">
        <f t="shared" si="37"/>
        <v>Normal</v>
      </c>
    </row>
    <row r="136" spans="1:29" x14ac:dyDescent="0.2">
      <c r="A136" s="4">
        <v>754</v>
      </c>
      <c r="B136" s="5">
        <v>40604</v>
      </c>
      <c r="C136" s="4">
        <v>1</v>
      </c>
      <c r="D136" s="4">
        <v>0</v>
      </c>
      <c r="E136" s="4">
        <v>2</v>
      </c>
      <c r="F136" s="4">
        <v>19</v>
      </c>
      <c r="G136" s="4" t="b">
        <v>0</v>
      </c>
      <c r="H136" s="4">
        <v>4</v>
      </c>
      <c r="I136" s="4">
        <v>1</v>
      </c>
      <c r="J136" s="4">
        <v>0.2</v>
      </c>
      <c r="K136" s="4">
        <v>0.2576</v>
      </c>
      <c r="L136" s="4">
        <v>0.4</v>
      </c>
      <c r="M136" s="4">
        <v>0</v>
      </c>
      <c r="N136" s="4">
        <v>4</v>
      </c>
      <c r="O136" s="4">
        <v>92</v>
      </c>
      <c r="P136" s="4">
        <v>96</v>
      </c>
      <c r="Q136" s="6" t="str">
        <f t="shared" si="26"/>
        <v>Weekday</v>
      </c>
      <c r="R136" s="42">
        <f t="shared" si="27"/>
        <v>41047</v>
      </c>
      <c r="S136" s="42">
        <f t="shared" si="28"/>
        <v>124.8388746803069</v>
      </c>
      <c r="T136" s="42">
        <f t="shared" si="29"/>
        <v>257</v>
      </c>
      <c r="U136" s="42" t="str">
        <f t="shared" si="30"/>
        <v>Wee</v>
      </c>
      <c r="V136" s="42" t="str">
        <f t="shared" si="31"/>
        <v>kday</v>
      </c>
      <c r="W136" s="42">
        <f t="shared" si="32"/>
        <v>7</v>
      </c>
      <c r="X136" s="42">
        <f t="shared" si="33"/>
        <v>0.2576</v>
      </c>
      <c r="Y136" s="3">
        <f t="shared" si="34"/>
        <v>82</v>
      </c>
      <c r="Z136" s="3">
        <f t="shared" si="38"/>
        <v>7883</v>
      </c>
      <c r="AA136" s="3">
        <f t="shared" si="35"/>
        <v>1232.2489122187819</v>
      </c>
      <c r="AB136" s="3">
        <f t="shared" si="36"/>
        <v>0.99911573903365103</v>
      </c>
      <c r="AC136" s="3" t="str">
        <f t="shared" si="37"/>
        <v>Normal</v>
      </c>
    </row>
    <row r="137" spans="1:29" x14ac:dyDescent="0.2">
      <c r="A137" s="4">
        <v>755</v>
      </c>
      <c r="B137" s="5">
        <v>40604</v>
      </c>
      <c r="C137" s="4">
        <v>1</v>
      </c>
      <c r="D137" s="4">
        <v>0</v>
      </c>
      <c r="E137" s="4">
        <v>2</v>
      </c>
      <c r="F137" s="4">
        <v>20</v>
      </c>
      <c r="G137" s="4" t="b">
        <v>0</v>
      </c>
      <c r="H137" s="4">
        <v>4</v>
      </c>
      <c r="I137" s="4">
        <v>1</v>
      </c>
      <c r="J137" s="4">
        <v>0.2</v>
      </c>
      <c r="K137" s="4">
        <v>0.2273</v>
      </c>
      <c r="L137" s="4">
        <v>0.47</v>
      </c>
      <c r="M137" s="4">
        <v>8.9599999999999999E-2</v>
      </c>
      <c r="N137" s="4">
        <v>1</v>
      </c>
      <c r="O137" s="4">
        <v>108</v>
      </c>
      <c r="P137" s="4">
        <v>109</v>
      </c>
      <c r="Q137" s="6" t="str">
        <f t="shared" si="26"/>
        <v>Weekday</v>
      </c>
      <c r="R137" s="42">
        <f t="shared" si="27"/>
        <v>40951</v>
      </c>
      <c r="S137" s="42">
        <f t="shared" si="28"/>
        <v>124.8388746803069</v>
      </c>
      <c r="T137" s="42">
        <f t="shared" si="29"/>
        <v>256</v>
      </c>
      <c r="U137" s="42" t="str">
        <f t="shared" si="30"/>
        <v>Wee</v>
      </c>
      <c r="V137" s="42" t="str">
        <f t="shared" si="31"/>
        <v>kday</v>
      </c>
      <c r="W137" s="42">
        <f t="shared" si="32"/>
        <v>7</v>
      </c>
      <c r="X137" s="42">
        <f t="shared" si="33"/>
        <v>0.2273</v>
      </c>
      <c r="Y137" s="3">
        <f t="shared" si="34"/>
        <v>82</v>
      </c>
      <c r="Z137" s="3">
        <f t="shared" si="38"/>
        <v>7883</v>
      </c>
      <c r="AA137" s="3">
        <f t="shared" si="35"/>
        <v>1232.2489122187819</v>
      </c>
      <c r="AB137" s="3">
        <f t="shared" si="36"/>
        <v>0.99911573903365103</v>
      </c>
      <c r="AC137" s="3" t="str">
        <f t="shared" si="37"/>
        <v>Normal</v>
      </c>
    </row>
    <row r="138" spans="1:29" x14ac:dyDescent="0.2">
      <c r="A138" s="4">
        <v>756</v>
      </c>
      <c r="B138" s="5">
        <v>40604</v>
      </c>
      <c r="C138" s="4">
        <v>1</v>
      </c>
      <c r="D138" s="4">
        <v>0</v>
      </c>
      <c r="E138" s="4">
        <v>2</v>
      </c>
      <c r="F138" s="4">
        <v>21</v>
      </c>
      <c r="G138" s="4" t="b">
        <v>0</v>
      </c>
      <c r="H138" s="4">
        <v>4</v>
      </c>
      <c r="I138" s="4">
        <v>1</v>
      </c>
      <c r="J138" s="4">
        <v>0.18</v>
      </c>
      <c r="K138" s="4">
        <v>0.21210000000000001</v>
      </c>
      <c r="L138" s="4">
        <v>0.55000000000000004</v>
      </c>
      <c r="M138" s="4">
        <v>0.1045</v>
      </c>
      <c r="N138" s="4">
        <v>1</v>
      </c>
      <c r="O138" s="4">
        <v>53</v>
      </c>
      <c r="P138" s="4">
        <v>54</v>
      </c>
      <c r="Q138" s="6" t="str">
        <f t="shared" si="26"/>
        <v>Weekday</v>
      </c>
      <c r="R138" s="42">
        <f t="shared" si="27"/>
        <v>40842</v>
      </c>
      <c r="S138" s="42">
        <f t="shared" si="28"/>
        <v>124.8388746803069</v>
      </c>
      <c r="T138" s="42">
        <f t="shared" si="29"/>
        <v>255</v>
      </c>
      <c r="U138" s="42" t="str">
        <f t="shared" si="30"/>
        <v>Wee</v>
      </c>
      <c r="V138" s="42" t="str">
        <f t="shared" si="31"/>
        <v>kday</v>
      </c>
      <c r="W138" s="42">
        <f t="shared" si="32"/>
        <v>7</v>
      </c>
      <c r="X138" s="42">
        <f t="shared" si="33"/>
        <v>0.21210000000000001</v>
      </c>
      <c r="Y138" s="3">
        <f t="shared" si="34"/>
        <v>82</v>
      </c>
      <c r="Z138" s="3">
        <f t="shared" si="38"/>
        <v>7883</v>
      </c>
      <c r="AA138" s="3">
        <f t="shared" si="35"/>
        <v>1232.2489122187819</v>
      </c>
      <c r="AB138" s="3">
        <f t="shared" si="36"/>
        <v>0.99911573903365103</v>
      </c>
      <c r="AC138" s="3" t="str">
        <f t="shared" si="37"/>
        <v>Normal</v>
      </c>
    </row>
    <row r="139" spans="1:29" x14ac:dyDescent="0.2">
      <c r="A139" s="4">
        <v>757</v>
      </c>
      <c r="B139" s="5">
        <v>40604</v>
      </c>
      <c r="C139" s="4">
        <v>1</v>
      </c>
      <c r="D139" s="4">
        <v>0</v>
      </c>
      <c r="E139" s="4">
        <v>2</v>
      </c>
      <c r="F139" s="4">
        <v>22</v>
      </c>
      <c r="G139" s="4" t="b">
        <v>0</v>
      </c>
      <c r="H139" s="4">
        <v>4</v>
      </c>
      <c r="I139" s="4">
        <v>1</v>
      </c>
      <c r="J139" s="4">
        <v>0.18</v>
      </c>
      <c r="K139" s="4">
        <v>0.21210000000000001</v>
      </c>
      <c r="L139" s="4">
        <v>0.51</v>
      </c>
      <c r="M139" s="4">
        <v>8.9599999999999999E-2</v>
      </c>
      <c r="N139" s="4">
        <v>2</v>
      </c>
      <c r="O139" s="4">
        <v>39</v>
      </c>
      <c r="P139" s="4">
        <v>41</v>
      </c>
      <c r="Q139" s="6" t="str">
        <f t="shared" si="26"/>
        <v>Weekday</v>
      </c>
      <c r="R139" s="42">
        <f t="shared" si="27"/>
        <v>40788</v>
      </c>
      <c r="S139" s="42">
        <f t="shared" si="28"/>
        <v>124.8388746803069</v>
      </c>
      <c r="T139" s="42">
        <f t="shared" si="29"/>
        <v>254</v>
      </c>
      <c r="U139" s="42" t="str">
        <f t="shared" si="30"/>
        <v>Wee</v>
      </c>
      <c r="V139" s="42" t="str">
        <f t="shared" si="31"/>
        <v>kday</v>
      </c>
      <c r="W139" s="42">
        <f t="shared" si="32"/>
        <v>7</v>
      </c>
      <c r="X139" s="42">
        <f t="shared" si="33"/>
        <v>0.21210000000000001</v>
      </c>
      <c r="Y139" s="3">
        <f t="shared" si="34"/>
        <v>82</v>
      </c>
      <c r="Z139" s="3">
        <f t="shared" si="38"/>
        <v>7883</v>
      </c>
      <c r="AA139" s="3">
        <f t="shared" si="35"/>
        <v>1232.2489122187819</v>
      </c>
      <c r="AB139" s="3">
        <f t="shared" si="36"/>
        <v>0.99911573903365103</v>
      </c>
      <c r="AC139" s="3" t="str">
        <f t="shared" si="37"/>
        <v>Normal</v>
      </c>
    </row>
    <row r="140" spans="1:29" x14ac:dyDescent="0.2">
      <c r="A140" s="4">
        <v>758</v>
      </c>
      <c r="B140" s="5">
        <v>40604</v>
      </c>
      <c r="C140" s="4">
        <v>1</v>
      </c>
      <c r="D140" s="4">
        <v>0</v>
      </c>
      <c r="E140" s="4">
        <v>2</v>
      </c>
      <c r="F140" s="4">
        <v>23</v>
      </c>
      <c r="G140" s="4" t="b">
        <v>0</v>
      </c>
      <c r="H140" s="4">
        <v>4</v>
      </c>
      <c r="I140" s="4">
        <v>1</v>
      </c>
      <c r="J140" s="4">
        <v>0.2</v>
      </c>
      <c r="K140" s="4">
        <v>0.2273</v>
      </c>
      <c r="L140" s="4">
        <v>0.47</v>
      </c>
      <c r="M140" s="4">
        <v>0.1045</v>
      </c>
      <c r="N140" s="4">
        <v>4</v>
      </c>
      <c r="O140" s="4">
        <v>34</v>
      </c>
      <c r="P140" s="4">
        <v>38</v>
      </c>
      <c r="Q140" s="6" t="str">
        <f t="shared" si="26"/>
        <v>Weekday</v>
      </c>
      <c r="R140" s="42">
        <f t="shared" si="27"/>
        <v>40747</v>
      </c>
      <c r="S140" s="42">
        <f t="shared" si="28"/>
        <v>124.8388746803069</v>
      </c>
      <c r="T140" s="42">
        <f t="shared" si="29"/>
        <v>253</v>
      </c>
      <c r="U140" s="42" t="str">
        <f t="shared" si="30"/>
        <v>Wee</v>
      </c>
      <c r="V140" s="42" t="str">
        <f t="shared" si="31"/>
        <v>kday</v>
      </c>
      <c r="W140" s="42">
        <f t="shared" si="32"/>
        <v>7</v>
      </c>
      <c r="X140" s="42">
        <f t="shared" si="33"/>
        <v>0.2273</v>
      </c>
      <c r="Y140" s="3">
        <f t="shared" si="34"/>
        <v>82</v>
      </c>
      <c r="Z140" s="3">
        <f t="shared" si="38"/>
        <v>7883</v>
      </c>
      <c r="AA140" s="3">
        <f t="shared" si="35"/>
        <v>1232.2489122187819</v>
      </c>
      <c r="AB140" s="3">
        <f t="shared" si="36"/>
        <v>0.99911573903365103</v>
      </c>
      <c r="AC140" s="3" t="str">
        <f t="shared" si="37"/>
        <v>Normal</v>
      </c>
    </row>
    <row r="141" spans="1:29" x14ac:dyDescent="0.2">
      <c r="A141" s="4">
        <v>759</v>
      </c>
      <c r="B141" s="5">
        <v>40635</v>
      </c>
      <c r="C141" s="4">
        <v>1</v>
      </c>
      <c r="D141" s="4">
        <v>0</v>
      </c>
      <c r="E141" s="4">
        <v>2</v>
      </c>
      <c r="F141" s="4">
        <v>0</v>
      </c>
      <c r="G141" s="4" t="b">
        <v>0</v>
      </c>
      <c r="H141" s="4">
        <v>5</v>
      </c>
      <c r="I141" s="4">
        <v>2</v>
      </c>
      <c r="J141" s="4">
        <v>0.2</v>
      </c>
      <c r="K141" s="4">
        <v>0.2576</v>
      </c>
      <c r="L141" s="4">
        <v>0.44</v>
      </c>
      <c r="M141" s="4">
        <v>0</v>
      </c>
      <c r="N141" s="4">
        <v>3</v>
      </c>
      <c r="O141" s="4">
        <v>10</v>
      </c>
      <c r="P141" s="4">
        <v>13</v>
      </c>
      <c r="Q141" s="6" t="str">
        <f t="shared" si="26"/>
        <v>Weekday</v>
      </c>
      <c r="R141" s="42">
        <f t="shared" si="27"/>
        <v>40709</v>
      </c>
      <c r="S141" s="42">
        <f t="shared" si="28"/>
        <v>124.8388746803069</v>
      </c>
      <c r="T141" s="42">
        <f t="shared" si="29"/>
        <v>252</v>
      </c>
      <c r="U141" s="42" t="str">
        <f t="shared" si="30"/>
        <v>Wee</v>
      </c>
      <c r="V141" s="42" t="str">
        <f t="shared" si="31"/>
        <v>kday</v>
      </c>
      <c r="W141" s="42">
        <f t="shared" si="32"/>
        <v>7</v>
      </c>
      <c r="X141" s="42">
        <f t="shared" si="33"/>
        <v>0.2576</v>
      </c>
      <c r="Y141" s="3">
        <f t="shared" si="34"/>
        <v>82</v>
      </c>
      <c r="Z141" s="3">
        <f t="shared" si="38"/>
        <v>7883</v>
      </c>
      <c r="AA141" s="3">
        <f t="shared" si="35"/>
        <v>1232.2489122187819</v>
      </c>
      <c r="AB141" s="3">
        <f t="shared" si="36"/>
        <v>0.99911573903365103</v>
      </c>
      <c r="AC141" s="3" t="str">
        <f t="shared" si="37"/>
        <v>Normal</v>
      </c>
    </row>
    <row r="142" spans="1:29" x14ac:dyDescent="0.2">
      <c r="A142" s="4">
        <v>760</v>
      </c>
      <c r="B142" s="5">
        <v>40635</v>
      </c>
      <c r="C142" s="4">
        <v>1</v>
      </c>
      <c r="D142" s="4">
        <v>0</v>
      </c>
      <c r="E142" s="4">
        <v>2</v>
      </c>
      <c r="F142" s="4">
        <v>1</v>
      </c>
      <c r="G142" s="4" t="b">
        <v>0</v>
      </c>
      <c r="H142" s="4">
        <v>5</v>
      </c>
      <c r="I142" s="4">
        <v>2</v>
      </c>
      <c r="J142" s="4">
        <v>0.16</v>
      </c>
      <c r="K142" s="4">
        <v>0.2273</v>
      </c>
      <c r="L142" s="4">
        <v>0.59</v>
      </c>
      <c r="M142" s="4">
        <v>0</v>
      </c>
      <c r="N142" s="4">
        <v>0</v>
      </c>
      <c r="O142" s="4">
        <v>7</v>
      </c>
      <c r="P142" s="4">
        <v>7</v>
      </c>
      <c r="Q142" s="6" t="str">
        <f t="shared" si="26"/>
        <v>Weekday</v>
      </c>
      <c r="R142" s="42">
        <f t="shared" si="27"/>
        <v>40696</v>
      </c>
      <c r="S142" s="42">
        <f t="shared" si="28"/>
        <v>124.8388746803069</v>
      </c>
      <c r="T142" s="42">
        <f t="shared" si="29"/>
        <v>251</v>
      </c>
      <c r="U142" s="42" t="str">
        <f t="shared" si="30"/>
        <v>Wee</v>
      </c>
      <c r="V142" s="42" t="str">
        <f t="shared" si="31"/>
        <v>kday</v>
      </c>
      <c r="W142" s="42">
        <f t="shared" si="32"/>
        <v>7</v>
      </c>
      <c r="X142" s="42">
        <f t="shared" si="33"/>
        <v>0.2273</v>
      </c>
      <c r="Y142" s="3">
        <f t="shared" si="34"/>
        <v>82</v>
      </c>
      <c r="Z142" s="3">
        <f t="shared" si="38"/>
        <v>7883</v>
      </c>
      <c r="AA142" s="3">
        <f t="shared" si="35"/>
        <v>1232.2489122187819</v>
      </c>
      <c r="AB142" s="3">
        <f t="shared" si="36"/>
        <v>0.99911573903365103</v>
      </c>
      <c r="AC142" s="3" t="str">
        <f t="shared" si="37"/>
        <v>Normal</v>
      </c>
    </row>
    <row r="143" spans="1:29" x14ac:dyDescent="0.2">
      <c r="A143" s="4">
        <v>761</v>
      </c>
      <c r="B143" s="5">
        <v>40635</v>
      </c>
      <c r="C143" s="4">
        <v>1</v>
      </c>
      <c r="D143" s="4">
        <v>0</v>
      </c>
      <c r="E143" s="4">
        <v>2</v>
      </c>
      <c r="F143" s="4">
        <v>2</v>
      </c>
      <c r="G143" s="4" t="b">
        <v>0</v>
      </c>
      <c r="H143" s="4">
        <v>5</v>
      </c>
      <c r="I143" s="4">
        <v>2</v>
      </c>
      <c r="J143" s="4">
        <v>0.14000000000000001</v>
      </c>
      <c r="K143" s="4">
        <v>0.16669999999999999</v>
      </c>
      <c r="L143" s="4">
        <v>0.63</v>
      </c>
      <c r="M143" s="4">
        <v>0.1045</v>
      </c>
      <c r="N143" s="4">
        <v>0</v>
      </c>
      <c r="O143" s="4">
        <v>1</v>
      </c>
      <c r="P143" s="4">
        <v>1</v>
      </c>
      <c r="Q143" s="6" t="str">
        <f t="shared" si="26"/>
        <v>Weekday</v>
      </c>
      <c r="R143" s="42">
        <f t="shared" si="27"/>
        <v>40689</v>
      </c>
      <c r="S143" s="42">
        <f t="shared" si="28"/>
        <v>124.8388746803069</v>
      </c>
      <c r="T143" s="42">
        <f t="shared" si="29"/>
        <v>250</v>
      </c>
      <c r="U143" s="42" t="str">
        <f t="shared" si="30"/>
        <v>Wee</v>
      </c>
      <c r="V143" s="42" t="str">
        <f t="shared" si="31"/>
        <v>kday</v>
      </c>
      <c r="W143" s="42">
        <f t="shared" si="32"/>
        <v>7</v>
      </c>
      <c r="X143" s="42">
        <f t="shared" si="33"/>
        <v>0.16669999999999999</v>
      </c>
      <c r="Y143" s="3">
        <f t="shared" si="34"/>
        <v>82</v>
      </c>
      <c r="Z143" s="3">
        <f t="shared" si="38"/>
        <v>7883</v>
      </c>
      <c r="AA143" s="3">
        <f t="shared" si="35"/>
        <v>1232.2489122187819</v>
      </c>
      <c r="AB143" s="3">
        <f t="shared" si="36"/>
        <v>0.99911573903365103</v>
      </c>
      <c r="AC143" s="3" t="str">
        <f t="shared" si="37"/>
        <v>Normal</v>
      </c>
    </row>
    <row r="144" spans="1:29" x14ac:dyDescent="0.2">
      <c r="A144" s="4">
        <v>762</v>
      </c>
      <c r="B144" s="5">
        <v>40635</v>
      </c>
      <c r="C144" s="4">
        <v>1</v>
      </c>
      <c r="D144" s="4">
        <v>0</v>
      </c>
      <c r="E144" s="4">
        <v>2</v>
      </c>
      <c r="F144" s="4">
        <v>3</v>
      </c>
      <c r="G144" s="4" t="b">
        <v>0</v>
      </c>
      <c r="H144" s="4">
        <v>5</v>
      </c>
      <c r="I144" s="4">
        <v>2</v>
      </c>
      <c r="J144" s="4">
        <v>0.14000000000000001</v>
      </c>
      <c r="K144" s="4">
        <v>0.16669999999999999</v>
      </c>
      <c r="L144" s="4">
        <v>0.63</v>
      </c>
      <c r="M144" s="4">
        <v>0.1045</v>
      </c>
      <c r="N144" s="4">
        <v>0</v>
      </c>
      <c r="O144" s="4">
        <v>1</v>
      </c>
      <c r="P144" s="4">
        <v>1</v>
      </c>
      <c r="Q144" s="6" t="str">
        <f t="shared" si="26"/>
        <v>Weekday</v>
      </c>
      <c r="R144" s="42">
        <f t="shared" si="27"/>
        <v>40688</v>
      </c>
      <c r="S144" s="42">
        <f t="shared" si="28"/>
        <v>124.8388746803069</v>
      </c>
      <c r="T144" s="42">
        <f t="shared" si="29"/>
        <v>249</v>
      </c>
      <c r="U144" s="42" t="str">
        <f t="shared" si="30"/>
        <v>Wee</v>
      </c>
      <c r="V144" s="42" t="str">
        <f t="shared" si="31"/>
        <v>kday</v>
      </c>
      <c r="W144" s="42">
        <f t="shared" si="32"/>
        <v>7</v>
      </c>
      <c r="X144" s="42">
        <f t="shared" si="33"/>
        <v>0.16669999999999999</v>
      </c>
      <c r="Y144" s="3">
        <f t="shared" si="34"/>
        <v>82</v>
      </c>
      <c r="Z144" s="3">
        <f t="shared" si="38"/>
        <v>7883</v>
      </c>
      <c r="AA144" s="3">
        <f t="shared" si="35"/>
        <v>1232.2489122187819</v>
      </c>
      <c r="AB144" s="3">
        <f t="shared" si="36"/>
        <v>0.99911573903365103</v>
      </c>
      <c r="AC144" s="3" t="str">
        <f t="shared" si="37"/>
        <v>Normal</v>
      </c>
    </row>
    <row r="145" spans="1:29" x14ac:dyDescent="0.2">
      <c r="A145" s="4">
        <v>763</v>
      </c>
      <c r="B145" s="5">
        <v>40635</v>
      </c>
      <c r="C145" s="4">
        <v>1</v>
      </c>
      <c r="D145" s="4">
        <v>0</v>
      </c>
      <c r="E145" s="4">
        <v>2</v>
      </c>
      <c r="F145" s="4">
        <v>5</v>
      </c>
      <c r="G145" s="4" t="b">
        <v>0</v>
      </c>
      <c r="H145" s="4">
        <v>5</v>
      </c>
      <c r="I145" s="4">
        <v>2</v>
      </c>
      <c r="J145" s="4">
        <v>0.14000000000000001</v>
      </c>
      <c r="K145" s="4">
        <v>0.1515</v>
      </c>
      <c r="L145" s="4">
        <v>0.63</v>
      </c>
      <c r="M145" s="4">
        <v>0.1343</v>
      </c>
      <c r="N145" s="4">
        <v>0</v>
      </c>
      <c r="O145" s="4">
        <v>7</v>
      </c>
      <c r="P145" s="4">
        <v>7</v>
      </c>
      <c r="Q145" s="6" t="str">
        <f t="shared" si="26"/>
        <v>Weekday</v>
      </c>
      <c r="R145" s="42">
        <f t="shared" si="27"/>
        <v>40687</v>
      </c>
      <c r="S145" s="42">
        <f t="shared" si="28"/>
        <v>124.8388746803069</v>
      </c>
      <c r="T145" s="42">
        <f t="shared" si="29"/>
        <v>248</v>
      </c>
      <c r="U145" s="42" t="str">
        <f t="shared" si="30"/>
        <v>Wee</v>
      </c>
      <c r="V145" s="42" t="str">
        <f t="shared" si="31"/>
        <v>kday</v>
      </c>
      <c r="W145" s="42">
        <f t="shared" si="32"/>
        <v>7</v>
      </c>
      <c r="X145" s="42">
        <f t="shared" si="33"/>
        <v>0.1515</v>
      </c>
      <c r="Y145" s="3">
        <f t="shared" si="34"/>
        <v>82</v>
      </c>
      <c r="Z145" s="3">
        <f t="shared" si="38"/>
        <v>7883</v>
      </c>
      <c r="AA145" s="3">
        <f t="shared" si="35"/>
        <v>1232.2489122187819</v>
      </c>
      <c r="AB145" s="3">
        <f t="shared" si="36"/>
        <v>0.99911573903365103</v>
      </c>
      <c r="AC145" s="3" t="str">
        <f t="shared" si="37"/>
        <v>Normal</v>
      </c>
    </row>
    <row r="146" spans="1:29" x14ac:dyDescent="0.2">
      <c r="A146" s="4">
        <v>764</v>
      </c>
      <c r="B146" s="5">
        <v>40635</v>
      </c>
      <c r="C146" s="4">
        <v>1</v>
      </c>
      <c r="D146" s="4">
        <v>0</v>
      </c>
      <c r="E146" s="4">
        <v>2</v>
      </c>
      <c r="F146" s="4">
        <v>6</v>
      </c>
      <c r="G146" s="4" t="b">
        <v>0</v>
      </c>
      <c r="H146" s="4">
        <v>5</v>
      </c>
      <c r="I146" s="4">
        <v>2</v>
      </c>
      <c r="J146" s="4">
        <v>0.16</v>
      </c>
      <c r="K146" s="4">
        <v>0.2273</v>
      </c>
      <c r="L146" s="4">
        <v>0.55000000000000004</v>
      </c>
      <c r="M146" s="4">
        <v>0</v>
      </c>
      <c r="N146" s="4">
        <v>2</v>
      </c>
      <c r="O146" s="4">
        <v>26</v>
      </c>
      <c r="P146" s="4">
        <v>28</v>
      </c>
      <c r="Q146" s="6" t="str">
        <f t="shared" si="26"/>
        <v>Weekday</v>
      </c>
      <c r="R146" s="42">
        <f t="shared" si="27"/>
        <v>40680</v>
      </c>
      <c r="S146" s="42">
        <f t="shared" si="28"/>
        <v>124.8388746803069</v>
      </c>
      <c r="T146" s="42">
        <f t="shared" si="29"/>
        <v>247</v>
      </c>
      <c r="U146" s="42" t="str">
        <f t="shared" si="30"/>
        <v>Wee</v>
      </c>
      <c r="V146" s="42" t="str">
        <f t="shared" si="31"/>
        <v>kday</v>
      </c>
      <c r="W146" s="42">
        <f t="shared" si="32"/>
        <v>7</v>
      </c>
      <c r="X146" s="42">
        <f t="shared" si="33"/>
        <v>0.2273</v>
      </c>
      <c r="Y146" s="3">
        <f t="shared" si="34"/>
        <v>82</v>
      </c>
      <c r="Z146" s="3">
        <f t="shared" si="38"/>
        <v>7883</v>
      </c>
      <c r="AA146" s="3">
        <f t="shared" si="35"/>
        <v>1232.2489122187819</v>
      </c>
      <c r="AB146" s="3">
        <f t="shared" si="36"/>
        <v>0.99911573903365103</v>
      </c>
      <c r="AC146" s="3" t="str">
        <f t="shared" si="37"/>
        <v>Normal</v>
      </c>
    </row>
    <row r="147" spans="1:29" x14ac:dyDescent="0.2">
      <c r="A147" s="4">
        <v>765</v>
      </c>
      <c r="B147" s="5">
        <v>40635</v>
      </c>
      <c r="C147" s="4">
        <v>1</v>
      </c>
      <c r="D147" s="4">
        <v>0</v>
      </c>
      <c r="E147" s="4">
        <v>2</v>
      </c>
      <c r="F147" s="4">
        <v>7</v>
      </c>
      <c r="G147" s="4" t="b">
        <v>0</v>
      </c>
      <c r="H147" s="4">
        <v>5</v>
      </c>
      <c r="I147" s="4">
        <v>1</v>
      </c>
      <c r="J147" s="4">
        <v>0.14000000000000001</v>
      </c>
      <c r="K147" s="4">
        <v>0.21210000000000001</v>
      </c>
      <c r="L147" s="4">
        <v>0.59</v>
      </c>
      <c r="M147" s="4">
        <v>0</v>
      </c>
      <c r="N147" s="4">
        <v>0</v>
      </c>
      <c r="O147" s="4">
        <v>87</v>
      </c>
      <c r="P147" s="4">
        <v>87</v>
      </c>
      <c r="Q147" s="6" t="str">
        <f t="shared" si="26"/>
        <v>Weekday</v>
      </c>
      <c r="R147" s="42">
        <f t="shared" si="27"/>
        <v>40652</v>
      </c>
      <c r="S147" s="42">
        <f t="shared" si="28"/>
        <v>124.8388746803069</v>
      </c>
      <c r="T147" s="42">
        <f t="shared" si="29"/>
        <v>246</v>
      </c>
      <c r="U147" s="42" t="str">
        <f t="shared" si="30"/>
        <v>Wee</v>
      </c>
      <c r="V147" s="42" t="str">
        <f t="shared" si="31"/>
        <v>kday</v>
      </c>
      <c r="W147" s="42">
        <f t="shared" si="32"/>
        <v>7</v>
      </c>
      <c r="X147" s="42">
        <f t="shared" si="33"/>
        <v>0.21210000000000001</v>
      </c>
      <c r="Y147" s="3">
        <f t="shared" si="34"/>
        <v>82</v>
      </c>
      <c r="Z147" s="3">
        <f t="shared" si="38"/>
        <v>7883</v>
      </c>
      <c r="AA147" s="3">
        <f t="shared" si="35"/>
        <v>1232.2489122187819</v>
      </c>
      <c r="AB147" s="3">
        <f t="shared" si="36"/>
        <v>0.99911573903365103</v>
      </c>
      <c r="AC147" s="3" t="str">
        <f t="shared" si="37"/>
        <v>Normal</v>
      </c>
    </row>
    <row r="148" spans="1:29" x14ac:dyDescent="0.2">
      <c r="A148" s="4">
        <v>766</v>
      </c>
      <c r="B148" s="5">
        <v>40635</v>
      </c>
      <c r="C148" s="4">
        <v>1</v>
      </c>
      <c r="D148" s="4">
        <v>0</v>
      </c>
      <c r="E148" s="4">
        <v>2</v>
      </c>
      <c r="F148" s="4">
        <v>8</v>
      </c>
      <c r="G148" s="4" t="b">
        <v>0</v>
      </c>
      <c r="H148" s="4">
        <v>5</v>
      </c>
      <c r="I148" s="4">
        <v>1</v>
      </c>
      <c r="J148" s="4">
        <v>0.14000000000000001</v>
      </c>
      <c r="K148" s="4">
        <v>0.1515</v>
      </c>
      <c r="L148" s="4">
        <v>0.74</v>
      </c>
      <c r="M148" s="4">
        <v>0.1343</v>
      </c>
      <c r="N148" s="4">
        <v>3</v>
      </c>
      <c r="O148" s="4">
        <v>217</v>
      </c>
      <c r="P148" s="4">
        <v>220</v>
      </c>
      <c r="Q148" s="6" t="str">
        <f t="shared" si="26"/>
        <v>Weekday</v>
      </c>
      <c r="R148" s="42">
        <f t="shared" si="27"/>
        <v>40565</v>
      </c>
      <c r="S148" s="42">
        <f t="shared" si="28"/>
        <v>124.8388746803069</v>
      </c>
      <c r="T148" s="42">
        <f t="shared" si="29"/>
        <v>245</v>
      </c>
      <c r="U148" s="42" t="str">
        <f t="shared" si="30"/>
        <v>Wee</v>
      </c>
      <c r="V148" s="42" t="str">
        <f t="shared" si="31"/>
        <v>kday</v>
      </c>
      <c r="W148" s="42">
        <f t="shared" si="32"/>
        <v>7</v>
      </c>
      <c r="X148" s="42">
        <f t="shared" si="33"/>
        <v>0.1515</v>
      </c>
      <c r="Y148" s="3">
        <f t="shared" si="34"/>
        <v>82</v>
      </c>
      <c r="Z148" s="3">
        <f t="shared" si="38"/>
        <v>7883</v>
      </c>
      <c r="AA148" s="3">
        <f t="shared" si="35"/>
        <v>1232.2489122187819</v>
      </c>
      <c r="AB148" s="3">
        <f t="shared" si="36"/>
        <v>0.99911573903365103</v>
      </c>
      <c r="AC148" s="3" t="str">
        <f t="shared" si="37"/>
        <v>Normal</v>
      </c>
    </row>
    <row r="149" spans="1:29" x14ac:dyDescent="0.2">
      <c r="A149" s="4">
        <v>767</v>
      </c>
      <c r="B149" s="5">
        <v>40635</v>
      </c>
      <c r="C149" s="4">
        <v>1</v>
      </c>
      <c r="D149" s="4">
        <v>0</v>
      </c>
      <c r="E149" s="4">
        <v>2</v>
      </c>
      <c r="F149" s="4">
        <v>9</v>
      </c>
      <c r="G149" s="4" t="b">
        <v>0</v>
      </c>
      <c r="H149" s="4">
        <v>5</v>
      </c>
      <c r="I149" s="4">
        <v>2</v>
      </c>
      <c r="J149" s="4">
        <v>0.16</v>
      </c>
      <c r="K149" s="4">
        <v>0.18179999999999999</v>
      </c>
      <c r="L149" s="4">
        <v>0.8</v>
      </c>
      <c r="M149" s="4">
        <v>0.1343</v>
      </c>
      <c r="N149" s="4">
        <v>3</v>
      </c>
      <c r="O149" s="4">
        <v>124</v>
      </c>
      <c r="P149" s="4">
        <v>127</v>
      </c>
      <c r="Q149" s="6" t="str">
        <f t="shared" si="26"/>
        <v>Weekday</v>
      </c>
      <c r="R149" s="42">
        <f t="shared" si="27"/>
        <v>40345</v>
      </c>
      <c r="S149" s="42">
        <f t="shared" si="28"/>
        <v>124.8388746803069</v>
      </c>
      <c r="T149" s="42">
        <f t="shared" si="29"/>
        <v>244</v>
      </c>
      <c r="U149" s="42" t="str">
        <f t="shared" si="30"/>
        <v>Wee</v>
      </c>
      <c r="V149" s="42" t="str">
        <f t="shared" si="31"/>
        <v>kday</v>
      </c>
      <c r="W149" s="42">
        <f t="shared" si="32"/>
        <v>7</v>
      </c>
      <c r="X149" s="42">
        <f t="shared" si="33"/>
        <v>0.18179999999999999</v>
      </c>
      <c r="Y149" s="3">
        <f t="shared" si="34"/>
        <v>82</v>
      </c>
      <c r="Z149" s="3">
        <f t="shared" si="38"/>
        <v>7883</v>
      </c>
      <c r="AA149" s="3">
        <f t="shared" si="35"/>
        <v>1232.2489122187819</v>
      </c>
      <c r="AB149" s="3">
        <f t="shared" si="36"/>
        <v>0.99911573903365103</v>
      </c>
      <c r="AC149" s="3" t="str">
        <f t="shared" si="37"/>
        <v>Normal</v>
      </c>
    </row>
    <row r="150" spans="1:29" x14ac:dyDescent="0.2">
      <c r="A150" s="4">
        <v>768</v>
      </c>
      <c r="B150" s="5">
        <v>40635</v>
      </c>
      <c r="C150" s="4">
        <v>1</v>
      </c>
      <c r="D150" s="4">
        <v>0</v>
      </c>
      <c r="E150" s="4">
        <v>2</v>
      </c>
      <c r="F150" s="4">
        <v>10</v>
      </c>
      <c r="G150" s="4" t="b">
        <v>0</v>
      </c>
      <c r="H150" s="4">
        <v>5</v>
      </c>
      <c r="I150" s="4">
        <v>2</v>
      </c>
      <c r="J150" s="4">
        <v>0.2</v>
      </c>
      <c r="K150" s="4">
        <v>0.21210000000000001</v>
      </c>
      <c r="L150" s="4">
        <v>0.51</v>
      </c>
      <c r="M150" s="4">
        <v>0.1343</v>
      </c>
      <c r="N150" s="4">
        <v>5</v>
      </c>
      <c r="O150" s="4">
        <v>46</v>
      </c>
      <c r="P150" s="4">
        <v>51</v>
      </c>
      <c r="Q150" s="6" t="str">
        <f t="shared" si="26"/>
        <v>Weekday</v>
      </c>
      <c r="R150" s="42">
        <f t="shared" si="27"/>
        <v>40218</v>
      </c>
      <c r="S150" s="42">
        <f t="shared" si="28"/>
        <v>124.8388746803069</v>
      </c>
      <c r="T150" s="42">
        <f t="shared" si="29"/>
        <v>243</v>
      </c>
      <c r="U150" s="42" t="str">
        <f t="shared" si="30"/>
        <v>Wee</v>
      </c>
      <c r="V150" s="42" t="str">
        <f t="shared" si="31"/>
        <v>kday</v>
      </c>
      <c r="W150" s="42">
        <f t="shared" si="32"/>
        <v>7</v>
      </c>
      <c r="X150" s="42">
        <f t="shared" si="33"/>
        <v>0.21210000000000001</v>
      </c>
      <c r="Y150" s="3">
        <f t="shared" si="34"/>
        <v>82</v>
      </c>
      <c r="Z150" s="3">
        <f t="shared" si="38"/>
        <v>7883</v>
      </c>
      <c r="AA150" s="3">
        <f t="shared" si="35"/>
        <v>1232.2489122187819</v>
      </c>
      <c r="AB150" s="3">
        <f t="shared" si="36"/>
        <v>0.99911573903365103</v>
      </c>
      <c r="AC150" s="3" t="str">
        <f t="shared" si="37"/>
        <v>Normal</v>
      </c>
    </row>
    <row r="151" spans="1:29" x14ac:dyDescent="0.2">
      <c r="A151" s="4">
        <v>769</v>
      </c>
      <c r="B151" s="5">
        <v>40635</v>
      </c>
      <c r="C151" s="4">
        <v>1</v>
      </c>
      <c r="D151" s="4">
        <v>0</v>
      </c>
      <c r="E151" s="4">
        <v>2</v>
      </c>
      <c r="F151" s="4">
        <v>11</v>
      </c>
      <c r="G151" s="4" t="b">
        <v>0</v>
      </c>
      <c r="H151" s="4">
        <v>5</v>
      </c>
      <c r="I151" s="4">
        <v>1</v>
      </c>
      <c r="J151" s="4">
        <v>0.22</v>
      </c>
      <c r="K151" s="4">
        <v>0.2273</v>
      </c>
      <c r="L151" s="4">
        <v>0.51</v>
      </c>
      <c r="M151" s="4">
        <v>0.16420000000000001</v>
      </c>
      <c r="N151" s="4">
        <v>3</v>
      </c>
      <c r="O151" s="4">
        <v>61</v>
      </c>
      <c r="P151" s="4">
        <v>64</v>
      </c>
      <c r="Q151" s="6" t="str">
        <f t="shared" si="26"/>
        <v>Weekday</v>
      </c>
      <c r="R151" s="42">
        <f t="shared" si="27"/>
        <v>40167</v>
      </c>
      <c r="S151" s="42">
        <f t="shared" si="28"/>
        <v>124.8388746803069</v>
      </c>
      <c r="T151" s="42">
        <f t="shared" si="29"/>
        <v>242</v>
      </c>
      <c r="U151" s="42" t="str">
        <f t="shared" si="30"/>
        <v>Wee</v>
      </c>
      <c r="V151" s="42" t="str">
        <f t="shared" si="31"/>
        <v>kday</v>
      </c>
      <c r="W151" s="42">
        <f t="shared" si="32"/>
        <v>7</v>
      </c>
      <c r="X151" s="42">
        <f t="shared" si="33"/>
        <v>0.2273</v>
      </c>
      <c r="Y151" s="3">
        <f t="shared" si="34"/>
        <v>82</v>
      </c>
      <c r="Z151" s="3">
        <f t="shared" si="38"/>
        <v>7883</v>
      </c>
      <c r="AA151" s="3">
        <f t="shared" si="35"/>
        <v>1232.2489122187819</v>
      </c>
      <c r="AB151" s="3">
        <f t="shared" si="36"/>
        <v>0.99911573903365103</v>
      </c>
      <c r="AC151" s="3" t="str">
        <f t="shared" si="37"/>
        <v>Normal</v>
      </c>
    </row>
    <row r="152" spans="1:29" x14ac:dyDescent="0.2">
      <c r="A152" s="4">
        <v>770</v>
      </c>
      <c r="B152" s="5">
        <v>40635</v>
      </c>
      <c r="C152" s="4">
        <v>1</v>
      </c>
      <c r="D152" s="4">
        <v>0</v>
      </c>
      <c r="E152" s="4">
        <v>2</v>
      </c>
      <c r="F152" s="4">
        <v>12</v>
      </c>
      <c r="G152" s="4" t="b">
        <v>0</v>
      </c>
      <c r="H152" s="4">
        <v>5</v>
      </c>
      <c r="I152" s="4">
        <v>2</v>
      </c>
      <c r="J152" s="4">
        <v>0.24</v>
      </c>
      <c r="K152" s="4">
        <v>0.2424</v>
      </c>
      <c r="L152" s="4">
        <v>0.48</v>
      </c>
      <c r="M152" s="4">
        <v>0.16420000000000001</v>
      </c>
      <c r="N152" s="4">
        <v>8</v>
      </c>
      <c r="O152" s="4">
        <v>78</v>
      </c>
      <c r="P152" s="4">
        <v>86</v>
      </c>
      <c r="Q152" s="6" t="str">
        <f t="shared" si="26"/>
        <v>Weekday</v>
      </c>
      <c r="R152" s="42">
        <f t="shared" si="27"/>
        <v>40103</v>
      </c>
      <c r="S152" s="42">
        <f t="shared" si="28"/>
        <v>124.8388746803069</v>
      </c>
      <c r="T152" s="42">
        <f t="shared" si="29"/>
        <v>241</v>
      </c>
      <c r="U152" s="42" t="str">
        <f t="shared" si="30"/>
        <v>Wee</v>
      </c>
      <c r="V152" s="42" t="str">
        <f t="shared" si="31"/>
        <v>kday</v>
      </c>
      <c r="W152" s="42">
        <f t="shared" si="32"/>
        <v>7</v>
      </c>
      <c r="X152" s="42">
        <f t="shared" si="33"/>
        <v>0.2424</v>
      </c>
      <c r="Y152" s="3">
        <f t="shared" si="34"/>
        <v>82</v>
      </c>
      <c r="Z152" s="3">
        <f t="shared" si="38"/>
        <v>7883</v>
      </c>
      <c r="AA152" s="3">
        <f t="shared" si="35"/>
        <v>1232.2489122187819</v>
      </c>
      <c r="AB152" s="3">
        <f t="shared" si="36"/>
        <v>0.99911573903365103</v>
      </c>
      <c r="AC152" s="3" t="str">
        <f t="shared" si="37"/>
        <v>Normal</v>
      </c>
    </row>
    <row r="153" spans="1:29" x14ac:dyDescent="0.2">
      <c r="A153" s="4">
        <v>771</v>
      </c>
      <c r="B153" s="5">
        <v>40635</v>
      </c>
      <c r="C153" s="4">
        <v>1</v>
      </c>
      <c r="D153" s="4">
        <v>0</v>
      </c>
      <c r="E153" s="4">
        <v>2</v>
      </c>
      <c r="F153" s="4">
        <v>13</v>
      </c>
      <c r="G153" s="4" t="b">
        <v>0</v>
      </c>
      <c r="H153" s="4">
        <v>5</v>
      </c>
      <c r="I153" s="4">
        <v>2</v>
      </c>
      <c r="J153" s="4">
        <v>0.26</v>
      </c>
      <c r="K153" s="4">
        <v>0.2576</v>
      </c>
      <c r="L153" s="4">
        <v>0.5</v>
      </c>
      <c r="M153" s="4">
        <v>0.22389999999999999</v>
      </c>
      <c r="N153" s="4">
        <v>9</v>
      </c>
      <c r="O153" s="4">
        <v>73</v>
      </c>
      <c r="P153" s="4">
        <v>82</v>
      </c>
      <c r="Q153" s="6" t="str">
        <f t="shared" si="26"/>
        <v>Weekday</v>
      </c>
      <c r="R153" s="42">
        <f t="shared" si="27"/>
        <v>40017</v>
      </c>
      <c r="S153" s="42">
        <f t="shared" si="28"/>
        <v>124.8388746803069</v>
      </c>
      <c r="T153" s="42">
        <f t="shared" si="29"/>
        <v>240</v>
      </c>
      <c r="U153" s="42" t="str">
        <f t="shared" si="30"/>
        <v>Wee</v>
      </c>
      <c r="V153" s="42" t="str">
        <f t="shared" si="31"/>
        <v>kday</v>
      </c>
      <c r="W153" s="42">
        <f t="shared" si="32"/>
        <v>7</v>
      </c>
      <c r="X153" s="42">
        <f t="shared" si="33"/>
        <v>0.2576</v>
      </c>
      <c r="Y153" s="3">
        <f t="shared" si="34"/>
        <v>82</v>
      </c>
      <c r="Z153" s="3">
        <f t="shared" si="38"/>
        <v>7883</v>
      </c>
      <c r="AA153" s="3">
        <f t="shared" si="35"/>
        <v>1232.2489122187819</v>
      </c>
      <c r="AB153" s="3">
        <f t="shared" si="36"/>
        <v>0.99911573903365103</v>
      </c>
      <c r="AC153" s="3" t="str">
        <f t="shared" si="37"/>
        <v>Normal</v>
      </c>
    </row>
    <row r="154" spans="1:29" x14ac:dyDescent="0.2">
      <c r="A154" s="4">
        <v>772</v>
      </c>
      <c r="B154" s="5">
        <v>40635</v>
      </c>
      <c r="C154" s="4">
        <v>1</v>
      </c>
      <c r="D154" s="4">
        <v>0</v>
      </c>
      <c r="E154" s="4">
        <v>2</v>
      </c>
      <c r="F154" s="4">
        <v>14</v>
      </c>
      <c r="G154" s="4" t="b">
        <v>0</v>
      </c>
      <c r="H154" s="4">
        <v>5</v>
      </c>
      <c r="I154" s="4">
        <v>2</v>
      </c>
      <c r="J154" s="4">
        <v>0.28000000000000003</v>
      </c>
      <c r="K154" s="4">
        <v>0.2727</v>
      </c>
      <c r="L154" s="4">
        <v>0.45</v>
      </c>
      <c r="M154" s="4">
        <v>0.16420000000000001</v>
      </c>
      <c r="N154" s="4">
        <v>15</v>
      </c>
      <c r="O154" s="4">
        <v>76</v>
      </c>
      <c r="P154" s="4">
        <v>91</v>
      </c>
      <c r="Q154" s="6" t="str">
        <f t="shared" si="26"/>
        <v>Weekday</v>
      </c>
      <c r="R154" s="42">
        <f t="shared" si="27"/>
        <v>39935</v>
      </c>
      <c r="S154" s="42">
        <f t="shared" si="28"/>
        <v>124.8388746803069</v>
      </c>
      <c r="T154" s="42">
        <f t="shared" si="29"/>
        <v>239</v>
      </c>
      <c r="U154" s="42" t="str">
        <f t="shared" si="30"/>
        <v>Wee</v>
      </c>
      <c r="V154" s="42" t="str">
        <f t="shared" si="31"/>
        <v>kday</v>
      </c>
      <c r="W154" s="42">
        <f t="shared" si="32"/>
        <v>7</v>
      </c>
      <c r="X154" s="42">
        <f t="shared" si="33"/>
        <v>0.2727</v>
      </c>
      <c r="Y154" s="3">
        <f t="shared" si="34"/>
        <v>82</v>
      </c>
      <c r="Z154" s="3">
        <f t="shared" si="38"/>
        <v>7883</v>
      </c>
      <c r="AA154" s="3">
        <f t="shared" si="35"/>
        <v>1232.2489122187819</v>
      </c>
      <c r="AB154" s="3">
        <f t="shared" si="36"/>
        <v>0.99911573903365103</v>
      </c>
      <c r="AC154" s="3" t="str">
        <f t="shared" si="37"/>
        <v>Normal</v>
      </c>
    </row>
    <row r="155" spans="1:29" x14ac:dyDescent="0.2">
      <c r="A155" s="4">
        <v>773</v>
      </c>
      <c r="B155" s="5">
        <v>40635</v>
      </c>
      <c r="C155" s="4">
        <v>1</v>
      </c>
      <c r="D155" s="4">
        <v>0</v>
      </c>
      <c r="E155" s="4">
        <v>2</v>
      </c>
      <c r="F155" s="4">
        <v>15</v>
      </c>
      <c r="G155" s="4" t="b">
        <v>0</v>
      </c>
      <c r="H155" s="4">
        <v>5</v>
      </c>
      <c r="I155" s="4">
        <v>2</v>
      </c>
      <c r="J155" s="4">
        <v>0.28000000000000003</v>
      </c>
      <c r="K155" s="4">
        <v>0.2727</v>
      </c>
      <c r="L155" s="4">
        <v>0.48</v>
      </c>
      <c r="M155" s="4">
        <v>0.25369999999999998</v>
      </c>
      <c r="N155" s="4">
        <v>9</v>
      </c>
      <c r="O155" s="4">
        <v>81</v>
      </c>
      <c r="P155" s="4">
        <v>90</v>
      </c>
      <c r="Q155" s="6" t="str">
        <f t="shared" si="26"/>
        <v>Weekday</v>
      </c>
      <c r="R155" s="42">
        <f t="shared" si="27"/>
        <v>39844</v>
      </c>
      <c r="S155" s="42">
        <f t="shared" si="28"/>
        <v>124.8388746803069</v>
      </c>
      <c r="T155" s="42">
        <f t="shared" si="29"/>
        <v>238</v>
      </c>
      <c r="U155" s="42" t="str">
        <f t="shared" si="30"/>
        <v>Wee</v>
      </c>
      <c r="V155" s="42" t="str">
        <f t="shared" si="31"/>
        <v>kday</v>
      </c>
      <c r="W155" s="42">
        <f t="shared" si="32"/>
        <v>7</v>
      </c>
      <c r="X155" s="42">
        <f t="shared" si="33"/>
        <v>0.2727</v>
      </c>
      <c r="Y155" s="3">
        <f t="shared" si="34"/>
        <v>82</v>
      </c>
      <c r="Z155" s="3">
        <f t="shared" si="38"/>
        <v>7883</v>
      </c>
      <c r="AA155" s="3">
        <f t="shared" si="35"/>
        <v>1232.2489122187819</v>
      </c>
      <c r="AB155" s="3">
        <f t="shared" si="36"/>
        <v>0.99911573903365103</v>
      </c>
      <c r="AC155" s="3" t="str">
        <f t="shared" si="37"/>
        <v>Normal</v>
      </c>
    </row>
    <row r="156" spans="1:29" x14ac:dyDescent="0.2">
      <c r="A156" s="4">
        <v>774</v>
      </c>
      <c r="B156" s="5">
        <v>40635</v>
      </c>
      <c r="C156" s="4">
        <v>1</v>
      </c>
      <c r="D156" s="4">
        <v>0</v>
      </c>
      <c r="E156" s="4">
        <v>2</v>
      </c>
      <c r="F156" s="4">
        <v>16</v>
      </c>
      <c r="G156" s="4" t="b">
        <v>0</v>
      </c>
      <c r="H156" s="4">
        <v>5</v>
      </c>
      <c r="I156" s="4">
        <v>2</v>
      </c>
      <c r="J156" s="4">
        <v>0.3</v>
      </c>
      <c r="K156" s="4">
        <v>0.28789999999999999</v>
      </c>
      <c r="L156" s="4">
        <v>0.42</v>
      </c>
      <c r="M156" s="4">
        <v>0.22389999999999999</v>
      </c>
      <c r="N156" s="4">
        <v>8</v>
      </c>
      <c r="O156" s="4">
        <v>91</v>
      </c>
      <c r="P156" s="4">
        <v>99</v>
      </c>
      <c r="Q156" s="6" t="str">
        <f t="shared" si="26"/>
        <v>Weekday</v>
      </c>
      <c r="R156" s="42">
        <f t="shared" si="27"/>
        <v>39754</v>
      </c>
      <c r="S156" s="42">
        <f t="shared" si="28"/>
        <v>124.8388746803069</v>
      </c>
      <c r="T156" s="42">
        <f t="shared" si="29"/>
        <v>237</v>
      </c>
      <c r="U156" s="42" t="str">
        <f t="shared" si="30"/>
        <v>Wee</v>
      </c>
      <c r="V156" s="42" t="str">
        <f t="shared" si="31"/>
        <v>kday</v>
      </c>
      <c r="W156" s="42">
        <f t="shared" si="32"/>
        <v>7</v>
      </c>
      <c r="X156" s="42">
        <f t="shared" si="33"/>
        <v>0.28789999999999999</v>
      </c>
      <c r="Y156" s="3">
        <f t="shared" si="34"/>
        <v>82</v>
      </c>
      <c r="Z156" s="3">
        <f t="shared" si="38"/>
        <v>7883</v>
      </c>
      <c r="AA156" s="3">
        <f t="shared" si="35"/>
        <v>1232.2489122187819</v>
      </c>
      <c r="AB156" s="3">
        <f t="shared" si="36"/>
        <v>0.99911573903365103</v>
      </c>
      <c r="AC156" s="3" t="str">
        <f t="shared" si="37"/>
        <v>Normal</v>
      </c>
    </row>
    <row r="157" spans="1:29" x14ac:dyDescent="0.2">
      <c r="A157" s="4">
        <v>775</v>
      </c>
      <c r="B157" s="5">
        <v>40635</v>
      </c>
      <c r="C157" s="4">
        <v>1</v>
      </c>
      <c r="D157" s="4">
        <v>0</v>
      </c>
      <c r="E157" s="4">
        <v>2</v>
      </c>
      <c r="F157" s="4">
        <v>17</v>
      </c>
      <c r="G157" s="4" t="b">
        <v>0</v>
      </c>
      <c r="H157" s="4">
        <v>5</v>
      </c>
      <c r="I157" s="4">
        <v>2</v>
      </c>
      <c r="J157" s="4">
        <v>0.26</v>
      </c>
      <c r="K157" s="4">
        <v>0.2727</v>
      </c>
      <c r="L157" s="4">
        <v>0.56000000000000005</v>
      </c>
      <c r="M157" s="4">
        <v>0.1343</v>
      </c>
      <c r="N157" s="4">
        <v>10</v>
      </c>
      <c r="O157" s="4">
        <v>195</v>
      </c>
      <c r="P157" s="4">
        <v>205</v>
      </c>
      <c r="Q157" s="6" t="str">
        <f t="shared" si="26"/>
        <v>Weekday</v>
      </c>
      <c r="R157" s="42">
        <f t="shared" si="27"/>
        <v>39655</v>
      </c>
      <c r="S157" s="42">
        <f t="shared" si="28"/>
        <v>124.8388746803069</v>
      </c>
      <c r="T157" s="42">
        <f t="shared" si="29"/>
        <v>236</v>
      </c>
      <c r="U157" s="42" t="str">
        <f t="shared" si="30"/>
        <v>Wee</v>
      </c>
      <c r="V157" s="42" t="str">
        <f t="shared" si="31"/>
        <v>kday</v>
      </c>
      <c r="W157" s="42">
        <f t="shared" si="32"/>
        <v>7</v>
      </c>
      <c r="X157" s="42">
        <f t="shared" si="33"/>
        <v>0.2727</v>
      </c>
      <c r="Y157" s="3">
        <f t="shared" si="34"/>
        <v>82</v>
      </c>
      <c r="Z157" s="3">
        <f t="shared" si="38"/>
        <v>7883</v>
      </c>
      <c r="AA157" s="3">
        <f t="shared" si="35"/>
        <v>1232.2489122187819</v>
      </c>
      <c r="AB157" s="3">
        <f t="shared" si="36"/>
        <v>0.99911573903365103</v>
      </c>
      <c r="AC157" s="3" t="str">
        <f t="shared" si="37"/>
        <v>Normal</v>
      </c>
    </row>
    <row r="158" spans="1:29" x14ac:dyDescent="0.2">
      <c r="A158" s="4">
        <v>776</v>
      </c>
      <c r="B158" s="5">
        <v>40635</v>
      </c>
      <c r="C158" s="4">
        <v>1</v>
      </c>
      <c r="D158" s="4">
        <v>0</v>
      </c>
      <c r="E158" s="4">
        <v>2</v>
      </c>
      <c r="F158" s="4">
        <v>18</v>
      </c>
      <c r="G158" s="4" t="b">
        <v>0</v>
      </c>
      <c r="H158" s="4">
        <v>5</v>
      </c>
      <c r="I158" s="4">
        <v>2</v>
      </c>
      <c r="J158" s="4">
        <v>0.24</v>
      </c>
      <c r="K158" s="4">
        <v>0.2576</v>
      </c>
      <c r="L158" s="4">
        <v>0.6</v>
      </c>
      <c r="M158" s="4">
        <v>0.1045</v>
      </c>
      <c r="N158" s="4">
        <v>3</v>
      </c>
      <c r="O158" s="4">
        <v>152</v>
      </c>
      <c r="P158" s="4">
        <v>155</v>
      </c>
      <c r="Q158" s="6" t="str">
        <f t="shared" si="26"/>
        <v>Weekday</v>
      </c>
      <c r="R158" s="42">
        <f t="shared" si="27"/>
        <v>39450</v>
      </c>
      <c r="S158" s="42">
        <f t="shared" si="28"/>
        <v>124.8388746803069</v>
      </c>
      <c r="T158" s="42">
        <f t="shared" si="29"/>
        <v>235</v>
      </c>
      <c r="U158" s="42" t="str">
        <f t="shared" si="30"/>
        <v>Wee</v>
      </c>
      <c r="V158" s="42" t="str">
        <f t="shared" si="31"/>
        <v>kday</v>
      </c>
      <c r="W158" s="42">
        <f t="shared" si="32"/>
        <v>7</v>
      </c>
      <c r="X158" s="42">
        <f t="shared" si="33"/>
        <v>0.2576</v>
      </c>
      <c r="Y158" s="3">
        <f t="shared" si="34"/>
        <v>82</v>
      </c>
      <c r="Z158" s="3">
        <f t="shared" si="38"/>
        <v>7883</v>
      </c>
      <c r="AA158" s="3">
        <f t="shared" si="35"/>
        <v>1232.2489122187819</v>
      </c>
      <c r="AB158" s="3">
        <f t="shared" si="36"/>
        <v>0.99911573903365103</v>
      </c>
      <c r="AC158" s="3" t="str">
        <f t="shared" si="37"/>
        <v>Normal</v>
      </c>
    </row>
    <row r="159" spans="1:29" x14ac:dyDescent="0.2">
      <c r="A159" s="4">
        <v>777</v>
      </c>
      <c r="B159" s="5">
        <v>40635</v>
      </c>
      <c r="C159" s="4">
        <v>1</v>
      </c>
      <c r="D159" s="4">
        <v>0</v>
      </c>
      <c r="E159" s="4">
        <v>2</v>
      </c>
      <c r="F159" s="4">
        <v>19</v>
      </c>
      <c r="G159" s="4" t="b">
        <v>0</v>
      </c>
      <c r="H159" s="4">
        <v>5</v>
      </c>
      <c r="I159" s="4">
        <v>2</v>
      </c>
      <c r="J159" s="4">
        <v>0.24</v>
      </c>
      <c r="K159" s="4">
        <v>0.2424</v>
      </c>
      <c r="L159" s="4">
        <v>0.65</v>
      </c>
      <c r="M159" s="4">
        <v>0.1343</v>
      </c>
      <c r="N159" s="4">
        <v>1</v>
      </c>
      <c r="O159" s="4">
        <v>102</v>
      </c>
      <c r="P159" s="4">
        <v>103</v>
      </c>
      <c r="Q159" s="6" t="str">
        <f t="shared" si="26"/>
        <v>Weekday</v>
      </c>
      <c r="R159" s="42">
        <f t="shared" si="27"/>
        <v>39295</v>
      </c>
      <c r="S159" s="42">
        <f t="shared" si="28"/>
        <v>124.8388746803069</v>
      </c>
      <c r="T159" s="42">
        <f t="shared" si="29"/>
        <v>234</v>
      </c>
      <c r="U159" s="42" t="str">
        <f t="shared" si="30"/>
        <v>Wee</v>
      </c>
      <c r="V159" s="42" t="str">
        <f t="shared" si="31"/>
        <v>kday</v>
      </c>
      <c r="W159" s="42">
        <f t="shared" si="32"/>
        <v>7</v>
      </c>
      <c r="X159" s="42">
        <f t="shared" si="33"/>
        <v>0.2424</v>
      </c>
      <c r="Y159" s="3">
        <f t="shared" si="34"/>
        <v>82</v>
      </c>
      <c r="Z159" s="3">
        <f t="shared" si="38"/>
        <v>7883</v>
      </c>
      <c r="AA159" s="3">
        <f t="shared" si="35"/>
        <v>1232.2489122187819</v>
      </c>
      <c r="AB159" s="3">
        <f t="shared" si="36"/>
        <v>0.99911573903365103</v>
      </c>
      <c r="AC159" s="3" t="str">
        <f t="shared" si="37"/>
        <v>Normal</v>
      </c>
    </row>
    <row r="160" spans="1:29" x14ac:dyDescent="0.2">
      <c r="A160" s="4">
        <v>778</v>
      </c>
      <c r="B160" s="5">
        <v>40635</v>
      </c>
      <c r="C160" s="4">
        <v>1</v>
      </c>
      <c r="D160" s="4">
        <v>0</v>
      </c>
      <c r="E160" s="4">
        <v>2</v>
      </c>
      <c r="F160" s="4">
        <v>20</v>
      </c>
      <c r="G160" s="4" t="b">
        <v>0</v>
      </c>
      <c r="H160" s="4">
        <v>5</v>
      </c>
      <c r="I160" s="4">
        <v>2</v>
      </c>
      <c r="J160" s="4">
        <v>0.24</v>
      </c>
      <c r="K160" s="4">
        <v>0.2424</v>
      </c>
      <c r="L160" s="4">
        <v>0.65</v>
      </c>
      <c r="M160" s="4">
        <v>0.16420000000000001</v>
      </c>
      <c r="N160" s="4">
        <v>2</v>
      </c>
      <c r="O160" s="4">
        <v>69</v>
      </c>
      <c r="P160" s="4">
        <v>71</v>
      </c>
      <c r="Q160" s="6" t="str">
        <f t="shared" si="26"/>
        <v>Weekday</v>
      </c>
      <c r="R160" s="42">
        <f t="shared" si="27"/>
        <v>39192</v>
      </c>
      <c r="S160" s="42">
        <f t="shared" si="28"/>
        <v>124.8388746803069</v>
      </c>
      <c r="T160" s="42">
        <f t="shared" si="29"/>
        <v>233</v>
      </c>
      <c r="U160" s="42" t="str">
        <f t="shared" si="30"/>
        <v>Wee</v>
      </c>
      <c r="V160" s="42" t="str">
        <f t="shared" si="31"/>
        <v>kday</v>
      </c>
      <c r="W160" s="42">
        <f t="shared" si="32"/>
        <v>7</v>
      </c>
      <c r="X160" s="42">
        <f t="shared" si="33"/>
        <v>0.2424</v>
      </c>
      <c r="Y160" s="3">
        <f t="shared" si="34"/>
        <v>82</v>
      </c>
      <c r="Z160" s="3">
        <f t="shared" si="38"/>
        <v>7883</v>
      </c>
      <c r="AA160" s="3">
        <f t="shared" si="35"/>
        <v>1232.2489122187819</v>
      </c>
      <c r="AB160" s="3">
        <f t="shared" si="36"/>
        <v>0.99911573903365103</v>
      </c>
      <c r="AC160" s="3" t="str">
        <f t="shared" si="37"/>
        <v>Normal</v>
      </c>
    </row>
    <row r="161" spans="1:29" x14ac:dyDescent="0.2">
      <c r="A161" s="4">
        <v>779</v>
      </c>
      <c r="B161" s="5">
        <v>40635</v>
      </c>
      <c r="C161" s="4">
        <v>1</v>
      </c>
      <c r="D161" s="4">
        <v>0</v>
      </c>
      <c r="E161" s="4">
        <v>2</v>
      </c>
      <c r="F161" s="4">
        <v>21</v>
      </c>
      <c r="G161" s="4" t="b">
        <v>0</v>
      </c>
      <c r="H161" s="4">
        <v>5</v>
      </c>
      <c r="I161" s="4">
        <v>2</v>
      </c>
      <c r="J161" s="4">
        <v>0.24</v>
      </c>
      <c r="K161" s="4">
        <v>0.2424</v>
      </c>
      <c r="L161" s="4">
        <v>0.7</v>
      </c>
      <c r="M161" s="4">
        <v>0.16420000000000001</v>
      </c>
      <c r="N161" s="4">
        <v>2</v>
      </c>
      <c r="O161" s="4">
        <v>41</v>
      </c>
      <c r="P161" s="4">
        <v>43</v>
      </c>
      <c r="Q161" s="6" t="str">
        <f t="shared" si="26"/>
        <v>Weekday</v>
      </c>
      <c r="R161" s="42">
        <f t="shared" si="27"/>
        <v>39121</v>
      </c>
      <c r="S161" s="42">
        <f t="shared" si="28"/>
        <v>124.8388746803069</v>
      </c>
      <c r="T161" s="42">
        <f t="shared" si="29"/>
        <v>232</v>
      </c>
      <c r="U161" s="42" t="str">
        <f t="shared" si="30"/>
        <v>Wee</v>
      </c>
      <c r="V161" s="42" t="str">
        <f t="shared" si="31"/>
        <v>kday</v>
      </c>
      <c r="W161" s="42">
        <f t="shared" si="32"/>
        <v>7</v>
      </c>
      <c r="X161" s="42">
        <f t="shared" si="33"/>
        <v>0.2424</v>
      </c>
      <c r="Y161" s="3">
        <f t="shared" si="34"/>
        <v>82</v>
      </c>
      <c r="Z161" s="3">
        <f t="shared" si="38"/>
        <v>7883</v>
      </c>
      <c r="AA161" s="3">
        <f t="shared" si="35"/>
        <v>1232.2489122187819</v>
      </c>
      <c r="AB161" s="3">
        <f t="shared" si="36"/>
        <v>0.99911573903365103</v>
      </c>
      <c r="AC161" s="3" t="str">
        <f t="shared" si="37"/>
        <v>Normal</v>
      </c>
    </row>
    <row r="162" spans="1:29" x14ac:dyDescent="0.2">
      <c r="A162" s="4">
        <v>780</v>
      </c>
      <c r="B162" s="5">
        <v>40635</v>
      </c>
      <c r="C162" s="4">
        <v>1</v>
      </c>
      <c r="D162" s="4">
        <v>0</v>
      </c>
      <c r="E162" s="4">
        <v>2</v>
      </c>
      <c r="F162" s="4">
        <v>22</v>
      </c>
      <c r="G162" s="4" t="b">
        <v>0</v>
      </c>
      <c r="H162" s="4">
        <v>5</v>
      </c>
      <c r="I162" s="4">
        <v>2</v>
      </c>
      <c r="J162" s="4">
        <v>0.24</v>
      </c>
      <c r="K162" s="4">
        <v>0.2424</v>
      </c>
      <c r="L162" s="4">
        <v>0.65</v>
      </c>
      <c r="M162" s="4">
        <v>0.16420000000000001</v>
      </c>
      <c r="N162" s="4">
        <v>1</v>
      </c>
      <c r="O162" s="4">
        <v>45</v>
      </c>
      <c r="P162" s="4">
        <v>46</v>
      </c>
      <c r="Q162" s="6" t="str">
        <f t="shared" si="26"/>
        <v>Weekday</v>
      </c>
      <c r="R162" s="42">
        <f t="shared" si="27"/>
        <v>39078</v>
      </c>
      <c r="S162" s="42">
        <f t="shared" si="28"/>
        <v>124.8388746803069</v>
      </c>
      <c r="T162" s="42">
        <f t="shared" si="29"/>
        <v>231</v>
      </c>
      <c r="U162" s="42" t="str">
        <f t="shared" si="30"/>
        <v>Wee</v>
      </c>
      <c r="V162" s="42" t="str">
        <f t="shared" si="31"/>
        <v>kday</v>
      </c>
      <c r="W162" s="42">
        <f t="shared" si="32"/>
        <v>7</v>
      </c>
      <c r="X162" s="42">
        <f t="shared" si="33"/>
        <v>0.2424</v>
      </c>
      <c r="Y162" s="3">
        <f t="shared" si="34"/>
        <v>82</v>
      </c>
      <c r="Z162" s="3">
        <f t="shared" si="38"/>
        <v>7883</v>
      </c>
      <c r="AA162" s="3">
        <f t="shared" si="35"/>
        <v>1232.2489122187819</v>
      </c>
      <c r="AB162" s="3">
        <f t="shared" si="36"/>
        <v>0.99911573903365103</v>
      </c>
      <c r="AC162" s="3" t="str">
        <f t="shared" si="37"/>
        <v>Normal</v>
      </c>
    </row>
    <row r="163" spans="1:29" x14ac:dyDescent="0.2">
      <c r="A163" s="4">
        <v>781</v>
      </c>
      <c r="B163" s="5">
        <v>40635</v>
      </c>
      <c r="C163" s="4">
        <v>1</v>
      </c>
      <c r="D163" s="4">
        <v>0</v>
      </c>
      <c r="E163" s="4">
        <v>2</v>
      </c>
      <c r="F163" s="4">
        <v>23</v>
      </c>
      <c r="G163" s="4" t="b">
        <v>0</v>
      </c>
      <c r="H163" s="4">
        <v>5</v>
      </c>
      <c r="I163" s="4">
        <v>2</v>
      </c>
      <c r="J163" s="4">
        <v>0.24</v>
      </c>
      <c r="K163" s="4">
        <v>0.2424</v>
      </c>
      <c r="L163" s="4">
        <v>0.7</v>
      </c>
      <c r="M163" s="4">
        <v>0.1343</v>
      </c>
      <c r="N163" s="4">
        <v>1</v>
      </c>
      <c r="O163" s="4">
        <v>30</v>
      </c>
      <c r="P163" s="4">
        <v>31</v>
      </c>
      <c r="Q163" s="6" t="str">
        <f t="shared" si="26"/>
        <v>Weekday</v>
      </c>
      <c r="R163" s="42">
        <f t="shared" si="27"/>
        <v>39032</v>
      </c>
      <c r="S163" s="42">
        <f t="shared" si="28"/>
        <v>124.8388746803069</v>
      </c>
      <c r="T163" s="42">
        <f t="shared" si="29"/>
        <v>230</v>
      </c>
      <c r="U163" s="42" t="str">
        <f t="shared" si="30"/>
        <v>Wee</v>
      </c>
      <c r="V163" s="42" t="str">
        <f t="shared" si="31"/>
        <v>kend</v>
      </c>
      <c r="W163" s="42">
        <f t="shared" si="32"/>
        <v>7</v>
      </c>
      <c r="X163" s="42">
        <f t="shared" si="33"/>
        <v>0.2424</v>
      </c>
      <c r="Y163" s="3">
        <f t="shared" si="34"/>
        <v>82</v>
      </c>
      <c r="Z163" s="3">
        <f t="shared" si="38"/>
        <v>7883</v>
      </c>
      <c r="AA163" s="3">
        <f t="shared" si="35"/>
        <v>1232.2489122187819</v>
      </c>
      <c r="AB163" s="3">
        <f t="shared" si="36"/>
        <v>0.99911573903365103</v>
      </c>
      <c r="AC163" s="3" t="str">
        <f t="shared" si="37"/>
        <v>Normal</v>
      </c>
    </row>
    <row r="164" spans="1:29" x14ac:dyDescent="0.2">
      <c r="A164" s="4">
        <v>782</v>
      </c>
      <c r="B164" s="5">
        <v>40665</v>
      </c>
      <c r="C164" s="4">
        <v>1</v>
      </c>
      <c r="D164" s="4">
        <v>0</v>
      </c>
      <c r="E164" s="4">
        <v>2</v>
      </c>
      <c r="F164" s="4">
        <v>0</v>
      </c>
      <c r="G164" s="4" t="b">
        <v>0</v>
      </c>
      <c r="H164" s="4">
        <v>6</v>
      </c>
      <c r="I164" s="4">
        <v>2</v>
      </c>
      <c r="J164" s="4">
        <v>0.24</v>
      </c>
      <c r="K164" s="4">
        <v>0.2424</v>
      </c>
      <c r="L164" s="4">
        <v>0.7</v>
      </c>
      <c r="M164" s="4">
        <v>0.16420000000000001</v>
      </c>
      <c r="N164" s="4">
        <v>3</v>
      </c>
      <c r="O164" s="4">
        <v>36</v>
      </c>
      <c r="P164" s="4">
        <v>39</v>
      </c>
      <c r="Q164" s="6" t="str">
        <f t="shared" si="26"/>
        <v>Weekend</v>
      </c>
      <c r="R164" s="42">
        <f t="shared" si="27"/>
        <v>39001</v>
      </c>
      <c r="S164" s="42">
        <f t="shared" si="28"/>
        <v>124.8388746803069</v>
      </c>
      <c r="T164" s="42">
        <f t="shared" si="29"/>
        <v>229</v>
      </c>
      <c r="U164" s="42" t="str">
        <f t="shared" si="30"/>
        <v>Wee</v>
      </c>
      <c r="V164" s="42" t="str">
        <f t="shared" si="31"/>
        <v>kend</v>
      </c>
      <c r="W164" s="42">
        <f t="shared" si="32"/>
        <v>7</v>
      </c>
      <c r="X164" s="42">
        <f t="shared" si="33"/>
        <v>0.2424</v>
      </c>
      <c r="Y164" s="3">
        <f t="shared" si="34"/>
        <v>82</v>
      </c>
      <c r="Z164" s="3">
        <f t="shared" si="38"/>
        <v>7883</v>
      </c>
      <c r="AA164" s="3">
        <f t="shared" si="35"/>
        <v>1232.2489122187819</v>
      </c>
      <c r="AB164" s="3">
        <f t="shared" si="36"/>
        <v>0.99911573903365103</v>
      </c>
      <c r="AC164" s="3" t="str">
        <f t="shared" si="37"/>
        <v>Normal</v>
      </c>
    </row>
    <row r="165" spans="1:29" x14ac:dyDescent="0.2">
      <c r="A165" s="4">
        <v>783</v>
      </c>
      <c r="B165" s="5">
        <v>40665</v>
      </c>
      <c r="C165" s="4">
        <v>1</v>
      </c>
      <c r="D165" s="4">
        <v>0</v>
      </c>
      <c r="E165" s="4">
        <v>2</v>
      </c>
      <c r="F165" s="4">
        <v>1</v>
      </c>
      <c r="G165" s="4" t="b">
        <v>0</v>
      </c>
      <c r="H165" s="4">
        <v>6</v>
      </c>
      <c r="I165" s="4">
        <v>2</v>
      </c>
      <c r="J165" s="4">
        <v>0.24</v>
      </c>
      <c r="K165" s="4">
        <v>0.2424</v>
      </c>
      <c r="L165" s="4">
        <v>0.65</v>
      </c>
      <c r="M165" s="4">
        <v>0.16420000000000001</v>
      </c>
      <c r="N165" s="4">
        <v>1</v>
      </c>
      <c r="O165" s="4">
        <v>17</v>
      </c>
      <c r="P165" s="4">
        <v>18</v>
      </c>
      <c r="Q165" s="6" t="str">
        <f t="shared" si="26"/>
        <v>Weekend</v>
      </c>
      <c r="R165" s="42">
        <f t="shared" si="27"/>
        <v>38962</v>
      </c>
      <c r="S165" s="42">
        <f t="shared" si="28"/>
        <v>124.8388746803069</v>
      </c>
      <c r="T165" s="42">
        <f t="shared" si="29"/>
        <v>228</v>
      </c>
      <c r="U165" s="42" t="str">
        <f t="shared" si="30"/>
        <v>Wee</v>
      </c>
      <c r="V165" s="42" t="str">
        <f t="shared" si="31"/>
        <v>kend</v>
      </c>
      <c r="W165" s="42">
        <f t="shared" si="32"/>
        <v>7</v>
      </c>
      <c r="X165" s="42">
        <f t="shared" si="33"/>
        <v>0.2424</v>
      </c>
      <c r="Y165" s="3">
        <f t="shared" si="34"/>
        <v>82</v>
      </c>
      <c r="Z165" s="3">
        <f t="shared" si="38"/>
        <v>7883</v>
      </c>
      <c r="AA165" s="3">
        <f t="shared" si="35"/>
        <v>1232.2489122187819</v>
      </c>
      <c r="AB165" s="3">
        <f t="shared" si="36"/>
        <v>0.99911573903365103</v>
      </c>
      <c r="AC165" s="3" t="str">
        <f t="shared" si="37"/>
        <v>Normal</v>
      </c>
    </row>
    <row r="166" spans="1:29" x14ac:dyDescent="0.2">
      <c r="A166" s="4">
        <v>784</v>
      </c>
      <c r="B166" s="5">
        <v>40665</v>
      </c>
      <c r="C166" s="4">
        <v>1</v>
      </c>
      <c r="D166" s="4">
        <v>0</v>
      </c>
      <c r="E166" s="4">
        <v>2</v>
      </c>
      <c r="F166" s="4">
        <v>2</v>
      </c>
      <c r="G166" s="4" t="b">
        <v>0</v>
      </c>
      <c r="H166" s="4">
        <v>6</v>
      </c>
      <c r="I166" s="4">
        <v>2</v>
      </c>
      <c r="J166" s="4">
        <v>0.24</v>
      </c>
      <c r="K166" s="4">
        <v>0.2424</v>
      </c>
      <c r="L166" s="4">
        <v>0.75</v>
      </c>
      <c r="M166" s="4">
        <v>0.16420000000000001</v>
      </c>
      <c r="N166" s="4">
        <v>5</v>
      </c>
      <c r="O166" s="4">
        <v>12</v>
      </c>
      <c r="P166" s="4">
        <v>17</v>
      </c>
      <c r="Q166" s="6" t="str">
        <f t="shared" si="26"/>
        <v>Weekend</v>
      </c>
      <c r="R166" s="42">
        <f t="shared" si="27"/>
        <v>38944</v>
      </c>
      <c r="S166" s="42">
        <f t="shared" si="28"/>
        <v>124.8388746803069</v>
      </c>
      <c r="T166" s="42">
        <f t="shared" si="29"/>
        <v>227</v>
      </c>
      <c r="U166" s="42" t="str">
        <f t="shared" si="30"/>
        <v>Wee</v>
      </c>
      <c r="V166" s="42" t="str">
        <f t="shared" si="31"/>
        <v>kend</v>
      </c>
      <c r="W166" s="42">
        <f t="shared" si="32"/>
        <v>7</v>
      </c>
      <c r="X166" s="42">
        <f t="shared" si="33"/>
        <v>0.2424</v>
      </c>
      <c r="Y166" s="3">
        <f t="shared" si="34"/>
        <v>82</v>
      </c>
      <c r="Z166" s="3">
        <f t="shared" si="38"/>
        <v>7883</v>
      </c>
      <c r="AA166" s="3">
        <f t="shared" si="35"/>
        <v>1232.2489122187819</v>
      </c>
      <c r="AB166" s="3">
        <f t="shared" si="36"/>
        <v>0.99911573903365103</v>
      </c>
      <c r="AC166" s="3" t="str">
        <f t="shared" si="37"/>
        <v>Normal</v>
      </c>
    </row>
    <row r="167" spans="1:29" x14ac:dyDescent="0.2">
      <c r="A167" s="4">
        <v>785</v>
      </c>
      <c r="B167" s="5">
        <v>40665</v>
      </c>
      <c r="C167" s="4">
        <v>1</v>
      </c>
      <c r="D167" s="4">
        <v>0</v>
      </c>
      <c r="E167" s="4">
        <v>2</v>
      </c>
      <c r="F167" s="4">
        <v>3</v>
      </c>
      <c r="G167" s="4" t="b">
        <v>0</v>
      </c>
      <c r="H167" s="4">
        <v>6</v>
      </c>
      <c r="I167" s="4">
        <v>2</v>
      </c>
      <c r="J167" s="4">
        <v>0.24</v>
      </c>
      <c r="K167" s="4">
        <v>0.2424</v>
      </c>
      <c r="L167" s="4">
        <v>0.75</v>
      </c>
      <c r="M167" s="4">
        <v>0.16420000000000001</v>
      </c>
      <c r="N167" s="4">
        <v>1</v>
      </c>
      <c r="O167" s="4">
        <v>10</v>
      </c>
      <c r="P167" s="4">
        <v>11</v>
      </c>
      <c r="Q167" s="6" t="str">
        <f t="shared" si="26"/>
        <v>Weekend</v>
      </c>
      <c r="R167" s="42">
        <f t="shared" si="27"/>
        <v>38927</v>
      </c>
      <c r="S167" s="42">
        <f t="shared" si="28"/>
        <v>124.8388746803069</v>
      </c>
      <c r="T167" s="42">
        <f t="shared" si="29"/>
        <v>226</v>
      </c>
      <c r="U167" s="42" t="str">
        <f t="shared" si="30"/>
        <v>Wee</v>
      </c>
      <c r="V167" s="42" t="str">
        <f t="shared" si="31"/>
        <v>kend</v>
      </c>
      <c r="W167" s="42">
        <f t="shared" si="32"/>
        <v>7</v>
      </c>
      <c r="X167" s="42">
        <f t="shared" si="33"/>
        <v>0.2424</v>
      </c>
      <c r="Y167" s="3">
        <f t="shared" si="34"/>
        <v>82</v>
      </c>
      <c r="Z167" s="3">
        <f t="shared" si="38"/>
        <v>7883</v>
      </c>
      <c r="AA167" s="3">
        <f t="shared" si="35"/>
        <v>1232.2489122187819</v>
      </c>
      <c r="AB167" s="3">
        <f t="shared" si="36"/>
        <v>0.99911573903365103</v>
      </c>
      <c r="AC167" s="3" t="str">
        <f t="shared" si="37"/>
        <v>Normal</v>
      </c>
    </row>
    <row r="168" spans="1:29" x14ac:dyDescent="0.2">
      <c r="A168" s="4">
        <v>786</v>
      </c>
      <c r="B168" s="5">
        <v>40665</v>
      </c>
      <c r="C168" s="4">
        <v>1</v>
      </c>
      <c r="D168" s="4">
        <v>0</v>
      </c>
      <c r="E168" s="4">
        <v>2</v>
      </c>
      <c r="F168" s="4">
        <v>4</v>
      </c>
      <c r="G168" s="4" t="b">
        <v>0</v>
      </c>
      <c r="H168" s="4">
        <v>6</v>
      </c>
      <c r="I168" s="4">
        <v>3</v>
      </c>
      <c r="J168" s="4">
        <v>0.22</v>
      </c>
      <c r="K168" s="4">
        <v>0.2273</v>
      </c>
      <c r="L168" s="4">
        <v>0.93</v>
      </c>
      <c r="M168" s="4">
        <v>0.1343</v>
      </c>
      <c r="N168" s="4">
        <v>0</v>
      </c>
      <c r="O168" s="4">
        <v>8</v>
      </c>
      <c r="P168" s="4">
        <v>8</v>
      </c>
      <c r="Q168" s="6" t="str">
        <f t="shared" si="26"/>
        <v>Weekend</v>
      </c>
      <c r="R168" s="42">
        <f t="shared" si="27"/>
        <v>38916</v>
      </c>
      <c r="S168" s="42">
        <f t="shared" si="28"/>
        <v>124.8388746803069</v>
      </c>
      <c r="T168" s="42">
        <f t="shared" si="29"/>
        <v>225</v>
      </c>
      <c r="U168" s="42" t="str">
        <f t="shared" si="30"/>
        <v>Wee</v>
      </c>
      <c r="V168" s="42" t="str">
        <f t="shared" si="31"/>
        <v>kend</v>
      </c>
      <c r="W168" s="42">
        <f t="shared" si="32"/>
        <v>7</v>
      </c>
      <c r="X168" s="42">
        <f t="shared" si="33"/>
        <v>0.2273</v>
      </c>
      <c r="Y168" s="3">
        <f t="shared" si="34"/>
        <v>82</v>
      </c>
      <c r="Z168" s="3">
        <f t="shared" si="38"/>
        <v>7883</v>
      </c>
      <c r="AA168" s="3">
        <f t="shared" si="35"/>
        <v>1232.2489122187819</v>
      </c>
      <c r="AB168" s="3">
        <f t="shared" si="36"/>
        <v>0.99911573903365103</v>
      </c>
      <c r="AC168" s="3" t="str">
        <f t="shared" si="37"/>
        <v>Normal</v>
      </c>
    </row>
    <row r="169" spans="1:29" x14ac:dyDescent="0.2">
      <c r="A169" s="4">
        <v>787</v>
      </c>
      <c r="B169" s="5">
        <v>40665</v>
      </c>
      <c r="C169" s="4">
        <v>1</v>
      </c>
      <c r="D169" s="4">
        <v>0</v>
      </c>
      <c r="E169" s="4">
        <v>2</v>
      </c>
      <c r="F169" s="4">
        <v>5</v>
      </c>
      <c r="G169" s="4" t="b">
        <v>0</v>
      </c>
      <c r="H169" s="4">
        <v>6</v>
      </c>
      <c r="I169" s="4">
        <v>3</v>
      </c>
      <c r="J169" s="4">
        <v>0.2</v>
      </c>
      <c r="K169" s="4">
        <v>0.2273</v>
      </c>
      <c r="L169" s="4">
        <v>1</v>
      </c>
      <c r="M169" s="4">
        <v>8.9599999999999999E-2</v>
      </c>
      <c r="N169" s="4">
        <v>0</v>
      </c>
      <c r="O169" s="4">
        <v>9</v>
      </c>
      <c r="P169" s="4">
        <v>9</v>
      </c>
      <c r="Q169" s="6" t="str">
        <f t="shared" si="26"/>
        <v>Weekend</v>
      </c>
      <c r="R169" s="42">
        <f t="shared" si="27"/>
        <v>38908</v>
      </c>
      <c r="S169" s="42">
        <f t="shared" si="28"/>
        <v>124.8388746803069</v>
      </c>
      <c r="T169" s="42">
        <f t="shared" si="29"/>
        <v>224</v>
      </c>
      <c r="U169" s="42" t="str">
        <f t="shared" si="30"/>
        <v>Wee</v>
      </c>
      <c r="V169" s="42" t="str">
        <f t="shared" si="31"/>
        <v>kend</v>
      </c>
      <c r="W169" s="42">
        <f t="shared" si="32"/>
        <v>7</v>
      </c>
      <c r="X169" s="42">
        <f t="shared" si="33"/>
        <v>0.2273</v>
      </c>
      <c r="Y169" s="3">
        <f t="shared" si="34"/>
        <v>82</v>
      </c>
      <c r="Z169" s="3">
        <f t="shared" si="38"/>
        <v>7883</v>
      </c>
      <c r="AA169" s="3">
        <f t="shared" si="35"/>
        <v>1232.2489122187819</v>
      </c>
      <c r="AB169" s="3">
        <f t="shared" si="36"/>
        <v>0.99911573903365103</v>
      </c>
      <c r="AC169" s="3" t="str">
        <f t="shared" si="37"/>
        <v>Normal</v>
      </c>
    </row>
    <row r="170" spans="1:29" x14ac:dyDescent="0.2">
      <c r="A170" s="4">
        <v>788</v>
      </c>
      <c r="B170" s="5">
        <v>40665</v>
      </c>
      <c r="C170" s="4">
        <v>1</v>
      </c>
      <c r="D170" s="4">
        <v>0</v>
      </c>
      <c r="E170" s="4">
        <v>2</v>
      </c>
      <c r="F170" s="4">
        <v>6</v>
      </c>
      <c r="G170" s="4" t="b">
        <v>0</v>
      </c>
      <c r="H170" s="4">
        <v>6</v>
      </c>
      <c r="I170" s="4">
        <v>3</v>
      </c>
      <c r="J170" s="4">
        <v>0.2</v>
      </c>
      <c r="K170" s="4">
        <v>0.2576</v>
      </c>
      <c r="L170" s="4">
        <v>1</v>
      </c>
      <c r="M170" s="4">
        <v>0</v>
      </c>
      <c r="N170" s="4">
        <v>0</v>
      </c>
      <c r="O170" s="4">
        <v>4</v>
      </c>
      <c r="P170" s="4">
        <v>4</v>
      </c>
      <c r="Q170" s="6" t="str">
        <f t="shared" si="26"/>
        <v>Weekend</v>
      </c>
      <c r="R170" s="42">
        <f t="shared" si="27"/>
        <v>38899</v>
      </c>
      <c r="S170" s="42">
        <f t="shared" si="28"/>
        <v>124.8388746803069</v>
      </c>
      <c r="T170" s="42">
        <f t="shared" si="29"/>
        <v>223</v>
      </c>
      <c r="U170" s="42" t="str">
        <f t="shared" si="30"/>
        <v>Wee</v>
      </c>
      <c r="V170" s="42" t="str">
        <f t="shared" si="31"/>
        <v>kend</v>
      </c>
      <c r="W170" s="42">
        <f t="shared" si="32"/>
        <v>7</v>
      </c>
      <c r="X170" s="42">
        <f t="shared" si="33"/>
        <v>0.2576</v>
      </c>
      <c r="Y170" s="3">
        <f t="shared" si="34"/>
        <v>82</v>
      </c>
      <c r="Z170" s="3">
        <f t="shared" si="38"/>
        <v>7883</v>
      </c>
      <c r="AA170" s="3">
        <f t="shared" si="35"/>
        <v>1232.2489122187819</v>
      </c>
      <c r="AB170" s="3">
        <f t="shared" si="36"/>
        <v>0.99911573903365103</v>
      </c>
      <c r="AC170" s="3" t="str">
        <f t="shared" si="37"/>
        <v>Normal</v>
      </c>
    </row>
    <row r="171" spans="1:29" x14ac:dyDescent="0.2">
      <c r="A171" s="4">
        <v>789</v>
      </c>
      <c r="B171" s="5">
        <v>40665</v>
      </c>
      <c r="C171" s="4">
        <v>1</v>
      </c>
      <c r="D171" s="4">
        <v>0</v>
      </c>
      <c r="E171" s="4">
        <v>2</v>
      </c>
      <c r="F171" s="4">
        <v>7</v>
      </c>
      <c r="G171" s="4" t="b">
        <v>0</v>
      </c>
      <c r="H171" s="4">
        <v>6</v>
      </c>
      <c r="I171" s="4">
        <v>3</v>
      </c>
      <c r="J171" s="4">
        <v>0.22</v>
      </c>
      <c r="K171" s="4">
        <v>0.2576</v>
      </c>
      <c r="L171" s="4">
        <v>0.93</v>
      </c>
      <c r="M171" s="4">
        <v>8.9599999999999999E-2</v>
      </c>
      <c r="N171" s="4">
        <v>0</v>
      </c>
      <c r="O171" s="4">
        <v>4</v>
      </c>
      <c r="P171" s="4">
        <v>4</v>
      </c>
      <c r="Q171" s="6" t="str">
        <f t="shared" si="26"/>
        <v>Weekend</v>
      </c>
      <c r="R171" s="42">
        <f t="shared" si="27"/>
        <v>38895</v>
      </c>
      <c r="S171" s="42">
        <f t="shared" si="28"/>
        <v>124.8388746803069</v>
      </c>
      <c r="T171" s="42">
        <f t="shared" si="29"/>
        <v>222</v>
      </c>
      <c r="U171" s="42" t="str">
        <f t="shared" si="30"/>
        <v>Wee</v>
      </c>
      <c r="V171" s="42" t="str">
        <f t="shared" si="31"/>
        <v>kend</v>
      </c>
      <c r="W171" s="42">
        <f t="shared" si="32"/>
        <v>7</v>
      </c>
      <c r="X171" s="42">
        <f t="shared" si="33"/>
        <v>0.2576</v>
      </c>
      <c r="Y171" s="3">
        <f t="shared" si="34"/>
        <v>82</v>
      </c>
      <c r="Z171" s="3">
        <f t="shared" si="38"/>
        <v>7883</v>
      </c>
      <c r="AA171" s="3">
        <f t="shared" si="35"/>
        <v>1232.2489122187819</v>
      </c>
      <c r="AB171" s="3">
        <f t="shared" si="36"/>
        <v>0.99911573903365103</v>
      </c>
      <c r="AC171" s="3" t="str">
        <f t="shared" si="37"/>
        <v>Normal</v>
      </c>
    </row>
    <row r="172" spans="1:29" x14ac:dyDescent="0.2">
      <c r="A172" s="4">
        <v>790</v>
      </c>
      <c r="B172" s="5">
        <v>40665</v>
      </c>
      <c r="C172" s="4">
        <v>1</v>
      </c>
      <c r="D172" s="4">
        <v>0</v>
      </c>
      <c r="E172" s="4">
        <v>2</v>
      </c>
      <c r="F172" s="4">
        <v>8</v>
      </c>
      <c r="G172" s="4" t="b">
        <v>0</v>
      </c>
      <c r="H172" s="4">
        <v>6</v>
      </c>
      <c r="I172" s="4">
        <v>3</v>
      </c>
      <c r="J172" s="4">
        <v>0.2</v>
      </c>
      <c r="K172" s="4">
        <v>0.2273</v>
      </c>
      <c r="L172" s="4">
        <v>1</v>
      </c>
      <c r="M172" s="4">
        <v>8.9599999999999999E-2</v>
      </c>
      <c r="N172" s="4">
        <v>0</v>
      </c>
      <c r="O172" s="4">
        <v>10</v>
      </c>
      <c r="P172" s="4">
        <v>10</v>
      </c>
      <c r="Q172" s="6" t="str">
        <f t="shared" si="26"/>
        <v>Weekend</v>
      </c>
      <c r="R172" s="42">
        <f t="shared" si="27"/>
        <v>38891</v>
      </c>
      <c r="S172" s="42">
        <f t="shared" si="28"/>
        <v>124.8388746803069</v>
      </c>
      <c r="T172" s="42">
        <f t="shared" si="29"/>
        <v>221</v>
      </c>
      <c r="U172" s="42" t="str">
        <f t="shared" si="30"/>
        <v>Wee</v>
      </c>
      <c r="V172" s="42" t="str">
        <f t="shared" si="31"/>
        <v>kend</v>
      </c>
      <c r="W172" s="42">
        <f t="shared" si="32"/>
        <v>7</v>
      </c>
      <c r="X172" s="42">
        <f t="shared" si="33"/>
        <v>0.2273</v>
      </c>
      <c r="Y172" s="3">
        <f t="shared" si="34"/>
        <v>82</v>
      </c>
      <c r="Z172" s="3">
        <f t="shared" si="38"/>
        <v>7883</v>
      </c>
      <c r="AA172" s="3">
        <f t="shared" si="35"/>
        <v>1232.2489122187819</v>
      </c>
      <c r="AB172" s="3">
        <f t="shared" si="36"/>
        <v>0.99911573903365103</v>
      </c>
      <c r="AC172" s="3" t="str">
        <f t="shared" si="37"/>
        <v>Normal</v>
      </c>
    </row>
    <row r="173" spans="1:29" x14ac:dyDescent="0.2">
      <c r="A173" s="4">
        <v>791</v>
      </c>
      <c r="B173" s="5">
        <v>40665</v>
      </c>
      <c r="C173" s="4">
        <v>1</v>
      </c>
      <c r="D173" s="4">
        <v>0</v>
      </c>
      <c r="E173" s="4">
        <v>2</v>
      </c>
      <c r="F173" s="4">
        <v>9</v>
      </c>
      <c r="G173" s="4" t="b">
        <v>0</v>
      </c>
      <c r="H173" s="4">
        <v>6</v>
      </c>
      <c r="I173" s="4">
        <v>3</v>
      </c>
      <c r="J173" s="4">
        <v>0.2</v>
      </c>
      <c r="K173" s="4">
        <v>0.2273</v>
      </c>
      <c r="L173" s="4">
        <v>1</v>
      </c>
      <c r="M173" s="4">
        <v>8.9599999999999999E-2</v>
      </c>
      <c r="N173" s="4">
        <v>3</v>
      </c>
      <c r="O173" s="4">
        <v>17</v>
      </c>
      <c r="P173" s="4">
        <v>20</v>
      </c>
      <c r="Q173" s="6" t="str">
        <f t="shared" si="26"/>
        <v>Weekend</v>
      </c>
      <c r="R173" s="42">
        <f t="shared" si="27"/>
        <v>38881</v>
      </c>
      <c r="S173" s="42">
        <f t="shared" si="28"/>
        <v>124.8388746803069</v>
      </c>
      <c r="T173" s="42">
        <f t="shared" si="29"/>
        <v>220</v>
      </c>
      <c r="U173" s="42" t="str">
        <f t="shared" si="30"/>
        <v>Wee</v>
      </c>
      <c r="V173" s="42" t="str">
        <f t="shared" si="31"/>
        <v>kend</v>
      </c>
      <c r="W173" s="42">
        <f t="shared" si="32"/>
        <v>7</v>
      </c>
      <c r="X173" s="42">
        <f t="shared" si="33"/>
        <v>0.2273</v>
      </c>
      <c r="Y173" s="3">
        <f t="shared" si="34"/>
        <v>82</v>
      </c>
      <c r="Z173" s="3">
        <f t="shared" si="38"/>
        <v>7883</v>
      </c>
      <c r="AA173" s="3">
        <f t="shared" si="35"/>
        <v>1232.2489122187819</v>
      </c>
      <c r="AB173" s="3">
        <f t="shared" si="36"/>
        <v>0.99911573903365103</v>
      </c>
      <c r="AC173" s="3" t="str">
        <f t="shared" si="37"/>
        <v>Normal</v>
      </c>
    </row>
    <row r="174" spans="1:29" x14ac:dyDescent="0.2">
      <c r="A174" s="4">
        <v>792</v>
      </c>
      <c r="B174" s="5">
        <v>40665</v>
      </c>
      <c r="C174" s="4">
        <v>1</v>
      </c>
      <c r="D174" s="4">
        <v>0</v>
      </c>
      <c r="E174" s="4">
        <v>2</v>
      </c>
      <c r="F174" s="4">
        <v>10</v>
      </c>
      <c r="G174" s="4" t="b">
        <v>0</v>
      </c>
      <c r="H174" s="4">
        <v>6</v>
      </c>
      <c r="I174" s="4">
        <v>3</v>
      </c>
      <c r="J174" s="4">
        <v>0.2</v>
      </c>
      <c r="K174" s="4">
        <v>0.21210000000000001</v>
      </c>
      <c r="L174" s="4">
        <v>1</v>
      </c>
      <c r="M174" s="4">
        <v>0.1343</v>
      </c>
      <c r="N174" s="4">
        <v>3</v>
      </c>
      <c r="O174" s="4">
        <v>31</v>
      </c>
      <c r="P174" s="4">
        <v>34</v>
      </c>
      <c r="Q174" s="6" t="str">
        <f t="shared" si="26"/>
        <v>Weekend</v>
      </c>
      <c r="R174" s="42">
        <f t="shared" si="27"/>
        <v>38861</v>
      </c>
      <c r="S174" s="42">
        <f t="shared" si="28"/>
        <v>124.8388746803069</v>
      </c>
      <c r="T174" s="42">
        <f t="shared" si="29"/>
        <v>219</v>
      </c>
      <c r="U174" s="42" t="str">
        <f t="shared" si="30"/>
        <v>Wee</v>
      </c>
      <c r="V174" s="42" t="str">
        <f t="shared" si="31"/>
        <v>kend</v>
      </c>
      <c r="W174" s="42">
        <f t="shared" si="32"/>
        <v>7</v>
      </c>
      <c r="X174" s="42">
        <f t="shared" si="33"/>
        <v>0.21210000000000001</v>
      </c>
      <c r="Y174" s="3">
        <f t="shared" si="34"/>
        <v>82</v>
      </c>
      <c r="Z174" s="3">
        <f t="shared" si="38"/>
        <v>7883</v>
      </c>
      <c r="AA174" s="3">
        <f t="shared" si="35"/>
        <v>1232.2489122187819</v>
      </c>
      <c r="AB174" s="3">
        <f t="shared" si="36"/>
        <v>0.99911573903365103</v>
      </c>
      <c r="AC174" s="3" t="str">
        <f t="shared" si="37"/>
        <v>Normal</v>
      </c>
    </row>
    <row r="175" spans="1:29" x14ac:dyDescent="0.2">
      <c r="A175" s="4">
        <v>793</v>
      </c>
      <c r="B175" s="5">
        <v>40665</v>
      </c>
      <c r="C175" s="4">
        <v>1</v>
      </c>
      <c r="D175" s="4">
        <v>0</v>
      </c>
      <c r="E175" s="4">
        <v>2</v>
      </c>
      <c r="F175" s="4">
        <v>11</v>
      </c>
      <c r="G175" s="4" t="b">
        <v>0</v>
      </c>
      <c r="H175" s="4">
        <v>6</v>
      </c>
      <c r="I175" s="4">
        <v>3</v>
      </c>
      <c r="J175" s="4">
        <v>0.22</v>
      </c>
      <c r="K175" s="4">
        <v>0.2273</v>
      </c>
      <c r="L175" s="4">
        <v>1</v>
      </c>
      <c r="M175" s="4">
        <v>0.1343</v>
      </c>
      <c r="N175" s="4">
        <v>1</v>
      </c>
      <c r="O175" s="4">
        <v>46</v>
      </c>
      <c r="P175" s="4">
        <v>47</v>
      </c>
      <c r="Q175" s="6" t="str">
        <f t="shared" si="26"/>
        <v>Weekend</v>
      </c>
      <c r="R175" s="42">
        <f t="shared" si="27"/>
        <v>38827</v>
      </c>
      <c r="S175" s="42">
        <f t="shared" si="28"/>
        <v>124.8388746803069</v>
      </c>
      <c r="T175" s="42">
        <f t="shared" si="29"/>
        <v>218</v>
      </c>
      <c r="U175" s="42" t="str">
        <f t="shared" si="30"/>
        <v>Wee</v>
      </c>
      <c r="V175" s="42" t="str">
        <f t="shared" si="31"/>
        <v>kend</v>
      </c>
      <c r="W175" s="42">
        <f t="shared" si="32"/>
        <v>7</v>
      </c>
      <c r="X175" s="42">
        <f t="shared" si="33"/>
        <v>0.2273</v>
      </c>
      <c r="Y175" s="3">
        <f t="shared" si="34"/>
        <v>82</v>
      </c>
      <c r="Z175" s="3">
        <f t="shared" si="38"/>
        <v>7883</v>
      </c>
      <c r="AA175" s="3">
        <f t="shared" si="35"/>
        <v>1232.2489122187819</v>
      </c>
      <c r="AB175" s="3">
        <f t="shared" si="36"/>
        <v>0.99911573903365103</v>
      </c>
      <c r="AC175" s="3" t="str">
        <f t="shared" si="37"/>
        <v>Normal</v>
      </c>
    </row>
    <row r="176" spans="1:29" x14ac:dyDescent="0.2">
      <c r="A176" s="4">
        <v>794</v>
      </c>
      <c r="B176" s="5">
        <v>40665</v>
      </c>
      <c r="C176" s="4">
        <v>1</v>
      </c>
      <c r="D176" s="4">
        <v>0</v>
      </c>
      <c r="E176" s="4">
        <v>2</v>
      </c>
      <c r="F176" s="4">
        <v>12</v>
      </c>
      <c r="G176" s="4" t="b">
        <v>0</v>
      </c>
      <c r="H176" s="4">
        <v>6</v>
      </c>
      <c r="I176" s="4">
        <v>3</v>
      </c>
      <c r="J176" s="4">
        <v>0.22</v>
      </c>
      <c r="K176" s="4">
        <v>0.2273</v>
      </c>
      <c r="L176" s="4">
        <v>1</v>
      </c>
      <c r="M176" s="4">
        <v>0.16420000000000001</v>
      </c>
      <c r="N176" s="4">
        <v>10</v>
      </c>
      <c r="O176" s="4">
        <v>42</v>
      </c>
      <c r="P176" s="4">
        <v>52</v>
      </c>
      <c r="Q176" s="6" t="str">
        <f t="shared" si="26"/>
        <v>Weekend</v>
      </c>
      <c r="R176" s="42">
        <f t="shared" si="27"/>
        <v>38780</v>
      </c>
      <c r="S176" s="42">
        <f t="shared" si="28"/>
        <v>124.8388746803069</v>
      </c>
      <c r="T176" s="42">
        <f t="shared" si="29"/>
        <v>217</v>
      </c>
      <c r="U176" s="42" t="str">
        <f t="shared" si="30"/>
        <v>Wee</v>
      </c>
      <c r="V176" s="42" t="str">
        <f t="shared" si="31"/>
        <v>kend</v>
      </c>
      <c r="W176" s="42">
        <f t="shared" si="32"/>
        <v>7</v>
      </c>
      <c r="X176" s="42">
        <f t="shared" si="33"/>
        <v>0.2273</v>
      </c>
      <c r="Y176" s="3">
        <f t="shared" si="34"/>
        <v>82</v>
      </c>
      <c r="Z176" s="3">
        <f t="shared" si="38"/>
        <v>7883</v>
      </c>
      <c r="AA176" s="3">
        <f t="shared" si="35"/>
        <v>1232.2489122187819</v>
      </c>
      <c r="AB176" s="3">
        <f t="shared" si="36"/>
        <v>0.99911573903365103</v>
      </c>
      <c r="AC176" s="3" t="str">
        <f t="shared" si="37"/>
        <v>Normal</v>
      </c>
    </row>
    <row r="177" spans="1:29" x14ac:dyDescent="0.2">
      <c r="A177" s="4">
        <v>795</v>
      </c>
      <c r="B177" s="5">
        <v>40665</v>
      </c>
      <c r="C177" s="4">
        <v>1</v>
      </c>
      <c r="D177" s="4">
        <v>0</v>
      </c>
      <c r="E177" s="4">
        <v>2</v>
      </c>
      <c r="F177" s="4">
        <v>13</v>
      </c>
      <c r="G177" s="4" t="b">
        <v>0</v>
      </c>
      <c r="H177" s="4">
        <v>6</v>
      </c>
      <c r="I177" s="4">
        <v>3</v>
      </c>
      <c r="J177" s="4">
        <v>0.22</v>
      </c>
      <c r="K177" s="4">
        <v>0.2273</v>
      </c>
      <c r="L177" s="4">
        <v>1</v>
      </c>
      <c r="M177" s="4">
        <v>0.16420000000000001</v>
      </c>
      <c r="N177" s="4">
        <v>10</v>
      </c>
      <c r="O177" s="4">
        <v>62</v>
      </c>
      <c r="P177" s="4">
        <v>72</v>
      </c>
      <c r="Q177" s="6" t="str">
        <f t="shared" si="26"/>
        <v>Weekend</v>
      </c>
      <c r="R177" s="42">
        <f t="shared" si="27"/>
        <v>38728</v>
      </c>
      <c r="S177" s="42">
        <f t="shared" si="28"/>
        <v>124.8388746803069</v>
      </c>
      <c r="T177" s="42">
        <f t="shared" si="29"/>
        <v>216</v>
      </c>
      <c r="U177" s="42" t="str">
        <f t="shared" si="30"/>
        <v>Wee</v>
      </c>
      <c r="V177" s="42" t="str">
        <f t="shared" si="31"/>
        <v>kend</v>
      </c>
      <c r="W177" s="42">
        <f t="shared" si="32"/>
        <v>7</v>
      </c>
      <c r="X177" s="42">
        <f t="shared" si="33"/>
        <v>0.2273</v>
      </c>
      <c r="Y177" s="3">
        <f t="shared" si="34"/>
        <v>82</v>
      </c>
      <c r="Z177" s="3">
        <f t="shared" si="38"/>
        <v>7883</v>
      </c>
      <c r="AA177" s="3">
        <f t="shared" si="35"/>
        <v>1232.2489122187819</v>
      </c>
      <c r="AB177" s="3">
        <f t="shared" si="36"/>
        <v>0.99911573903365103</v>
      </c>
      <c r="AC177" s="3" t="str">
        <f t="shared" si="37"/>
        <v>Normal</v>
      </c>
    </row>
    <row r="178" spans="1:29" x14ac:dyDescent="0.2">
      <c r="A178" s="4">
        <v>796</v>
      </c>
      <c r="B178" s="5">
        <v>40665</v>
      </c>
      <c r="C178" s="4">
        <v>1</v>
      </c>
      <c r="D178" s="4">
        <v>0</v>
      </c>
      <c r="E178" s="4">
        <v>2</v>
      </c>
      <c r="F178" s="4">
        <v>14</v>
      </c>
      <c r="G178" s="4" t="b">
        <v>0</v>
      </c>
      <c r="H178" s="4">
        <v>6</v>
      </c>
      <c r="I178" s="4">
        <v>3</v>
      </c>
      <c r="J178" s="4">
        <v>0.22</v>
      </c>
      <c r="K178" s="4">
        <v>0.2727</v>
      </c>
      <c r="L178" s="4">
        <v>1</v>
      </c>
      <c r="M178" s="4">
        <v>0</v>
      </c>
      <c r="N178" s="4">
        <v>5</v>
      </c>
      <c r="O178" s="4">
        <v>50</v>
      </c>
      <c r="P178" s="4">
        <v>55</v>
      </c>
      <c r="Q178" s="6" t="str">
        <f t="shared" si="26"/>
        <v>Weekend</v>
      </c>
      <c r="R178" s="42">
        <f t="shared" si="27"/>
        <v>38656</v>
      </c>
      <c r="S178" s="42">
        <f t="shared" si="28"/>
        <v>124.8388746803069</v>
      </c>
      <c r="T178" s="42">
        <f t="shared" si="29"/>
        <v>215</v>
      </c>
      <c r="U178" s="42" t="str">
        <f t="shared" si="30"/>
        <v>Wee</v>
      </c>
      <c r="V178" s="42" t="str">
        <f t="shared" si="31"/>
        <v>kend</v>
      </c>
      <c r="W178" s="42">
        <f t="shared" si="32"/>
        <v>7</v>
      </c>
      <c r="X178" s="42">
        <f t="shared" si="33"/>
        <v>0.2727</v>
      </c>
      <c r="Y178" s="3">
        <f t="shared" si="34"/>
        <v>82</v>
      </c>
      <c r="Z178" s="3">
        <f t="shared" si="38"/>
        <v>7883</v>
      </c>
      <c r="AA178" s="3">
        <f t="shared" si="35"/>
        <v>1232.2489122187819</v>
      </c>
      <c r="AB178" s="3">
        <f t="shared" si="36"/>
        <v>0.99911573903365103</v>
      </c>
      <c r="AC178" s="3" t="str">
        <f t="shared" si="37"/>
        <v>Normal</v>
      </c>
    </row>
    <row r="179" spans="1:29" x14ac:dyDescent="0.2">
      <c r="A179" s="4">
        <v>797</v>
      </c>
      <c r="B179" s="5">
        <v>40665</v>
      </c>
      <c r="C179" s="4">
        <v>1</v>
      </c>
      <c r="D179" s="4">
        <v>0</v>
      </c>
      <c r="E179" s="4">
        <v>2</v>
      </c>
      <c r="F179" s="4">
        <v>15</v>
      </c>
      <c r="G179" s="4" t="b">
        <v>0</v>
      </c>
      <c r="H179" s="4">
        <v>6</v>
      </c>
      <c r="I179" s="4">
        <v>3</v>
      </c>
      <c r="J179" s="4">
        <v>0.22</v>
      </c>
      <c r="K179" s="4">
        <v>0.2727</v>
      </c>
      <c r="L179" s="4">
        <v>1</v>
      </c>
      <c r="M179" s="4">
        <v>0</v>
      </c>
      <c r="N179" s="4">
        <v>11</v>
      </c>
      <c r="O179" s="4">
        <v>49</v>
      </c>
      <c r="P179" s="4">
        <v>60</v>
      </c>
      <c r="Q179" s="6" t="str">
        <f t="shared" si="26"/>
        <v>Weekend</v>
      </c>
      <c r="R179" s="42">
        <f t="shared" si="27"/>
        <v>38601</v>
      </c>
      <c r="S179" s="42">
        <f t="shared" si="28"/>
        <v>124.8388746803069</v>
      </c>
      <c r="T179" s="42">
        <f t="shared" si="29"/>
        <v>214</v>
      </c>
      <c r="U179" s="42" t="str">
        <f t="shared" si="30"/>
        <v>Wee</v>
      </c>
      <c r="V179" s="42" t="str">
        <f t="shared" si="31"/>
        <v>kend</v>
      </c>
      <c r="W179" s="42">
        <f t="shared" si="32"/>
        <v>7</v>
      </c>
      <c r="X179" s="42">
        <f t="shared" si="33"/>
        <v>0.2727</v>
      </c>
      <c r="Y179" s="3">
        <f t="shared" si="34"/>
        <v>82</v>
      </c>
      <c r="Z179" s="3">
        <f t="shared" si="38"/>
        <v>7883</v>
      </c>
      <c r="AA179" s="3">
        <f t="shared" si="35"/>
        <v>1232.2489122187819</v>
      </c>
      <c r="AB179" s="3">
        <f t="shared" si="36"/>
        <v>0.99911573903365103</v>
      </c>
      <c r="AC179" s="3" t="str">
        <f t="shared" si="37"/>
        <v>Normal</v>
      </c>
    </row>
    <row r="180" spans="1:29" x14ac:dyDescent="0.2">
      <c r="A180" s="4">
        <v>798</v>
      </c>
      <c r="B180" s="5">
        <v>40665</v>
      </c>
      <c r="C180" s="4">
        <v>1</v>
      </c>
      <c r="D180" s="4">
        <v>0</v>
      </c>
      <c r="E180" s="4">
        <v>2</v>
      </c>
      <c r="F180" s="4">
        <v>16</v>
      </c>
      <c r="G180" s="4" t="b">
        <v>0</v>
      </c>
      <c r="H180" s="4">
        <v>6</v>
      </c>
      <c r="I180" s="4">
        <v>3</v>
      </c>
      <c r="J180" s="4">
        <v>0.22</v>
      </c>
      <c r="K180" s="4">
        <v>0.2273</v>
      </c>
      <c r="L180" s="4">
        <v>1</v>
      </c>
      <c r="M180" s="4">
        <v>0.1343</v>
      </c>
      <c r="N180" s="4">
        <v>8</v>
      </c>
      <c r="O180" s="4">
        <v>63</v>
      </c>
      <c r="P180" s="4">
        <v>71</v>
      </c>
      <c r="Q180" s="6" t="str">
        <f t="shared" si="26"/>
        <v>Weekend</v>
      </c>
      <c r="R180" s="42">
        <f t="shared" si="27"/>
        <v>38541</v>
      </c>
      <c r="S180" s="42">
        <f t="shared" si="28"/>
        <v>124.8388746803069</v>
      </c>
      <c r="T180" s="42">
        <f t="shared" si="29"/>
        <v>213</v>
      </c>
      <c r="U180" s="42" t="str">
        <f t="shared" si="30"/>
        <v>Wee</v>
      </c>
      <c r="V180" s="42" t="str">
        <f t="shared" si="31"/>
        <v>kend</v>
      </c>
      <c r="W180" s="42">
        <f t="shared" si="32"/>
        <v>7</v>
      </c>
      <c r="X180" s="42">
        <f t="shared" si="33"/>
        <v>0.2273</v>
      </c>
      <c r="Y180" s="3">
        <f t="shared" si="34"/>
        <v>82</v>
      </c>
      <c r="Z180" s="3">
        <f t="shared" si="38"/>
        <v>7883</v>
      </c>
      <c r="AA180" s="3">
        <f t="shared" si="35"/>
        <v>1232.2489122187819</v>
      </c>
      <c r="AB180" s="3">
        <f t="shared" si="36"/>
        <v>0.99911573903365103</v>
      </c>
      <c r="AC180" s="3" t="str">
        <f t="shared" si="37"/>
        <v>Normal</v>
      </c>
    </row>
    <row r="181" spans="1:29" x14ac:dyDescent="0.2">
      <c r="A181" s="4">
        <v>799</v>
      </c>
      <c r="B181" s="5">
        <v>40665</v>
      </c>
      <c r="C181" s="4">
        <v>1</v>
      </c>
      <c r="D181" s="4">
        <v>0</v>
      </c>
      <c r="E181" s="4">
        <v>2</v>
      </c>
      <c r="F181" s="4">
        <v>17</v>
      </c>
      <c r="G181" s="4" t="b">
        <v>0</v>
      </c>
      <c r="H181" s="4">
        <v>6</v>
      </c>
      <c r="I181" s="4">
        <v>2</v>
      </c>
      <c r="J181" s="4">
        <v>0.24</v>
      </c>
      <c r="K181" s="4">
        <v>0.21210000000000001</v>
      </c>
      <c r="L181" s="4">
        <v>1</v>
      </c>
      <c r="M181" s="4">
        <v>0.28360000000000002</v>
      </c>
      <c r="N181" s="4">
        <v>14</v>
      </c>
      <c r="O181" s="4">
        <v>64</v>
      </c>
      <c r="P181" s="4">
        <v>78</v>
      </c>
      <c r="Q181" s="6" t="str">
        <f t="shared" si="26"/>
        <v>Weekend</v>
      </c>
      <c r="R181" s="42">
        <f t="shared" si="27"/>
        <v>38470</v>
      </c>
      <c r="S181" s="42">
        <f t="shared" si="28"/>
        <v>124.8388746803069</v>
      </c>
      <c r="T181" s="42">
        <f t="shared" si="29"/>
        <v>212</v>
      </c>
      <c r="U181" s="42" t="str">
        <f t="shared" si="30"/>
        <v>Wee</v>
      </c>
      <c r="V181" s="42" t="str">
        <f t="shared" si="31"/>
        <v>kend</v>
      </c>
      <c r="W181" s="42">
        <f t="shared" si="32"/>
        <v>7</v>
      </c>
      <c r="X181" s="42">
        <f t="shared" si="33"/>
        <v>0.21210000000000001</v>
      </c>
      <c r="Y181" s="3">
        <f t="shared" si="34"/>
        <v>82</v>
      </c>
      <c r="Z181" s="3">
        <f t="shared" si="38"/>
        <v>7883</v>
      </c>
      <c r="AA181" s="3">
        <f t="shared" si="35"/>
        <v>1232.2489122187819</v>
      </c>
      <c r="AB181" s="3">
        <f t="shared" si="36"/>
        <v>0.99911573903365103</v>
      </c>
      <c r="AC181" s="3" t="str">
        <f t="shared" si="37"/>
        <v>Normal</v>
      </c>
    </row>
    <row r="182" spans="1:29" x14ac:dyDescent="0.2">
      <c r="A182" s="4">
        <v>800</v>
      </c>
      <c r="B182" s="5">
        <v>40665</v>
      </c>
      <c r="C182" s="4">
        <v>1</v>
      </c>
      <c r="D182" s="4">
        <v>0</v>
      </c>
      <c r="E182" s="4">
        <v>2</v>
      </c>
      <c r="F182" s="4">
        <v>18</v>
      </c>
      <c r="G182" s="4" t="b">
        <v>0</v>
      </c>
      <c r="H182" s="4">
        <v>6</v>
      </c>
      <c r="I182" s="4">
        <v>2</v>
      </c>
      <c r="J182" s="4">
        <v>0.28000000000000003</v>
      </c>
      <c r="K182" s="4">
        <v>0.2424</v>
      </c>
      <c r="L182" s="4">
        <v>0.93</v>
      </c>
      <c r="M182" s="4">
        <v>0.44779999999999998</v>
      </c>
      <c r="N182" s="4">
        <v>2</v>
      </c>
      <c r="O182" s="4">
        <v>81</v>
      </c>
      <c r="P182" s="4">
        <v>83</v>
      </c>
      <c r="Q182" s="6" t="str">
        <f t="shared" si="26"/>
        <v>Weekend</v>
      </c>
      <c r="R182" s="42">
        <f t="shared" si="27"/>
        <v>38392</v>
      </c>
      <c r="S182" s="42">
        <f t="shared" si="28"/>
        <v>124.8388746803069</v>
      </c>
      <c r="T182" s="42">
        <f t="shared" si="29"/>
        <v>211</v>
      </c>
      <c r="U182" s="42" t="str">
        <f t="shared" si="30"/>
        <v>Wee</v>
      </c>
      <c r="V182" s="42" t="str">
        <f t="shared" si="31"/>
        <v>kend</v>
      </c>
      <c r="W182" s="42">
        <f t="shared" si="32"/>
        <v>7</v>
      </c>
      <c r="X182" s="42">
        <f t="shared" si="33"/>
        <v>0.2424</v>
      </c>
      <c r="Y182" s="3">
        <f t="shared" si="34"/>
        <v>82</v>
      </c>
      <c r="Z182" s="3">
        <f t="shared" si="38"/>
        <v>7883</v>
      </c>
      <c r="AA182" s="3">
        <f t="shared" si="35"/>
        <v>1232.2489122187819</v>
      </c>
      <c r="AB182" s="3">
        <f t="shared" si="36"/>
        <v>0.99911573903365103</v>
      </c>
      <c r="AC182" s="3" t="str">
        <f t="shared" si="37"/>
        <v>Normal</v>
      </c>
    </row>
    <row r="183" spans="1:29" x14ac:dyDescent="0.2">
      <c r="A183" s="4">
        <v>801</v>
      </c>
      <c r="B183" s="5">
        <v>40665</v>
      </c>
      <c r="C183" s="4">
        <v>1</v>
      </c>
      <c r="D183" s="4">
        <v>0</v>
      </c>
      <c r="E183" s="4">
        <v>2</v>
      </c>
      <c r="F183" s="4">
        <v>19</v>
      </c>
      <c r="G183" s="4" t="b">
        <v>0</v>
      </c>
      <c r="H183" s="4">
        <v>6</v>
      </c>
      <c r="I183" s="4">
        <v>2</v>
      </c>
      <c r="J183" s="4">
        <v>0.28000000000000003</v>
      </c>
      <c r="K183" s="4">
        <v>0.2424</v>
      </c>
      <c r="L183" s="4">
        <v>0.93</v>
      </c>
      <c r="M183" s="4">
        <v>0.44779999999999998</v>
      </c>
      <c r="N183" s="4">
        <v>6</v>
      </c>
      <c r="O183" s="4">
        <v>78</v>
      </c>
      <c r="P183" s="4">
        <v>84</v>
      </c>
      <c r="Q183" s="6" t="str">
        <f t="shared" si="26"/>
        <v>Weekend</v>
      </c>
      <c r="R183" s="42">
        <f t="shared" si="27"/>
        <v>38309</v>
      </c>
      <c r="S183" s="42">
        <f t="shared" si="28"/>
        <v>124.8388746803069</v>
      </c>
      <c r="T183" s="42">
        <f t="shared" si="29"/>
        <v>210</v>
      </c>
      <c r="U183" s="42" t="str">
        <f t="shared" si="30"/>
        <v>Wee</v>
      </c>
      <c r="V183" s="42" t="str">
        <f t="shared" si="31"/>
        <v>kend</v>
      </c>
      <c r="W183" s="42">
        <f t="shared" si="32"/>
        <v>7</v>
      </c>
      <c r="X183" s="42">
        <f t="shared" si="33"/>
        <v>0.2424</v>
      </c>
      <c r="Y183" s="3">
        <f t="shared" si="34"/>
        <v>82</v>
      </c>
      <c r="Z183" s="3">
        <f t="shared" si="38"/>
        <v>7883</v>
      </c>
      <c r="AA183" s="3">
        <f t="shared" si="35"/>
        <v>1232.2489122187819</v>
      </c>
      <c r="AB183" s="3">
        <f t="shared" si="36"/>
        <v>0.99911573903365103</v>
      </c>
      <c r="AC183" s="3" t="str">
        <f t="shared" si="37"/>
        <v>Normal</v>
      </c>
    </row>
    <row r="184" spans="1:29" x14ac:dyDescent="0.2">
      <c r="A184" s="4">
        <v>802</v>
      </c>
      <c r="B184" s="5">
        <v>40665</v>
      </c>
      <c r="C184" s="4">
        <v>1</v>
      </c>
      <c r="D184" s="4">
        <v>0</v>
      </c>
      <c r="E184" s="4">
        <v>2</v>
      </c>
      <c r="F184" s="4">
        <v>20</v>
      </c>
      <c r="G184" s="4" t="b">
        <v>0</v>
      </c>
      <c r="H184" s="4">
        <v>6</v>
      </c>
      <c r="I184" s="4">
        <v>1</v>
      </c>
      <c r="J184" s="4">
        <v>0.3</v>
      </c>
      <c r="K184" s="4">
        <v>0.28789999999999999</v>
      </c>
      <c r="L184" s="4">
        <v>0.87</v>
      </c>
      <c r="M184" s="4">
        <v>0.25369999999999998</v>
      </c>
      <c r="N184" s="4">
        <v>5</v>
      </c>
      <c r="O184" s="4">
        <v>64</v>
      </c>
      <c r="P184" s="4">
        <v>69</v>
      </c>
      <c r="Q184" s="6" t="str">
        <f t="shared" si="26"/>
        <v>Weekend</v>
      </c>
      <c r="R184" s="42">
        <f t="shared" si="27"/>
        <v>38225</v>
      </c>
      <c r="S184" s="42">
        <f t="shared" si="28"/>
        <v>124.8388746803069</v>
      </c>
      <c r="T184" s="42">
        <f t="shared" si="29"/>
        <v>209</v>
      </c>
      <c r="U184" s="42" t="str">
        <f t="shared" si="30"/>
        <v>Wee</v>
      </c>
      <c r="V184" s="42" t="str">
        <f t="shared" si="31"/>
        <v>kend</v>
      </c>
      <c r="W184" s="42">
        <f t="shared" si="32"/>
        <v>7</v>
      </c>
      <c r="X184" s="42">
        <f t="shared" si="33"/>
        <v>0.28789999999999999</v>
      </c>
      <c r="Y184" s="3">
        <f t="shared" si="34"/>
        <v>82</v>
      </c>
      <c r="Z184" s="3">
        <f t="shared" si="38"/>
        <v>7883</v>
      </c>
      <c r="AA184" s="3">
        <f t="shared" si="35"/>
        <v>1232.2489122187819</v>
      </c>
      <c r="AB184" s="3">
        <f t="shared" si="36"/>
        <v>0.99911573903365103</v>
      </c>
      <c r="AC184" s="3" t="str">
        <f t="shared" si="37"/>
        <v>Normal</v>
      </c>
    </row>
    <row r="185" spans="1:29" x14ac:dyDescent="0.2">
      <c r="A185" s="4">
        <v>803</v>
      </c>
      <c r="B185" s="5">
        <v>40665</v>
      </c>
      <c r="C185" s="4">
        <v>1</v>
      </c>
      <c r="D185" s="4">
        <v>0</v>
      </c>
      <c r="E185" s="4">
        <v>2</v>
      </c>
      <c r="F185" s="4">
        <v>21</v>
      </c>
      <c r="G185" s="4" t="b">
        <v>0</v>
      </c>
      <c r="H185" s="4">
        <v>6</v>
      </c>
      <c r="I185" s="4">
        <v>1</v>
      </c>
      <c r="J185" s="4">
        <v>0.26</v>
      </c>
      <c r="K185" s="4">
        <v>0.2576</v>
      </c>
      <c r="L185" s="4">
        <v>1</v>
      </c>
      <c r="M185" s="4">
        <v>0.19400000000000001</v>
      </c>
      <c r="N185" s="4">
        <v>3</v>
      </c>
      <c r="O185" s="4">
        <v>53</v>
      </c>
      <c r="P185" s="4">
        <v>56</v>
      </c>
      <c r="Q185" s="6" t="str">
        <f t="shared" si="26"/>
        <v>Weekend</v>
      </c>
      <c r="R185" s="42">
        <f t="shared" si="27"/>
        <v>38156</v>
      </c>
      <c r="S185" s="42">
        <f t="shared" si="28"/>
        <v>124.8388746803069</v>
      </c>
      <c r="T185" s="42">
        <f t="shared" si="29"/>
        <v>208</v>
      </c>
      <c r="U185" s="42" t="str">
        <f t="shared" si="30"/>
        <v>Wee</v>
      </c>
      <c r="V185" s="42" t="str">
        <f t="shared" si="31"/>
        <v>kend</v>
      </c>
      <c r="W185" s="42">
        <f t="shared" si="32"/>
        <v>7</v>
      </c>
      <c r="X185" s="42">
        <f t="shared" si="33"/>
        <v>0.2576</v>
      </c>
      <c r="Y185" s="3">
        <f t="shared" si="34"/>
        <v>82</v>
      </c>
      <c r="Z185" s="3">
        <f t="shared" si="38"/>
        <v>7883</v>
      </c>
      <c r="AA185" s="3">
        <f t="shared" si="35"/>
        <v>1232.2489122187819</v>
      </c>
      <c r="AB185" s="3">
        <f t="shared" si="36"/>
        <v>0.99911573903365103</v>
      </c>
      <c r="AC185" s="3" t="str">
        <f t="shared" si="37"/>
        <v>Normal</v>
      </c>
    </row>
    <row r="186" spans="1:29" x14ac:dyDescent="0.2">
      <c r="A186" s="4">
        <v>804</v>
      </c>
      <c r="B186" s="5">
        <v>40665</v>
      </c>
      <c r="C186" s="4">
        <v>1</v>
      </c>
      <c r="D186" s="4">
        <v>0</v>
      </c>
      <c r="E186" s="4">
        <v>2</v>
      </c>
      <c r="F186" s="4">
        <v>22</v>
      </c>
      <c r="G186" s="4" t="b">
        <v>0</v>
      </c>
      <c r="H186" s="4">
        <v>6</v>
      </c>
      <c r="I186" s="4">
        <v>1</v>
      </c>
      <c r="J186" s="4">
        <v>0.26</v>
      </c>
      <c r="K186" s="4">
        <v>0.2727</v>
      </c>
      <c r="L186" s="4">
        <v>0.93</v>
      </c>
      <c r="M186" s="4">
        <v>0.1343</v>
      </c>
      <c r="N186" s="4">
        <v>2</v>
      </c>
      <c r="O186" s="4">
        <v>43</v>
      </c>
      <c r="P186" s="4">
        <v>45</v>
      </c>
      <c r="Q186" s="6" t="str">
        <f t="shared" si="26"/>
        <v>Weekend</v>
      </c>
      <c r="R186" s="42">
        <f t="shared" si="27"/>
        <v>38100</v>
      </c>
      <c r="S186" s="42">
        <f t="shared" si="28"/>
        <v>124.8388746803069</v>
      </c>
      <c r="T186" s="42">
        <f t="shared" si="29"/>
        <v>207</v>
      </c>
      <c r="U186" s="42" t="str">
        <f t="shared" si="30"/>
        <v>Wee</v>
      </c>
      <c r="V186" s="42" t="str">
        <f t="shared" si="31"/>
        <v>kend</v>
      </c>
      <c r="W186" s="42">
        <f t="shared" si="32"/>
        <v>7</v>
      </c>
      <c r="X186" s="42">
        <f t="shared" si="33"/>
        <v>0.2727</v>
      </c>
      <c r="Y186" s="3">
        <f t="shared" si="34"/>
        <v>82</v>
      </c>
      <c r="Z186" s="3">
        <f t="shared" si="38"/>
        <v>7883</v>
      </c>
      <c r="AA186" s="3">
        <f t="shared" si="35"/>
        <v>1232.2489122187819</v>
      </c>
      <c r="AB186" s="3">
        <f t="shared" si="36"/>
        <v>0.99911573903365103</v>
      </c>
      <c r="AC186" s="3" t="str">
        <f t="shared" si="37"/>
        <v>Normal</v>
      </c>
    </row>
    <row r="187" spans="1:29" x14ac:dyDescent="0.2">
      <c r="A187" s="4">
        <v>805</v>
      </c>
      <c r="B187" s="5">
        <v>40665</v>
      </c>
      <c r="C187" s="4">
        <v>1</v>
      </c>
      <c r="D187" s="4">
        <v>0</v>
      </c>
      <c r="E187" s="4">
        <v>2</v>
      </c>
      <c r="F187" s="4">
        <v>23</v>
      </c>
      <c r="G187" s="4" t="b">
        <v>0</v>
      </c>
      <c r="H187" s="4">
        <v>6</v>
      </c>
      <c r="I187" s="4">
        <v>1</v>
      </c>
      <c r="J187" s="4">
        <v>0.26</v>
      </c>
      <c r="K187" s="4">
        <v>0.2576</v>
      </c>
      <c r="L187" s="4">
        <v>0.93</v>
      </c>
      <c r="M187" s="4">
        <v>0.22389999999999999</v>
      </c>
      <c r="N187" s="4">
        <v>7</v>
      </c>
      <c r="O187" s="4">
        <v>52</v>
      </c>
      <c r="P187" s="4">
        <v>59</v>
      </c>
      <c r="Q187" s="6" t="str">
        <f t="shared" si="26"/>
        <v>Weekend</v>
      </c>
      <c r="R187" s="42">
        <f t="shared" si="27"/>
        <v>38055</v>
      </c>
      <c r="S187" s="42">
        <f t="shared" si="28"/>
        <v>124.8388746803069</v>
      </c>
      <c r="T187" s="42">
        <f t="shared" si="29"/>
        <v>206</v>
      </c>
      <c r="U187" s="42" t="str">
        <f t="shared" si="30"/>
        <v>Wee</v>
      </c>
      <c r="V187" s="42" t="str">
        <f t="shared" si="31"/>
        <v>kend</v>
      </c>
      <c r="W187" s="42">
        <f t="shared" si="32"/>
        <v>7</v>
      </c>
      <c r="X187" s="42">
        <f t="shared" si="33"/>
        <v>0.2576</v>
      </c>
      <c r="Y187" s="3">
        <f t="shared" si="34"/>
        <v>82</v>
      </c>
      <c r="Z187" s="3">
        <f t="shared" si="38"/>
        <v>7883</v>
      </c>
      <c r="AA187" s="3">
        <f t="shared" si="35"/>
        <v>1232.2489122187819</v>
      </c>
      <c r="AB187" s="3">
        <f t="shared" si="36"/>
        <v>0.99911573903365103</v>
      </c>
      <c r="AC187" s="3" t="str">
        <f t="shared" si="37"/>
        <v>Normal</v>
      </c>
    </row>
    <row r="188" spans="1:29" x14ac:dyDescent="0.2">
      <c r="A188" s="4">
        <v>806</v>
      </c>
      <c r="B188" s="5">
        <v>40696</v>
      </c>
      <c r="C188" s="4">
        <v>1</v>
      </c>
      <c r="D188" s="4">
        <v>0</v>
      </c>
      <c r="E188" s="4">
        <v>2</v>
      </c>
      <c r="F188" s="4">
        <v>0</v>
      </c>
      <c r="G188" s="4" t="b">
        <v>0</v>
      </c>
      <c r="H188" s="4">
        <v>0</v>
      </c>
      <c r="I188" s="4">
        <v>1</v>
      </c>
      <c r="J188" s="4">
        <v>0.26</v>
      </c>
      <c r="K188" s="4">
        <v>0.2576</v>
      </c>
      <c r="L188" s="4">
        <v>0.7</v>
      </c>
      <c r="M188" s="4">
        <v>0.19400000000000001</v>
      </c>
      <c r="N188" s="4">
        <v>2</v>
      </c>
      <c r="O188" s="4">
        <v>37</v>
      </c>
      <c r="P188" s="4">
        <v>39</v>
      </c>
      <c r="Q188" s="6" t="str">
        <f t="shared" si="26"/>
        <v>Weekend</v>
      </c>
      <c r="R188" s="42">
        <f t="shared" si="27"/>
        <v>37996</v>
      </c>
      <c r="S188" s="42">
        <f t="shared" si="28"/>
        <v>124.8388746803069</v>
      </c>
      <c r="T188" s="42">
        <f t="shared" si="29"/>
        <v>205</v>
      </c>
      <c r="U188" s="42" t="str">
        <f t="shared" si="30"/>
        <v>Wee</v>
      </c>
      <c r="V188" s="42" t="str">
        <f t="shared" si="31"/>
        <v>kend</v>
      </c>
      <c r="W188" s="42">
        <f t="shared" si="32"/>
        <v>7</v>
      </c>
      <c r="X188" s="42">
        <f t="shared" si="33"/>
        <v>0.2576</v>
      </c>
      <c r="Y188" s="3">
        <f t="shared" si="34"/>
        <v>82</v>
      </c>
      <c r="Z188" s="3">
        <f t="shared" si="38"/>
        <v>7883</v>
      </c>
      <c r="AA188" s="3">
        <f t="shared" si="35"/>
        <v>1232.2489122187819</v>
      </c>
      <c r="AB188" s="3">
        <f t="shared" si="36"/>
        <v>0.99911573903365103</v>
      </c>
      <c r="AC188" s="3" t="str">
        <f t="shared" si="37"/>
        <v>Normal</v>
      </c>
    </row>
    <row r="189" spans="1:29" x14ac:dyDescent="0.2">
      <c r="A189" s="4">
        <v>807</v>
      </c>
      <c r="B189" s="5">
        <v>40696</v>
      </c>
      <c r="C189" s="4">
        <v>1</v>
      </c>
      <c r="D189" s="4">
        <v>0</v>
      </c>
      <c r="E189" s="4">
        <v>2</v>
      </c>
      <c r="F189" s="4">
        <v>1</v>
      </c>
      <c r="G189" s="4" t="b">
        <v>0</v>
      </c>
      <c r="H189" s="4">
        <v>0</v>
      </c>
      <c r="I189" s="4">
        <v>1</v>
      </c>
      <c r="J189" s="4">
        <v>0.26</v>
      </c>
      <c r="K189" s="4">
        <v>0.2273</v>
      </c>
      <c r="L189" s="4">
        <v>0.65</v>
      </c>
      <c r="M189" s="4">
        <v>0.41789999999999999</v>
      </c>
      <c r="N189" s="4">
        <v>4</v>
      </c>
      <c r="O189" s="4">
        <v>40</v>
      </c>
      <c r="P189" s="4">
        <v>44</v>
      </c>
      <c r="Q189" s="6" t="str">
        <f t="shared" si="26"/>
        <v>Weekend</v>
      </c>
      <c r="R189" s="42">
        <f t="shared" si="27"/>
        <v>37957</v>
      </c>
      <c r="S189" s="42">
        <f t="shared" si="28"/>
        <v>124.8388746803069</v>
      </c>
      <c r="T189" s="42">
        <f t="shared" si="29"/>
        <v>204</v>
      </c>
      <c r="U189" s="42" t="str">
        <f t="shared" si="30"/>
        <v>Wee</v>
      </c>
      <c r="V189" s="42" t="str">
        <f t="shared" si="31"/>
        <v>kend</v>
      </c>
      <c r="W189" s="42">
        <f t="shared" si="32"/>
        <v>7</v>
      </c>
      <c r="X189" s="42">
        <f t="shared" si="33"/>
        <v>0.2273</v>
      </c>
      <c r="Y189" s="3">
        <f t="shared" si="34"/>
        <v>82</v>
      </c>
      <c r="Z189" s="3">
        <f t="shared" si="38"/>
        <v>7883</v>
      </c>
      <c r="AA189" s="3">
        <f t="shared" si="35"/>
        <v>1232.2489122187819</v>
      </c>
      <c r="AB189" s="3">
        <f t="shared" si="36"/>
        <v>0.99911573903365103</v>
      </c>
      <c r="AC189" s="3" t="str">
        <f t="shared" si="37"/>
        <v>Normal</v>
      </c>
    </row>
    <row r="190" spans="1:29" x14ac:dyDescent="0.2">
      <c r="A190" s="4">
        <v>808</v>
      </c>
      <c r="B190" s="5">
        <v>40696</v>
      </c>
      <c r="C190" s="4">
        <v>1</v>
      </c>
      <c r="D190" s="4">
        <v>0</v>
      </c>
      <c r="E190" s="4">
        <v>2</v>
      </c>
      <c r="F190" s="4">
        <v>2</v>
      </c>
      <c r="G190" s="4" t="b">
        <v>0</v>
      </c>
      <c r="H190" s="4">
        <v>0</v>
      </c>
      <c r="I190" s="4">
        <v>1</v>
      </c>
      <c r="J190" s="4">
        <v>0.26</v>
      </c>
      <c r="K190" s="4">
        <v>0.2273</v>
      </c>
      <c r="L190" s="4">
        <v>0.6</v>
      </c>
      <c r="M190" s="4">
        <v>0.32840000000000003</v>
      </c>
      <c r="N190" s="4">
        <v>0</v>
      </c>
      <c r="O190" s="4">
        <v>20</v>
      </c>
      <c r="P190" s="4">
        <v>20</v>
      </c>
      <c r="Q190" s="6" t="str">
        <f t="shared" si="26"/>
        <v>Weekend</v>
      </c>
      <c r="R190" s="42">
        <f t="shared" si="27"/>
        <v>37913</v>
      </c>
      <c r="S190" s="42">
        <f t="shared" si="28"/>
        <v>124.8388746803069</v>
      </c>
      <c r="T190" s="42">
        <f t="shared" si="29"/>
        <v>203</v>
      </c>
      <c r="U190" s="42" t="str">
        <f t="shared" si="30"/>
        <v>Wee</v>
      </c>
      <c r="V190" s="42" t="str">
        <f t="shared" si="31"/>
        <v>kend</v>
      </c>
      <c r="W190" s="42">
        <f t="shared" si="32"/>
        <v>7</v>
      </c>
      <c r="X190" s="42">
        <f t="shared" si="33"/>
        <v>0.2273</v>
      </c>
      <c r="Y190" s="3">
        <f t="shared" si="34"/>
        <v>82</v>
      </c>
      <c r="Z190" s="3">
        <f t="shared" si="38"/>
        <v>7883</v>
      </c>
      <c r="AA190" s="3">
        <f t="shared" si="35"/>
        <v>1232.2489122187819</v>
      </c>
      <c r="AB190" s="3">
        <f t="shared" si="36"/>
        <v>0.99911573903365103</v>
      </c>
      <c r="AC190" s="3" t="str">
        <f t="shared" si="37"/>
        <v>Normal</v>
      </c>
    </row>
    <row r="191" spans="1:29" x14ac:dyDescent="0.2">
      <c r="A191" s="4">
        <v>809</v>
      </c>
      <c r="B191" s="5">
        <v>40696</v>
      </c>
      <c r="C191" s="4">
        <v>1</v>
      </c>
      <c r="D191" s="4">
        <v>0</v>
      </c>
      <c r="E191" s="4">
        <v>2</v>
      </c>
      <c r="F191" s="4">
        <v>3</v>
      </c>
      <c r="G191" s="4" t="b">
        <v>0</v>
      </c>
      <c r="H191" s="4">
        <v>0</v>
      </c>
      <c r="I191" s="4">
        <v>1</v>
      </c>
      <c r="J191" s="4">
        <v>0.26</v>
      </c>
      <c r="K191" s="4">
        <v>0.28789999999999999</v>
      </c>
      <c r="L191" s="4">
        <v>0.6</v>
      </c>
      <c r="M191" s="4">
        <v>8.9599999999999999E-2</v>
      </c>
      <c r="N191" s="4">
        <v>3</v>
      </c>
      <c r="O191" s="4">
        <v>10</v>
      </c>
      <c r="P191" s="4">
        <v>13</v>
      </c>
      <c r="Q191" s="6" t="str">
        <f t="shared" si="26"/>
        <v>Weekend</v>
      </c>
      <c r="R191" s="42">
        <f t="shared" si="27"/>
        <v>37893</v>
      </c>
      <c r="S191" s="42">
        <f t="shared" si="28"/>
        <v>124.8388746803069</v>
      </c>
      <c r="T191" s="42">
        <f t="shared" si="29"/>
        <v>202</v>
      </c>
      <c r="U191" s="42" t="str">
        <f t="shared" si="30"/>
        <v>Wee</v>
      </c>
      <c r="V191" s="42" t="str">
        <f t="shared" si="31"/>
        <v>kend</v>
      </c>
      <c r="W191" s="42">
        <f t="shared" si="32"/>
        <v>7</v>
      </c>
      <c r="X191" s="42">
        <f t="shared" si="33"/>
        <v>0.28789999999999999</v>
      </c>
      <c r="Y191" s="3">
        <f t="shared" si="34"/>
        <v>82</v>
      </c>
      <c r="Z191" s="3">
        <f t="shared" si="38"/>
        <v>7883</v>
      </c>
      <c r="AA191" s="3">
        <f t="shared" si="35"/>
        <v>1232.2489122187819</v>
      </c>
      <c r="AB191" s="3">
        <f t="shared" si="36"/>
        <v>0.99911573903365103</v>
      </c>
      <c r="AC191" s="3" t="str">
        <f t="shared" si="37"/>
        <v>Normal</v>
      </c>
    </row>
    <row r="192" spans="1:29" x14ac:dyDescent="0.2">
      <c r="A192" s="4">
        <v>810</v>
      </c>
      <c r="B192" s="5">
        <v>40696</v>
      </c>
      <c r="C192" s="4">
        <v>1</v>
      </c>
      <c r="D192" s="4">
        <v>0</v>
      </c>
      <c r="E192" s="4">
        <v>2</v>
      </c>
      <c r="F192" s="4">
        <v>4</v>
      </c>
      <c r="G192" s="4" t="b">
        <v>0</v>
      </c>
      <c r="H192" s="4">
        <v>0</v>
      </c>
      <c r="I192" s="4">
        <v>1</v>
      </c>
      <c r="J192" s="4">
        <v>0.26</v>
      </c>
      <c r="K192" s="4">
        <v>0.2273</v>
      </c>
      <c r="L192" s="4">
        <v>0.6</v>
      </c>
      <c r="M192" s="4">
        <v>0.35820000000000002</v>
      </c>
      <c r="N192" s="4">
        <v>0</v>
      </c>
      <c r="O192" s="4">
        <v>2</v>
      </c>
      <c r="P192" s="4">
        <v>2</v>
      </c>
      <c r="Q192" s="6" t="str">
        <f t="shared" si="26"/>
        <v>Weekend</v>
      </c>
      <c r="R192" s="42">
        <f t="shared" si="27"/>
        <v>37880</v>
      </c>
      <c r="S192" s="42">
        <f t="shared" si="28"/>
        <v>124.8388746803069</v>
      </c>
      <c r="T192" s="42">
        <f t="shared" si="29"/>
        <v>201</v>
      </c>
      <c r="U192" s="42" t="str">
        <f t="shared" si="30"/>
        <v>Wee</v>
      </c>
      <c r="V192" s="42" t="str">
        <f t="shared" si="31"/>
        <v>kend</v>
      </c>
      <c r="W192" s="42">
        <f t="shared" si="32"/>
        <v>7</v>
      </c>
      <c r="X192" s="42">
        <f t="shared" si="33"/>
        <v>0.2273</v>
      </c>
      <c r="Y192" s="3">
        <f t="shared" si="34"/>
        <v>82</v>
      </c>
      <c r="Z192" s="3">
        <f t="shared" si="38"/>
        <v>7883</v>
      </c>
      <c r="AA192" s="3">
        <f t="shared" si="35"/>
        <v>1232.2489122187819</v>
      </c>
      <c r="AB192" s="3">
        <f t="shared" si="36"/>
        <v>0.99911573903365103</v>
      </c>
      <c r="AC192" s="3" t="str">
        <f t="shared" si="37"/>
        <v>Normal</v>
      </c>
    </row>
    <row r="193" spans="1:29" x14ac:dyDescent="0.2">
      <c r="A193" s="4">
        <v>811</v>
      </c>
      <c r="B193" s="5">
        <v>40696</v>
      </c>
      <c r="C193" s="4">
        <v>1</v>
      </c>
      <c r="D193" s="4">
        <v>0</v>
      </c>
      <c r="E193" s="4">
        <v>2</v>
      </c>
      <c r="F193" s="4">
        <v>5</v>
      </c>
      <c r="G193" s="4" t="b">
        <v>0</v>
      </c>
      <c r="H193" s="4">
        <v>0</v>
      </c>
      <c r="I193" s="4">
        <v>1</v>
      </c>
      <c r="J193" s="4">
        <v>0.26</v>
      </c>
      <c r="K193" s="4">
        <v>0.2576</v>
      </c>
      <c r="L193" s="4">
        <v>0.6</v>
      </c>
      <c r="M193" s="4">
        <v>0.22389999999999999</v>
      </c>
      <c r="N193" s="4">
        <v>0</v>
      </c>
      <c r="O193" s="4">
        <v>1</v>
      </c>
      <c r="P193" s="4">
        <v>1</v>
      </c>
      <c r="Q193" s="6" t="str">
        <f t="shared" si="26"/>
        <v>Weekend</v>
      </c>
      <c r="R193" s="42">
        <f t="shared" si="27"/>
        <v>37878</v>
      </c>
      <c r="S193" s="42">
        <f t="shared" si="28"/>
        <v>124.8388746803069</v>
      </c>
      <c r="T193" s="42">
        <f t="shared" si="29"/>
        <v>200</v>
      </c>
      <c r="U193" s="42" t="str">
        <f t="shared" si="30"/>
        <v>Wee</v>
      </c>
      <c r="V193" s="42" t="str">
        <f t="shared" si="31"/>
        <v>kend</v>
      </c>
      <c r="W193" s="42">
        <f t="shared" si="32"/>
        <v>7</v>
      </c>
      <c r="X193" s="42">
        <f t="shared" si="33"/>
        <v>0.2576</v>
      </c>
      <c r="Y193" s="3">
        <f t="shared" si="34"/>
        <v>82</v>
      </c>
      <c r="Z193" s="3">
        <f t="shared" si="38"/>
        <v>7883</v>
      </c>
      <c r="AA193" s="3">
        <f t="shared" si="35"/>
        <v>1232.2489122187819</v>
      </c>
      <c r="AB193" s="3">
        <f t="shared" si="36"/>
        <v>0.99911573903365103</v>
      </c>
      <c r="AC193" s="3" t="str">
        <f t="shared" si="37"/>
        <v>Normal</v>
      </c>
    </row>
    <row r="194" spans="1:29" x14ac:dyDescent="0.2">
      <c r="A194" s="4">
        <v>812</v>
      </c>
      <c r="B194" s="5">
        <v>40696</v>
      </c>
      <c r="C194" s="4">
        <v>1</v>
      </c>
      <c r="D194" s="4">
        <v>0</v>
      </c>
      <c r="E194" s="4">
        <v>2</v>
      </c>
      <c r="F194" s="4">
        <v>6</v>
      </c>
      <c r="G194" s="4" t="b">
        <v>0</v>
      </c>
      <c r="H194" s="4">
        <v>0</v>
      </c>
      <c r="I194" s="4">
        <v>1</v>
      </c>
      <c r="J194" s="4">
        <v>0.26</v>
      </c>
      <c r="K194" s="4">
        <v>0.2576</v>
      </c>
      <c r="L194" s="4">
        <v>0.6</v>
      </c>
      <c r="M194" s="4">
        <v>0.22389999999999999</v>
      </c>
      <c r="N194" s="4">
        <v>0</v>
      </c>
      <c r="O194" s="4">
        <v>1</v>
      </c>
      <c r="P194" s="4">
        <v>1</v>
      </c>
      <c r="Q194" s="6" t="str">
        <f t="shared" si="26"/>
        <v>Weekend</v>
      </c>
      <c r="R194" s="42">
        <f t="shared" si="27"/>
        <v>37877</v>
      </c>
      <c r="S194" s="42">
        <f t="shared" si="28"/>
        <v>124.8388746803069</v>
      </c>
      <c r="T194" s="42">
        <f t="shared" si="29"/>
        <v>199</v>
      </c>
      <c r="U194" s="42" t="str">
        <f t="shared" si="30"/>
        <v>Wee</v>
      </c>
      <c r="V194" s="42" t="str">
        <f t="shared" si="31"/>
        <v>kend</v>
      </c>
      <c r="W194" s="42">
        <f t="shared" si="32"/>
        <v>7</v>
      </c>
      <c r="X194" s="42">
        <f t="shared" si="33"/>
        <v>0.2576</v>
      </c>
      <c r="Y194" s="3">
        <f t="shared" si="34"/>
        <v>82</v>
      </c>
      <c r="Z194" s="3">
        <f t="shared" si="38"/>
        <v>7883</v>
      </c>
      <c r="AA194" s="3">
        <f t="shared" si="35"/>
        <v>1232.2489122187819</v>
      </c>
      <c r="AB194" s="3">
        <f t="shared" si="36"/>
        <v>0.99911573903365103</v>
      </c>
      <c r="AC194" s="3" t="str">
        <f t="shared" si="37"/>
        <v>Normal</v>
      </c>
    </row>
    <row r="195" spans="1:29" x14ac:dyDescent="0.2">
      <c r="A195" s="4">
        <v>813</v>
      </c>
      <c r="B195" s="5">
        <v>40696</v>
      </c>
      <c r="C195" s="4">
        <v>1</v>
      </c>
      <c r="D195" s="4">
        <v>0</v>
      </c>
      <c r="E195" s="4">
        <v>2</v>
      </c>
      <c r="F195" s="4">
        <v>7</v>
      </c>
      <c r="G195" s="4" t="b">
        <v>0</v>
      </c>
      <c r="H195" s="4">
        <v>0</v>
      </c>
      <c r="I195" s="4">
        <v>1</v>
      </c>
      <c r="J195" s="4">
        <v>0.24</v>
      </c>
      <c r="K195" s="4">
        <v>0.2424</v>
      </c>
      <c r="L195" s="4">
        <v>0.65</v>
      </c>
      <c r="M195" s="4">
        <v>0.16420000000000001</v>
      </c>
      <c r="N195" s="4">
        <v>0</v>
      </c>
      <c r="O195" s="4">
        <v>8</v>
      </c>
      <c r="P195" s="4">
        <v>8</v>
      </c>
      <c r="Q195" s="6" t="str">
        <f t="shared" ref="Q195:Q258" si="39">IF(H195=0,"Weekend",IF(H195=6,"Weekend","Weekday"))</f>
        <v>Weekend</v>
      </c>
      <c r="R195" s="42">
        <f t="shared" ref="R195:R258" si="40">SUM(P195:P584)</f>
        <v>37876</v>
      </c>
      <c r="S195" s="42">
        <f t="shared" ref="S195:S258" si="41">AVERAGE($P$2:$P$392)</f>
        <v>124.8388746803069</v>
      </c>
      <c r="T195" s="42">
        <f t="shared" ref="T195:T258" si="42">COUNT(P195:P585)</f>
        <v>198</v>
      </c>
      <c r="U195" s="42" t="str">
        <f t="shared" ref="U195:U258" si="43">LEFT(Q196,3)</f>
        <v>Wee</v>
      </c>
      <c r="V195" s="42" t="str">
        <f t="shared" ref="V195:V258" si="44">RIGHT(Q196,4)</f>
        <v>kend</v>
      </c>
      <c r="W195" s="42">
        <f t="shared" ref="W195:W258" si="45">LEN(Q195)</f>
        <v>7</v>
      </c>
      <c r="X195" s="42">
        <f t="shared" ref="X195:X258" si="46">INDEX(K:K,MATCH(A195,A:A,0))</f>
        <v>0.2424</v>
      </c>
      <c r="Y195" s="3">
        <f t="shared" ref="Y195:Y258" si="47">COUNTIF(P:P,"&gt;100")</f>
        <v>82</v>
      </c>
      <c r="Z195" s="3">
        <f t="shared" si="38"/>
        <v>7883</v>
      </c>
      <c r="AA195" s="3">
        <f t="shared" ref="AA195:AA258" si="48">STDEV(P:P)</f>
        <v>1232.2489122187819</v>
      </c>
      <c r="AB195" s="3">
        <f t="shared" ref="AB195:AB258" si="49">CORREL(J:J,P:P)</f>
        <v>0.99911573903365103</v>
      </c>
      <c r="AC195" s="3" t="str">
        <f t="shared" ref="AC195:AC258" si="50">IF(ABS(P195-AVERAGE($P$2:$P$784))&gt;2*STDEV($P$2:$P$784),"ANOMALY","Normal")</f>
        <v>Normal</v>
      </c>
    </row>
    <row r="196" spans="1:29" x14ac:dyDescent="0.2">
      <c r="A196" s="4">
        <v>814</v>
      </c>
      <c r="B196" s="5">
        <v>40696</v>
      </c>
      <c r="C196" s="4">
        <v>1</v>
      </c>
      <c r="D196" s="4">
        <v>0</v>
      </c>
      <c r="E196" s="4">
        <v>2</v>
      </c>
      <c r="F196" s="4">
        <v>8</v>
      </c>
      <c r="G196" s="4" t="b">
        <v>0</v>
      </c>
      <c r="H196" s="4">
        <v>0</v>
      </c>
      <c r="I196" s="4">
        <v>1</v>
      </c>
      <c r="J196" s="4">
        <v>0.24</v>
      </c>
      <c r="K196" s="4">
        <v>0.2576</v>
      </c>
      <c r="L196" s="4">
        <v>0.65</v>
      </c>
      <c r="M196" s="4">
        <v>0.1045</v>
      </c>
      <c r="N196" s="4">
        <v>2</v>
      </c>
      <c r="O196" s="4">
        <v>21</v>
      </c>
      <c r="P196" s="4">
        <v>23</v>
      </c>
      <c r="Q196" s="6" t="str">
        <f t="shared" si="39"/>
        <v>Weekend</v>
      </c>
      <c r="R196" s="42">
        <f t="shared" si="40"/>
        <v>37868</v>
      </c>
      <c r="S196" s="42">
        <f t="shared" si="41"/>
        <v>124.8388746803069</v>
      </c>
      <c r="T196" s="42">
        <f t="shared" si="42"/>
        <v>197</v>
      </c>
      <c r="U196" s="42" t="str">
        <f t="shared" si="43"/>
        <v>Wee</v>
      </c>
      <c r="V196" s="42" t="str">
        <f t="shared" si="44"/>
        <v>kend</v>
      </c>
      <c r="W196" s="42">
        <f t="shared" si="45"/>
        <v>7</v>
      </c>
      <c r="X196" s="42">
        <f t="shared" si="46"/>
        <v>0.2576</v>
      </c>
      <c r="Y196" s="3">
        <f t="shared" si="47"/>
        <v>82</v>
      </c>
      <c r="Z196" s="3">
        <f t="shared" ref="Z196:Z259" si="51">SUMIF(Q:Q,"Weekend",P:P)</f>
        <v>7883</v>
      </c>
      <c r="AA196" s="3">
        <f t="shared" si="48"/>
        <v>1232.2489122187819</v>
      </c>
      <c r="AB196" s="3">
        <f t="shared" si="49"/>
        <v>0.99911573903365103</v>
      </c>
      <c r="AC196" s="3" t="str">
        <f t="shared" si="50"/>
        <v>Normal</v>
      </c>
    </row>
    <row r="197" spans="1:29" x14ac:dyDescent="0.2">
      <c r="A197" s="4">
        <v>815</v>
      </c>
      <c r="B197" s="5">
        <v>40696</v>
      </c>
      <c r="C197" s="4">
        <v>1</v>
      </c>
      <c r="D197" s="4">
        <v>0</v>
      </c>
      <c r="E197" s="4">
        <v>2</v>
      </c>
      <c r="F197" s="4">
        <v>9</v>
      </c>
      <c r="G197" s="4" t="b">
        <v>0</v>
      </c>
      <c r="H197" s="4">
        <v>0</v>
      </c>
      <c r="I197" s="4">
        <v>1</v>
      </c>
      <c r="J197" s="4">
        <v>0.28000000000000003</v>
      </c>
      <c r="K197" s="4">
        <v>0.28789999999999999</v>
      </c>
      <c r="L197" s="4">
        <v>0.56000000000000005</v>
      </c>
      <c r="M197" s="4">
        <v>0.1045</v>
      </c>
      <c r="N197" s="4">
        <v>7</v>
      </c>
      <c r="O197" s="4">
        <v>38</v>
      </c>
      <c r="P197" s="4">
        <v>45</v>
      </c>
      <c r="Q197" s="6" t="str">
        <f t="shared" si="39"/>
        <v>Weekend</v>
      </c>
      <c r="R197" s="42">
        <f t="shared" si="40"/>
        <v>37845</v>
      </c>
      <c r="S197" s="42">
        <f t="shared" si="41"/>
        <v>124.8388746803069</v>
      </c>
      <c r="T197" s="42">
        <f t="shared" si="42"/>
        <v>196</v>
      </c>
      <c r="U197" s="42" t="str">
        <f t="shared" si="43"/>
        <v>Wee</v>
      </c>
      <c r="V197" s="42" t="str">
        <f t="shared" si="44"/>
        <v>kend</v>
      </c>
      <c r="W197" s="42">
        <f t="shared" si="45"/>
        <v>7</v>
      </c>
      <c r="X197" s="42">
        <f t="shared" si="46"/>
        <v>0.28789999999999999</v>
      </c>
      <c r="Y197" s="3">
        <f t="shared" si="47"/>
        <v>82</v>
      </c>
      <c r="Z197" s="3">
        <f t="shared" si="51"/>
        <v>7883</v>
      </c>
      <c r="AA197" s="3">
        <f t="shared" si="48"/>
        <v>1232.2489122187819</v>
      </c>
      <c r="AB197" s="3">
        <f t="shared" si="49"/>
        <v>0.99911573903365103</v>
      </c>
      <c r="AC197" s="3" t="str">
        <f t="shared" si="50"/>
        <v>Normal</v>
      </c>
    </row>
    <row r="198" spans="1:29" x14ac:dyDescent="0.2">
      <c r="A198" s="4">
        <v>816</v>
      </c>
      <c r="B198" s="5">
        <v>40696</v>
      </c>
      <c r="C198" s="4">
        <v>1</v>
      </c>
      <c r="D198" s="4">
        <v>0</v>
      </c>
      <c r="E198" s="4">
        <v>2</v>
      </c>
      <c r="F198" s="4">
        <v>10</v>
      </c>
      <c r="G198" s="4" t="b">
        <v>0</v>
      </c>
      <c r="H198" s="4">
        <v>0</v>
      </c>
      <c r="I198" s="4">
        <v>1</v>
      </c>
      <c r="J198" s="4">
        <v>0.3</v>
      </c>
      <c r="K198" s="4">
        <v>0.28789999999999999</v>
      </c>
      <c r="L198" s="4">
        <v>0.52</v>
      </c>
      <c r="M198" s="4">
        <v>0.25369999999999998</v>
      </c>
      <c r="N198" s="4">
        <v>15</v>
      </c>
      <c r="O198" s="4">
        <v>74</v>
      </c>
      <c r="P198" s="4">
        <v>89</v>
      </c>
      <c r="Q198" s="6" t="str">
        <f t="shared" si="39"/>
        <v>Weekend</v>
      </c>
      <c r="R198" s="42">
        <f t="shared" si="40"/>
        <v>37800</v>
      </c>
      <c r="S198" s="42">
        <f t="shared" si="41"/>
        <v>124.8388746803069</v>
      </c>
      <c r="T198" s="42">
        <f t="shared" si="42"/>
        <v>195</v>
      </c>
      <c r="U198" s="42" t="str">
        <f t="shared" si="43"/>
        <v>Wee</v>
      </c>
      <c r="V198" s="42" t="str">
        <f t="shared" si="44"/>
        <v>kend</v>
      </c>
      <c r="W198" s="42">
        <f t="shared" si="45"/>
        <v>7</v>
      </c>
      <c r="X198" s="42">
        <f t="shared" si="46"/>
        <v>0.28789999999999999</v>
      </c>
      <c r="Y198" s="3">
        <f t="shared" si="47"/>
        <v>82</v>
      </c>
      <c r="Z198" s="3">
        <f t="shared" si="51"/>
        <v>7883</v>
      </c>
      <c r="AA198" s="3">
        <f t="shared" si="48"/>
        <v>1232.2489122187819</v>
      </c>
      <c r="AB198" s="3">
        <f t="shared" si="49"/>
        <v>0.99911573903365103</v>
      </c>
      <c r="AC198" s="3" t="str">
        <f t="shared" si="50"/>
        <v>Normal</v>
      </c>
    </row>
    <row r="199" spans="1:29" x14ac:dyDescent="0.2">
      <c r="A199" s="4">
        <v>817</v>
      </c>
      <c r="B199" s="5">
        <v>40696</v>
      </c>
      <c r="C199" s="4">
        <v>1</v>
      </c>
      <c r="D199" s="4">
        <v>0</v>
      </c>
      <c r="E199" s="4">
        <v>2</v>
      </c>
      <c r="F199" s="4">
        <v>11</v>
      </c>
      <c r="G199" s="4" t="b">
        <v>0</v>
      </c>
      <c r="H199" s="4">
        <v>0</v>
      </c>
      <c r="I199" s="4">
        <v>1</v>
      </c>
      <c r="J199" s="4">
        <v>0.32</v>
      </c>
      <c r="K199" s="4">
        <v>0.30299999999999999</v>
      </c>
      <c r="L199" s="4">
        <v>0.49</v>
      </c>
      <c r="M199" s="4">
        <v>0.25369999999999998</v>
      </c>
      <c r="N199" s="4">
        <v>28</v>
      </c>
      <c r="O199" s="4">
        <v>89</v>
      </c>
      <c r="P199" s="4">
        <v>117</v>
      </c>
      <c r="Q199" s="6" t="str">
        <f t="shared" si="39"/>
        <v>Weekend</v>
      </c>
      <c r="R199" s="42">
        <f t="shared" si="40"/>
        <v>37711</v>
      </c>
      <c r="S199" s="42">
        <f t="shared" si="41"/>
        <v>124.8388746803069</v>
      </c>
      <c r="T199" s="42">
        <f t="shared" si="42"/>
        <v>194</v>
      </c>
      <c r="U199" s="42" t="str">
        <f t="shared" si="43"/>
        <v>Wee</v>
      </c>
      <c r="V199" s="42" t="str">
        <f t="shared" si="44"/>
        <v>kend</v>
      </c>
      <c r="W199" s="42">
        <f t="shared" si="45"/>
        <v>7</v>
      </c>
      <c r="X199" s="42">
        <f t="shared" si="46"/>
        <v>0.30299999999999999</v>
      </c>
      <c r="Y199" s="3">
        <f t="shared" si="47"/>
        <v>82</v>
      </c>
      <c r="Z199" s="3">
        <f t="shared" si="51"/>
        <v>7883</v>
      </c>
      <c r="AA199" s="3">
        <f t="shared" si="48"/>
        <v>1232.2489122187819</v>
      </c>
      <c r="AB199" s="3">
        <f t="shared" si="49"/>
        <v>0.99911573903365103</v>
      </c>
      <c r="AC199" s="3" t="str">
        <f t="shared" si="50"/>
        <v>Normal</v>
      </c>
    </row>
    <row r="200" spans="1:29" x14ac:dyDescent="0.2">
      <c r="A200" s="4">
        <v>818</v>
      </c>
      <c r="B200" s="5">
        <v>40696</v>
      </c>
      <c r="C200" s="4">
        <v>1</v>
      </c>
      <c r="D200" s="4">
        <v>0</v>
      </c>
      <c r="E200" s="4">
        <v>2</v>
      </c>
      <c r="F200" s="4">
        <v>12</v>
      </c>
      <c r="G200" s="4" t="b">
        <v>0</v>
      </c>
      <c r="H200" s="4">
        <v>0</v>
      </c>
      <c r="I200" s="4">
        <v>1</v>
      </c>
      <c r="J200" s="4">
        <v>0.34</v>
      </c>
      <c r="K200" s="4">
        <v>0.33329999999999999</v>
      </c>
      <c r="L200" s="4">
        <v>0.46</v>
      </c>
      <c r="M200" s="4">
        <v>0</v>
      </c>
      <c r="N200" s="4">
        <v>48</v>
      </c>
      <c r="O200" s="4">
        <v>126</v>
      </c>
      <c r="P200" s="4">
        <v>174</v>
      </c>
      <c r="Q200" s="6" t="str">
        <f t="shared" si="39"/>
        <v>Weekend</v>
      </c>
      <c r="R200" s="42">
        <f t="shared" si="40"/>
        <v>37594</v>
      </c>
      <c r="S200" s="42">
        <f t="shared" si="41"/>
        <v>124.8388746803069</v>
      </c>
      <c r="T200" s="42">
        <f t="shared" si="42"/>
        <v>193</v>
      </c>
      <c r="U200" s="42" t="str">
        <f t="shared" si="43"/>
        <v>Wee</v>
      </c>
      <c r="V200" s="42" t="str">
        <f t="shared" si="44"/>
        <v>kend</v>
      </c>
      <c r="W200" s="42">
        <f t="shared" si="45"/>
        <v>7</v>
      </c>
      <c r="X200" s="42">
        <f t="shared" si="46"/>
        <v>0.33329999999999999</v>
      </c>
      <c r="Y200" s="3">
        <f t="shared" si="47"/>
        <v>82</v>
      </c>
      <c r="Z200" s="3">
        <f t="shared" si="51"/>
        <v>7883</v>
      </c>
      <c r="AA200" s="3">
        <f t="shared" si="48"/>
        <v>1232.2489122187819</v>
      </c>
      <c r="AB200" s="3">
        <f t="shared" si="49"/>
        <v>0.99911573903365103</v>
      </c>
      <c r="AC200" s="3" t="str">
        <f t="shared" si="50"/>
        <v>Normal</v>
      </c>
    </row>
    <row r="201" spans="1:29" x14ac:dyDescent="0.2">
      <c r="A201" s="4">
        <v>819</v>
      </c>
      <c r="B201" s="5">
        <v>40696</v>
      </c>
      <c r="C201" s="4">
        <v>1</v>
      </c>
      <c r="D201" s="4">
        <v>0</v>
      </c>
      <c r="E201" s="4">
        <v>2</v>
      </c>
      <c r="F201" s="4">
        <v>13</v>
      </c>
      <c r="G201" s="4" t="b">
        <v>0</v>
      </c>
      <c r="H201" s="4">
        <v>0</v>
      </c>
      <c r="I201" s="4">
        <v>1</v>
      </c>
      <c r="J201" s="4">
        <v>0.34</v>
      </c>
      <c r="K201" s="4">
        <v>0.36359999999999998</v>
      </c>
      <c r="L201" s="4">
        <v>0.46</v>
      </c>
      <c r="M201" s="4">
        <v>0</v>
      </c>
      <c r="N201" s="4">
        <v>47</v>
      </c>
      <c r="O201" s="4">
        <v>135</v>
      </c>
      <c r="P201" s="4">
        <v>182</v>
      </c>
      <c r="Q201" s="6" t="str">
        <f t="shared" si="39"/>
        <v>Weekend</v>
      </c>
      <c r="R201" s="42">
        <f t="shared" si="40"/>
        <v>37420</v>
      </c>
      <c r="S201" s="42">
        <f t="shared" si="41"/>
        <v>124.8388746803069</v>
      </c>
      <c r="T201" s="42">
        <f t="shared" si="42"/>
        <v>192</v>
      </c>
      <c r="U201" s="42" t="str">
        <f t="shared" si="43"/>
        <v>Wee</v>
      </c>
      <c r="V201" s="42" t="str">
        <f t="shared" si="44"/>
        <v>kend</v>
      </c>
      <c r="W201" s="42">
        <f t="shared" si="45"/>
        <v>7</v>
      </c>
      <c r="X201" s="42">
        <f t="shared" si="46"/>
        <v>0.36359999999999998</v>
      </c>
      <c r="Y201" s="3">
        <f t="shared" si="47"/>
        <v>82</v>
      </c>
      <c r="Z201" s="3">
        <f t="shared" si="51"/>
        <v>7883</v>
      </c>
      <c r="AA201" s="3">
        <f t="shared" si="48"/>
        <v>1232.2489122187819</v>
      </c>
      <c r="AB201" s="3">
        <f t="shared" si="49"/>
        <v>0.99911573903365103</v>
      </c>
      <c r="AC201" s="3" t="str">
        <f t="shared" si="50"/>
        <v>Normal</v>
      </c>
    </row>
    <row r="202" spans="1:29" x14ac:dyDescent="0.2">
      <c r="A202" s="4">
        <v>820</v>
      </c>
      <c r="B202" s="5">
        <v>40696</v>
      </c>
      <c r="C202" s="4">
        <v>1</v>
      </c>
      <c r="D202" s="4">
        <v>0</v>
      </c>
      <c r="E202" s="4">
        <v>2</v>
      </c>
      <c r="F202" s="4">
        <v>14</v>
      </c>
      <c r="G202" s="4" t="b">
        <v>0</v>
      </c>
      <c r="H202" s="4">
        <v>0</v>
      </c>
      <c r="I202" s="4">
        <v>1</v>
      </c>
      <c r="J202" s="4">
        <v>0.34</v>
      </c>
      <c r="K202" s="4">
        <v>0.34849999999999998</v>
      </c>
      <c r="L202" s="4">
        <v>0.46</v>
      </c>
      <c r="M202" s="4">
        <v>8.9599999999999999E-2</v>
      </c>
      <c r="N202" s="4">
        <v>47</v>
      </c>
      <c r="O202" s="4">
        <v>114</v>
      </c>
      <c r="P202" s="4">
        <v>161</v>
      </c>
      <c r="Q202" s="6" t="str">
        <f t="shared" si="39"/>
        <v>Weekend</v>
      </c>
      <c r="R202" s="42">
        <f t="shared" si="40"/>
        <v>37238</v>
      </c>
      <c r="S202" s="42">
        <f t="shared" si="41"/>
        <v>124.8388746803069</v>
      </c>
      <c r="T202" s="42">
        <f t="shared" si="42"/>
        <v>191</v>
      </c>
      <c r="U202" s="42" t="str">
        <f t="shared" si="43"/>
        <v>Wee</v>
      </c>
      <c r="V202" s="42" t="str">
        <f t="shared" si="44"/>
        <v>kend</v>
      </c>
      <c r="W202" s="42">
        <f t="shared" si="45"/>
        <v>7</v>
      </c>
      <c r="X202" s="42">
        <f t="shared" si="46"/>
        <v>0.34849999999999998</v>
      </c>
      <c r="Y202" s="3">
        <f t="shared" si="47"/>
        <v>82</v>
      </c>
      <c r="Z202" s="3">
        <f t="shared" si="51"/>
        <v>7883</v>
      </c>
      <c r="AA202" s="3">
        <f t="shared" si="48"/>
        <v>1232.2489122187819</v>
      </c>
      <c r="AB202" s="3">
        <f t="shared" si="49"/>
        <v>0.99911573903365103</v>
      </c>
      <c r="AC202" s="3" t="str">
        <f t="shared" si="50"/>
        <v>Normal</v>
      </c>
    </row>
    <row r="203" spans="1:29" x14ac:dyDescent="0.2">
      <c r="A203" s="4">
        <v>821</v>
      </c>
      <c r="B203" s="5">
        <v>40696</v>
      </c>
      <c r="C203" s="4">
        <v>1</v>
      </c>
      <c r="D203" s="4">
        <v>0</v>
      </c>
      <c r="E203" s="4">
        <v>2</v>
      </c>
      <c r="F203" s="4">
        <v>15</v>
      </c>
      <c r="G203" s="4" t="b">
        <v>0</v>
      </c>
      <c r="H203" s="4">
        <v>0</v>
      </c>
      <c r="I203" s="4">
        <v>1</v>
      </c>
      <c r="J203" s="4">
        <v>0.34</v>
      </c>
      <c r="K203" s="4">
        <v>0.34849999999999998</v>
      </c>
      <c r="L203" s="4">
        <v>0.46</v>
      </c>
      <c r="M203" s="4">
        <v>8.9599999999999999E-2</v>
      </c>
      <c r="N203" s="4">
        <v>52</v>
      </c>
      <c r="O203" s="4">
        <v>130</v>
      </c>
      <c r="P203" s="4">
        <v>182</v>
      </c>
      <c r="Q203" s="6" t="str">
        <f t="shared" si="39"/>
        <v>Weekend</v>
      </c>
      <c r="R203" s="42">
        <f t="shared" si="40"/>
        <v>37077</v>
      </c>
      <c r="S203" s="42">
        <f t="shared" si="41"/>
        <v>124.8388746803069</v>
      </c>
      <c r="T203" s="42">
        <f t="shared" si="42"/>
        <v>190</v>
      </c>
      <c r="U203" s="42" t="str">
        <f t="shared" si="43"/>
        <v>Wee</v>
      </c>
      <c r="V203" s="42" t="str">
        <f t="shared" si="44"/>
        <v>kend</v>
      </c>
      <c r="W203" s="42">
        <f t="shared" si="45"/>
        <v>7</v>
      </c>
      <c r="X203" s="42">
        <f t="shared" si="46"/>
        <v>0.34849999999999998</v>
      </c>
      <c r="Y203" s="3">
        <f t="shared" si="47"/>
        <v>82</v>
      </c>
      <c r="Z203" s="3">
        <f t="shared" si="51"/>
        <v>7883</v>
      </c>
      <c r="AA203" s="3">
        <f t="shared" si="48"/>
        <v>1232.2489122187819</v>
      </c>
      <c r="AB203" s="3">
        <f t="shared" si="49"/>
        <v>0.99911573903365103</v>
      </c>
      <c r="AC203" s="3" t="str">
        <f t="shared" si="50"/>
        <v>Normal</v>
      </c>
    </row>
    <row r="204" spans="1:29" x14ac:dyDescent="0.2">
      <c r="A204" s="4">
        <v>822</v>
      </c>
      <c r="B204" s="5">
        <v>40696</v>
      </c>
      <c r="C204" s="4">
        <v>1</v>
      </c>
      <c r="D204" s="4">
        <v>0</v>
      </c>
      <c r="E204" s="4">
        <v>2</v>
      </c>
      <c r="F204" s="4">
        <v>16</v>
      </c>
      <c r="G204" s="4" t="b">
        <v>0</v>
      </c>
      <c r="H204" s="4">
        <v>0</v>
      </c>
      <c r="I204" s="4">
        <v>1</v>
      </c>
      <c r="J204" s="4">
        <v>0.34</v>
      </c>
      <c r="K204" s="4">
        <v>0.34849999999999998</v>
      </c>
      <c r="L204" s="4">
        <v>0.49</v>
      </c>
      <c r="M204" s="4">
        <v>0.1045</v>
      </c>
      <c r="N204" s="4">
        <v>42</v>
      </c>
      <c r="O204" s="4">
        <v>115</v>
      </c>
      <c r="P204" s="4">
        <v>157</v>
      </c>
      <c r="Q204" s="6" t="str">
        <f t="shared" si="39"/>
        <v>Weekend</v>
      </c>
      <c r="R204" s="42">
        <f t="shared" si="40"/>
        <v>36895</v>
      </c>
      <c r="S204" s="42">
        <f t="shared" si="41"/>
        <v>124.8388746803069</v>
      </c>
      <c r="T204" s="42">
        <f t="shared" si="42"/>
        <v>189</v>
      </c>
      <c r="U204" s="42" t="str">
        <f t="shared" si="43"/>
        <v>Wee</v>
      </c>
      <c r="V204" s="42" t="str">
        <f t="shared" si="44"/>
        <v>kend</v>
      </c>
      <c r="W204" s="42">
        <f t="shared" si="45"/>
        <v>7</v>
      </c>
      <c r="X204" s="42">
        <f t="shared" si="46"/>
        <v>0.34849999999999998</v>
      </c>
      <c r="Y204" s="3">
        <f t="shared" si="47"/>
        <v>82</v>
      </c>
      <c r="Z204" s="3">
        <f t="shared" si="51"/>
        <v>7883</v>
      </c>
      <c r="AA204" s="3">
        <f t="shared" si="48"/>
        <v>1232.2489122187819</v>
      </c>
      <c r="AB204" s="3">
        <f t="shared" si="49"/>
        <v>0.99911573903365103</v>
      </c>
      <c r="AC204" s="3" t="str">
        <f t="shared" si="50"/>
        <v>Normal</v>
      </c>
    </row>
    <row r="205" spans="1:29" x14ac:dyDescent="0.2">
      <c r="A205" s="4">
        <v>823</v>
      </c>
      <c r="B205" s="5">
        <v>40696</v>
      </c>
      <c r="C205" s="4">
        <v>1</v>
      </c>
      <c r="D205" s="4">
        <v>0</v>
      </c>
      <c r="E205" s="4">
        <v>2</v>
      </c>
      <c r="F205" s="4">
        <v>17</v>
      </c>
      <c r="G205" s="4" t="b">
        <v>0</v>
      </c>
      <c r="H205" s="4">
        <v>0</v>
      </c>
      <c r="I205" s="4">
        <v>1</v>
      </c>
      <c r="J205" s="4">
        <v>0.34</v>
      </c>
      <c r="K205" s="4">
        <v>0.36359999999999998</v>
      </c>
      <c r="L205" s="4">
        <v>0.46</v>
      </c>
      <c r="M205" s="4">
        <v>0</v>
      </c>
      <c r="N205" s="4">
        <v>24</v>
      </c>
      <c r="O205" s="4">
        <v>97</v>
      </c>
      <c r="P205" s="4">
        <v>121</v>
      </c>
      <c r="Q205" s="6" t="str">
        <f t="shared" si="39"/>
        <v>Weekend</v>
      </c>
      <c r="R205" s="42">
        <f t="shared" si="40"/>
        <v>36738</v>
      </c>
      <c r="S205" s="42">
        <f t="shared" si="41"/>
        <v>124.8388746803069</v>
      </c>
      <c r="T205" s="42">
        <f t="shared" si="42"/>
        <v>188</v>
      </c>
      <c r="U205" s="42" t="str">
        <f t="shared" si="43"/>
        <v>Wee</v>
      </c>
      <c r="V205" s="42" t="str">
        <f t="shared" si="44"/>
        <v>kend</v>
      </c>
      <c r="W205" s="42">
        <f t="shared" si="45"/>
        <v>7</v>
      </c>
      <c r="X205" s="42">
        <f t="shared" si="46"/>
        <v>0.36359999999999998</v>
      </c>
      <c r="Y205" s="3">
        <f t="shared" si="47"/>
        <v>82</v>
      </c>
      <c r="Z205" s="3">
        <f t="shared" si="51"/>
        <v>7883</v>
      </c>
      <c r="AA205" s="3">
        <f t="shared" si="48"/>
        <v>1232.2489122187819</v>
      </c>
      <c r="AB205" s="3">
        <f t="shared" si="49"/>
        <v>0.99911573903365103</v>
      </c>
      <c r="AC205" s="3" t="str">
        <f t="shared" si="50"/>
        <v>Normal</v>
      </c>
    </row>
    <row r="206" spans="1:29" x14ac:dyDescent="0.2">
      <c r="A206" s="4">
        <v>824</v>
      </c>
      <c r="B206" s="5">
        <v>40696</v>
      </c>
      <c r="C206" s="4">
        <v>1</v>
      </c>
      <c r="D206" s="4">
        <v>0</v>
      </c>
      <c r="E206" s="4">
        <v>2</v>
      </c>
      <c r="F206" s="4">
        <v>18</v>
      </c>
      <c r="G206" s="4" t="b">
        <v>0</v>
      </c>
      <c r="H206" s="4">
        <v>0</v>
      </c>
      <c r="I206" s="4">
        <v>1</v>
      </c>
      <c r="J206" s="4">
        <v>0.3</v>
      </c>
      <c r="K206" s="4">
        <v>0.30299999999999999</v>
      </c>
      <c r="L206" s="4">
        <v>0.56000000000000005</v>
      </c>
      <c r="M206" s="4">
        <v>0.16420000000000001</v>
      </c>
      <c r="N206" s="4">
        <v>13</v>
      </c>
      <c r="O206" s="4">
        <v>65</v>
      </c>
      <c r="P206" s="4">
        <v>78</v>
      </c>
      <c r="Q206" s="6" t="str">
        <f t="shared" si="39"/>
        <v>Weekend</v>
      </c>
      <c r="R206" s="42">
        <f t="shared" si="40"/>
        <v>36617</v>
      </c>
      <c r="S206" s="42">
        <f t="shared" si="41"/>
        <v>124.8388746803069</v>
      </c>
      <c r="T206" s="42">
        <f t="shared" si="42"/>
        <v>187</v>
      </c>
      <c r="U206" s="42" t="str">
        <f t="shared" si="43"/>
        <v>Wee</v>
      </c>
      <c r="V206" s="42" t="str">
        <f t="shared" si="44"/>
        <v>kend</v>
      </c>
      <c r="W206" s="42">
        <f t="shared" si="45"/>
        <v>7</v>
      </c>
      <c r="X206" s="42">
        <f t="shared" si="46"/>
        <v>0.30299999999999999</v>
      </c>
      <c r="Y206" s="3">
        <f t="shared" si="47"/>
        <v>82</v>
      </c>
      <c r="Z206" s="3">
        <f t="shared" si="51"/>
        <v>7883</v>
      </c>
      <c r="AA206" s="3">
        <f t="shared" si="48"/>
        <v>1232.2489122187819</v>
      </c>
      <c r="AB206" s="3">
        <f t="shared" si="49"/>
        <v>0.99911573903365103</v>
      </c>
      <c r="AC206" s="3" t="str">
        <f t="shared" si="50"/>
        <v>Normal</v>
      </c>
    </row>
    <row r="207" spans="1:29" x14ac:dyDescent="0.2">
      <c r="A207" s="4">
        <v>825</v>
      </c>
      <c r="B207" s="5">
        <v>40696</v>
      </c>
      <c r="C207" s="4">
        <v>1</v>
      </c>
      <c r="D207" s="4">
        <v>0</v>
      </c>
      <c r="E207" s="4">
        <v>2</v>
      </c>
      <c r="F207" s="4">
        <v>19</v>
      </c>
      <c r="G207" s="4" t="b">
        <v>0</v>
      </c>
      <c r="H207" s="4">
        <v>0</v>
      </c>
      <c r="I207" s="4">
        <v>1</v>
      </c>
      <c r="J207" s="4">
        <v>0.28000000000000003</v>
      </c>
      <c r="K207" s="4">
        <v>0.28789999999999999</v>
      </c>
      <c r="L207" s="4">
        <v>0.61</v>
      </c>
      <c r="M207" s="4">
        <v>0.1343</v>
      </c>
      <c r="N207" s="4">
        <v>1</v>
      </c>
      <c r="O207" s="4">
        <v>20</v>
      </c>
      <c r="P207" s="4">
        <v>21</v>
      </c>
      <c r="Q207" s="6" t="str">
        <f t="shared" si="39"/>
        <v>Weekend</v>
      </c>
      <c r="R207" s="42">
        <f t="shared" si="40"/>
        <v>36539</v>
      </c>
      <c r="S207" s="42">
        <f t="shared" si="41"/>
        <v>124.8388746803069</v>
      </c>
      <c r="T207" s="42">
        <f t="shared" si="42"/>
        <v>186</v>
      </c>
      <c r="U207" s="42" t="str">
        <f t="shared" si="43"/>
        <v>Wee</v>
      </c>
      <c r="V207" s="42" t="str">
        <f t="shared" si="44"/>
        <v>kend</v>
      </c>
      <c r="W207" s="42">
        <f t="shared" si="45"/>
        <v>7</v>
      </c>
      <c r="X207" s="42">
        <f t="shared" si="46"/>
        <v>0.28789999999999999</v>
      </c>
      <c r="Y207" s="3">
        <f t="shared" si="47"/>
        <v>82</v>
      </c>
      <c r="Z207" s="3">
        <f t="shared" si="51"/>
        <v>7883</v>
      </c>
      <c r="AA207" s="3">
        <f t="shared" si="48"/>
        <v>1232.2489122187819</v>
      </c>
      <c r="AB207" s="3">
        <f t="shared" si="49"/>
        <v>0.99911573903365103</v>
      </c>
      <c r="AC207" s="3" t="str">
        <f t="shared" si="50"/>
        <v>Normal</v>
      </c>
    </row>
    <row r="208" spans="1:29" x14ac:dyDescent="0.2">
      <c r="A208" s="4">
        <v>826</v>
      </c>
      <c r="B208" s="5">
        <v>40696</v>
      </c>
      <c r="C208" s="4">
        <v>1</v>
      </c>
      <c r="D208" s="4">
        <v>0</v>
      </c>
      <c r="E208" s="4">
        <v>2</v>
      </c>
      <c r="F208" s="4">
        <v>20</v>
      </c>
      <c r="G208" s="4" t="b">
        <v>0</v>
      </c>
      <c r="H208" s="4">
        <v>0</v>
      </c>
      <c r="I208" s="4">
        <v>1</v>
      </c>
      <c r="J208" s="4">
        <v>0.28000000000000003</v>
      </c>
      <c r="K208" s="4">
        <v>0.28789999999999999</v>
      </c>
      <c r="L208" s="4">
        <v>0.61</v>
      </c>
      <c r="M208" s="4">
        <v>0.1045</v>
      </c>
      <c r="N208" s="4">
        <v>5</v>
      </c>
      <c r="O208" s="4">
        <v>21</v>
      </c>
      <c r="P208" s="4">
        <v>26</v>
      </c>
      <c r="Q208" s="6" t="str">
        <f t="shared" si="39"/>
        <v>Weekend</v>
      </c>
      <c r="R208" s="42">
        <f t="shared" si="40"/>
        <v>36518</v>
      </c>
      <c r="S208" s="42">
        <f t="shared" si="41"/>
        <v>124.8388746803069</v>
      </c>
      <c r="T208" s="42">
        <f t="shared" si="42"/>
        <v>185</v>
      </c>
      <c r="U208" s="42" t="str">
        <f t="shared" si="43"/>
        <v>Wee</v>
      </c>
      <c r="V208" s="42" t="str">
        <f t="shared" si="44"/>
        <v>kend</v>
      </c>
      <c r="W208" s="42">
        <f t="shared" si="45"/>
        <v>7</v>
      </c>
      <c r="X208" s="42">
        <f t="shared" si="46"/>
        <v>0.28789999999999999</v>
      </c>
      <c r="Y208" s="3">
        <f t="shared" si="47"/>
        <v>82</v>
      </c>
      <c r="Z208" s="3">
        <f t="shared" si="51"/>
        <v>7883</v>
      </c>
      <c r="AA208" s="3">
        <f t="shared" si="48"/>
        <v>1232.2489122187819</v>
      </c>
      <c r="AB208" s="3">
        <f t="shared" si="49"/>
        <v>0.99911573903365103</v>
      </c>
      <c r="AC208" s="3" t="str">
        <f t="shared" si="50"/>
        <v>Normal</v>
      </c>
    </row>
    <row r="209" spans="1:29" x14ac:dyDescent="0.2">
      <c r="A209" s="4">
        <v>827</v>
      </c>
      <c r="B209" s="5">
        <v>40696</v>
      </c>
      <c r="C209" s="4">
        <v>1</v>
      </c>
      <c r="D209" s="4">
        <v>0</v>
      </c>
      <c r="E209" s="4">
        <v>2</v>
      </c>
      <c r="F209" s="4">
        <v>21</v>
      </c>
      <c r="G209" s="4" t="b">
        <v>0</v>
      </c>
      <c r="H209" s="4">
        <v>0</v>
      </c>
      <c r="I209" s="4">
        <v>1</v>
      </c>
      <c r="J209" s="4">
        <v>0.26</v>
      </c>
      <c r="K209" s="4">
        <v>0.30299999999999999</v>
      </c>
      <c r="L209" s="4">
        <v>0.6</v>
      </c>
      <c r="M209" s="4">
        <v>0</v>
      </c>
      <c r="N209" s="4">
        <v>5</v>
      </c>
      <c r="O209" s="4">
        <v>22</v>
      </c>
      <c r="P209" s="4">
        <v>27</v>
      </c>
      <c r="Q209" s="6" t="str">
        <f t="shared" si="39"/>
        <v>Weekend</v>
      </c>
      <c r="R209" s="42">
        <f t="shared" si="40"/>
        <v>36492</v>
      </c>
      <c r="S209" s="42">
        <f t="shared" si="41"/>
        <v>124.8388746803069</v>
      </c>
      <c r="T209" s="42">
        <f t="shared" si="42"/>
        <v>184</v>
      </c>
      <c r="U209" s="42" t="str">
        <f t="shared" si="43"/>
        <v>Wee</v>
      </c>
      <c r="V209" s="42" t="str">
        <f t="shared" si="44"/>
        <v>kend</v>
      </c>
      <c r="W209" s="42">
        <f t="shared" si="45"/>
        <v>7</v>
      </c>
      <c r="X209" s="42">
        <f t="shared" si="46"/>
        <v>0.30299999999999999</v>
      </c>
      <c r="Y209" s="3">
        <f t="shared" si="47"/>
        <v>82</v>
      </c>
      <c r="Z209" s="3">
        <f t="shared" si="51"/>
        <v>7883</v>
      </c>
      <c r="AA209" s="3">
        <f t="shared" si="48"/>
        <v>1232.2489122187819</v>
      </c>
      <c r="AB209" s="3">
        <f t="shared" si="49"/>
        <v>0.99911573903365103</v>
      </c>
      <c r="AC209" s="3" t="str">
        <f t="shared" si="50"/>
        <v>Normal</v>
      </c>
    </row>
    <row r="210" spans="1:29" x14ac:dyDescent="0.2">
      <c r="A210" s="4">
        <v>828</v>
      </c>
      <c r="B210" s="5">
        <v>40696</v>
      </c>
      <c r="C210" s="4">
        <v>1</v>
      </c>
      <c r="D210" s="4">
        <v>0</v>
      </c>
      <c r="E210" s="4">
        <v>2</v>
      </c>
      <c r="F210" s="4">
        <v>22</v>
      </c>
      <c r="G210" s="4" t="b">
        <v>0</v>
      </c>
      <c r="H210" s="4">
        <v>0</v>
      </c>
      <c r="I210" s="4">
        <v>1</v>
      </c>
      <c r="J210" s="4">
        <v>0.26</v>
      </c>
      <c r="K210" s="4">
        <v>0.30299999999999999</v>
      </c>
      <c r="L210" s="4">
        <v>0.6</v>
      </c>
      <c r="M210" s="4">
        <v>0</v>
      </c>
      <c r="N210" s="4">
        <v>5</v>
      </c>
      <c r="O210" s="4">
        <v>57</v>
      </c>
      <c r="P210" s="4">
        <v>62</v>
      </c>
      <c r="Q210" s="6" t="str">
        <f t="shared" si="39"/>
        <v>Weekend</v>
      </c>
      <c r="R210" s="42">
        <f t="shared" si="40"/>
        <v>36465</v>
      </c>
      <c r="S210" s="42">
        <f t="shared" si="41"/>
        <v>124.8388746803069</v>
      </c>
      <c r="T210" s="42">
        <f t="shared" si="42"/>
        <v>183</v>
      </c>
      <c r="U210" s="42" t="str">
        <f t="shared" si="43"/>
        <v>Wee</v>
      </c>
      <c r="V210" s="42" t="str">
        <f t="shared" si="44"/>
        <v>kend</v>
      </c>
      <c r="W210" s="42">
        <f t="shared" si="45"/>
        <v>7</v>
      </c>
      <c r="X210" s="42">
        <f t="shared" si="46"/>
        <v>0.30299999999999999</v>
      </c>
      <c r="Y210" s="3">
        <f t="shared" si="47"/>
        <v>82</v>
      </c>
      <c r="Z210" s="3">
        <f t="shared" si="51"/>
        <v>7883</v>
      </c>
      <c r="AA210" s="3">
        <f t="shared" si="48"/>
        <v>1232.2489122187819</v>
      </c>
      <c r="AB210" s="3">
        <f t="shared" si="49"/>
        <v>0.99911573903365103</v>
      </c>
      <c r="AC210" s="3" t="str">
        <f t="shared" si="50"/>
        <v>Normal</v>
      </c>
    </row>
    <row r="211" spans="1:29" x14ac:dyDescent="0.2">
      <c r="A211" s="4">
        <v>829</v>
      </c>
      <c r="B211" s="5">
        <v>40696</v>
      </c>
      <c r="C211" s="4">
        <v>1</v>
      </c>
      <c r="D211" s="4">
        <v>0</v>
      </c>
      <c r="E211" s="4">
        <v>2</v>
      </c>
      <c r="F211" s="4">
        <v>23</v>
      </c>
      <c r="G211" s="4" t="b">
        <v>0</v>
      </c>
      <c r="H211" s="4">
        <v>0</v>
      </c>
      <c r="I211" s="4">
        <v>1</v>
      </c>
      <c r="J211" s="4">
        <v>0.24</v>
      </c>
      <c r="K211" s="4">
        <v>0.28789999999999999</v>
      </c>
      <c r="L211" s="4">
        <v>0.65</v>
      </c>
      <c r="M211" s="4">
        <v>0</v>
      </c>
      <c r="N211" s="4">
        <v>4</v>
      </c>
      <c r="O211" s="4">
        <v>26</v>
      </c>
      <c r="P211" s="4">
        <v>30</v>
      </c>
      <c r="Q211" s="6" t="str">
        <f t="shared" si="39"/>
        <v>Weekend</v>
      </c>
      <c r="R211" s="42">
        <f t="shared" si="40"/>
        <v>36403</v>
      </c>
      <c r="S211" s="42">
        <f t="shared" si="41"/>
        <v>124.8388746803069</v>
      </c>
      <c r="T211" s="42">
        <f t="shared" si="42"/>
        <v>182</v>
      </c>
      <c r="U211" s="42" t="str">
        <f t="shared" si="43"/>
        <v>Wee</v>
      </c>
      <c r="V211" s="42" t="str">
        <f t="shared" si="44"/>
        <v>kday</v>
      </c>
      <c r="W211" s="42">
        <f t="shared" si="45"/>
        <v>7</v>
      </c>
      <c r="X211" s="42">
        <f t="shared" si="46"/>
        <v>0.28789999999999999</v>
      </c>
      <c r="Y211" s="3">
        <f t="shared" si="47"/>
        <v>82</v>
      </c>
      <c r="Z211" s="3">
        <f t="shared" si="51"/>
        <v>7883</v>
      </c>
      <c r="AA211" s="3">
        <f t="shared" si="48"/>
        <v>1232.2489122187819</v>
      </c>
      <c r="AB211" s="3">
        <f t="shared" si="49"/>
        <v>0.99911573903365103</v>
      </c>
      <c r="AC211" s="3" t="str">
        <f t="shared" si="50"/>
        <v>Normal</v>
      </c>
    </row>
    <row r="212" spans="1:29" x14ac:dyDescent="0.2">
      <c r="A212" s="4">
        <v>830</v>
      </c>
      <c r="B212" s="5">
        <v>40726</v>
      </c>
      <c r="C212" s="4">
        <v>1</v>
      </c>
      <c r="D212" s="4">
        <v>0</v>
      </c>
      <c r="E212" s="4">
        <v>2</v>
      </c>
      <c r="F212" s="4">
        <v>0</v>
      </c>
      <c r="G212" s="4" t="b">
        <v>0</v>
      </c>
      <c r="H212" s="4">
        <v>1</v>
      </c>
      <c r="I212" s="4">
        <v>1</v>
      </c>
      <c r="J212" s="4">
        <v>0.24</v>
      </c>
      <c r="K212" s="4">
        <v>0.28789999999999999</v>
      </c>
      <c r="L212" s="4">
        <v>0.65</v>
      </c>
      <c r="M212" s="4">
        <v>0</v>
      </c>
      <c r="N212" s="4">
        <v>1</v>
      </c>
      <c r="O212" s="4">
        <v>14</v>
      </c>
      <c r="P212" s="4">
        <v>15</v>
      </c>
      <c r="Q212" s="6" t="str">
        <f t="shared" si="39"/>
        <v>Weekday</v>
      </c>
      <c r="R212" s="42">
        <f t="shared" si="40"/>
        <v>36373</v>
      </c>
      <c r="S212" s="42">
        <f t="shared" si="41"/>
        <v>124.8388746803069</v>
      </c>
      <c r="T212" s="42">
        <f t="shared" si="42"/>
        <v>181</v>
      </c>
      <c r="U212" s="42" t="str">
        <f t="shared" si="43"/>
        <v>Wee</v>
      </c>
      <c r="V212" s="42" t="str">
        <f t="shared" si="44"/>
        <v>kday</v>
      </c>
      <c r="W212" s="42">
        <f t="shared" si="45"/>
        <v>7</v>
      </c>
      <c r="X212" s="42">
        <f t="shared" si="46"/>
        <v>0.28789999999999999</v>
      </c>
      <c r="Y212" s="3">
        <f t="shared" si="47"/>
        <v>82</v>
      </c>
      <c r="Z212" s="3">
        <f t="shared" si="51"/>
        <v>7883</v>
      </c>
      <c r="AA212" s="3">
        <f t="shared" si="48"/>
        <v>1232.2489122187819</v>
      </c>
      <c r="AB212" s="3">
        <f t="shared" si="49"/>
        <v>0.99911573903365103</v>
      </c>
      <c r="AC212" s="3" t="str">
        <f t="shared" si="50"/>
        <v>Normal</v>
      </c>
    </row>
    <row r="213" spans="1:29" x14ac:dyDescent="0.2">
      <c r="A213" s="4">
        <v>831</v>
      </c>
      <c r="B213" s="5">
        <v>40726</v>
      </c>
      <c r="C213" s="4">
        <v>1</v>
      </c>
      <c r="D213" s="4">
        <v>0</v>
      </c>
      <c r="E213" s="4">
        <v>2</v>
      </c>
      <c r="F213" s="4">
        <v>1</v>
      </c>
      <c r="G213" s="4" t="b">
        <v>0</v>
      </c>
      <c r="H213" s="4">
        <v>1</v>
      </c>
      <c r="I213" s="4">
        <v>1</v>
      </c>
      <c r="J213" s="4">
        <v>0.22</v>
      </c>
      <c r="K213" s="4">
        <v>0.2727</v>
      </c>
      <c r="L213" s="4">
        <v>0.75</v>
      </c>
      <c r="M213" s="4">
        <v>0</v>
      </c>
      <c r="N213" s="4">
        <v>1</v>
      </c>
      <c r="O213" s="4">
        <v>4</v>
      </c>
      <c r="P213" s="4">
        <v>5</v>
      </c>
      <c r="Q213" s="6" t="str">
        <f t="shared" si="39"/>
        <v>Weekday</v>
      </c>
      <c r="R213" s="42">
        <f t="shared" si="40"/>
        <v>36358</v>
      </c>
      <c r="S213" s="42">
        <f t="shared" si="41"/>
        <v>124.8388746803069</v>
      </c>
      <c r="T213" s="42">
        <f t="shared" si="42"/>
        <v>180</v>
      </c>
      <c r="U213" s="42" t="str">
        <f t="shared" si="43"/>
        <v>Wee</v>
      </c>
      <c r="V213" s="42" t="str">
        <f t="shared" si="44"/>
        <v>kday</v>
      </c>
      <c r="W213" s="42">
        <f t="shared" si="45"/>
        <v>7</v>
      </c>
      <c r="X213" s="42">
        <f t="shared" si="46"/>
        <v>0.2727</v>
      </c>
      <c r="Y213" s="3">
        <f t="shared" si="47"/>
        <v>82</v>
      </c>
      <c r="Z213" s="3">
        <f t="shared" si="51"/>
        <v>7883</v>
      </c>
      <c r="AA213" s="3">
        <f t="shared" si="48"/>
        <v>1232.2489122187819</v>
      </c>
      <c r="AB213" s="3">
        <f t="shared" si="49"/>
        <v>0.99911573903365103</v>
      </c>
      <c r="AC213" s="3" t="str">
        <f t="shared" si="50"/>
        <v>Normal</v>
      </c>
    </row>
    <row r="214" spans="1:29" x14ac:dyDescent="0.2">
      <c r="A214" s="4">
        <v>832</v>
      </c>
      <c r="B214" s="5">
        <v>40726</v>
      </c>
      <c r="C214" s="4">
        <v>1</v>
      </c>
      <c r="D214" s="4">
        <v>0</v>
      </c>
      <c r="E214" s="4">
        <v>2</v>
      </c>
      <c r="F214" s="4">
        <v>2</v>
      </c>
      <c r="G214" s="4" t="b">
        <v>0</v>
      </c>
      <c r="H214" s="4">
        <v>1</v>
      </c>
      <c r="I214" s="4">
        <v>1</v>
      </c>
      <c r="J214" s="4">
        <v>0.2</v>
      </c>
      <c r="K214" s="4">
        <v>0.2576</v>
      </c>
      <c r="L214" s="4">
        <v>0.8</v>
      </c>
      <c r="M214" s="4">
        <v>0</v>
      </c>
      <c r="N214" s="4">
        <v>0</v>
      </c>
      <c r="O214" s="4">
        <v>3</v>
      </c>
      <c r="P214" s="4">
        <v>3</v>
      </c>
      <c r="Q214" s="6" t="str">
        <f t="shared" si="39"/>
        <v>Weekday</v>
      </c>
      <c r="R214" s="42">
        <f t="shared" si="40"/>
        <v>36353</v>
      </c>
      <c r="S214" s="42">
        <f t="shared" si="41"/>
        <v>124.8388746803069</v>
      </c>
      <c r="T214" s="42">
        <f t="shared" si="42"/>
        <v>179</v>
      </c>
      <c r="U214" s="42" t="str">
        <f t="shared" si="43"/>
        <v>Wee</v>
      </c>
      <c r="V214" s="42" t="str">
        <f t="shared" si="44"/>
        <v>kday</v>
      </c>
      <c r="W214" s="42">
        <f t="shared" si="45"/>
        <v>7</v>
      </c>
      <c r="X214" s="42">
        <f t="shared" si="46"/>
        <v>0.2576</v>
      </c>
      <c r="Y214" s="3">
        <f t="shared" si="47"/>
        <v>82</v>
      </c>
      <c r="Z214" s="3">
        <f t="shared" si="51"/>
        <v>7883</v>
      </c>
      <c r="AA214" s="3">
        <f t="shared" si="48"/>
        <v>1232.2489122187819</v>
      </c>
      <c r="AB214" s="3">
        <f t="shared" si="49"/>
        <v>0.99911573903365103</v>
      </c>
      <c r="AC214" s="3" t="str">
        <f t="shared" si="50"/>
        <v>Normal</v>
      </c>
    </row>
    <row r="215" spans="1:29" x14ac:dyDescent="0.2">
      <c r="A215" s="4">
        <v>833</v>
      </c>
      <c r="B215" s="5">
        <v>40726</v>
      </c>
      <c r="C215" s="4">
        <v>1</v>
      </c>
      <c r="D215" s="4">
        <v>0</v>
      </c>
      <c r="E215" s="4">
        <v>2</v>
      </c>
      <c r="F215" s="4">
        <v>3</v>
      </c>
      <c r="G215" s="4" t="b">
        <v>0</v>
      </c>
      <c r="H215" s="4">
        <v>1</v>
      </c>
      <c r="I215" s="4">
        <v>1</v>
      </c>
      <c r="J215" s="4">
        <v>0.2</v>
      </c>
      <c r="K215" s="4">
        <v>0.2576</v>
      </c>
      <c r="L215" s="4">
        <v>0.86</v>
      </c>
      <c r="M215" s="4">
        <v>0</v>
      </c>
      <c r="N215" s="4">
        <v>0</v>
      </c>
      <c r="O215" s="4">
        <v>1</v>
      </c>
      <c r="P215" s="4">
        <v>1</v>
      </c>
      <c r="Q215" s="6" t="str">
        <f t="shared" si="39"/>
        <v>Weekday</v>
      </c>
      <c r="R215" s="42">
        <f t="shared" si="40"/>
        <v>36350</v>
      </c>
      <c r="S215" s="42">
        <f t="shared" si="41"/>
        <v>124.8388746803069</v>
      </c>
      <c r="T215" s="42">
        <f t="shared" si="42"/>
        <v>178</v>
      </c>
      <c r="U215" s="42" t="str">
        <f t="shared" si="43"/>
        <v>Wee</v>
      </c>
      <c r="V215" s="42" t="str">
        <f t="shared" si="44"/>
        <v>kday</v>
      </c>
      <c r="W215" s="42">
        <f t="shared" si="45"/>
        <v>7</v>
      </c>
      <c r="X215" s="42">
        <f t="shared" si="46"/>
        <v>0.2576</v>
      </c>
      <c r="Y215" s="3">
        <f t="shared" si="47"/>
        <v>82</v>
      </c>
      <c r="Z215" s="3">
        <f t="shared" si="51"/>
        <v>7883</v>
      </c>
      <c r="AA215" s="3">
        <f t="shared" si="48"/>
        <v>1232.2489122187819</v>
      </c>
      <c r="AB215" s="3">
        <f t="shared" si="49"/>
        <v>0.99911573903365103</v>
      </c>
      <c r="AC215" s="3" t="str">
        <f t="shared" si="50"/>
        <v>Normal</v>
      </c>
    </row>
    <row r="216" spans="1:29" x14ac:dyDescent="0.2">
      <c r="A216" s="4">
        <v>834</v>
      </c>
      <c r="B216" s="5">
        <v>40726</v>
      </c>
      <c r="C216" s="4">
        <v>1</v>
      </c>
      <c r="D216" s="4">
        <v>0</v>
      </c>
      <c r="E216" s="4">
        <v>2</v>
      </c>
      <c r="F216" s="4">
        <v>4</v>
      </c>
      <c r="G216" s="4" t="b">
        <v>0</v>
      </c>
      <c r="H216" s="4">
        <v>1</v>
      </c>
      <c r="I216" s="4">
        <v>1</v>
      </c>
      <c r="J216" s="4">
        <v>0.2</v>
      </c>
      <c r="K216" s="4">
        <v>0.2576</v>
      </c>
      <c r="L216" s="4">
        <v>0.86</v>
      </c>
      <c r="M216" s="4">
        <v>0</v>
      </c>
      <c r="N216" s="4">
        <v>1</v>
      </c>
      <c r="O216" s="4">
        <v>1</v>
      </c>
      <c r="P216" s="4">
        <v>2</v>
      </c>
      <c r="Q216" s="6" t="str">
        <f t="shared" si="39"/>
        <v>Weekday</v>
      </c>
      <c r="R216" s="42">
        <f t="shared" si="40"/>
        <v>36349</v>
      </c>
      <c r="S216" s="42">
        <f t="shared" si="41"/>
        <v>124.8388746803069</v>
      </c>
      <c r="T216" s="42">
        <f t="shared" si="42"/>
        <v>177</v>
      </c>
      <c r="U216" s="42" t="str">
        <f t="shared" si="43"/>
        <v>Wee</v>
      </c>
      <c r="V216" s="42" t="str">
        <f t="shared" si="44"/>
        <v>kday</v>
      </c>
      <c r="W216" s="42">
        <f t="shared" si="45"/>
        <v>7</v>
      </c>
      <c r="X216" s="42">
        <f t="shared" si="46"/>
        <v>0.2576</v>
      </c>
      <c r="Y216" s="3">
        <f t="shared" si="47"/>
        <v>82</v>
      </c>
      <c r="Z216" s="3">
        <f t="shared" si="51"/>
        <v>7883</v>
      </c>
      <c r="AA216" s="3">
        <f t="shared" si="48"/>
        <v>1232.2489122187819</v>
      </c>
      <c r="AB216" s="3">
        <f t="shared" si="49"/>
        <v>0.99911573903365103</v>
      </c>
      <c r="AC216" s="3" t="str">
        <f t="shared" si="50"/>
        <v>Normal</v>
      </c>
    </row>
    <row r="217" spans="1:29" x14ac:dyDescent="0.2">
      <c r="A217" s="4">
        <v>835</v>
      </c>
      <c r="B217" s="5">
        <v>40726</v>
      </c>
      <c r="C217" s="4">
        <v>1</v>
      </c>
      <c r="D217" s="4">
        <v>0</v>
      </c>
      <c r="E217" s="4">
        <v>2</v>
      </c>
      <c r="F217" s="4">
        <v>5</v>
      </c>
      <c r="G217" s="4" t="b">
        <v>0</v>
      </c>
      <c r="H217" s="4">
        <v>1</v>
      </c>
      <c r="I217" s="4">
        <v>1</v>
      </c>
      <c r="J217" s="4">
        <v>0.2</v>
      </c>
      <c r="K217" s="4">
        <v>0.2576</v>
      </c>
      <c r="L217" s="4">
        <v>0.86</v>
      </c>
      <c r="M217" s="4">
        <v>0</v>
      </c>
      <c r="N217" s="4">
        <v>1</v>
      </c>
      <c r="O217" s="4">
        <v>9</v>
      </c>
      <c r="P217" s="4">
        <v>10</v>
      </c>
      <c r="Q217" s="6" t="str">
        <f t="shared" si="39"/>
        <v>Weekday</v>
      </c>
      <c r="R217" s="42">
        <f t="shared" si="40"/>
        <v>36347</v>
      </c>
      <c r="S217" s="42">
        <f t="shared" si="41"/>
        <v>124.8388746803069</v>
      </c>
      <c r="T217" s="42">
        <f t="shared" si="42"/>
        <v>176</v>
      </c>
      <c r="U217" s="42" t="str">
        <f t="shared" si="43"/>
        <v>Wee</v>
      </c>
      <c r="V217" s="42" t="str">
        <f t="shared" si="44"/>
        <v>kday</v>
      </c>
      <c r="W217" s="42">
        <f t="shared" si="45"/>
        <v>7</v>
      </c>
      <c r="X217" s="42">
        <f t="shared" si="46"/>
        <v>0.2576</v>
      </c>
      <c r="Y217" s="3">
        <f t="shared" si="47"/>
        <v>82</v>
      </c>
      <c r="Z217" s="3">
        <f t="shared" si="51"/>
        <v>7883</v>
      </c>
      <c r="AA217" s="3">
        <f t="shared" si="48"/>
        <v>1232.2489122187819</v>
      </c>
      <c r="AB217" s="3">
        <f t="shared" si="49"/>
        <v>0.99911573903365103</v>
      </c>
      <c r="AC217" s="3" t="str">
        <f t="shared" si="50"/>
        <v>Normal</v>
      </c>
    </row>
    <row r="218" spans="1:29" x14ac:dyDescent="0.2">
      <c r="A218" s="4">
        <v>836</v>
      </c>
      <c r="B218" s="5">
        <v>40726</v>
      </c>
      <c r="C218" s="4">
        <v>1</v>
      </c>
      <c r="D218" s="4">
        <v>0</v>
      </c>
      <c r="E218" s="4">
        <v>2</v>
      </c>
      <c r="F218" s="4">
        <v>6</v>
      </c>
      <c r="G218" s="4" t="b">
        <v>0</v>
      </c>
      <c r="H218" s="4">
        <v>1</v>
      </c>
      <c r="I218" s="4">
        <v>1</v>
      </c>
      <c r="J218" s="4">
        <v>0.18</v>
      </c>
      <c r="K218" s="4">
        <v>0.2424</v>
      </c>
      <c r="L218" s="4">
        <v>0.93</v>
      </c>
      <c r="M218" s="4">
        <v>0</v>
      </c>
      <c r="N218" s="4">
        <v>1</v>
      </c>
      <c r="O218" s="4">
        <v>29</v>
      </c>
      <c r="P218" s="4">
        <v>30</v>
      </c>
      <c r="Q218" s="6" t="str">
        <f t="shared" si="39"/>
        <v>Weekday</v>
      </c>
      <c r="R218" s="42">
        <f t="shared" si="40"/>
        <v>36337</v>
      </c>
      <c r="S218" s="42">
        <f t="shared" si="41"/>
        <v>124.8388746803069</v>
      </c>
      <c r="T218" s="42">
        <f t="shared" si="42"/>
        <v>175</v>
      </c>
      <c r="U218" s="42" t="str">
        <f t="shared" si="43"/>
        <v>Wee</v>
      </c>
      <c r="V218" s="42" t="str">
        <f t="shared" si="44"/>
        <v>kday</v>
      </c>
      <c r="W218" s="42">
        <f t="shared" si="45"/>
        <v>7</v>
      </c>
      <c r="X218" s="42">
        <f t="shared" si="46"/>
        <v>0.2424</v>
      </c>
      <c r="Y218" s="3">
        <f t="shared" si="47"/>
        <v>82</v>
      </c>
      <c r="Z218" s="3">
        <f t="shared" si="51"/>
        <v>7883</v>
      </c>
      <c r="AA218" s="3">
        <f t="shared" si="48"/>
        <v>1232.2489122187819</v>
      </c>
      <c r="AB218" s="3">
        <f t="shared" si="49"/>
        <v>0.99911573903365103</v>
      </c>
      <c r="AC218" s="3" t="str">
        <f t="shared" si="50"/>
        <v>Normal</v>
      </c>
    </row>
    <row r="219" spans="1:29" x14ac:dyDescent="0.2">
      <c r="A219" s="4">
        <v>837</v>
      </c>
      <c r="B219" s="5">
        <v>40726</v>
      </c>
      <c r="C219" s="4">
        <v>1</v>
      </c>
      <c r="D219" s="4">
        <v>0</v>
      </c>
      <c r="E219" s="4">
        <v>2</v>
      </c>
      <c r="F219" s="4">
        <v>7</v>
      </c>
      <c r="G219" s="4" t="b">
        <v>0</v>
      </c>
      <c r="H219" s="4">
        <v>1</v>
      </c>
      <c r="I219" s="4">
        <v>1</v>
      </c>
      <c r="J219" s="4">
        <v>0.18</v>
      </c>
      <c r="K219" s="4">
        <v>0.2424</v>
      </c>
      <c r="L219" s="4">
        <v>0.86</v>
      </c>
      <c r="M219" s="4">
        <v>0</v>
      </c>
      <c r="N219" s="4">
        <v>6</v>
      </c>
      <c r="O219" s="4">
        <v>89</v>
      </c>
      <c r="P219" s="4">
        <v>95</v>
      </c>
      <c r="Q219" s="6" t="str">
        <f t="shared" si="39"/>
        <v>Weekday</v>
      </c>
      <c r="R219" s="42">
        <f t="shared" si="40"/>
        <v>36307</v>
      </c>
      <c r="S219" s="42">
        <f t="shared" si="41"/>
        <v>124.8388746803069</v>
      </c>
      <c r="T219" s="42">
        <f t="shared" si="42"/>
        <v>174</v>
      </c>
      <c r="U219" s="42" t="str">
        <f t="shared" si="43"/>
        <v>Wee</v>
      </c>
      <c r="V219" s="42" t="str">
        <f t="shared" si="44"/>
        <v>kday</v>
      </c>
      <c r="W219" s="42">
        <f t="shared" si="45"/>
        <v>7</v>
      </c>
      <c r="X219" s="42">
        <f t="shared" si="46"/>
        <v>0.2424</v>
      </c>
      <c r="Y219" s="3">
        <f t="shared" si="47"/>
        <v>82</v>
      </c>
      <c r="Z219" s="3">
        <f t="shared" si="51"/>
        <v>7883</v>
      </c>
      <c r="AA219" s="3">
        <f t="shared" si="48"/>
        <v>1232.2489122187819</v>
      </c>
      <c r="AB219" s="3">
        <f t="shared" si="49"/>
        <v>0.99911573903365103</v>
      </c>
      <c r="AC219" s="3" t="str">
        <f t="shared" si="50"/>
        <v>Normal</v>
      </c>
    </row>
    <row r="220" spans="1:29" x14ac:dyDescent="0.2">
      <c r="A220" s="4">
        <v>838</v>
      </c>
      <c r="B220" s="5">
        <v>40726</v>
      </c>
      <c r="C220" s="4">
        <v>1</v>
      </c>
      <c r="D220" s="4">
        <v>0</v>
      </c>
      <c r="E220" s="4">
        <v>2</v>
      </c>
      <c r="F220" s="4">
        <v>8</v>
      </c>
      <c r="G220" s="4" t="b">
        <v>0</v>
      </c>
      <c r="H220" s="4">
        <v>1</v>
      </c>
      <c r="I220" s="4">
        <v>2</v>
      </c>
      <c r="J220" s="4">
        <v>0.16</v>
      </c>
      <c r="K220" s="4">
        <v>0.2273</v>
      </c>
      <c r="L220" s="4">
        <v>1</v>
      </c>
      <c r="M220" s="4">
        <v>0</v>
      </c>
      <c r="N220" s="4">
        <v>7</v>
      </c>
      <c r="O220" s="4">
        <v>223</v>
      </c>
      <c r="P220" s="4">
        <v>230</v>
      </c>
      <c r="Q220" s="6" t="str">
        <f t="shared" si="39"/>
        <v>Weekday</v>
      </c>
      <c r="R220" s="42">
        <f t="shared" si="40"/>
        <v>36212</v>
      </c>
      <c r="S220" s="42">
        <f t="shared" si="41"/>
        <v>124.8388746803069</v>
      </c>
      <c r="T220" s="42">
        <f t="shared" si="42"/>
        <v>173</v>
      </c>
      <c r="U220" s="42" t="str">
        <f t="shared" si="43"/>
        <v>Wee</v>
      </c>
      <c r="V220" s="42" t="str">
        <f t="shared" si="44"/>
        <v>kday</v>
      </c>
      <c r="W220" s="42">
        <f t="shared" si="45"/>
        <v>7</v>
      </c>
      <c r="X220" s="42">
        <f t="shared" si="46"/>
        <v>0.2273</v>
      </c>
      <c r="Y220" s="3">
        <f t="shared" si="47"/>
        <v>82</v>
      </c>
      <c r="Z220" s="3">
        <f t="shared" si="51"/>
        <v>7883</v>
      </c>
      <c r="AA220" s="3">
        <f t="shared" si="48"/>
        <v>1232.2489122187819</v>
      </c>
      <c r="AB220" s="3">
        <f t="shared" si="49"/>
        <v>0.99911573903365103</v>
      </c>
      <c r="AC220" s="3" t="str">
        <f t="shared" si="50"/>
        <v>Normal</v>
      </c>
    </row>
    <row r="221" spans="1:29" x14ac:dyDescent="0.2">
      <c r="A221" s="4">
        <v>839</v>
      </c>
      <c r="B221" s="5">
        <v>40726</v>
      </c>
      <c r="C221" s="4">
        <v>1</v>
      </c>
      <c r="D221" s="4">
        <v>0</v>
      </c>
      <c r="E221" s="4">
        <v>2</v>
      </c>
      <c r="F221" s="4">
        <v>9</v>
      </c>
      <c r="G221" s="4" t="b">
        <v>0</v>
      </c>
      <c r="H221" s="4">
        <v>1</v>
      </c>
      <c r="I221" s="4">
        <v>1</v>
      </c>
      <c r="J221" s="4">
        <v>0.22</v>
      </c>
      <c r="K221" s="4">
        <v>0.2727</v>
      </c>
      <c r="L221" s="4">
        <v>0.8</v>
      </c>
      <c r="M221" s="4">
        <v>0</v>
      </c>
      <c r="N221" s="4">
        <v>3</v>
      </c>
      <c r="O221" s="4">
        <v>115</v>
      </c>
      <c r="P221" s="4">
        <v>118</v>
      </c>
      <c r="Q221" s="6" t="str">
        <f t="shared" si="39"/>
        <v>Weekday</v>
      </c>
      <c r="R221" s="42">
        <f t="shared" si="40"/>
        <v>35982</v>
      </c>
      <c r="S221" s="42">
        <f t="shared" si="41"/>
        <v>124.8388746803069</v>
      </c>
      <c r="T221" s="42">
        <f t="shared" si="42"/>
        <v>172</v>
      </c>
      <c r="U221" s="42" t="str">
        <f t="shared" si="43"/>
        <v>Wee</v>
      </c>
      <c r="V221" s="42" t="str">
        <f t="shared" si="44"/>
        <v>kday</v>
      </c>
      <c r="W221" s="42">
        <f t="shared" si="45"/>
        <v>7</v>
      </c>
      <c r="X221" s="42">
        <f t="shared" si="46"/>
        <v>0.2727</v>
      </c>
      <c r="Y221" s="3">
        <f t="shared" si="47"/>
        <v>82</v>
      </c>
      <c r="Z221" s="3">
        <f t="shared" si="51"/>
        <v>7883</v>
      </c>
      <c r="AA221" s="3">
        <f t="shared" si="48"/>
        <v>1232.2489122187819</v>
      </c>
      <c r="AB221" s="3">
        <f t="shared" si="49"/>
        <v>0.99911573903365103</v>
      </c>
      <c r="AC221" s="3" t="str">
        <f t="shared" si="50"/>
        <v>Normal</v>
      </c>
    </row>
    <row r="222" spans="1:29" x14ac:dyDescent="0.2">
      <c r="A222" s="4">
        <v>840</v>
      </c>
      <c r="B222" s="5">
        <v>40726</v>
      </c>
      <c r="C222" s="4">
        <v>1</v>
      </c>
      <c r="D222" s="4">
        <v>0</v>
      </c>
      <c r="E222" s="4">
        <v>2</v>
      </c>
      <c r="F222" s="4">
        <v>10</v>
      </c>
      <c r="G222" s="4" t="b">
        <v>0</v>
      </c>
      <c r="H222" s="4">
        <v>1</v>
      </c>
      <c r="I222" s="4">
        <v>1</v>
      </c>
      <c r="J222" s="4">
        <v>0.24</v>
      </c>
      <c r="K222" s="4">
        <v>0.2576</v>
      </c>
      <c r="L222" s="4">
        <v>0.75</v>
      </c>
      <c r="M222" s="4">
        <v>0.1045</v>
      </c>
      <c r="N222" s="4">
        <v>6</v>
      </c>
      <c r="O222" s="4">
        <v>49</v>
      </c>
      <c r="P222" s="4">
        <v>55</v>
      </c>
      <c r="Q222" s="6" t="str">
        <f t="shared" si="39"/>
        <v>Weekday</v>
      </c>
      <c r="R222" s="42">
        <f t="shared" si="40"/>
        <v>35864</v>
      </c>
      <c r="S222" s="42">
        <f t="shared" si="41"/>
        <v>124.8388746803069</v>
      </c>
      <c r="T222" s="42">
        <f t="shared" si="42"/>
        <v>171</v>
      </c>
      <c r="U222" s="42" t="str">
        <f t="shared" si="43"/>
        <v>Wee</v>
      </c>
      <c r="V222" s="42" t="str">
        <f t="shared" si="44"/>
        <v>kday</v>
      </c>
      <c r="W222" s="42">
        <f t="shared" si="45"/>
        <v>7</v>
      </c>
      <c r="X222" s="42">
        <f t="shared" si="46"/>
        <v>0.2576</v>
      </c>
      <c r="Y222" s="3">
        <f t="shared" si="47"/>
        <v>82</v>
      </c>
      <c r="Z222" s="3">
        <f t="shared" si="51"/>
        <v>7883</v>
      </c>
      <c r="AA222" s="3">
        <f t="shared" si="48"/>
        <v>1232.2489122187819</v>
      </c>
      <c r="AB222" s="3">
        <f t="shared" si="49"/>
        <v>0.99911573903365103</v>
      </c>
      <c r="AC222" s="3" t="str">
        <f t="shared" si="50"/>
        <v>Normal</v>
      </c>
    </row>
    <row r="223" spans="1:29" x14ac:dyDescent="0.2">
      <c r="A223" s="4">
        <v>841</v>
      </c>
      <c r="B223" s="5">
        <v>40726</v>
      </c>
      <c r="C223" s="4">
        <v>1</v>
      </c>
      <c r="D223" s="4">
        <v>0</v>
      </c>
      <c r="E223" s="4">
        <v>2</v>
      </c>
      <c r="F223" s="4">
        <v>11</v>
      </c>
      <c r="G223" s="4" t="b">
        <v>0</v>
      </c>
      <c r="H223" s="4">
        <v>1</v>
      </c>
      <c r="I223" s="4">
        <v>1</v>
      </c>
      <c r="J223" s="4">
        <v>0.3</v>
      </c>
      <c r="K223" s="4">
        <v>0.31819999999999998</v>
      </c>
      <c r="L223" s="4">
        <v>0.65</v>
      </c>
      <c r="M223" s="4">
        <v>8.9599999999999999E-2</v>
      </c>
      <c r="N223" s="4">
        <v>11</v>
      </c>
      <c r="O223" s="4">
        <v>36</v>
      </c>
      <c r="P223" s="4">
        <v>47</v>
      </c>
      <c r="Q223" s="6" t="str">
        <f t="shared" si="39"/>
        <v>Weekday</v>
      </c>
      <c r="R223" s="42">
        <f t="shared" si="40"/>
        <v>35809</v>
      </c>
      <c r="S223" s="42">
        <f t="shared" si="41"/>
        <v>124.8388746803069</v>
      </c>
      <c r="T223" s="42">
        <f t="shared" si="42"/>
        <v>170</v>
      </c>
      <c r="U223" s="42" t="str">
        <f t="shared" si="43"/>
        <v>Wee</v>
      </c>
      <c r="V223" s="42" t="str">
        <f t="shared" si="44"/>
        <v>kday</v>
      </c>
      <c r="W223" s="42">
        <f t="shared" si="45"/>
        <v>7</v>
      </c>
      <c r="X223" s="42">
        <f t="shared" si="46"/>
        <v>0.31819999999999998</v>
      </c>
      <c r="Y223" s="3">
        <f t="shared" si="47"/>
        <v>82</v>
      </c>
      <c r="Z223" s="3">
        <f t="shared" si="51"/>
        <v>7883</v>
      </c>
      <c r="AA223" s="3">
        <f t="shared" si="48"/>
        <v>1232.2489122187819</v>
      </c>
      <c r="AB223" s="3">
        <f t="shared" si="49"/>
        <v>0.99911573903365103</v>
      </c>
      <c r="AC223" s="3" t="str">
        <f t="shared" si="50"/>
        <v>Normal</v>
      </c>
    </row>
    <row r="224" spans="1:29" x14ac:dyDescent="0.2">
      <c r="A224" s="4">
        <v>842</v>
      </c>
      <c r="B224" s="5">
        <v>40726</v>
      </c>
      <c r="C224" s="4">
        <v>1</v>
      </c>
      <c r="D224" s="4">
        <v>0</v>
      </c>
      <c r="E224" s="4">
        <v>2</v>
      </c>
      <c r="F224" s="4">
        <v>12</v>
      </c>
      <c r="G224" s="4" t="b">
        <v>0</v>
      </c>
      <c r="H224" s="4">
        <v>1</v>
      </c>
      <c r="I224" s="4">
        <v>2</v>
      </c>
      <c r="J224" s="4">
        <v>0.32</v>
      </c>
      <c r="K224" s="4">
        <v>0.34849999999999998</v>
      </c>
      <c r="L224" s="4">
        <v>0.62</v>
      </c>
      <c r="M224" s="4">
        <v>0</v>
      </c>
      <c r="N224" s="4">
        <v>7</v>
      </c>
      <c r="O224" s="4">
        <v>59</v>
      </c>
      <c r="P224" s="4">
        <v>66</v>
      </c>
      <c r="Q224" s="6" t="str">
        <f t="shared" si="39"/>
        <v>Weekday</v>
      </c>
      <c r="R224" s="42">
        <f t="shared" si="40"/>
        <v>35762</v>
      </c>
      <c r="S224" s="42">
        <f t="shared" si="41"/>
        <v>124.8388746803069</v>
      </c>
      <c r="T224" s="42">
        <f t="shared" si="42"/>
        <v>169</v>
      </c>
      <c r="U224" s="42" t="str">
        <f t="shared" si="43"/>
        <v>Wee</v>
      </c>
      <c r="V224" s="42" t="str">
        <f t="shared" si="44"/>
        <v>kday</v>
      </c>
      <c r="W224" s="42">
        <f t="shared" si="45"/>
        <v>7</v>
      </c>
      <c r="X224" s="42">
        <f t="shared" si="46"/>
        <v>0.34849999999999998</v>
      </c>
      <c r="Y224" s="3">
        <f t="shared" si="47"/>
        <v>82</v>
      </c>
      <c r="Z224" s="3">
        <f t="shared" si="51"/>
        <v>7883</v>
      </c>
      <c r="AA224" s="3">
        <f t="shared" si="48"/>
        <v>1232.2489122187819</v>
      </c>
      <c r="AB224" s="3">
        <f t="shared" si="49"/>
        <v>0.99911573903365103</v>
      </c>
      <c r="AC224" s="3" t="str">
        <f t="shared" si="50"/>
        <v>Normal</v>
      </c>
    </row>
    <row r="225" spans="1:29" x14ac:dyDescent="0.2">
      <c r="A225" s="4">
        <v>843</v>
      </c>
      <c r="B225" s="5">
        <v>40726</v>
      </c>
      <c r="C225" s="4">
        <v>1</v>
      </c>
      <c r="D225" s="4">
        <v>0</v>
      </c>
      <c r="E225" s="4">
        <v>2</v>
      </c>
      <c r="F225" s="4">
        <v>13</v>
      </c>
      <c r="G225" s="4" t="b">
        <v>0</v>
      </c>
      <c r="H225" s="4">
        <v>1</v>
      </c>
      <c r="I225" s="4">
        <v>2</v>
      </c>
      <c r="J225" s="4">
        <v>0.36</v>
      </c>
      <c r="K225" s="4">
        <v>0.36359999999999998</v>
      </c>
      <c r="L225" s="4">
        <v>0.56999999999999995</v>
      </c>
      <c r="M225" s="4">
        <v>8.9599999999999999E-2</v>
      </c>
      <c r="N225" s="4">
        <v>10</v>
      </c>
      <c r="O225" s="4">
        <v>54</v>
      </c>
      <c r="P225" s="4">
        <v>64</v>
      </c>
      <c r="Q225" s="6" t="str">
        <f t="shared" si="39"/>
        <v>Weekday</v>
      </c>
      <c r="R225" s="42">
        <f t="shared" si="40"/>
        <v>35696</v>
      </c>
      <c r="S225" s="42">
        <f t="shared" si="41"/>
        <v>124.8388746803069</v>
      </c>
      <c r="T225" s="42">
        <f t="shared" si="42"/>
        <v>168</v>
      </c>
      <c r="U225" s="42" t="str">
        <f t="shared" si="43"/>
        <v>Wee</v>
      </c>
      <c r="V225" s="42" t="str">
        <f t="shared" si="44"/>
        <v>kday</v>
      </c>
      <c r="W225" s="42">
        <f t="shared" si="45"/>
        <v>7</v>
      </c>
      <c r="X225" s="42">
        <f t="shared" si="46"/>
        <v>0.36359999999999998</v>
      </c>
      <c r="Y225" s="3">
        <f t="shared" si="47"/>
        <v>82</v>
      </c>
      <c r="Z225" s="3">
        <f t="shared" si="51"/>
        <v>7883</v>
      </c>
      <c r="AA225" s="3">
        <f t="shared" si="48"/>
        <v>1232.2489122187819</v>
      </c>
      <c r="AB225" s="3">
        <f t="shared" si="49"/>
        <v>0.99911573903365103</v>
      </c>
      <c r="AC225" s="3" t="str">
        <f t="shared" si="50"/>
        <v>Normal</v>
      </c>
    </row>
    <row r="226" spans="1:29" x14ac:dyDescent="0.2">
      <c r="A226" s="4">
        <v>844</v>
      </c>
      <c r="B226" s="5">
        <v>40726</v>
      </c>
      <c r="C226" s="4">
        <v>1</v>
      </c>
      <c r="D226" s="4">
        <v>0</v>
      </c>
      <c r="E226" s="4">
        <v>2</v>
      </c>
      <c r="F226" s="4">
        <v>14</v>
      </c>
      <c r="G226" s="4" t="b">
        <v>0</v>
      </c>
      <c r="H226" s="4">
        <v>1</v>
      </c>
      <c r="I226" s="4">
        <v>2</v>
      </c>
      <c r="J226" s="4">
        <v>0.36</v>
      </c>
      <c r="K226" s="4">
        <v>0.36359999999999998</v>
      </c>
      <c r="L226" s="4">
        <v>0.56999999999999995</v>
      </c>
      <c r="M226" s="4">
        <v>8.9599999999999999E-2</v>
      </c>
      <c r="N226" s="4">
        <v>8</v>
      </c>
      <c r="O226" s="4">
        <v>52</v>
      </c>
      <c r="P226" s="4">
        <v>60</v>
      </c>
      <c r="Q226" s="6" t="str">
        <f t="shared" si="39"/>
        <v>Weekday</v>
      </c>
      <c r="R226" s="42">
        <f t="shared" si="40"/>
        <v>35632</v>
      </c>
      <c r="S226" s="42">
        <f t="shared" si="41"/>
        <v>124.8388746803069</v>
      </c>
      <c r="T226" s="42">
        <f t="shared" si="42"/>
        <v>167</v>
      </c>
      <c r="U226" s="42" t="str">
        <f t="shared" si="43"/>
        <v>Wee</v>
      </c>
      <c r="V226" s="42" t="str">
        <f t="shared" si="44"/>
        <v>kday</v>
      </c>
      <c r="W226" s="42">
        <f t="shared" si="45"/>
        <v>7</v>
      </c>
      <c r="X226" s="42">
        <f t="shared" si="46"/>
        <v>0.36359999999999998</v>
      </c>
      <c r="Y226" s="3">
        <f t="shared" si="47"/>
        <v>82</v>
      </c>
      <c r="Z226" s="3">
        <f t="shared" si="51"/>
        <v>7883</v>
      </c>
      <c r="AA226" s="3">
        <f t="shared" si="48"/>
        <v>1232.2489122187819</v>
      </c>
      <c r="AB226" s="3">
        <f t="shared" si="49"/>
        <v>0.99911573903365103</v>
      </c>
      <c r="AC226" s="3" t="str">
        <f t="shared" si="50"/>
        <v>Normal</v>
      </c>
    </row>
    <row r="227" spans="1:29" x14ac:dyDescent="0.2">
      <c r="A227" s="4">
        <v>845</v>
      </c>
      <c r="B227" s="5">
        <v>40726</v>
      </c>
      <c r="C227" s="4">
        <v>1</v>
      </c>
      <c r="D227" s="4">
        <v>0</v>
      </c>
      <c r="E227" s="4">
        <v>2</v>
      </c>
      <c r="F227" s="4">
        <v>15</v>
      </c>
      <c r="G227" s="4" t="b">
        <v>0</v>
      </c>
      <c r="H227" s="4">
        <v>1</v>
      </c>
      <c r="I227" s="4">
        <v>2</v>
      </c>
      <c r="J227" s="4">
        <v>0.38</v>
      </c>
      <c r="K227" s="4">
        <v>0.39389999999999997</v>
      </c>
      <c r="L227" s="4">
        <v>0.54</v>
      </c>
      <c r="M227" s="4">
        <v>8.9599999999999999E-2</v>
      </c>
      <c r="N227" s="4">
        <v>4</v>
      </c>
      <c r="O227" s="4">
        <v>46</v>
      </c>
      <c r="P227" s="4">
        <v>50</v>
      </c>
      <c r="Q227" s="6" t="str">
        <f t="shared" si="39"/>
        <v>Weekday</v>
      </c>
      <c r="R227" s="42">
        <f t="shared" si="40"/>
        <v>35572</v>
      </c>
      <c r="S227" s="42">
        <f t="shared" si="41"/>
        <v>124.8388746803069</v>
      </c>
      <c r="T227" s="42">
        <f t="shared" si="42"/>
        <v>166</v>
      </c>
      <c r="U227" s="42" t="str">
        <f t="shared" si="43"/>
        <v>Wee</v>
      </c>
      <c r="V227" s="42" t="str">
        <f t="shared" si="44"/>
        <v>kday</v>
      </c>
      <c r="W227" s="42">
        <f t="shared" si="45"/>
        <v>7</v>
      </c>
      <c r="X227" s="42">
        <f t="shared" si="46"/>
        <v>0.39389999999999997</v>
      </c>
      <c r="Y227" s="3">
        <f t="shared" si="47"/>
        <v>82</v>
      </c>
      <c r="Z227" s="3">
        <f t="shared" si="51"/>
        <v>7883</v>
      </c>
      <c r="AA227" s="3">
        <f t="shared" si="48"/>
        <v>1232.2489122187819</v>
      </c>
      <c r="AB227" s="3">
        <f t="shared" si="49"/>
        <v>0.99911573903365103</v>
      </c>
      <c r="AC227" s="3" t="str">
        <f t="shared" si="50"/>
        <v>Normal</v>
      </c>
    </row>
    <row r="228" spans="1:29" x14ac:dyDescent="0.2">
      <c r="A228" s="4">
        <v>846</v>
      </c>
      <c r="B228" s="5">
        <v>40726</v>
      </c>
      <c r="C228" s="4">
        <v>1</v>
      </c>
      <c r="D228" s="4">
        <v>0</v>
      </c>
      <c r="E228" s="4">
        <v>2</v>
      </c>
      <c r="F228" s="4">
        <v>16</v>
      </c>
      <c r="G228" s="4" t="b">
        <v>0</v>
      </c>
      <c r="H228" s="4">
        <v>1</v>
      </c>
      <c r="I228" s="4">
        <v>2</v>
      </c>
      <c r="J228" s="4">
        <v>0.36</v>
      </c>
      <c r="K228" s="4">
        <v>0.34849999999999998</v>
      </c>
      <c r="L228" s="4">
        <v>0.56999999999999995</v>
      </c>
      <c r="M228" s="4">
        <v>0.1343</v>
      </c>
      <c r="N228" s="4">
        <v>16</v>
      </c>
      <c r="O228" s="4">
        <v>98</v>
      </c>
      <c r="P228" s="4">
        <v>114</v>
      </c>
      <c r="Q228" s="6" t="str">
        <f t="shared" si="39"/>
        <v>Weekday</v>
      </c>
      <c r="R228" s="42">
        <f t="shared" si="40"/>
        <v>35522</v>
      </c>
      <c r="S228" s="42">
        <f t="shared" si="41"/>
        <v>124.8388746803069</v>
      </c>
      <c r="T228" s="42">
        <f t="shared" si="42"/>
        <v>165</v>
      </c>
      <c r="U228" s="42" t="str">
        <f t="shared" si="43"/>
        <v>Wee</v>
      </c>
      <c r="V228" s="42" t="str">
        <f t="shared" si="44"/>
        <v>kday</v>
      </c>
      <c r="W228" s="42">
        <f t="shared" si="45"/>
        <v>7</v>
      </c>
      <c r="X228" s="42">
        <f t="shared" si="46"/>
        <v>0.34849999999999998</v>
      </c>
      <c r="Y228" s="3">
        <f t="shared" si="47"/>
        <v>82</v>
      </c>
      <c r="Z228" s="3">
        <f t="shared" si="51"/>
        <v>7883</v>
      </c>
      <c r="AA228" s="3">
        <f t="shared" si="48"/>
        <v>1232.2489122187819</v>
      </c>
      <c r="AB228" s="3">
        <f t="shared" si="49"/>
        <v>0.99911573903365103</v>
      </c>
      <c r="AC228" s="3" t="str">
        <f t="shared" si="50"/>
        <v>Normal</v>
      </c>
    </row>
    <row r="229" spans="1:29" x14ac:dyDescent="0.2">
      <c r="A229" s="4">
        <v>847</v>
      </c>
      <c r="B229" s="5">
        <v>40726</v>
      </c>
      <c r="C229" s="4">
        <v>1</v>
      </c>
      <c r="D229" s="4">
        <v>0</v>
      </c>
      <c r="E229" s="4">
        <v>2</v>
      </c>
      <c r="F229" s="4">
        <v>17</v>
      </c>
      <c r="G229" s="4" t="b">
        <v>0</v>
      </c>
      <c r="H229" s="4">
        <v>1</v>
      </c>
      <c r="I229" s="4">
        <v>2</v>
      </c>
      <c r="J229" s="4">
        <v>0.32</v>
      </c>
      <c r="K229" s="4">
        <v>0.31819999999999998</v>
      </c>
      <c r="L229" s="4">
        <v>0.7</v>
      </c>
      <c r="M229" s="4">
        <v>0.16420000000000001</v>
      </c>
      <c r="N229" s="4">
        <v>9</v>
      </c>
      <c r="O229" s="4">
        <v>207</v>
      </c>
      <c r="P229" s="4">
        <v>216</v>
      </c>
      <c r="Q229" s="6" t="str">
        <f t="shared" si="39"/>
        <v>Weekday</v>
      </c>
      <c r="R229" s="42">
        <f t="shared" si="40"/>
        <v>35408</v>
      </c>
      <c r="S229" s="42">
        <f t="shared" si="41"/>
        <v>124.8388746803069</v>
      </c>
      <c r="T229" s="42">
        <f t="shared" si="42"/>
        <v>164</v>
      </c>
      <c r="U229" s="42" t="str">
        <f t="shared" si="43"/>
        <v>Wee</v>
      </c>
      <c r="V229" s="42" t="str">
        <f t="shared" si="44"/>
        <v>kday</v>
      </c>
      <c r="W229" s="42">
        <f t="shared" si="45"/>
        <v>7</v>
      </c>
      <c r="X229" s="42">
        <f t="shared" si="46"/>
        <v>0.31819999999999998</v>
      </c>
      <c r="Y229" s="3">
        <f t="shared" si="47"/>
        <v>82</v>
      </c>
      <c r="Z229" s="3">
        <f t="shared" si="51"/>
        <v>7883</v>
      </c>
      <c r="AA229" s="3">
        <f t="shared" si="48"/>
        <v>1232.2489122187819</v>
      </c>
      <c r="AB229" s="3">
        <f t="shared" si="49"/>
        <v>0.99911573903365103</v>
      </c>
      <c r="AC229" s="3" t="str">
        <f t="shared" si="50"/>
        <v>Normal</v>
      </c>
    </row>
    <row r="230" spans="1:29" x14ac:dyDescent="0.2">
      <c r="A230" s="4">
        <v>848</v>
      </c>
      <c r="B230" s="5">
        <v>40726</v>
      </c>
      <c r="C230" s="4">
        <v>1</v>
      </c>
      <c r="D230" s="4">
        <v>0</v>
      </c>
      <c r="E230" s="4">
        <v>2</v>
      </c>
      <c r="F230" s="4">
        <v>18</v>
      </c>
      <c r="G230" s="4" t="b">
        <v>0</v>
      </c>
      <c r="H230" s="4">
        <v>1</v>
      </c>
      <c r="I230" s="4">
        <v>2</v>
      </c>
      <c r="J230" s="4">
        <v>0.34</v>
      </c>
      <c r="K230" s="4">
        <v>0.33329999999999999</v>
      </c>
      <c r="L230" s="4">
        <v>0.66</v>
      </c>
      <c r="M230" s="4">
        <v>0.1343</v>
      </c>
      <c r="N230" s="4">
        <v>5</v>
      </c>
      <c r="O230" s="4">
        <v>170</v>
      </c>
      <c r="P230" s="4">
        <v>175</v>
      </c>
      <c r="Q230" s="6" t="str">
        <f t="shared" si="39"/>
        <v>Weekday</v>
      </c>
      <c r="R230" s="42">
        <f t="shared" si="40"/>
        <v>35192</v>
      </c>
      <c r="S230" s="42">
        <f t="shared" si="41"/>
        <v>124.8388746803069</v>
      </c>
      <c r="T230" s="42">
        <f t="shared" si="42"/>
        <v>163</v>
      </c>
      <c r="U230" s="42" t="str">
        <f t="shared" si="43"/>
        <v>Wee</v>
      </c>
      <c r="V230" s="42" t="str">
        <f t="shared" si="44"/>
        <v>kday</v>
      </c>
      <c r="W230" s="42">
        <f t="shared" si="45"/>
        <v>7</v>
      </c>
      <c r="X230" s="42">
        <f t="shared" si="46"/>
        <v>0.33329999999999999</v>
      </c>
      <c r="Y230" s="3">
        <f t="shared" si="47"/>
        <v>82</v>
      </c>
      <c r="Z230" s="3">
        <f t="shared" si="51"/>
        <v>7883</v>
      </c>
      <c r="AA230" s="3">
        <f t="shared" si="48"/>
        <v>1232.2489122187819</v>
      </c>
      <c r="AB230" s="3">
        <f t="shared" si="49"/>
        <v>0.99911573903365103</v>
      </c>
      <c r="AC230" s="3" t="str">
        <f t="shared" si="50"/>
        <v>Normal</v>
      </c>
    </row>
    <row r="231" spans="1:29" x14ac:dyDescent="0.2">
      <c r="A231" s="4">
        <v>849</v>
      </c>
      <c r="B231" s="5">
        <v>40726</v>
      </c>
      <c r="C231" s="4">
        <v>1</v>
      </c>
      <c r="D231" s="4">
        <v>0</v>
      </c>
      <c r="E231" s="4">
        <v>2</v>
      </c>
      <c r="F231" s="4">
        <v>19</v>
      </c>
      <c r="G231" s="4" t="b">
        <v>0</v>
      </c>
      <c r="H231" s="4">
        <v>1</v>
      </c>
      <c r="I231" s="4">
        <v>2</v>
      </c>
      <c r="J231" s="4">
        <v>0.32</v>
      </c>
      <c r="K231" s="4">
        <v>0.34849999999999998</v>
      </c>
      <c r="L231" s="4">
        <v>0.7</v>
      </c>
      <c r="M231" s="4">
        <v>0</v>
      </c>
      <c r="N231" s="4">
        <v>5</v>
      </c>
      <c r="O231" s="4">
        <v>123</v>
      </c>
      <c r="P231" s="4">
        <v>128</v>
      </c>
      <c r="Q231" s="6" t="str">
        <f t="shared" si="39"/>
        <v>Weekday</v>
      </c>
      <c r="R231" s="42">
        <f t="shared" si="40"/>
        <v>35017</v>
      </c>
      <c r="S231" s="42">
        <f t="shared" si="41"/>
        <v>124.8388746803069</v>
      </c>
      <c r="T231" s="42">
        <f t="shared" si="42"/>
        <v>162</v>
      </c>
      <c r="U231" s="42" t="str">
        <f t="shared" si="43"/>
        <v>Wee</v>
      </c>
      <c r="V231" s="42" t="str">
        <f t="shared" si="44"/>
        <v>kday</v>
      </c>
      <c r="W231" s="42">
        <f t="shared" si="45"/>
        <v>7</v>
      </c>
      <c r="X231" s="42">
        <f t="shared" si="46"/>
        <v>0.34849999999999998</v>
      </c>
      <c r="Y231" s="3">
        <f t="shared" si="47"/>
        <v>82</v>
      </c>
      <c r="Z231" s="3">
        <f t="shared" si="51"/>
        <v>7883</v>
      </c>
      <c r="AA231" s="3">
        <f t="shared" si="48"/>
        <v>1232.2489122187819</v>
      </c>
      <c r="AB231" s="3">
        <f t="shared" si="49"/>
        <v>0.99911573903365103</v>
      </c>
      <c r="AC231" s="3" t="str">
        <f t="shared" si="50"/>
        <v>Normal</v>
      </c>
    </row>
    <row r="232" spans="1:29" x14ac:dyDescent="0.2">
      <c r="A232" s="4">
        <v>850</v>
      </c>
      <c r="B232" s="5">
        <v>40726</v>
      </c>
      <c r="C232" s="4">
        <v>1</v>
      </c>
      <c r="D232" s="4">
        <v>0</v>
      </c>
      <c r="E232" s="4">
        <v>2</v>
      </c>
      <c r="F232" s="4">
        <v>20</v>
      </c>
      <c r="G232" s="4" t="b">
        <v>0</v>
      </c>
      <c r="H232" s="4">
        <v>1</v>
      </c>
      <c r="I232" s="4">
        <v>2</v>
      </c>
      <c r="J232" s="4">
        <v>0.32</v>
      </c>
      <c r="K232" s="4">
        <v>0.33329999999999999</v>
      </c>
      <c r="L232" s="4">
        <v>0.7</v>
      </c>
      <c r="M232" s="4">
        <v>0.1045</v>
      </c>
      <c r="N232" s="4">
        <v>6</v>
      </c>
      <c r="O232" s="4">
        <v>82</v>
      </c>
      <c r="P232" s="4">
        <v>88</v>
      </c>
      <c r="Q232" s="6" t="str">
        <f t="shared" si="39"/>
        <v>Weekday</v>
      </c>
      <c r="R232" s="42">
        <f t="shared" si="40"/>
        <v>34889</v>
      </c>
      <c r="S232" s="42">
        <f t="shared" si="41"/>
        <v>124.8388746803069</v>
      </c>
      <c r="T232" s="42">
        <f t="shared" si="42"/>
        <v>161</v>
      </c>
      <c r="U232" s="42" t="str">
        <f t="shared" si="43"/>
        <v>Wee</v>
      </c>
      <c r="V232" s="42" t="str">
        <f t="shared" si="44"/>
        <v>kday</v>
      </c>
      <c r="W232" s="42">
        <f t="shared" si="45"/>
        <v>7</v>
      </c>
      <c r="X232" s="42">
        <f t="shared" si="46"/>
        <v>0.33329999999999999</v>
      </c>
      <c r="Y232" s="3">
        <f t="shared" si="47"/>
        <v>82</v>
      </c>
      <c r="Z232" s="3">
        <f t="shared" si="51"/>
        <v>7883</v>
      </c>
      <c r="AA232" s="3">
        <f t="shared" si="48"/>
        <v>1232.2489122187819</v>
      </c>
      <c r="AB232" s="3">
        <f t="shared" si="49"/>
        <v>0.99911573903365103</v>
      </c>
      <c r="AC232" s="3" t="str">
        <f t="shared" si="50"/>
        <v>Normal</v>
      </c>
    </row>
    <row r="233" spans="1:29" x14ac:dyDescent="0.2">
      <c r="A233" s="4">
        <v>851</v>
      </c>
      <c r="B233" s="5">
        <v>40726</v>
      </c>
      <c r="C233" s="4">
        <v>1</v>
      </c>
      <c r="D233" s="4">
        <v>0</v>
      </c>
      <c r="E233" s="4">
        <v>2</v>
      </c>
      <c r="F233" s="4">
        <v>21</v>
      </c>
      <c r="G233" s="4" t="b">
        <v>0</v>
      </c>
      <c r="H233" s="4">
        <v>1</v>
      </c>
      <c r="I233" s="4">
        <v>1</v>
      </c>
      <c r="J233" s="4">
        <v>0.32</v>
      </c>
      <c r="K233" s="4">
        <v>0.34849999999999998</v>
      </c>
      <c r="L233" s="4">
        <v>0.7</v>
      </c>
      <c r="M233" s="4">
        <v>0</v>
      </c>
      <c r="N233" s="4">
        <v>3</v>
      </c>
      <c r="O233" s="4">
        <v>75</v>
      </c>
      <c r="P233" s="4">
        <v>78</v>
      </c>
      <c r="Q233" s="6" t="str">
        <f t="shared" si="39"/>
        <v>Weekday</v>
      </c>
      <c r="R233" s="42">
        <f t="shared" si="40"/>
        <v>34801</v>
      </c>
      <c r="S233" s="42">
        <f t="shared" si="41"/>
        <v>124.8388746803069</v>
      </c>
      <c r="T233" s="42">
        <f t="shared" si="42"/>
        <v>160</v>
      </c>
      <c r="U233" s="42" t="str">
        <f t="shared" si="43"/>
        <v>Wee</v>
      </c>
      <c r="V233" s="42" t="str">
        <f t="shared" si="44"/>
        <v>kday</v>
      </c>
      <c r="W233" s="42">
        <f t="shared" si="45"/>
        <v>7</v>
      </c>
      <c r="X233" s="42">
        <f t="shared" si="46"/>
        <v>0.34849999999999998</v>
      </c>
      <c r="Y233" s="3">
        <f t="shared" si="47"/>
        <v>82</v>
      </c>
      <c r="Z233" s="3">
        <f t="shared" si="51"/>
        <v>7883</v>
      </c>
      <c r="AA233" s="3">
        <f t="shared" si="48"/>
        <v>1232.2489122187819</v>
      </c>
      <c r="AB233" s="3">
        <f t="shared" si="49"/>
        <v>0.99911573903365103</v>
      </c>
      <c r="AC233" s="3" t="str">
        <f t="shared" si="50"/>
        <v>Normal</v>
      </c>
    </row>
    <row r="234" spans="1:29" x14ac:dyDescent="0.2">
      <c r="A234" s="4">
        <v>852</v>
      </c>
      <c r="B234" s="5">
        <v>40726</v>
      </c>
      <c r="C234" s="4">
        <v>1</v>
      </c>
      <c r="D234" s="4">
        <v>0</v>
      </c>
      <c r="E234" s="4">
        <v>2</v>
      </c>
      <c r="F234" s="4">
        <v>22</v>
      </c>
      <c r="G234" s="4" t="b">
        <v>0</v>
      </c>
      <c r="H234" s="4">
        <v>1</v>
      </c>
      <c r="I234" s="4">
        <v>1</v>
      </c>
      <c r="J234" s="4">
        <v>0.28000000000000003</v>
      </c>
      <c r="K234" s="4">
        <v>0.30299999999999999</v>
      </c>
      <c r="L234" s="4">
        <v>0.81</v>
      </c>
      <c r="M234" s="4">
        <v>8.9599999999999999E-2</v>
      </c>
      <c r="N234" s="4">
        <v>3</v>
      </c>
      <c r="O234" s="4">
        <v>34</v>
      </c>
      <c r="P234" s="4">
        <v>37</v>
      </c>
      <c r="Q234" s="6" t="str">
        <f t="shared" si="39"/>
        <v>Weekday</v>
      </c>
      <c r="R234" s="42">
        <f t="shared" si="40"/>
        <v>34723</v>
      </c>
      <c r="S234" s="42">
        <f t="shared" si="41"/>
        <v>124.8388746803069</v>
      </c>
      <c r="T234" s="42">
        <f t="shared" si="42"/>
        <v>159</v>
      </c>
      <c r="U234" s="42" t="str">
        <f t="shared" si="43"/>
        <v>Wee</v>
      </c>
      <c r="V234" s="42" t="str">
        <f t="shared" si="44"/>
        <v>kday</v>
      </c>
      <c r="W234" s="42">
        <f t="shared" si="45"/>
        <v>7</v>
      </c>
      <c r="X234" s="42">
        <f t="shared" si="46"/>
        <v>0.30299999999999999</v>
      </c>
      <c r="Y234" s="3">
        <f t="shared" si="47"/>
        <v>82</v>
      </c>
      <c r="Z234" s="3">
        <f t="shared" si="51"/>
        <v>7883</v>
      </c>
      <c r="AA234" s="3">
        <f t="shared" si="48"/>
        <v>1232.2489122187819</v>
      </c>
      <c r="AB234" s="3">
        <f t="shared" si="49"/>
        <v>0.99911573903365103</v>
      </c>
      <c r="AC234" s="3" t="str">
        <f t="shared" si="50"/>
        <v>Normal</v>
      </c>
    </row>
    <row r="235" spans="1:29" x14ac:dyDescent="0.2">
      <c r="A235" s="4">
        <v>853</v>
      </c>
      <c r="B235" s="5">
        <v>40726</v>
      </c>
      <c r="C235" s="4">
        <v>1</v>
      </c>
      <c r="D235" s="4">
        <v>0</v>
      </c>
      <c r="E235" s="4">
        <v>2</v>
      </c>
      <c r="F235" s="4">
        <v>23</v>
      </c>
      <c r="G235" s="4" t="b">
        <v>0</v>
      </c>
      <c r="H235" s="4">
        <v>1</v>
      </c>
      <c r="I235" s="4">
        <v>2</v>
      </c>
      <c r="J235" s="4">
        <v>0.3</v>
      </c>
      <c r="K235" s="4">
        <v>0.33329999999999999</v>
      </c>
      <c r="L235" s="4">
        <v>0.81</v>
      </c>
      <c r="M235" s="4">
        <v>0</v>
      </c>
      <c r="N235" s="4">
        <v>6</v>
      </c>
      <c r="O235" s="4">
        <v>19</v>
      </c>
      <c r="P235" s="4">
        <v>25</v>
      </c>
      <c r="Q235" s="6" t="str">
        <f t="shared" si="39"/>
        <v>Weekday</v>
      </c>
      <c r="R235" s="42">
        <f t="shared" si="40"/>
        <v>34686</v>
      </c>
      <c r="S235" s="42">
        <f t="shared" si="41"/>
        <v>124.8388746803069</v>
      </c>
      <c r="T235" s="42">
        <f t="shared" si="42"/>
        <v>158</v>
      </c>
      <c r="U235" s="42" t="str">
        <f t="shared" si="43"/>
        <v>Wee</v>
      </c>
      <c r="V235" s="42" t="str">
        <f t="shared" si="44"/>
        <v>kday</v>
      </c>
      <c r="W235" s="42">
        <f t="shared" si="45"/>
        <v>7</v>
      </c>
      <c r="X235" s="42">
        <f t="shared" si="46"/>
        <v>0.33329999999999999</v>
      </c>
      <c r="Y235" s="3">
        <f t="shared" si="47"/>
        <v>82</v>
      </c>
      <c r="Z235" s="3">
        <f t="shared" si="51"/>
        <v>7883</v>
      </c>
      <c r="AA235" s="3">
        <f t="shared" si="48"/>
        <v>1232.2489122187819</v>
      </c>
      <c r="AB235" s="3">
        <f t="shared" si="49"/>
        <v>0.99911573903365103</v>
      </c>
      <c r="AC235" s="3" t="str">
        <f t="shared" si="50"/>
        <v>Normal</v>
      </c>
    </row>
    <row r="236" spans="1:29" x14ac:dyDescent="0.2">
      <c r="A236" s="4">
        <v>854</v>
      </c>
      <c r="B236" s="5">
        <v>40757</v>
      </c>
      <c r="C236" s="4">
        <v>1</v>
      </c>
      <c r="D236" s="4">
        <v>0</v>
      </c>
      <c r="E236" s="4">
        <v>2</v>
      </c>
      <c r="F236" s="4">
        <v>0</v>
      </c>
      <c r="G236" s="4" t="b">
        <v>0</v>
      </c>
      <c r="H236" s="4">
        <v>2</v>
      </c>
      <c r="I236" s="4">
        <v>2</v>
      </c>
      <c r="J236" s="4">
        <v>0.28000000000000003</v>
      </c>
      <c r="K236" s="4">
        <v>0.31819999999999998</v>
      </c>
      <c r="L236" s="4">
        <v>0.87</v>
      </c>
      <c r="M236" s="4">
        <v>0</v>
      </c>
      <c r="N236" s="4">
        <v>4</v>
      </c>
      <c r="O236" s="4">
        <v>6</v>
      </c>
      <c r="P236" s="4">
        <v>10</v>
      </c>
      <c r="Q236" s="6" t="str">
        <f t="shared" si="39"/>
        <v>Weekday</v>
      </c>
      <c r="R236" s="42">
        <f t="shared" si="40"/>
        <v>34661</v>
      </c>
      <c r="S236" s="42">
        <f t="shared" si="41"/>
        <v>124.8388746803069</v>
      </c>
      <c r="T236" s="42">
        <f t="shared" si="42"/>
        <v>157</v>
      </c>
      <c r="U236" s="42" t="str">
        <f t="shared" si="43"/>
        <v>Wee</v>
      </c>
      <c r="V236" s="42" t="str">
        <f t="shared" si="44"/>
        <v>kday</v>
      </c>
      <c r="W236" s="42">
        <f t="shared" si="45"/>
        <v>7</v>
      </c>
      <c r="X236" s="42">
        <f t="shared" si="46"/>
        <v>0.31819999999999998</v>
      </c>
      <c r="Y236" s="3">
        <f t="shared" si="47"/>
        <v>82</v>
      </c>
      <c r="Z236" s="3">
        <f t="shared" si="51"/>
        <v>7883</v>
      </c>
      <c r="AA236" s="3">
        <f t="shared" si="48"/>
        <v>1232.2489122187819</v>
      </c>
      <c r="AB236" s="3">
        <f t="shared" si="49"/>
        <v>0.99911573903365103</v>
      </c>
      <c r="AC236" s="3" t="str">
        <f t="shared" si="50"/>
        <v>Normal</v>
      </c>
    </row>
    <row r="237" spans="1:29" x14ac:dyDescent="0.2">
      <c r="A237" s="4">
        <v>855</v>
      </c>
      <c r="B237" s="5">
        <v>40757</v>
      </c>
      <c r="C237" s="4">
        <v>1</v>
      </c>
      <c r="D237" s="4">
        <v>0</v>
      </c>
      <c r="E237" s="4">
        <v>2</v>
      </c>
      <c r="F237" s="4">
        <v>1</v>
      </c>
      <c r="G237" s="4" t="b">
        <v>0</v>
      </c>
      <c r="H237" s="4">
        <v>2</v>
      </c>
      <c r="I237" s="4">
        <v>2</v>
      </c>
      <c r="J237" s="4">
        <v>0.28000000000000003</v>
      </c>
      <c r="K237" s="4">
        <v>0.31819999999999998</v>
      </c>
      <c r="L237" s="4">
        <v>0.87</v>
      </c>
      <c r="M237" s="4">
        <v>0</v>
      </c>
      <c r="N237" s="4">
        <v>0</v>
      </c>
      <c r="O237" s="4">
        <v>4</v>
      </c>
      <c r="P237" s="4">
        <v>4</v>
      </c>
      <c r="Q237" s="6" t="str">
        <f t="shared" si="39"/>
        <v>Weekday</v>
      </c>
      <c r="R237" s="42">
        <f t="shared" si="40"/>
        <v>34651</v>
      </c>
      <c r="S237" s="42">
        <f t="shared" si="41"/>
        <v>124.8388746803069</v>
      </c>
      <c r="T237" s="42">
        <f t="shared" si="42"/>
        <v>156</v>
      </c>
      <c r="U237" s="42" t="str">
        <f t="shared" si="43"/>
        <v>Wee</v>
      </c>
      <c r="V237" s="42" t="str">
        <f t="shared" si="44"/>
        <v>kday</v>
      </c>
      <c r="W237" s="42">
        <f t="shared" si="45"/>
        <v>7</v>
      </c>
      <c r="X237" s="42">
        <f t="shared" si="46"/>
        <v>0.31819999999999998</v>
      </c>
      <c r="Y237" s="3">
        <f t="shared" si="47"/>
        <v>82</v>
      </c>
      <c r="Z237" s="3">
        <f t="shared" si="51"/>
        <v>7883</v>
      </c>
      <c r="AA237" s="3">
        <f t="shared" si="48"/>
        <v>1232.2489122187819</v>
      </c>
      <c r="AB237" s="3">
        <f t="shared" si="49"/>
        <v>0.99911573903365103</v>
      </c>
      <c r="AC237" s="3" t="str">
        <f t="shared" si="50"/>
        <v>Normal</v>
      </c>
    </row>
    <row r="238" spans="1:29" x14ac:dyDescent="0.2">
      <c r="A238" s="4">
        <v>856</v>
      </c>
      <c r="B238" s="5">
        <v>40757</v>
      </c>
      <c r="C238" s="4">
        <v>1</v>
      </c>
      <c r="D238" s="4">
        <v>0</v>
      </c>
      <c r="E238" s="4">
        <v>2</v>
      </c>
      <c r="F238" s="4">
        <v>2</v>
      </c>
      <c r="G238" s="4" t="b">
        <v>0</v>
      </c>
      <c r="H238" s="4">
        <v>2</v>
      </c>
      <c r="I238" s="4">
        <v>2</v>
      </c>
      <c r="J238" s="4">
        <v>0.26</v>
      </c>
      <c r="K238" s="4">
        <v>0.2727</v>
      </c>
      <c r="L238" s="4">
        <v>0.93</v>
      </c>
      <c r="M238" s="4">
        <v>0.1045</v>
      </c>
      <c r="N238" s="4">
        <v>1</v>
      </c>
      <c r="O238" s="4">
        <v>1</v>
      </c>
      <c r="P238" s="4">
        <v>2</v>
      </c>
      <c r="Q238" s="6" t="str">
        <f t="shared" si="39"/>
        <v>Weekday</v>
      </c>
      <c r="R238" s="42">
        <f t="shared" si="40"/>
        <v>34647</v>
      </c>
      <c r="S238" s="42">
        <f t="shared" si="41"/>
        <v>124.8388746803069</v>
      </c>
      <c r="T238" s="42">
        <f t="shared" si="42"/>
        <v>155</v>
      </c>
      <c r="U238" s="42" t="str">
        <f t="shared" si="43"/>
        <v>Wee</v>
      </c>
      <c r="V238" s="42" t="str">
        <f t="shared" si="44"/>
        <v>kday</v>
      </c>
      <c r="W238" s="42">
        <f t="shared" si="45"/>
        <v>7</v>
      </c>
      <c r="X238" s="42">
        <f t="shared" si="46"/>
        <v>0.2727</v>
      </c>
      <c r="Y238" s="3">
        <f t="shared" si="47"/>
        <v>82</v>
      </c>
      <c r="Z238" s="3">
        <f t="shared" si="51"/>
        <v>7883</v>
      </c>
      <c r="AA238" s="3">
        <f t="shared" si="48"/>
        <v>1232.2489122187819</v>
      </c>
      <c r="AB238" s="3">
        <f t="shared" si="49"/>
        <v>0.99911573903365103</v>
      </c>
      <c r="AC238" s="3" t="str">
        <f t="shared" si="50"/>
        <v>Normal</v>
      </c>
    </row>
    <row r="239" spans="1:29" x14ac:dyDescent="0.2">
      <c r="A239" s="4">
        <v>857</v>
      </c>
      <c r="B239" s="5">
        <v>40757</v>
      </c>
      <c r="C239" s="4">
        <v>1</v>
      </c>
      <c r="D239" s="4">
        <v>0</v>
      </c>
      <c r="E239" s="4">
        <v>2</v>
      </c>
      <c r="F239" s="4">
        <v>3</v>
      </c>
      <c r="G239" s="4" t="b">
        <v>0</v>
      </c>
      <c r="H239" s="4">
        <v>2</v>
      </c>
      <c r="I239" s="4">
        <v>3</v>
      </c>
      <c r="J239" s="4">
        <v>0.28000000000000003</v>
      </c>
      <c r="K239" s="4">
        <v>0.2727</v>
      </c>
      <c r="L239" s="4">
        <v>0.93</v>
      </c>
      <c r="M239" s="4">
        <v>0.16420000000000001</v>
      </c>
      <c r="N239" s="4">
        <v>0</v>
      </c>
      <c r="O239" s="4">
        <v>1</v>
      </c>
      <c r="P239" s="4">
        <v>1</v>
      </c>
      <c r="Q239" s="6" t="str">
        <f t="shared" si="39"/>
        <v>Weekday</v>
      </c>
      <c r="R239" s="42">
        <f t="shared" si="40"/>
        <v>34645</v>
      </c>
      <c r="S239" s="42">
        <f t="shared" si="41"/>
        <v>124.8388746803069</v>
      </c>
      <c r="T239" s="42">
        <f t="shared" si="42"/>
        <v>154</v>
      </c>
      <c r="U239" s="42" t="str">
        <f t="shared" si="43"/>
        <v>Wee</v>
      </c>
      <c r="V239" s="42" t="str">
        <f t="shared" si="44"/>
        <v>kday</v>
      </c>
      <c r="W239" s="42">
        <f t="shared" si="45"/>
        <v>7</v>
      </c>
      <c r="X239" s="42">
        <f t="shared" si="46"/>
        <v>0.2727</v>
      </c>
      <c r="Y239" s="3">
        <f t="shared" si="47"/>
        <v>82</v>
      </c>
      <c r="Z239" s="3">
        <f t="shared" si="51"/>
        <v>7883</v>
      </c>
      <c r="AA239" s="3">
        <f t="shared" si="48"/>
        <v>1232.2489122187819</v>
      </c>
      <c r="AB239" s="3">
        <f t="shared" si="49"/>
        <v>0.99911573903365103</v>
      </c>
      <c r="AC239" s="3" t="str">
        <f t="shared" si="50"/>
        <v>Normal</v>
      </c>
    </row>
    <row r="240" spans="1:29" x14ac:dyDescent="0.2">
      <c r="A240" s="4">
        <v>858</v>
      </c>
      <c r="B240" s="5">
        <v>40757</v>
      </c>
      <c r="C240" s="4">
        <v>1</v>
      </c>
      <c r="D240" s="4">
        <v>0</v>
      </c>
      <c r="E240" s="4">
        <v>2</v>
      </c>
      <c r="F240" s="4">
        <v>4</v>
      </c>
      <c r="G240" s="4" t="b">
        <v>0</v>
      </c>
      <c r="H240" s="4">
        <v>2</v>
      </c>
      <c r="I240" s="4">
        <v>1</v>
      </c>
      <c r="J240" s="4">
        <v>0.26</v>
      </c>
      <c r="K240" s="4">
        <v>0.2576</v>
      </c>
      <c r="L240" s="4">
        <v>0.93</v>
      </c>
      <c r="M240" s="4">
        <v>0.16420000000000001</v>
      </c>
      <c r="N240" s="4">
        <v>0</v>
      </c>
      <c r="O240" s="4">
        <v>3</v>
      </c>
      <c r="P240" s="4">
        <v>3</v>
      </c>
      <c r="Q240" s="6" t="str">
        <f t="shared" si="39"/>
        <v>Weekday</v>
      </c>
      <c r="R240" s="42">
        <f t="shared" si="40"/>
        <v>34644</v>
      </c>
      <c r="S240" s="42">
        <f t="shared" si="41"/>
        <v>124.8388746803069</v>
      </c>
      <c r="T240" s="42">
        <f t="shared" si="42"/>
        <v>153</v>
      </c>
      <c r="U240" s="42" t="str">
        <f t="shared" si="43"/>
        <v>Wee</v>
      </c>
      <c r="V240" s="42" t="str">
        <f t="shared" si="44"/>
        <v>kday</v>
      </c>
      <c r="W240" s="42">
        <f t="shared" si="45"/>
        <v>7</v>
      </c>
      <c r="X240" s="42">
        <f t="shared" si="46"/>
        <v>0.2576</v>
      </c>
      <c r="Y240" s="3">
        <f t="shared" si="47"/>
        <v>82</v>
      </c>
      <c r="Z240" s="3">
        <f t="shared" si="51"/>
        <v>7883</v>
      </c>
      <c r="AA240" s="3">
        <f t="shared" si="48"/>
        <v>1232.2489122187819</v>
      </c>
      <c r="AB240" s="3">
        <f t="shared" si="49"/>
        <v>0.99911573903365103</v>
      </c>
      <c r="AC240" s="3" t="str">
        <f t="shared" si="50"/>
        <v>Normal</v>
      </c>
    </row>
    <row r="241" spans="1:29" x14ac:dyDescent="0.2">
      <c r="A241" s="4">
        <v>859</v>
      </c>
      <c r="B241" s="5">
        <v>40757</v>
      </c>
      <c r="C241" s="4">
        <v>1</v>
      </c>
      <c r="D241" s="4">
        <v>0</v>
      </c>
      <c r="E241" s="4">
        <v>2</v>
      </c>
      <c r="F241" s="4">
        <v>5</v>
      </c>
      <c r="G241" s="4" t="b">
        <v>0</v>
      </c>
      <c r="H241" s="4">
        <v>2</v>
      </c>
      <c r="I241" s="4">
        <v>1</v>
      </c>
      <c r="J241" s="4">
        <v>0.26</v>
      </c>
      <c r="K241" s="4">
        <v>0.2273</v>
      </c>
      <c r="L241" s="4">
        <v>0.81</v>
      </c>
      <c r="M241" s="4">
        <v>0.32840000000000003</v>
      </c>
      <c r="N241" s="4">
        <v>0</v>
      </c>
      <c r="O241" s="4">
        <v>2</v>
      </c>
      <c r="P241" s="4">
        <v>2</v>
      </c>
      <c r="Q241" s="6" t="str">
        <f t="shared" si="39"/>
        <v>Weekday</v>
      </c>
      <c r="R241" s="42">
        <f t="shared" si="40"/>
        <v>34641</v>
      </c>
      <c r="S241" s="42">
        <f t="shared" si="41"/>
        <v>124.8388746803069</v>
      </c>
      <c r="T241" s="42">
        <f t="shared" si="42"/>
        <v>152</v>
      </c>
      <c r="U241" s="42" t="str">
        <f t="shared" si="43"/>
        <v>Wee</v>
      </c>
      <c r="V241" s="42" t="str">
        <f t="shared" si="44"/>
        <v>kday</v>
      </c>
      <c r="W241" s="42">
        <f t="shared" si="45"/>
        <v>7</v>
      </c>
      <c r="X241" s="42">
        <f t="shared" si="46"/>
        <v>0.2273</v>
      </c>
      <c r="Y241" s="3">
        <f t="shared" si="47"/>
        <v>82</v>
      </c>
      <c r="Z241" s="3">
        <f t="shared" si="51"/>
        <v>7883</v>
      </c>
      <c r="AA241" s="3">
        <f t="shared" si="48"/>
        <v>1232.2489122187819</v>
      </c>
      <c r="AB241" s="3">
        <f t="shared" si="49"/>
        <v>0.99911573903365103</v>
      </c>
      <c r="AC241" s="3" t="str">
        <f t="shared" si="50"/>
        <v>Normal</v>
      </c>
    </row>
    <row r="242" spans="1:29" x14ac:dyDescent="0.2">
      <c r="A242" s="4">
        <v>860</v>
      </c>
      <c r="B242" s="5">
        <v>40757</v>
      </c>
      <c r="C242" s="4">
        <v>1</v>
      </c>
      <c r="D242" s="4">
        <v>0</v>
      </c>
      <c r="E242" s="4">
        <v>2</v>
      </c>
      <c r="F242" s="4">
        <v>6</v>
      </c>
      <c r="G242" s="4" t="b">
        <v>0</v>
      </c>
      <c r="H242" s="4">
        <v>2</v>
      </c>
      <c r="I242" s="4">
        <v>1</v>
      </c>
      <c r="J242" s="4">
        <v>0.26</v>
      </c>
      <c r="K242" s="4">
        <v>0.2273</v>
      </c>
      <c r="L242" s="4">
        <v>0.7</v>
      </c>
      <c r="M242" s="4">
        <v>0.32840000000000003</v>
      </c>
      <c r="N242" s="4">
        <v>0</v>
      </c>
      <c r="O242" s="4">
        <v>39</v>
      </c>
      <c r="P242" s="4">
        <v>39</v>
      </c>
      <c r="Q242" s="6" t="str">
        <f t="shared" si="39"/>
        <v>Weekday</v>
      </c>
      <c r="R242" s="42">
        <f t="shared" si="40"/>
        <v>34639</v>
      </c>
      <c r="S242" s="42">
        <f t="shared" si="41"/>
        <v>124.8388746803069</v>
      </c>
      <c r="T242" s="42">
        <f t="shared" si="42"/>
        <v>151</v>
      </c>
      <c r="U242" s="42" t="str">
        <f t="shared" si="43"/>
        <v>Wee</v>
      </c>
      <c r="V242" s="42" t="str">
        <f t="shared" si="44"/>
        <v>kday</v>
      </c>
      <c r="W242" s="42">
        <f t="shared" si="45"/>
        <v>7</v>
      </c>
      <c r="X242" s="42">
        <f t="shared" si="46"/>
        <v>0.2273</v>
      </c>
      <c r="Y242" s="3">
        <f t="shared" si="47"/>
        <v>82</v>
      </c>
      <c r="Z242" s="3">
        <f t="shared" si="51"/>
        <v>7883</v>
      </c>
      <c r="AA242" s="3">
        <f t="shared" si="48"/>
        <v>1232.2489122187819</v>
      </c>
      <c r="AB242" s="3">
        <f t="shared" si="49"/>
        <v>0.99911573903365103</v>
      </c>
      <c r="AC242" s="3" t="str">
        <f t="shared" si="50"/>
        <v>Normal</v>
      </c>
    </row>
    <row r="243" spans="1:29" x14ac:dyDescent="0.2">
      <c r="A243" s="4">
        <v>861</v>
      </c>
      <c r="B243" s="5">
        <v>40757</v>
      </c>
      <c r="C243" s="4">
        <v>1</v>
      </c>
      <c r="D243" s="4">
        <v>0</v>
      </c>
      <c r="E243" s="4">
        <v>2</v>
      </c>
      <c r="F243" s="4">
        <v>7</v>
      </c>
      <c r="G243" s="4" t="b">
        <v>0</v>
      </c>
      <c r="H243" s="4">
        <v>2</v>
      </c>
      <c r="I243" s="4">
        <v>1</v>
      </c>
      <c r="J243" s="4">
        <v>0.24</v>
      </c>
      <c r="K243" s="4">
        <v>0.19700000000000001</v>
      </c>
      <c r="L243" s="4">
        <v>0.65</v>
      </c>
      <c r="M243" s="4">
        <v>0.41789999999999999</v>
      </c>
      <c r="N243" s="4">
        <v>3</v>
      </c>
      <c r="O243" s="4">
        <v>97</v>
      </c>
      <c r="P243" s="4">
        <v>100</v>
      </c>
      <c r="Q243" s="6" t="str">
        <f t="shared" si="39"/>
        <v>Weekday</v>
      </c>
      <c r="R243" s="42">
        <f t="shared" si="40"/>
        <v>34600</v>
      </c>
      <c r="S243" s="42">
        <f t="shared" si="41"/>
        <v>124.8388746803069</v>
      </c>
      <c r="T243" s="42">
        <f t="shared" si="42"/>
        <v>150</v>
      </c>
      <c r="U243" s="42" t="str">
        <f t="shared" si="43"/>
        <v>Wee</v>
      </c>
      <c r="V243" s="42" t="str">
        <f t="shared" si="44"/>
        <v>kday</v>
      </c>
      <c r="W243" s="42">
        <f t="shared" si="45"/>
        <v>7</v>
      </c>
      <c r="X243" s="42">
        <f t="shared" si="46"/>
        <v>0.19700000000000001</v>
      </c>
      <c r="Y243" s="3">
        <f t="shared" si="47"/>
        <v>82</v>
      </c>
      <c r="Z243" s="3">
        <f t="shared" si="51"/>
        <v>7883</v>
      </c>
      <c r="AA243" s="3">
        <f t="shared" si="48"/>
        <v>1232.2489122187819</v>
      </c>
      <c r="AB243" s="3">
        <f t="shared" si="49"/>
        <v>0.99911573903365103</v>
      </c>
      <c r="AC243" s="3" t="str">
        <f t="shared" si="50"/>
        <v>Normal</v>
      </c>
    </row>
    <row r="244" spans="1:29" x14ac:dyDescent="0.2">
      <c r="A244" s="4">
        <v>862</v>
      </c>
      <c r="B244" s="5">
        <v>40757</v>
      </c>
      <c r="C244" s="4">
        <v>1</v>
      </c>
      <c r="D244" s="4">
        <v>0</v>
      </c>
      <c r="E244" s="4">
        <v>2</v>
      </c>
      <c r="F244" s="4">
        <v>8</v>
      </c>
      <c r="G244" s="4" t="b">
        <v>0</v>
      </c>
      <c r="H244" s="4">
        <v>2</v>
      </c>
      <c r="I244" s="4">
        <v>1</v>
      </c>
      <c r="J244" s="4">
        <v>0.24</v>
      </c>
      <c r="K244" s="4">
        <v>0.19700000000000001</v>
      </c>
      <c r="L244" s="4">
        <v>0.56000000000000005</v>
      </c>
      <c r="M244" s="4">
        <v>0.49249999999999999</v>
      </c>
      <c r="N244" s="4">
        <v>7</v>
      </c>
      <c r="O244" s="4">
        <v>236</v>
      </c>
      <c r="P244" s="4">
        <v>243</v>
      </c>
      <c r="Q244" s="6" t="str">
        <f t="shared" si="39"/>
        <v>Weekday</v>
      </c>
      <c r="R244" s="42">
        <f t="shared" si="40"/>
        <v>34500</v>
      </c>
      <c r="S244" s="42">
        <f t="shared" si="41"/>
        <v>124.8388746803069</v>
      </c>
      <c r="T244" s="42">
        <f t="shared" si="42"/>
        <v>149</v>
      </c>
      <c r="U244" s="42" t="str">
        <f t="shared" si="43"/>
        <v>Wee</v>
      </c>
      <c r="V244" s="42" t="str">
        <f t="shared" si="44"/>
        <v>kday</v>
      </c>
      <c r="W244" s="42">
        <f t="shared" si="45"/>
        <v>7</v>
      </c>
      <c r="X244" s="42">
        <f t="shared" si="46"/>
        <v>0.19700000000000001</v>
      </c>
      <c r="Y244" s="3">
        <f t="shared" si="47"/>
        <v>82</v>
      </c>
      <c r="Z244" s="3">
        <f t="shared" si="51"/>
        <v>7883</v>
      </c>
      <c r="AA244" s="3">
        <f t="shared" si="48"/>
        <v>1232.2489122187819</v>
      </c>
      <c r="AB244" s="3">
        <f t="shared" si="49"/>
        <v>0.99911573903365103</v>
      </c>
      <c r="AC244" s="3" t="str">
        <f t="shared" si="50"/>
        <v>Normal</v>
      </c>
    </row>
    <row r="245" spans="1:29" x14ac:dyDescent="0.2">
      <c r="A245" s="4">
        <v>863</v>
      </c>
      <c r="B245" s="5">
        <v>40757</v>
      </c>
      <c r="C245" s="4">
        <v>1</v>
      </c>
      <c r="D245" s="4">
        <v>0</v>
      </c>
      <c r="E245" s="4">
        <v>2</v>
      </c>
      <c r="F245" s="4">
        <v>9</v>
      </c>
      <c r="G245" s="4" t="b">
        <v>0</v>
      </c>
      <c r="H245" s="4">
        <v>2</v>
      </c>
      <c r="I245" s="4">
        <v>1</v>
      </c>
      <c r="J245" s="4">
        <v>0.24</v>
      </c>
      <c r="K245" s="4">
        <v>0.19700000000000001</v>
      </c>
      <c r="L245" s="4">
        <v>0.52</v>
      </c>
      <c r="M245" s="4">
        <v>0.49249999999999999</v>
      </c>
      <c r="N245" s="4">
        <v>7</v>
      </c>
      <c r="O245" s="4">
        <v>128</v>
      </c>
      <c r="P245" s="4">
        <v>135</v>
      </c>
      <c r="Q245" s="6" t="str">
        <f t="shared" si="39"/>
        <v>Weekday</v>
      </c>
      <c r="R245" s="42">
        <f t="shared" si="40"/>
        <v>34257</v>
      </c>
      <c r="S245" s="42">
        <f t="shared" si="41"/>
        <v>124.8388746803069</v>
      </c>
      <c r="T245" s="42">
        <f t="shared" si="42"/>
        <v>148</v>
      </c>
      <c r="U245" s="42" t="str">
        <f t="shared" si="43"/>
        <v>Wee</v>
      </c>
      <c r="V245" s="42" t="str">
        <f t="shared" si="44"/>
        <v>kday</v>
      </c>
      <c r="W245" s="42">
        <f t="shared" si="45"/>
        <v>7</v>
      </c>
      <c r="X245" s="42">
        <f t="shared" si="46"/>
        <v>0.19700000000000001</v>
      </c>
      <c r="Y245" s="3">
        <f t="shared" si="47"/>
        <v>82</v>
      </c>
      <c r="Z245" s="3">
        <f t="shared" si="51"/>
        <v>7883</v>
      </c>
      <c r="AA245" s="3">
        <f t="shared" si="48"/>
        <v>1232.2489122187819</v>
      </c>
      <c r="AB245" s="3">
        <f t="shared" si="49"/>
        <v>0.99911573903365103</v>
      </c>
      <c r="AC245" s="3" t="str">
        <f t="shared" si="50"/>
        <v>Normal</v>
      </c>
    </row>
    <row r="246" spans="1:29" x14ac:dyDescent="0.2">
      <c r="A246" s="4">
        <v>864</v>
      </c>
      <c r="B246" s="5">
        <v>40757</v>
      </c>
      <c r="C246" s="4">
        <v>1</v>
      </c>
      <c r="D246" s="4">
        <v>0</v>
      </c>
      <c r="E246" s="4">
        <v>2</v>
      </c>
      <c r="F246" s="4">
        <v>10</v>
      </c>
      <c r="G246" s="4" t="b">
        <v>0</v>
      </c>
      <c r="H246" s="4">
        <v>2</v>
      </c>
      <c r="I246" s="4">
        <v>1</v>
      </c>
      <c r="J246" s="4">
        <v>0.22</v>
      </c>
      <c r="K246" s="4">
        <v>0.18179999999999999</v>
      </c>
      <c r="L246" s="4">
        <v>0.47</v>
      </c>
      <c r="M246" s="4">
        <v>0.55220000000000002</v>
      </c>
      <c r="N246" s="4">
        <v>4</v>
      </c>
      <c r="O246" s="4">
        <v>44</v>
      </c>
      <c r="P246" s="4">
        <v>48</v>
      </c>
      <c r="Q246" s="6" t="str">
        <f t="shared" si="39"/>
        <v>Weekday</v>
      </c>
      <c r="R246" s="42">
        <f t="shared" si="40"/>
        <v>34122</v>
      </c>
      <c r="S246" s="42">
        <f t="shared" si="41"/>
        <v>124.8388746803069</v>
      </c>
      <c r="T246" s="42">
        <f t="shared" si="42"/>
        <v>147</v>
      </c>
      <c r="U246" s="42" t="str">
        <f t="shared" si="43"/>
        <v>Wee</v>
      </c>
      <c r="V246" s="42" t="str">
        <f t="shared" si="44"/>
        <v>kday</v>
      </c>
      <c r="W246" s="42">
        <f t="shared" si="45"/>
        <v>7</v>
      </c>
      <c r="X246" s="42">
        <f t="shared" si="46"/>
        <v>0.18179999999999999</v>
      </c>
      <c r="Y246" s="3">
        <f t="shared" si="47"/>
        <v>82</v>
      </c>
      <c r="Z246" s="3">
        <f t="shared" si="51"/>
        <v>7883</v>
      </c>
      <c r="AA246" s="3">
        <f t="shared" si="48"/>
        <v>1232.2489122187819</v>
      </c>
      <c r="AB246" s="3">
        <f t="shared" si="49"/>
        <v>0.99911573903365103</v>
      </c>
      <c r="AC246" s="3" t="str">
        <f t="shared" si="50"/>
        <v>Normal</v>
      </c>
    </row>
    <row r="247" spans="1:29" x14ac:dyDescent="0.2">
      <c r="A247" s="4">
        <v>865</v>
      </c>
      <c r="B247" s="5">
        <v>40757</v>
      </c>
      <c r="C247" s="4">
        <v>1</v>
      </c>
      <c r="D247" s="4">
        <v>0</v>
      </c>
      <c r="E247" s="4">
        <v>2</v>
      </c>
      <c r="F247" s="4">
        <v>11</v>
      </c>
      <c r="G247" s="4" t="b">
        <v>0</v>
      </c>
      <c r="H247" s="4">
        <v>2</v>
      </c>
      <c r="I247" s="4">
        <v>1</v>
      </c>
      <c r="J247" s="4">
        <v>0.22</v>
      </c>
      <c r="K247" s="4">
        <v>0.18179999999999999</v>
      </c>
      <c r="L247" s="4">
        <v>0.47</v>
      </c>
      <c r="M247" s="4">
        <v>0.4627</v>
      </c>
      <c r="N247" s="4">
        <v>1</v>
      </c>
      <c r="O247" s="4">
        <v>49</v>
      </c>
      <c r="P247" s="4">
        <v>50</v>
      </c>
      <c r="Q247" s="6" t="str">
        <f t="shared" si="39"/>
        <v>Weekday</v>
      </c>
      <c r="R247" s="42">
        <f t="shared" si="40"/>
        <v>34074</v>
      </c>
      <c r="S247" s="42">
        <f t="shared" si="41"/>
        <v>124.8388746803069</v>
      </c>
      <c r="T247" s="42">
        <f t="shared" si="42"/>
        <v>146</v>
      </c>
      <c r="U247" s="42" t="str">
        <f t="shared" si="43"/>
        <v>Wee</v>
      </c>
      <c r="V247" s="42" t="str">
        <f t="shared" si="44"/>
        <v>kday</v>
      </c>
      <c r="W247" s="42">
        <f t="shared" si="45"/>
        <v>7</v>
      </c>
      <c r="X247" s="42">
        <f t="shared" si="46"/>
        <v>0.18179999999999999</v>
      </c>
      <c r="Y247" s="3">
        <f t="shared" si="47"/>
        <v>82</v>
      </c>
      <c r="Z247" s="3">
        <f t="shared" si="51"/>
        <v>7883</v>
      </c>
      <c r="AA247" s="3">
        <f t="shared" si="48"/>
        <v>1232.2489122187819</v>
      </c>
      <c r="AB247" s="3">
        <f t="shared" si="49"/>
        <v>0.99911573903365103</v>
      </c>
      <c r="AC247" s="3" t="str">
        <f t="shared" si="50"/>
        <v>Normal</v>
      </c>
    </row>
    <row r="248" spans="1:29" x14ac:dyDescent="0.2">
      <c r="A248" s="4">
        <v>866</v>
      </c>
      <c r="B248" s="5">
        <v>40757</v>
      </c>
      <c r="C248" s="4">
        <v>1</v>
      </c>
      <c r="D248" s="4">
        <v>0</v>
      </c>
      <c r="E248" s="4">
        <v>2</v>
      </c>
      <c r="F248" s="4">
        <v>12</v>
      </c>
      <c r="G248" s="4" t="b">
        <v>0</v>
      </c>
      <c r="H248" s="4">
        <v>2</v>
      </c>
      <c r="I248" s="4">
        <v>1</v>
      </c>
      <c r="J248" s="4">
        <v>0.24</v>
      </c>
      <c r="K248" s="4">
        <v>0.19700000000000001</v>
      </c>
      <c r="L248" s="4">
        <v>0.38</v>
      </c>
      <c r="M248" s="4">
        <v>0.49249999999999999</v>
      </c>
      <c r="N248" s="4">
        <v>2</v>
      </c>
      <c r="O248" s="4">
        <v>63</v>
      </c>
      <c r="P248" s="4">
        <v>65</v>
      </c>
      <c r="Q248" s="6" t="str">
        <f t="shared" si="39"/>
        <v>Weekday</v>
      </c>
      <c r="R248" s="42">
        <f t="shared" si="40"/>
        <v>34024</v>
      </c>
      <c r="S248" s="42">
        <f t="shared" si="41"/>
        <v>124.8388746803069</v>
      </c>
      <c r="T248" s="42">
        <f t="shared" si="42"/>
        <v>145</v>
      </c>
      <c r="U248" s="42" t="str">
        <f t="shared" si="43"/>
        <v>Wee</v>
      </c>
      <c r="V248" s="42" t="str">
        <f t="shared" si="44"/>
        <v>kday</v>
      </c>
      <c r="W248" s="42">
        <f t="shared" si="45"/>
        <v>7</v>
      </c>
      <c r="X248" s="42">
        <f t="shared" si="46"/>
        <v>0.19700000000000001</v>
      </c>
      <c r="Y248" s="3">
        <f t="shared" si="47"/>
        <v>82</v>
      </c>
      <c r="Z248" s="3">
        <f t="shared" si="51"/>
        <v>7883</v>
      </c>
      <c r="AA248" s="3">
        <f t="shared" si="48"/>
        <v>1232.2489122187819</v>
      </c>
      <c r="AB248" s="3">
        <f t="shared" si="49"/>
        <v>0.99911573903365103</v>
      </c>
      <c r="AC248" s="3" t="str">
        <f t="shared" si="50"/>
        <v>Normal</v>
      </c>
    </row>
    <row r="249" spans="1:29" x14ac:dyDescent="0.2">
      <c r="A249" s="4">
        <v>867</v>
      </c>
      <c r="B249" s="5">
        <v>40757</v>
      </c>
      <c r="C249" s="4">
        <v>1</v>
      </c>
      <c r="D249" s="4">
        <v>0</v>
      </c>
      <c r="E249" s="4">
        <v>2</v>
      </c>
      <c r="F249" s="4">
        <v>13</v>
      </c>
      <c r="G249" s="4" t="b">
        <v>0</v>
      </c>
      <c r="H249" s="4">
        <v>2</v>
      </c>
      <c r="I249" s="4">
        <v>2</v>
      </c>
      <c r="J249" s="4">
        <v>0.24</v>
      </c>
      <c r="K249" s="4">
        <v>0.19700000000000001</v>
      </c>
      <c r="L249" s="4">
        <v>0.32</v>
      </c>
      <c r="M249" s="4">
        <v>0.44779999999999998</v>
      </c>
      <c r="N249" s="4">
        <v>2</v>
      </c>
      <c r="O249" s="4">
        <v>48</v>
      </c>
      <c r="P249" s="4">
        <v>50</v>
      </c>
      <c r="Q249" s="6" t="str">
        <f t="shared" si="39"/>
        <v>Weekday</v>
      </c>
      <c r="R249" s="42">
        <f t="shared" si="40"/>
        <v>33959</v>
      </c>
      <c r="S249" s="42">
        <f t="shared" si="41"/>
        <v>124.8388746803069</v>
      </c>
      <c r="T249" s="42">
        <f t="shared" si="42"/>
        <v>144</v>
      </c>
      <c r="U249" s="42" t="str">
        <f t="shared" si="43"/>
        <v>Wee</v>
      </c>
      <c r="V249" s="42" t="str">
        <f t="shared" si="44"/>
        <v>kday</v>
      </c>
      <c r="W249" s="42">
        <f t="shared" si="45"/>
        <v>7</v>
      </c>
      <c r="X249" s="42">
        <f t="shared" si="46"/>
        <v>0.19700000000000001</v>
      </c>
      <c r="Y249" s="3">
        <f t="shared" si="47"/>
        <v>82</v>
      </c>
      <c r="Z249" s="3">
        <f t="shared" si="51"/>
        <v>7883</v>
      </c>
      <c r="AA249" s="3">
        <f t="shared" si="48"/>
        <v>1232.2489122187819</v>
      </c>
      <c r="AB249" s="3">
        <f t="shared" si="49"/>
        <v>0.99911573903365103</v>
      </c>
      <c r="AC249" s="3" t="str">
        <f t="shared" si="50"/>
        <v>Normal</v>
      </c>
    </row>
    <row r="250" spans="1:29" x14ac:dyDescent="0.2">
      <c r="A250" s="4">
        <v>868</v>
      </c>
      <c r="B250" s="5">
        <v>40757</v>
      </c>
      <c r="C250" s="4">
        <v>1</v>
      </c>
      <c r="D250" s="4">
        <v>0</v>
      </c>
      <c r="E250" s="4">
        <v>2</v>
      </c>
      <c r="F250" s="4">
        <v>14</v>
      </c>
      <c r="G250" s="4" t="b">
        <v>0</v>
      </c>
      <c r="H250" s="4">
        <v>2</v>
      </c>
      <c r="I250" s="4">
        <v>1</v>
      </c>
      <c r="J250" s="4">
        <v>0.22</v>
      </c>
      <c r="K250" s="4">
        <v>0.19700000000000001</v>
      </c>
      <c r="L250" s="4">
        <v>0.37</v>
      </c>
      <c r="M250" s="4">
        <v>0.41789999999999999</v>
      </c>
      <c r="N250" s="4">
        <v>3</v>
      </c>
      <c r="O250" s="4">
        <v>61</v>
      </c>
      <c r="P250" s="4">
        <v>64</v>
      </c>
      <c r="Q250" s="6" t="str">
        <f t="shared" si="39"/>
        <v>Weekday</v>
      </c>
      <c r="R250" s="42">
        <f t="shared" si="40"/>
        <v>33909</v>
      </c>
      <c r="S250" s="42">
        <f t="shared" si="41"/>
        <v>124.8388746803069</v>
      </c>
      <c r="T250" s="42">
        <f t="shared" si="42"/>
        <v>143</v>
      </c>
      <c r="U250" s="42" t="str">
        <f t="shared" si="43"/>
        <v>Wee</v>
      </c>
      <c r="V250" s="42" t="str">
        <f t="shared" si="44"/>
        <v>kday</v>
      </c>
      <c r="W250" s="42">
        <f t="shared" si="45"/>
        <v>7</v>
      </c>
      <c r="X250" s="42">
        <f t="shared" si="46"/>
        <v>0.19700000000000001</v>
      </c>
      <c r="Y250" s="3">
        <f t="shared" si="47"/>
        <v>82</v>
      </c>
      <c r="Z250" s="3">
        <f t="shared" si="51"/>
        <v>7883</v>
      </c>
      <c r="AA250" s="3">
        <f t="shared" si="48"/>
        <v>1232.2489122187819</v>
      </c>
      <c r="AB250" s="3">
        <f t="shared" si="49"/>
        <v>0.99911573903365103</v>
      </c>
      <c r="AC250" s="3" t="str">
        <f t="shared" si="50"/>
        <v>Normal</v>
      </c>
    </row>
    <row r="251" spans="1:29" x14ac:dyDescent="0.2">
      <c r="A251" s="4">
        <v>869</v>
      </c>
      <c r="B251" s="5">
        <v>40757</v>
      </c>
      <c r="C251" s="4">
        <v>1</v>
      </c>
      <c r="D251" s="4">
        <v>0</v>
      </c>
      <c r="E251" s="4">
        <v>2</v>
      </c>
      <c r="F251" s="4">
        <v>15</v>
      </c>
      <c r="G251" s="4" t="b">
        <v>0</v>
      </c>
      <c r="H251" s="4">
        <v>2</v>
      </c>
      <c r="I251" s="4">
        <v>1</v>
      </c>
      <c r="J251" s="4">
        <v>0.22</v>
      </c>
      <c r="K251" s="4">
        <v>0.19700000000000001</v>
      </c>
      <c r="L251" s="4">
        <v>0.35</v>
      </c>
      <c r="M251" s="4">
        <v>0.3881</v>
      </c>
      <c r="N251" s="4">
        <v>6</v>
      </c>
      <c r="O251" s="4">
        <v>45</v>
      </c>
      <c r="P251" s="4">
        <v>51</v>
      </c>
      <c r="Q251" s="6" t="str">
        <f t="shared" si="39"/>
        <v>Weekday</v>
      </c>
      <c r="R251" s="42">
        <f t="shared" si="40"/>
        <v>33845</v>
      </c>
      <c r="S251" s="42">
        <f t="shared" si="41"/>
        <v>124.8388746803069</v>
      </c>
      <c r="T251" s="42">
        <f t="shared" si="42"/>
        <v>142</v>
      </c>
      <c r="U251" s="42" t="str">
        <f t="shared" si="43"/>
        <v>Wee</v>
      </c>
      <c r="V251" s="42" t="str">
        <f t="shared" si="44"/>
        <v>kday</v>
      </c>
      <c r="W251" s="42">
        <f t="shared" si="45"/>
        <v>7</v>
      </c>
      <c r="X251" s="42">
        <f t="shared" si="46"/>
        <v>0.19700000000000001</v>
      </c>
      <c r="Y251" s="3">
        <f t="shared" si="47"/>
        <v>82</v>
      </c>
      <c r="Z251" s="3">
        <f t="shared" si="51"/>
        <v>7883</v>
      </c>
      <c r="AA251" s="3">
        <f t="shared" si="48"/>
        <v>1232.2489122187819</v>
      </c>
      <c r="AB251" s="3">
        <f t="shared" si="49"/>
        <v>0.99911573903365103</v>
      </c>
      <c r="AC251" s="3" t="str">
        <f t="shared" si="50"/>
        <v>Normal</v>
      </c>
    </row>
    <row r="252" spans="1:29" x14ac:dyDescent="0.2">
      <c r="A252" s="4">
        <v>870</v>
      </c>
      <c r="B252" s="5">
        <v>40757</v>
      </c>
      <c r="C252" s="4">
        <v>1</v>
      </c>
      <c r="D252" s="4">
        <v>0</v>
      </c>
      <c r="E252" s="4">
        <v>2</v>
      </c>
      <c r="F252" s="4">
        <v>16</v>
      </c>
      <c r="G252" s="4" t="b">
        <v>0</v>
      </c>
      <c r="H252" s="4">
        <v>2</v>
      </c>
      <c r="I252" s="4">
        <v>1</v>
      </c>
      <c r="J252" s="4">
        <v>0.22</v>
      </c>
      <c r="K252" s="4">
        <v>0.18179999999999999</v>
      </c>
      <c r="L252" s="4">
        <v>0.35</v>
      </c>
      <c r="M252" s="4">
        <v>0.52239999999999998</v>
      </c>
      <c r="N252" s="4">
        <v>4</v>
      </c>
      <c r="O252" s="4">
        <v>79</v>
      </c>
      <c r="P252" s="4">
        <v>83</v>
      </c>
      <c r="Q252" s="6" t="str">
        <f t="shared" si="39"/>
        <v>Weekday</v>
      </c>
      <c r="R252" s="42">
        <f t="shared" si="40"/>
        <v>33794</v>
      </c>
      <c r="S252" s="42">
        <f t="shared" si="41"/>
        <v>124.8388746803069</v>
      </c>
      <c r="T252" s="42">
        <f t="shared" si="42"/>
        <v>141</v>
      </c>
      <c r="U252" s="42" t="str">
        <f t="shared" si="43"/>
        <v>Wee</v>
      </c>
      <c r="V252" s="42" t="str">
        <f t="shared" si="44"/>
        <v>kday</v>
      </c>
      <c r="W252" s="42">
        <f t="shared" si="45"/>
        <v>7</v>
      </c>
      <c r="X252" s="42">
        <f t="shared" si="46"/>
        <v>0.18179999999999999</v>
      </c>
      <c r="Y252" s="3">
        <f t="shared" si="47"/>
        <v>82</v>
      </c>
      <c r="Z252" s="3">
        <f t="shared" si="51"/>
        <v>7883</v>
      </c>
      <c r="AA252" s="3">
        <f t="shared" si="48"/>
        <v>1232.2489122187819</v>
      </c>
      <c r="AB252" s="3">
        <f t="shared" si="49"/>
        <v>0.99911573903365103</v>
      </c>
      <c r="AC252" s="3" t="str">
        <f t="shared" si="50"/>
        <v>Normal</v>
      </c>
    </row>
    <row r="253" spans="1:29" x14ac:dyDescent="0.2">
      <c r="A253" s="4">
        <v>871</v>
      </c>
      <c r="B253" s="5">
        <v>40757</v>
      </c>
      <c r="C253" s="4">
        <v>1</v>
      </c>
      <c r="D253" s="4">
        <v>0</v>
      </c>
      <c r="E253" s="4">
        <v>2</v>
      </c>
      <c r="F253" s="4">
        <v>17</v>
      </c>
      <c r="G253" s="4" t="b">
        <v>0</v>
      </c>
      <c r="H253" s="4">
        <v>2</v>
      </c>
      <c r="I253" s="4">
        <v>1</v>
      </c>
      <c r="J253" s="4">
        <v>0.22</v>
      </c>
      <c r="K253" s="4">
        <v>0.18179999999999999</v>
      </c>
      <c r="L253" s="4">
        <v>0.32</v>
      </c>
      <c r="M253" s="4">
        <v>0.58209999999999995</v>
      </c>
      <c r="N253" s="4">
        <v>4</v>
      </c>
      <c r="O253" s="4">
        <v>172</v>
      </c>
      <c r="P253" s="4">
        <v>176</v>
      </c>
      <c r="Q253" s="6" t="str">
        <f t="shared" si="39"/>
        <v>Weekday</v>
      </c>
      <c r="R253" s="42">
        <f t="shared" si="40"/>
        <v>33711</v>
      </c>
      <c r="S253" s="42">
        <f t="shared" si="41"/>
        <v>124.8388746803069</v>
      </c>
      <c r="T253" s="42">
        <f t="shared" si="42"/>
        <v>140</v>
      </c>
      <c r="U253" s="42" t="str">
        <f t="shared" si="43"/>
        <v>Wee</v>
      </c>
      <c r="V253" s="42" t="str">
        <f t="shared" si="44"/>
        <v>kday</v>
      </c>
      <c r="W253" s="42">
        <f t="shared" si="45"/>
        <v>7</v>
      </c>
      <c r="X253" s="42">
        <f t="shared" si="46"/>
        <v>0.18179999999999999</v>
      </c>
      <c r="Y253" s="3">
        <f t="shared" si="47"/>
        <v>82</v>
      </c>
      <c r="Z253" s="3">
        <f t="shared" si="51"/>
        <v>7883</v>
      </c>
      <c r="AA253" s="3">
        <f t="shared" si="48"/>
        <v>1232.2489122187819</v>
      </c>
      <c r="AB253" s="3">
        <f t="shared" si="49"/>
        <v>0.99911573903365103</v>
      </c>
      <c r="AC253" s="3" t="str">
        <f t="shared" si="50"/>
        <v>Normal</v>
      </c>
    </row>
    <row r="254" spans="1:29" x14ac:dyDescent="0.2">
      <c r="A254" s="4">
        <v>872</v>
      </c>
      <c r="B254" s="5">
        <v>40757</v>
      </c>
      <c r="C254" s="4">
        <v>1</v>
      </c>
      <c r="D254" s="4">
        <v>0</v>
      </c>
      <c r="E254" s="4">
        <v>2</v>
      </c>
      <c r="F254" s="4">
        <v>18</v>
      </c>
      <c r="G254" s="4" t="b">
        <v>0</v>
      </c>
      <c r="H254" s="4">
        <v>2</v>
      </c>
      <c r="I254" s="4">
        <v>1</v>
      </c>
      <c r="J254" s="4">
        <v>0.2</v>
      </c>
      <c r="K254" s="4">
        <v>0.18179999999999999</v>
      </c>
      <c r="L254" s="4">
        <v>0.32</v>
      </c>
      <c r="M254" s="4">
        <v>0.3881</v>
      </c>
      <c r="N254" s="4">
        <v>1</v>
      </c>
      <c r="O254" s="4">
        <v>151</v>
      </c>
      <c r="P254" s="4">
        <v>152</v>
      </c>
      <c r="Q254" s="6" t="str">
        <f t="shared" si="39"/>
        <v>Weekday</v>
      </c>
      <c r="R254" s="42">
        <f t="shared" si="40"/>
        <v>33535</v>
      </c>
      <c r="S254" s="42">
        <f t="shared" si="41"/>
        <v>124.8388746803069</v>
      </c>
      <c r="T254" s="42">
        <f t="shared" si="42"/>
        <v>139</v>
      </c>
      <c r="U254" s="42" t="str">
        <f t="shared" si="43"/>
        <v>Wee</v>
      </c>
      <c r="V254" s="42" t="str">
        <f t="shared" si="44"/>
        <v>kday</v>
      </c>
      <c r="W254" s="42">
        <f t="shared" si="45"/>
        <v>7</v>
      </c>
      <c r="X254" s="42">
        <f t="shared" si="46"/>
        <v>0.18179999999999999</v>
      </c>
      <c r="Y254" s="3">
        <f t="shared" si="47"/>
        <v>82</v>
      </c>
      <c r="Z254" s="3">
        <f t="shared" si="51"/>
        <v>7883</v>
      </c>
      <c r="AA254" s="3">
        <f t="shared" si="48"/>
        <v>1232.2489122187819</v>
      </c>
      <c r="AB254" s="3">
        <f t="shared" si="49"/>
        <v>0.99911573903365103</v>
      </c>
      <c r="AC254" s="3" t="str">
        <f t="shared" si="50"/>
        <v>Normal</v>
      </c>
    </row>
    <row r="255" spans="1:29" x14ac:dyDescent="0.2">
      <c r="A255" s="4">
        <v>873</v>
      </c>
      <c r="B255" s="5">
        <v>40757</v>
      </c>
      <c r="C255" s="4">
        <v>1</v>
      </c>
      <c r="D255" s="4">
        <v>0</v>
      </c>
      <c r="E255" s="4">
        <v>2</v>
      </c>
      <c r="F255" s="4">
        <v>19</v>
      </c>
      <c r="G255" s="4" t="b">
        <v>0</v>
      </c>
      <c r="H255" s="4">
        <v>2</v>
      </c>
      <c r="I255" s="4">
        <v>1</v>
      </c>
      <c r="J255" s="4">
        <v>0.16</v>
      </c>
      <c r="K255" s="4">
        <v>0.1212</v>
      </c>
      <c r="L255" s="4">
        <v>0.4</v>
      </c>
      <c r="M255" s="4">
        <v>0.4627</v>
      </c>
      <c r="N255" s="4">
        <v>1</v>
      </c>
      <c r="O255" s="4">
        <v>100</v>
      </c>
      <c r="P255" s="4">
        <v>101</v>
      </c>
      <c r="Q255" s="6" t="str">
        <f t="shared" si="39"/>
        <v>Weekday</v>
      </c>
      <c r="R255" s="42">
        <f t="shared" si="40"/>
        <v>33383</v>
      </c>
      <c r="S255" s="42">
        <f t="shared" si="41"/>
        <v>124.8388746803069</v>
      </c>
      <c r="T255" s="42">
        <f t="shared" si="42"/>
        <v>138</v>
      </c>
      <c r="U255" s="42" t="str">
        <f t="shared" si="43"/>
        <v>Wee</v>
      </c>
      <c r="V255" s="42" t="str">
        <f t="shared" si="44"/>
        <v>kday</v>
      </c>
      <c r="W255" s="42">
        <f t="shared" si="45"/>
        <v>7</v>
      </c>
      <c r="X255" s="42">
        <f t="shared" si="46"/>
        <v>0.1212</v>
      </c>
      <c r="Y255" s="3">
        <f t="shared" si="47"/>
        <v>82</v>
      </c>
      <c r="Z255" s="3">
        <f t="shared" si="51"/>
        <v>7883</v>
      </c>
      <c r="AA255" s="3">
        <f t="shared" si="48"/>
        <v>1232.2489122187819</v>
      </c>
      <c r="AB255" s="3">
        <f t="shared" si="49"/>
        <v>0.99911573903365103</v>
      </c>
      <c r="AC255" s="3" t="str">
        <f t="shared" si="50"/>
        <v>Normal</v>
      </c>
    </row>
    <row r="256" spans="1:29" x14ac:dyDescent="0.2">
      <c r="A256" s="4">
        <v>874</v>
      </c>
      <c r="B256" s="5">
        <v>40757</v>
      </c>
      <c r="C256" s="4">
        <v>1</v>
      </c>
      <c r="D256" s="4">
        <v>0</v>
      </c>
      <c r="E256" s="4">
        <v>2</v>
      </c>
      <c r="F256" s="4">
        <v>20</v>
      </c>
      <c r="G256" s="4" t="b">
        <v>0</v>
      </c>
      <c r="H256" s="4">
        <v>2</v>
      </c>
      <c r="I256" s="4">
        <v>1</v>
      </c>
      <c r="J256" s="4">
        <v>0.16</v>
      </c>
      <c r="K256" s="4">
        <v>0.13639999999999999</v>
      </c>
      <c r="L256" s="4">
        <v>0.4</v>
      </c>
      <c r="M256" s="4">
        <v>0.32840000000000003</v>
      </c>
      <c r="N256" s="4">
        <v>3</v>
      </c>
      <c r="O256" s="4">
        <v>53</v>
      </c>
      <c r="P256" s="4">
        <v>56</v>
      </c>
      <c r="Q256" s="6" t="str">
        <f t="shared" si="39"/>
        <v>Weekday</v>
      </c>
      <c r="R256" s="42">
        <f t="shared" si="40"/>
        <v>33282</v>
      </c>
      <c r="S256" s="42">
        <f t="shared" si="41"/>
        <v>124.8388746803069</v>
      </c>
      <c r="T256" s="42">
        <f t="shared" si="42"/>
        <v>137</v>
      </c>
      <c r="U256" s="42" t="str">
        <f t="shared" si="43"/>
        <v>Wee</v>
      </c>
      <c r="V256" s="42" t="str">
        <f t="shared" si="44"/>
        <v>kday</v>
      </c>
      <c r="W256" s="42">
        <f t="shared" si="45"/>
        <v>7</v>
      </c>
      <c r="X256" s="42">
        <f t="shared" si="46"/>
        <v>0.13639999999999999</v>
      </c>
      <c r="Y256" s="3">
        <f t="shared" si="47"/>
        <v>82</v>
      </c>
      <c r="Z256" s="3">
        <f t="shared" si="51"/>
        <v>7883</v>
      </c>
      <c r="AA256" s="3">
        <f t="shared" si="48"/>
        <v>1232.2489122187819</v>
      </c>
      <c r="AB256" s="3">
        <f t="shared" si="49"/>
        <v>0.99911573903365103</v>
      </c>
      <c r="AC256" s="3" t="str">
        <f t="shared" si="50"/>
        <v>Normal</v>
      </c>
    </row>
    <row r="257" spans="1:29" x14ac:dyDescent="0.2">
      <c r="A257" s="4">
        <v>875</v>
      </c>
      <c r="B257" s="5">
        <v>40757</v>
      </c>
      <c r="C257" s="4">
        <v>1</v>
      </c>
      <c r="D257" s="4">
        <v>0</v>
      </c>
      <c r="E257" s="4">
        <v>2</v>
      </c>
      <c r="F257" s="4">
        <v>21</v>
      </c>
      <c r="G257" s="4" t="b">
        <v>0</v>
      </c>
      <c r="H257" s="4">
        <v>2</v>
      </c>
      <c r="I257" s="4">
        <v>1</v>
      </c>
      <c r="J257" s="4">
        <v>0.14000000000000001</v>
      </c>
      <c r="K257" s="4">
        <v>0.1061</v>
      </c>
      <c r="L257" s="4">
        <v>0.33</v>
      </c>
      <c r="M257" s="4">
        <v>0.4627</v>
      </c>
      <c r="N257" s="4">
        <v>8</v>
      </c>
      <c r="O257" s="4">
        <v>46</v>
      </c>
      <c r="P257" s="4">
        <v>54</v>
      </c>
      <c r="Q257" s="6" t="str">
        <f t="shared" si="39"/>
        <v>Weekday</v>
      </c>
      <c r="R257" s="42">
        <f t="shared" si="40"/>
        <v>33226</v>
      </c>
      <c r="S257" s="42">
        <f t="shared" si="41"/>
        <v>124.8388746803069</v>
      </c>
      <c r="T257" s="42">
        <f t="shared" si="42"/>
        <v>136</v>
      </c>
      <c r="U257" s="42" t="str">
        <f t="shared" si="43"/>
        <v>Wee</v>
      </c>
      <c r="V257" s="42" t="str">
        <f t="shared" si="44"/>
        <v>kday</v>
      </c>
      <c r="W257" s="42">
        <f t="shared" si="45"/>
        <v>7</v>
      </c>
      <c r="X257" s="42">
        <f t="shared" si="46"/>
        <v>0.1061</v>
      </c>
      <c r="Y257" s="3">
        <f t="shared" si="47"/>
        <v>82</v>
      </c>
      <c r="Z257" s="3">
        <f t="shared" si="51"/>
        <v>7883</v>
      </c>
      <c r="AA257" s="3">
        <f t="shared" si="48"/>
        <v>1232.2489122187819</v>
      </c>
      <c r="AB257" s="3">
        <f t="shared" si="49"/>
        <v>0.99911573903365103</v>
      </c>
      <c r="AC257" s="3" t="str">
        <f t="shared" si="50"/>
        <v>Normal</v>
      </c>
    </row>
    <row r="258" spans="1:29" x14ac:dyDescent="0.2">
      <c r="A258" s="4">
        <v>876</v>
      </c>
      <c r="B258" s="5">
        <v>40757</v>
      </c>
      <c r="C258" s="4">
        <v>1</v>
      </c>
      <c r="D258" s="4">
        <v>0</v>
      </c>
      <c r="E258" s="4">
        <v>2</v>
      </c>
      <c r="F258" s="4">
        <v>22</v>
      </c>
      <c r="G258" s="4" t="b">
        <v>0</v>
      </c>
      <c r="H258" s="4">
        <v>2</v>
      </c>
      <c r="I258" s="4">
        <v>1</v>
      </c>
      <c r="J258" s="4">
        <v>0.12</v>
      </c>
      <c r="K258" s="4">
        <v>0.1061</v>
      </c>
      <c r="L258" s="4">
        <v>0.33</v>
      </c>
      <c r="M258" s="4">
        <v>0.35820000000000002</v>
      </c>
      <c r="N258" s="4">
        <v>0</v>
      </c>
      <c r="O258" s="4">
        <v>29</v>
      </c>
      <c r="P258" s="4">
        <v>29</v>
      </c>
      <c r="Q258" s="6" t="str">
        <f t="shared" si="39"/>
        <v>Weekday</v>
      </c>
      <c r="R258" s="42">
        <f t="shared" si="40"/>
        <v>33172</v>
      </c>
      <c r="S258" s="42">
        <f t="shared" si="41"/>
        <v>124.8388746803069</v>
      </c>
      <c r="T258" s="42">
        <f t="shared" si="42"/>
        <v>135</v>
      </c>
      <c r="U258" s="42" t="str">
        <f t="shared" si="43"/>
        <v>Wee</v>
      </c>
      <c r="V258" s="42" t="str">
        <f t="shared" si="44"/>
        <v>kday</v>
      </c>
      <c r="W258" s="42">
        <f t="shared" si="45"/>
        <v>7</v>
      </c>
      <c r="X258" s="42">
        <f t="shared" si="46"/>
        <v>0.1061</v>
      </c>
      <c r="Y258" s="3">
        <f t="shared" si="47"/>
        <v>82</v>
      </c>
      <c r="Z258" s="3">
        <f t="shared" si="51"/>
        <v>7883</v>
      </c>
      <c r="AA258" s="3">
        <f t="shared" si="48"/>
        <v>1232.2489122187819</v>
      </c>
      <c r="AB258" s="3">
        <f t="shared" si="49"/>
        <v>0.99911573903365103</v>
      </c>
      <c r="AC258" s="3" t="str">
        <f t="shared" si="50"/>
        <v>Normal</v>
      </c>
    </row>
    <row r="259" spans="1:29" x14ac:dyDescent="0.2">
      <c r="A259" s="4">
        <v>877</v>
      </c>
      <c r="B259" s="5">
        <v>40757</v>
      </c>
      <c r="C259" s="4">
        <v>1</v>
      </c>
      <c r="D259" s="4">
        <v>0</v>
      </c>
      <c r="E259" s="4">
        <v>2</v>
      </c>
      <c r="F259" s="4">
        <v>23</v>
      </c>
      <c r="G259" s="4" t="b">
        <v>0</v>
      </c>
      <c r="H259" s="4">
        <v>2</v>
      </c>
      <c r="I259" s="4">
        <v>1</v>
      </c>
      <c r="J259" s="4">
        <v>0.12</v>
      </c>
      <c r="K259" s="4">
        <v>0.1061</v>
      </c>
      <c r="L259" s="4">
        <v>0.33</v>
      </c>
      <c r="M259" s="4">
        <v>0.32840000000000003</v>
      </c>
      <c r="N259" s="4">
        <v>3</v>
      </c>
      <c r="O259" s="4">
        <v>9</v>
      </c>
      <c r="P259" s="4">
        <v>12</v>
      </c>
      <c r="Q259" s="6" t="str">
        <f t="shared" ref="Q259:Q322" si="52">IF(H259=0,"Weekend",IF(H259=6,"Weekend","Weekday"))</f>
        <v>Weekday</v>
      </c>
      <c r="R259" s="42">
        <f t="shared" ref="R259:R322" si="53">SUM(P259:P648)</f>
        <v>33143</v>
      </c>
      <c r="S259" s="42">
        <f t="shared" ref="S259:S322" si="54">AVERAGE($P$2:$P$392)</f>
        <v>124.8388746803069</v>
      </c>
      <c r="T259" s="42">
        <f t="shared" ref="T259:T322" si="55">COUNT(P259:P649)</f>
        <v>134</v>
      </c>
      <c r="U259" s="42" t="str">
        <f t="shared" ref="U259:U322" si="56">LEFT(Q260,3)</f>
        <v>Wee</v>
      </c>
      <c r="V259" s="42" t="str">
        <f t="shared" ref="V259:V322" si="57">RIGHT(Q260,4)</f>
        <v>kday</v>
      </c>
      <c r="W259" s="42">
        <f t="shared" ref="W259:W322" si="58">LEN(Q259)</f>
        <v>7</v>
      </c>
      <c r="X259" s="42">
        <f t="shared" ref="X259:X322" si="59">INDEX(K:K,MATCH(A259,A:A,0))</f>
        <v>0.1061</v>
      </c>
      <c r="Y259" s="3">
        <f t="shared" ref="Y259:Y322" si="60">COUNTIF(P:P,"&gt;100")</f>
        <v>82</v>
      </c>
      <c r="Z259" s="3">
        <f t="shared" si="51"/>
        <v>7883</v>
      </c>
      <c r="AA259" s="3">
        <f t="shared" ref="AA259:AA322" si="61">STDEV(P:P)</f>
        <v>1232.2489122187819</v>
      </c>
      <c r="AB259" s="3">
        <f t="shared" ref="AB259:AB322" si="62">CORREL(J:J,P:P)</f>
        <v>0.99911573903365103</v>
      </c>
      <c r="AC259" s="3" t="str">
        <f t="shared" ref="AC259:AC322" si="63">IF(ABS(P259-AVERAGE($P$2:$P$784))&gt;2*STDEV($P$2:$P$784),"ANOMALY","Normal")</f>
        <v>Normal</v>
      </c>
    </row>
    <row r="260" spans="1:29" x14ac:dyDescent="0.2">
      <c r="A260" s="4">
        <v>878</v>
      </c>
      <c r="B260" s="5">
        <v>40788</v>
      </c>
      <c r="C260" s="4">
        <v>1</v>
      </c>
      <c r="D260" s="4">
        <v>0</v>
      </c>
      <c r="E260" s="4">
        <v>2</v>
      </c>
      <c r="F260" s="4">
        <v>0</v>
      </c>
      <c r="G260" s="4" t="b">
        <v>0</v>
      </c>
      <c r="H260" s="4">
        <v>3</v>
      </c>
      <c r="I260" s="4">
        <v>1</v>
      </c>
      <c r="J260" s="4">
        <v>0.1</v>
      </c>
      <c r="K260" s="4">
        <v>7.5800000000000006E-2</v>
      </c>
      <c r="L260" s="4">
        <v>0.36</v>
      </c>
      <c r="M260" s="4">
        <v>0.35820000000000002</v>
      </c>
      <c r="N260" s="4">
        <v>0</v>
      </c>
      <c r="O260" s="4">
        <v>17</v>
      </c>
      <c r="P260" s="4">
        <v>17</v>
      </c>
      <c r="Q260" s="6" t="str">
        <f t="shared" si="52"/>
        <v>Weekday</v>
      </c>
      <c r="R260" s="42">
        <f t="shared" si="53"/>
        <v>33131</v>
      </c>
      <c r="S260" s="42">
        <f t="shared" si="54"/>
        <v>124.8388746803069</v>
      </c>
      <c r="T260" s="42">
        <f t="shared" si="55"/>
        <v>133</v>
      </c>
      <c r="U260" s="42" t="str">
        <f t="shared" si="56"/>
        <v>Wee</v>
      </c>
      <c r="V260" s="42" t="str">
        <f t="shared" si="57"/>
        <v>kday</v>
      </c>
      <c r="W260" s="42">
        <f t="shared" si="58"/>
        <v>7</v>
      </c>
      <c r="X260" s="42">
        <f t="shared" si="59"/>
        <v>7.5800000000000006E-2</v>
      </c>
      <c r="Y260" s="3">
        <f t="shared" si="60"/>
        <v>82</v>
      </c>
      <c r="Z260" s="3">
        <f t="shared" ref="Z260:Z323" si="64">SUMIF(Q:Q,"Weekend",P:P)</f>
        <v>7883</v>
      </c>
      <c r="AA260" s="3">
        <f t="shared" si="61"/>
        <v>1232.2489122187819</v>
      </c>
      <c r="AB260" s="3">
        <f t="shared" si="62"/>
        <v>0.99911573903365103</v>
      </c>
      <c r="AC260" s="3" t="str">
        <f t="shared" si="63"/>
        <v>Normal</v>
      </c>
    </row>
    <row r="261" spans="1:29" x14ac:dyDescent="0.2">
      <c r="A261" s="4">
        <v>879</v>
      </c>
      <c r="B261" s="5">
        <v>40788</v>
      </c>
      <c r="C261" s="4">
        <v>1</v>
      </c>
      <c r="D261" s="4">
        <v>0</v>
      </c>
      <c r="E261" s="4">
        <v>2</v>
      </c>
      <c r="F261" s="4">
        <v>1</v>
      </c>
      <c r="G261" s="4" t="b">
        <v>0</v>
      </c>
      <c r="H261" s="4">
        <v>3</v>
      </c>
      <c r="I261" s="4">
        <v>1</v>
      </c>
      <c r="J261" s="4">
        <v>0.1</v>
      </c>
      <c r="K261" s="4">
        <v>0.1061</v>
      </c>
      <c r="L261" s="4">
        <v>0.36</v>
      </c>
      <c r="M261" s="4">
        <v>0.22389999999999999</v>
      </c>
      <c r="N261" s="4">
        <v>0</v>
      </c>
      <c r="O261" s="4">
        <v>7</v>
      </c>
      <c r="P261" s="4">
        <v>7</v>
      </c>
      <c r="Q261" s="6" t="str">
        <f t="shared" si="52"/>
        <v>Weekday</v>
      </c>
      <c r="R261" s="42">
        <f t="shared" si="53"/>
        <v>33114</v>
      </c>
      <c r="S261" s="42">
        <f t="shared" si="54"/>
        <v>124.8388746803069</v>
      </c>
      <c r="T261" s="42">
        <f t="shared" si="55"/>
        <v>132</v>
      </c>
      <c r="U261" s="42" t="str">
        <f t="shared" si="56"/>
        <v>Wee</v>
      </c>
      <c r="V261" s="42" t="str">
        <f t="shared" si="57"/>
        <v>kday</v>
      </c>
      <c r="W261" s="42">
        <f t="shared" si="58"/>
        <v>7</v>
      </c>
      <c r="X261" s="42">
        <f t="shared" si="59"/>
        <v>0.1061</v>
      </c>
      <c r="Y261" s="3">
        <f t="shared" si="60"/>
        <v>82</v>
      </c>
      <c r="Z261" s="3">
        <f t="shared" si="64"/>
        <v>7883</v>
      </c>
      <c r="AA261" s="3">
        <f t="shared" si="61"/>
        <v>1232.2489122187819</v>
      </c>
      <c r="AB261" s="3">
        <f t="shared" si="62"/>
        <v>0.99911573903365103</v>
      </c>
      <c r="AC261" s="3" t="str">
        <f t="shared" si="63"/>
        <v>Normal</v>
      </c>
    </row>
    <row r="262" spans="1:29" x14ac:dyDescent="0.2">
      <c r="A262" s="4">
        <v>880</v>
      </c>
      <c r="B262" s="5">
        <v>40788</v>
      </c>
      <c r="C262" s="4">
        <v>1</v>
      </c>
      <c r="D262" s="4">
        <v>0</v>
      </c>
      <c r="E262" s="4">
        <v>2</v>
      </c>
      <c r="F262" s="4">
        <v>2</v>
      </c>
      <c r="G262" s="4" t="b">
        <v>0</v>
      </c>
      <c r="H262" s="4">
        <v>3</v>
      </c>
      <c r="I262" s="4">
        <v>1</v>
      </c>
      <c r="J262" s="4">
        <v>0.08</v>
      </c>
      <c r="K262" s="4">
        <v>7.5800000000000006E-2</v>
      </c>
      <c r="L262" s="4">
        <v>0.38</v>
      </c>
      <c r="M262" s="4">
        <v>0.28360000000000002</v>
      </c>
      <c r="N262" s="4">
        <v>1</v>
      </c>
      <c r="O262" s="4">
        <v>2</v>
      </c>
      <c r="P262" s="4">
        <v>3</v>
      </c>
      <c r="Q262" s="6" t="str">
        <f t="shared" si="52"/>
        <v>Weekday</v>
      </c>
      <c r="R262" s="42">
        <f t="shared" si="53"/>
        <v>33107</v>
      </c>
      <c r="S262" s="42">
        <f t="shared" si="54"/>
        <v>124.8388746803069</v>
      </c>
      <c r="T262" s="42">
        <f t="shared" si="55"/>
        <v>131</v>
      </c>
      <c r="U262" s="42" t="str">
        <f t="shared" si="56"/>
        <v>Wee</v>
      </c>
      <c r="V262" s="42" t="str">
        <f t="shared" si="57"/>
        <v>kday</v>
      </c>
      <c r="W262" s="42">
        <f t="shared" si="58"/>
        <v>7</v>
      </c>
      <c r="X262" s="42">
        <f t="shared" si="59"/>
        <v>7.5800000000000006E-2</v>
      </c>
      <c r="Y262" s="3">
        <f t="shared" si="60"/>
        <v>82</v>
      </c>
      <c r="Z262" s="3">
        <f t="shared" si="64"/>
        <v>7883</v>
      </c>
      <c r="AA262" s="3">
        <f t="shared" si="61"/>
        <v>1232.2489122187819</v>
      </c>
      <c r="AB262" s="3">
        <f t="shared" si="62"/>
        <v>0.99911573903365103</v>
      </c>
      <c r="AC262" s="3" t="str">
        <f t="shared" si="63"/>
        <v>Normal</v>
      </c>
    </row>
    <row r="263" spans="1:29" x14ac:dyDescent="0.2">
      <c r="A263" s="4">
        <v>881</v>
      </c>
      <c r="B263" s="5">
        <v>40788</v>
      </c>
      <c r="C263" s="4">
        <v>1</v>
      </c>
      <c r="D263" s="4">
        <v>0</v>
      </c>
      <c r="E263" s="4">
        <v>2</v>
      </c>
      <c r="F263" s="4">
        <v>3</v>
      </c>
      <c r="G263" s="4" t="b">
        <v>0</v>
      </c>
      <c r="H263" s="4">
        <v>3</v>
      </c>
      <c r="I263" s="4">
        <v>1</v>
      </c>
      <c r="J263" s="4">
        <v>0.06</v>
      </c>
      <c r="K263" s="4">
        <v>7.5800000000000006E-2</v>
      </c>
      <c r="L263" s="4">
        <v>0.45</v>
      </c>
      <c r="M263" s="4">
        <v>0.1343</v>
      </c>
      <c r="N263" s="4">
        <v>0</v>
      </c>
      <c r="O263" s="4">
        <v>2</v>
      </c>
      <c r="P263" s="4">
        <v>2</v>
      </c>
      <c r="Q263" s="6" t="str">
        <f t="shared" si="52"/>
        <v>Weekday</v>
      </c>
      <c r="R263" s="42">
        <f t="shared" si="53"/>
        <v>33104</v>
      </c>
      <c r="S263" s="42">
        <f t="shared" si="54"/>
        <v>124.8388746803069</v>
      </c>
      <c r="T263" s="42">
        <f t="shared" si="55"/>
        <v>130</v>
      </c>
      <c r="U263" s="42" t="str">
        <f t="shared" si="56"/>
        <v>Wee</v>
      </c>
      <c r="V263" s="42" t="str">
        <f t="shared" si="57"/>
        <v>kday</v>
      </c>
      <c r="W263" s="42">
        <f t="shared" si="58"/>
        <v>7</v>
      </c>
      <c r="X263" s="42">
        <f t="shared" si="59"/>
        <v>7.5800000000000006E-2</v>
      </c>
      <c r="Y263" s="3">
        <f t="shared" si="60"/>
        <v>82</v>
      </c>
      <c r="Z263" s="3">
        <f t="shared" si="64"/>
        <v>7883</v>
      </c>
      <c r="AA263" s="3">
        <f t="shared" si="61"/>
        <v>1232.2489122187819</v>
      </c>
      <c r="AB263" s="3">
        <f t="shared" si="62"/>
        <v>0.99911573903365103</v>
      </c>
      <c r="AC263" s="3" t="str">
        <f t="shared" si="63"/>
        <v>Normal</v>
      </c>
    </row>
    <row r="264" spans="1:29" x14ac:dyDescent="0.2">
      <c r="A264" s="4">
        <v>882</v>
      </c>
      <c r="B264" s="5">
        <v>40788</v>
      </c>
      <c r="C264" s="4">
        <v>1</v>
      </c>
      <c r="D264" s="4">
        <v>0</v>
      </c>
      <c r="E264" s="4">
        <v>2</v>
      </c>
      <c r="F264" s="4">
        <v>5</v>
      </c>
      <c r="G264" s="4" t="b">
        <v>0</v>
      </c>
      <c r="H264" s="4">
        <v>3</v>
      </c>
      <c r="I264" s="4">
        <v>1</v>
      </c>
      <c r="J264" s="4">
        <v>0.06</v>
      </c>
      <c r="K264" s="4">
        <v>0.1061</v>
      </c>
      <c r="L264" s="4">
        <v>0.45</v>
      </c>
      <c r="M264" s="4">
        <v>0.1045</v>
      </c>
      <c r="N264" s="4">
        <v>0</v>
      </c>
      <c r="O264" s="4">
        <v>7</v>
      </c>
      <c r="P264" s="4">
        <v>7</v>
      </c>
      <c r="Q264" s="6" t="str">
        <f t="shared" si="52"/>
        <v>Weekday</v>
      </c>
      <c r="R264" s="42">
        <f t="shared" si="53"/>
        <v>33102</v>
      </c>
      <c r="S264" s="42">
        <f t="shared" si="54"/>
        <v>124.8388746803069</v>
      </c>
      <c r="T264" s="42">
        <f t="shared" si="55"/>
        <v>129</v>
      </c>
      <c r="U264" s="42" t="str">
        <f t="shared" si="56"/>
        <v>Wee</v>
      </c>
      <c r="V264" s="42" t="str">
        <f t="shared" si="57"/>
        <v>kday</v>
      </c>
      <c r="W264" s="42">
        <f t="shared" si="58"/>
        <v>7</v>
      </c>
      <c r="X264" s="42">
        <f t="shared" si="59"/>
        <v>0.1061</v>
      </c>
      <c r="Y264" s="3">
        <f t="shared" si="60"/>
        <v>82</v>
      </c>
      <c r="Z264" s="3">
        <f t="shared" si="64"/>
        <v>7883</v>
      </c>
      <c r="AA264" s="3">
        <f t="shared" si="61"/>
        <v>1232.2489122187819</v>
      </c>
      <c r="AB264" s="3">
        <f t="shared" si="62"/>
        <v>0.99911573903365103</v>
      </c>
      <c r="AC264" s="3" t="str">
        <f t="shared" si="63"/>
        <v>Normal</v>
      </c>
    </row>
    <row r="265" spans="1:29" x14ac:dyDescent="0.2">
      <c r="A265" s="4">
        <v>883</v>
      </c>
      <c r="B265" s="5">
        <v>40788</v>
      </c>
      <c r="C265" s="4">
        <v>1</v>
      </c>
      <c r="D265" s="4">
        <v>0</v>
      </c>
      <c r="E265" s="4">
        <v>2</v>
      </c>
      <c r="F265" s="4">
        <v>6</v>
      </c>
      <c r="G265" s="4" t="b">
        <v>0</v>
      </c>
      <c r="H265" s="4">
        <v>3</v>
      </c>
      <c r="I265" s="4">
        <v>1</v>
      </c>
      <c r="J265" s="4">
        <v>0.06</v>
      </c>
      <c r="K265" s="4">
        <v>0.1515</v>
      </c>
      <c r="L265" s="4">
        <v>0.45</v>
      </c>
      <c r="M265" s="4">
        <v>0</v>
      </c>
      <c r="N265" s="4">
        <v>0</v>
      </c>
      <c r="O265" s="4">
        <v>43</v>
      </c>
      <c r="P265" s="4">
        <v>43</v>
      </c>
      <c r="Q265" s="6" t="str">
        <f t="shared" si="52"/>
        <v>Weekday</v>
      </c>
      <c r="R265" s="42">
        <f t="shared" si="53"/>
        <v>33095</v>
      </c>
      <c r="S265" s="42">
        <f t="shared" si="54"/>
        <v>124.8388746803069</v>
      </c>
      <c r="T265" s="42">
        <f t="shared" si="55"/>
        <v>128</v>
      </c>
      <c r="U265" s="42" t="str">
        <f t="shared" si="56"/>
        <v>Wee</v>
      </c>
      <c r="V265" s="42" t="str">
        <f t="shared" si="57"/>
        <v>kday</v>
      </c>
      <c r="W265" s="42">
        <f t="shared" si="58"/>
        <v>7</v>
      </c>
      <c r="X265" s="42">
        <f t="shared" si="59"/>
        <v>0.1515</v>
      </c>
      <c r="Y265" s="3">
        <f t="shared" si="60"/>
        <v>82</v>
      </c>
      <c r="Z265" s="3">
        <f t="shared" si="64"/>
        <v>7883</v>
      </c>
      <c r="AA265" s="3">
        <f t="shared" si="61"/>
        <v>1232.2489122187819</v>
      </c>
      <c r="AB265" s="3">
        <f t="shared" si="62"/>
        <v>0.99911573903365103</v>
      </c>
      <c r="AC265" s="3" t="str">
        <f t="shared" si="63"/>
        <v>Normal</v>
      </c>
    </row>
    <row r="266" spans="1:29" x14ac:dyDescent="0.2">
      <c r="A266" s="4">
        <v>884</v>
      </c>
      <c r="B266" s="5">
        <v>40788</v>
      </c>
      <c r="C266" s="4">
        <v>1</v>
      </c>
      <c r="D266" s="4">
        <v>0</v>
      </c>
      <c r="E266" s="4">
        <v>2</v>
      </c>
      <c r="F266" s="4">
        <v>7</v>
      </c>
      <c r="G266" s="4" t="b">
        <v>0</v>
      </c>
      <c r="H266" s="4">
        <v>3</v>
      </c>
      <c r="I266" s="4">
        <v>1</v>
      </c>
      <c r="J266" s="4">
        <v>0.06</v>
      </c>
      <c r="K266" s="4">
        <v>0.1061</v>
      </c>
      <c r="L266" s="4">
        <v>0.49</v>
      </c>
      <c r="M266" s="4">
        <v>0.1045</v>
      </c>
      <c r="N266" s="4">
        <v>4</v>
      </c>
      <c r="O266" s="4">
        <v>95</v>
      </c>
      <c r="P266" s="4">
        <v>99</v>
      </c>
      <c r="Q266" s="6" t="str">
        <f t="shared" si="52"/>
        <v>Weekday</v>
      </c>
      <c r="R266" s="42">
        <f t="shared" si="53"/>
        <v>33052</v>
      </c>
      <c r="S266" s="42">
        <f t="shared" si="54"/>
        <v>124.8388746803069</v>
      </c>
      <c r="T266" s="42">
        <f t="shared" si="55"/>
        <v>127</v>
      </c>
      <c r="U266" s="42" t="str">
        <f t="shared" si="56"/>
        <v>Wee</v>
      </c>
      <c r="V266" s="42" t="str">
        <f t="shared" si="57"/>
        <v>kday</v>
      </c>
      <c r="W266" s="42">
        <f t="shared" si="58"/>
        <v>7</v>
      </c>
      <c r="X266" s="42">
        <f t="shared" si="59"/>
        <v>0.1061</v>
      </c>
      <c r="Y266" s="3">
        <f t="shared" si="60"/>
        <v>82</v>
      </c>
      <c r="Z266" s="3">
        <f t="shared" si="64"/>
        <v>7883</v>
      </c>
      <c r="AA266" s="3">
        <f t="shared" si="61"/>
        <v>1232.2489122187819</v>
      </c>
      <c r="AB266" s="3">
        <f t="shared" si="62"/>
        <v>0.99911573903365103</v>
      </c>
      <c r="AC266" s="3" t="str">
        <f t="shared" si="63"/>
        <v>Normal</v>
      </c>
    </row>
    <row r="267" spans="1:29" x14ac:dyDescent="0.2">
      <c r="A267" s="4">
        <v>885</v>
      </c>
      <c r="B267" s="5">
        <v>40788</v>
      </c>
      <c r="C267" s="4">
        <v>1</v>
      </c>
      <c r="D267" s="4">
        <v>0</v>
      </c>
      <c r="E267" s="4">
        <v>2</v>
      </c>
      <c r="F267" s="4">
        <v>8</v>
      </c>
      <c r="G267" s="4" t="b">
        <v>0</v>
      </c>
      <c r="H267" s="4">
        <v>3</v>
      </c>
      <c r="I267" s="4">
        <v>1</v>
      </c>
      <c r="J267" s="4">
        <v>0.1</v>
      </c>
      <c r="K267" s="4">
        <v>0.13639999999999999</v>
      </c>
      <c r="L267" s="4">
        <v>0.42</v>
      </c>
      <c r="M267" s="4">
        <v>0</v>
      </c>
      <c r="N267" s="4">
        <v>1</v>
      </c>
      <c r="O267" s="4">
        <v>198</v>
      </c>
      <c r="P267" s="4">
        <v>199</v>
      </c>
      <c r="Q267" s="6" t="str">
        <f t="shared" si="52"/>
        <v>Weekday</v>
      </c>
      <c r="R267" s="42">
        <f t="shared" si="53"/>
        <v>32953</v>
      </c>
      <c r="S267" s="42">
        <f t="shared" si="54"/>
        <v>124.8388746803069</v>
      </c>
      <c r="T267" s="42">
        <f t="shared" si="55"/>
        <v>126</v>
      </c>
      <c r="U267" s="42" t="str">
        <f t="shared" si="56"/>
        <v>Wee</v>
      </c>
      <c r="V267" s="42" t="str">
        <f t="shared" si="57"/>
        <v>kday</v>
      </c>
      <c r="W267" s="42">
        <f t="shared" si="58"/>
        <v>7</v>
      </c>
      <c r="X267" s="42">
        <f t="shared" si="59"/>
        <v>0.13639999999999999</v>
      </c>
      <c r="Y267" s="3">
        <f t="shared" si="60"/>
        <v>82</v>
      </c>
      <c r="Z267" s="3">
        <f t="shared" si="64"/>
        <v>7883</v>
      </c>
      <c r="AA267" s="3">
        <f t="shared" si="61"/>
        <v>1232.2489122187819</v>
      </c>
      <c r="AB267" s="3">
        <f t="shared" si="62"/>
        <v>0.99911573903365103</v>
      </c>
      <c r="AC267" s="3" t="str">
        <f t="shared" si="63"/>
        <v>Normal</v>
      </c>
    </row>
    <row r="268" spans="1:29" x14ac:dyDescent="0.2">
      <c r="A268" s="4">
        <v>886</v>
      </c>
      <c r="B268" s="5">
        <v>40788</v>
      </c>
      <c r="C268" s="4">
        <v>1</v>
      </c>
      <c r="D268" s="4">
        <v>0</v>
      </c>
      <c r="E268" s="4">
        <v>2</v>
      </c>
      <c r="F268" s="4">
        <v>9</v>
      </c>
      <c r="G268" s="4" t="b">
        <v>0</v>
      </c>
      <c r="H268" s="4">
        <v>3</v>
      </c>
      <c r="I268" s="4">
        <v>1</v>
      </c>
      <c r="J268" s="4">
        <v>0.12</v>
      </c>
      <c r="K268" s="4">
        <v>0.13639999999999999</v>
      </c>
      <c r="L268" s="4">
        <v>0.39</v>
      </c>
      <c r="M268" s="4">
        <v>0.16420000000000001</v>
      </c>
      <c r="N268" s="4">
        <v>4</v>
      </c>
      <c r="O268" s="4">
        <v>119</v>
      </c>
      <c r="P268" s="4">
        <v>123</v>
      </c>
      <c r="Q268" s="6" t="str">
        <f t="shared" si="52"/>
        <v>Weekday</v>
      </c>
      <c r="R268" s="42">
        <f t="shared" si="53"/>
        <v>32754</v>
      </c>
      <c r="S268" s="42">
        <f t="shared" si="54"/>
        <v>124.8388746803069</v>
      </c>
      <c r="T268" s="42">
        <f t="shared" si="55"/>
        <v>125</v>
      </c>
      <c r="U268" s="42" t="str">
        <f t="shared" si="56"/>
        <v>Wee</v>
      </c>
      <c r="V268" s="42" t="str">
        <f t="shared" si="57"/>
        <v>kday</v>
      </c>
      <c r="W268" s="42">
        <f t="shared" si="58"/>
        <v>7</v>
      </c>
      <c r="X268" s="42">
        <f t="shared" si="59"/>
        <v>0.13639999999999999</v>
      </c>
      <c r="Y268" s="3">
        <f t="shared" si="60"/>
        <v>82</v>
      </c>
      <c r="Z268" s="3">
        <f t="shared" si="64"/>
        <v>7883</v>
      </c>
      <c r="AA268" s="3">
        <f t="shared" si="61"/>
        <v>1232.2489122187819</v>
      </c>
      <c r="AB268" s="3">
        <f t="shared" si="62"/>
        <v>0.99911573903365103</v>
      </c>
      <c r="AC268" s="3" t="str">
        <f t="shared" si="63"/>
        <v>Normal</v>
      </c>
    </row>
    <row r="269" spans="1:29" x14ac:dyDescent="0.2">
      <c r="A269" s="4">
        <v>887</v>
      </c>
      <c r="B269" s="5">
        <v>40788</v>
      </c>
      <c r="C269" s="4">
        <v>1</v>
      </c>
      <c r="D269" s="4">
        <v>0</v>
      </c>
      <c r="E269" s="4">
        <v>2</v>
      </c>
      <c r="F269" s="4">
        <v>10</v>
      </c>
      <c r="G269" s="4" t="b">
        <v>0</v>
      </c>
      <c r="H269" s="4">
        <v>3</v>
      </c>
      <c r="I269" s="4">
        <v>1</v>
      </c>
      <c r="J269" s="4">
        <v>0.14000000000000001</v>
      </c>
      <c r="K269" s="4">
        <v>0.18179999999999999</v>
      </c>
      <c r="L269" s="4">
        <v>0.36</v>
      </c>
      <c r="M269" s="4">
        <v>0</v>
      </c>
      <c r="N269" s="4">
        <v>8</v>
      </c>
      <c r="O269" s="4">
        <v>51</v>
      </c>
      <c r="P269" s="4">
        <v>59</v>
      </c>
      <c r="Q269" s="6" t="str">
        <f t="shared" si="52"/>
        <v>Weekday</v>
      </c>
      <c r="R269" s="42">
        <f t="shared" si="53"/>
        <v>32631</v>
      </c>
      <c r="S269" s="42">
        <f t="shared" si="54"/>
        <v>124.8388746803069</v>
      </c>
      <c r="T269" s="42">
        <f t="shared" si="55"/>
        <v>124</v>
      </c>
      <c r="U269" s="42" t="str">
        <f t="shared" si="56"/>
        <v>Wee</v>
      </c>
      <c r="V269" s="42" t="str">
        <f t="shared" si="57"/>
        <v>kday</v>
      </c>
      <c r="W269" s="42">
        <f t="shared" si="58"/>
        <v>7</v>
      </c>
      <c r="X269" s="42">
        <f t="shared" si="59"/>
        <v>0.18179999999999999</v>
      </c>
      <c r="Y269" s="3">
        <f t="shared" si="60"/>
        <v>82</v>
      </c>
      <c r="Z269" s="3">
        <f t="shared" si="64"/>
        <v>7883</v>
      </c>
      <c r="AA269" s="3">
        <f t="shared" si="61"/>
        <v>1232.2489122187819</v>
      </c>
      <c r="AB269" s="3">
        <f t="shared" si="62"/>
        <v>0.99911573903365103</v>
      </c>
      <c r="AC269" s="3" t="str">
        <f t="shared" si="63"/>
        <v>Normal</v>
      </c>
    </row>
    <row r="270" spans="1:29" x14ac:dyDescent="0.2">
      <c r="A270" s="4">
        <v>888</v>
      </c>
      <c r="B270" s="5">
        <v>40788</v>
      </c>
      <c r="C270" s="4">
        <v>1</v>
      </c>
      <c r="D270" s="4">
        <v>0</v>
      </c>
      <c r="E270" s="4">
        <v>2</v>
      </c>
      <c r="F270" s="4">
        <v>11</v>
      </c>
      <c r="G270" s="4" t="b">
        <v>0</v>
      </c>
      <c r="H270" s="4">
        <v>3</v>
      </c>
      <c r="I270" s="4">
        <v>2</v>
      </c>
      <c r="J270" s="4">
        <v>0.14000000000000001</v>
      </c>
      <c r="K270" s="4">
        <v>0.1515</v>
      </c>
      <c r="L270" s="4">
        <v>0.43</v>
      </c>
      <c r="M270" s="4">
        <v>0.16420000000000001</v>
      </c>
      <c r="N270" s="4">
        <v>1</v>
      </c>
      <c r="O270" s="4">
        <v>40</v>
      </c>
      <c r="P270" s="4">
        <v>41</v>
      </c>
      <c r="Q270" s="6" t="str">
        <f t="shared" si="52"/>
        <v>Weekday</v>
      </c>
      <c r="R270" s="42">
        <f t="shared" si="53"/>
        <v>32572</v>
      </c>
      <c r="S270" s="42">
        <f t="shared" si="54"/>
        <v>124.8388746803069</v>
      </c>
      <c r="T270" s="42">
        <f t="shared" si="55"/>
        <v>123</v>
      </c>
      <c r="U270" s="42" t="str">
        <f t="shared" si="56"/>
        <v>Wee</v>
      </c>
      <c r="V270" s="42" t="str">
        <f t="shared" si="57"/>
        <v>kday</v>
      </c>
      <c r="W270" s="42">
        <f t="shared" si="58"/>
        <v>7</v>
      </c>
      <c r="X270" s="42">
        <f t="shared" si="59"/>
        <v>0.1515</v>
      </c>
      <c r="Y270" s="3">
        <f t="shared" si="60"/>
        <v>82</v>
      </c>
      <c r="Z270" s="3">
        <f t="shared" si="64"/>
        <v>7883</v>
      </c>
      <c r="AA270" s="3">
        <f t="shared" si="61"/>
        <v>1232.2489122187819</v>
      </c>
      <c r="AB270" s="3">
        <f t="shared" si="62"/>
        <v>0.99911573903365103</v>
      </c>
      <c r="AC270" s="3" t="str">
        <f t="shared" si="63"/>
        <v>Normal</v>
      </c>
    </row>
    <row r="271" spans="1:29" x14ac:dyDescent="0.2">
      <c r="A271" s="4">
        <v>889</v>
      </c>
      <c r="B271" s="5">
        <v>40788</v>
      </c>
      <c r="C271" s="4">
        <v>1</v>
      </c>
      <c r="D271" s="4">
        <v>0</v>
      </c>
      <c r="E271" s="4">
        <v>2</v>
      </c>
      <c r="F271" s="4">
        <v>12</v>
      </c>
      <c r="G271" s="4" t="b">
        <v>0</v>
      </c>
      <c r="H271" s="4">
        <v>3</v>
      </c>
      <c r="I271" s="4">
        <v>2</v>
      </c>
      <c r="J271" s="4">
        <v>0.18</v>
      </c>
      <c r="K271" s="4">
        <v>0.18179999999999999</v>
      </c>
      <c r="L271" s="4">
        <v>0.4</v>
      </c>
      <c r="M271" s="4">
        <v>0.22389999999999999</v>
      </c>
      <c r="N271" s="4">
        <v>4</v>
      </c>
      <c r="O271" s="4">
        <v>57</v>
      </c>
      <c r="P271" s="4">
        <v>61</v>
      </c>
      <c r="Q271" s="6" t="str">
        <f t="shared" si="52"/>
        <v>Weekday</v>
      </c>
      <c r="R271" s="42">
        <f t="shared" si="53"/>
        <v>32531</v>
      </c>
      <c r="S271" s="42">
        <f t="shared" si="54"/>
        <v>124.8388746803069</v>
      </c>
      <c r="T271" s="42">
        <f t="shared" si="55"/>
        <v>122</v>
      </c>
      <c r="U271" s="42" t="str">
        <f t="shared" si="56"/>
        <v>Wee</v>
      </c>
      <c r="V271" s="42" t="str">
        <f t="shared" si="57"/>
        <v>kday</v>
      </c>
      <c r="W271" s="42">
        <f t="shared" si="58"/>
        <v>7</v>
      </c>
      <c r="X271" s="42">
        <f t="shared" si="59"/>
        <v>0.18179999999999999</v>
      </c>
      <c r="Y271" s="3">
        <f t="shared" si="60"/>
        <v>82</v>
      </c>
      <c r="Z271" s="3">
        <f t="shared" si="64"/>
        <v>7883</v>
      </c>
      <c r="AA271" s="3">
        <f t="shared" si="61"/>
        <v>1232.2489122187819</v>
      </c>
      <c r="AB271" s="3">
        <f t="shared" si="62"/>
        <v>0.99911573903365103</v>
      </c>
      <c r="AC271" s="3" t="str">
        <f t="shared" si="63"/>
        <v>Normal</v>
      </c>
    </row>
    <row r="272" spans="1:29" x14ac:dyDescent="0.2">
      <c r="A272" s="4">
        <v>890</v>
      </c>
      <c r="B272" s="5">
        <v>40788</v>
      </c>
      <c r="C272" s="4">
        <v>1</v>
      </c>
      <c r="D272" s="4">
        <v>0</v>
      </c>
      <c r="E272" s="4">
        <v>2</v>
      </c>
      <c r="F272" s="4">
        <v>13</v>
      </c>
      <c r="G272" s="4" t="b">
        <v>0</v>
      </c>
      <c r="H272" s="4">
        <v>3</v>
      </c>
      <c r="I272" s="4">
        <v>1</v>
      </c>
      <c r="J272" s="4">
        <v>0.18</v>
      </c>
      <c r="K272" s="4">
        <v>0.16669999999999999</v>
      </c>
      <c r="L272" s="4">
        <v>0.4</v>
      </c>
      <c r="M272" s="4">
        <v>0.25369999999999998</v>
      </c>
      <c r="N272" s="4">
        <v>2</v>
      </c>
      <c r="O272" s="4">
        <v>67</v>
      </c>
      <c r="P272" s="4">
        <v>69</v>
      </c>
      <c r="Q272" s="6" t="str">
        <f t="shared" si="52"/>
        <v>Weekday</v>
      </c>
      <c r="R272" s="42">
        <f t="shared" si="53"/>
        <v>32470</v>
      </c>
      <c r="S272" s="42">
        <f t="shared" si="54"/>
        <v>124.8388746803069</v>
      </c>
      <c r="T272" s="42">
        <f t="shared" si="55"/>
        <v>121</v>
      </c>
      <c r="U272" s="42" t="str">
        <f t="shared" si="56"/>
        <v>Wee</v>
      </c>
      <c r="V272" s="42" t="str">
        <f t="shared" si="57"/>
        <v>kday</v>
      </c>
      <c r="W272" s="42">
        <f t="shared" si="58"/>
        <v>7</v>
      </c>
      <c r="X272" s="42">
        <f t="shared" si="59"/>
        <v>0.16669999999999999</v>
      </c>
      <c r="Y272" s="3">
        <f t="shared" si="60"/>
        <v>82</v>
      </c>
      <c r="Z272" s="3">
        <f t="shared" si="64"/>
        <v>7883</v>
      </c>
      <c r="AA272" s="3">
        <f t="shared" si="61"/>
        <v>1232.2489122187819</v>
      </c>
      <c r="AB272" s="3">
        <f t="shared" si="62"/>
        <v>0.99911573903365103</v>
      </c>
      <c r="AC272" s="3" t="str">
        <f t="shared" si="63"/>
        <v>Normal</v>
      </c>
    </row>
    <row r="273" spans="1:29" x14ac:dyDescent="0.2">
      <c r="A273" s="4">
        <v>891</v>
      </c>
      <c r="B273" s="5">
        <v>40788</v>
      </c>
      <c r="C273" s="4">
        <v>1</v>
      </c>
      <c r="D273" s="4">
        <v>0</v>
      </c>
      <c r="E273" s="4">
        <v>2</v>
      </c>
      <c r="F273" s="4">
        <v>14</v>
      </c>
      <c r="G273" s="4" t="b">
        <v>0</v>
      </c>
      <c r="H273" s="4">
        <v>3</v>
      </c>
      <c r="I273" s="4">
        <v>1</v>
      </c>
      <c r="J273" s="4">
        <v>0.2</v>
      </c>
      <c r="K273" s="4">
        <v>0.18179999999999999</v>
      </c>
      <c r="L273" s="4">
        <v>0.34</v>
      </c>
      <c r="M273" s="4">
        <v>0.29849999999999999</v>
      </c>
      <c r="N273" s="4">
        <v>2</v>
      </c>
      <c r="O273" s="4">
        <v>56</v>
      </c>
      <c r="P273" s="4">
        <v>58</v>
      </c>
      <c r="Q273" s="6" t="str">
        <f t="shared" si="52"/>
        <v>Weekday</v>
      </c>
      <c r="R273" s="42">
        <f t="shared" si="53"/>
        <v>32401</v>
      </c>
      <c r="S273" s="42">
        <f t="shared" si="54"/>
        <v>124.8388746803069</v>
      </c>
      <c r="T273" s="42">
        <f t="shared" si="55"/>
        <v>120</v>
      </c>
      <c r="U273" s="42" t="str">
        <f t="shared" si="56"/>
        <v>Wee</v>
      </c>
      <c r="V273" s="42" t="str">
        <f t="shared" si="57"/>
        <v>kday</v>
      </c>
      <c r="W273" s="42">
        <f t="shared" si="58"/>
        <v>7</v>
      </c>
      <c r="X273" s="42">
        <f t="shared" si="59"/>
        <v>0.18179999999999999</v>
      </c>
      <c r="Y273" s="3">
        <f t="shared" si="60"/>
        <v>82</v>
      </c>
      <c r="Z273" s="3">
        <f t="shared" si="64"/>
        <v>7883</v>
      </c>
      <c r="AA273" s="3">
        <f t="shared" si="61"/>
        <v>1232.2489122187819</v>
      </c>
      <c r="AB273" s="3">
        <f t="shared" si="62"/>
        <v>0.99911573903365103</v>
      </c>
      <c r="AC273" s="3" t="str">
        <f t="shared" si="63"/>
        <v>Normal</v>
      </c>
    </row>
    <row r="274" spans="1:29" x14ac:dyDescent="0.2">
      <c r="A274" s="4">
        <v>892</v>
      </c>
      <c r="B274" s="5">
        <v>40788</v>
      </c>
      <c r="C274" s="4">
        <v>1</v>
      </c>
      <c r="D274" s="4">
        <v>0</v>
      </c>
      <c r="E274" s="4">
        <v>2</v>
      </c>
      <c r="F274" s="4">
        <v>15</v>
      </c>
      <c r="G274" s="4" t="b">
        <v>0</v>
      </c>
      <c r="H274" s="4">
        <v>3</v>
      </c>
      <c r="I274" s="4">
        <v>2</v>
      </c>
      <c r="J274" s="4">
        <v>0.2</v>
      </c>
      <c r="K274" s="4">
        <v>0.18179999999999999</v>
      </c>
      <c r="L274" s="4">
        <v>0.34</v>
      </c>
      <c r="M274" s="4">
        <v>0.28360000000000002</v>
      </c>
      <c r="N274" s="4">
        <v>3</v>
      </c>
      <c r="O274" s="4">
        <v>61</v>
      </c>
      <c r="P274" s="4">
        <v>64</v>
      </c>
      <c r="Q274" s="6" t="str">
        <f t="shared" si="52"/>
        <v>Weekday</v>
      </c>
      <c r="R274" s="42">
        <f t="shared" si="53"/>
        <v>32343</v>
      </c>
      <c r="S274" s="42">
        <f t="shared" si="54"/>
        <v>124.8388746803069</v>
      </c>
      <c r="T274" s="42">
        <f t="shared" si="55"/>
        <v>119</v>
      </c>
      <c r="U274" s="42" t="str">
        <f t="shared" si="56"/>
        <v>Wee</v>
      </c>
      <c r="V274" s="42" t="str">
        <f t="shared" si="57"/>
        <v>kday</v>
      </c>
      <c r="W274" s="42">
        <f t="shared" si="58"/>
        <v>7</v>
      </c>
      <c r="X274" s="42">
        <f t="shared" si="59"/>
        <v>0.18179999999999999</v>
      </c>
      <c r="Y274" s="3">
        <f t="shared" si="60"/>
        <v>82</v>
      </c>
      <c r="Z274" s="3">
        <f t="shared" si="64"/>
        <v>7883</v>
      </c>
      <c r="AA274" s="3">
        <f t="shared" si="61"/>
        <v>1232.2489122187819</v>
      </c>
      <c r="AB274" s="3">
        <f t="shared" si="62"/>
        <v>0.99911573903365103</v>
      </c>
      <c r="AC274" s="3" t="str">
        <f t="shared" si="63"/>
        <v>Normal</v>
      </c>
    </row>
    <row r="275" spans="1:29" x14ac:dyDescent="0.2">
      <c r="A275" s="4">
        <v>893</v>
      </c>
      <c r="B275" s="5">
        <v>40788</v>
      </c>
      <c r="C275" s="4">
        <v>1</v>
      </c>
      <c r="D275" s="4">
        <v>0</v>
      </c>
      <c r="E275" s="4">
        <v>2</v>
      </c>
      <c r="F275" s="4">
        <v>16</v>
      </c>
      <c r="G275" s="4" t="b">
        <v>0</v>
      </c>
      <c r="H275" s="4">
        <v>3</v>
      </c>
      <c r="I275" s="4">
        <v>2</v>
      </c>
      <c r="J275" s="4">
        <v>0.2</v>
      </c>
      <c r="K275" s="4">
        <v>0.19700000000000001</v>
      </c>
      <c r="L275" s="4">
        <v>0.37</v>
      </c>
      <c r="M275" s="4">
        <v>0.25369999999999998</v>
      </c>
      <c r="N275" s="4">
        <v>7</v>
      </c>
      <c r="O275" s="4">
        <v>72</v>
      </c>
      <c r="P275" s="4">
        <v>79</v>
      </c>
      <c r="Q275" s="6" t="str">
        <f t="shared" si="52"/>
        <v>Weekday</v>
      </c>
      <c r="R275" s="42">
        <f t="shared" si="53"/>
        <v>32279</v>
      </c>
      <c r="S275" s="42">
        <f t="shared" si="54"/>
        <v>124.8388746803069</v>
      </c>
      <c r="T275" s="42">
        <f t="shared" si="55"/>
        <v>118</v>
      </c>
      <c r="U275" s="42" t="str">
        <f t="shared" si="56"/>
        <v>Wee</v>
      </c>
      <c r="V275" s="42" t="str">
        <f t="shared" si="57"/>
        <v>kday</v>
      </c>
      <c r="W275" s="42">
        <f t="shared" si="58"/>
        <v>7</v>
      </c>
      <c r="X275" s="42">
        <f t="shared" si="59"/>
        <v>0.19700000000000001</v>
      </c>
      <c r="Y275" s="3">
        <f t="shared" si="60"/>
        <v>82</v>
      </c>
      <c r="Z275" s="3">
        <f t="shared" si="64"/>
        <v>7883</v>
      </c>
      <c r="AA275" s="3">
        <f t="shared" si="61"/>
        <v>1232.2489122187819</v>
      </c>
      <c r="AB275" s="3">
        <f t="shared" si="62"/>
        <v>0.99911573903365103</v>
      </c>
      <c r="AC275" s="3" t="str">
        <f t="shared" si="63"/>
        <v>Normal</v>
      </c>
    </row>
    <row r="276" spans="1:29" x14ac:dyDescent="0.2">
      <c r="A276" s="4">
        <v>894</v>
      </c>
      <c r="B276" s="5">
        <v>40788</v>
      </c>
      <c r="C276" s="4">
        <v>1</v>
      </c>
      <c r="D276" s="4">
        <v>0</v>
      </c>
      <c r="E276" s="4">
        <v>2</v>
      </c>
      <c r="F276" s="4">
        <v>17</v>
      </c>
      <c r="G276" s="4" t="b">
        <v>0</v>
      </c>
      <c r="H276" s="4">
        <v>3</v>
      </c>
      <c r="I276" s="4">
        <v>2</v>
      </c>
      <c r="J276" s="4">
        <v>0.2</v>
      </c>
      <c r="K276" s="4">
        <v>0.19700000000000001</v>
      </c>
      <c r="L276" s="4">
        <v>0.34</v>
      </c>
      <c r="M276" s="4">
        <v>0.25369999999999998</v>
      </c>
      <c r="N276" s="4">
        <v>9</v>
      </c>
      <c r="O276" s="4">
        <v>157</v>
      </c>
      <c r="P276" s="4">
        <v>166</v>
      </c>
      <c r="Q276" s="6" t="str">
        <f t="shared" si="52"/>
        <v>Weekday</v>
      </c>
      <c r="R276" s="42">
        <f t="shared" si="53"/>
        <v>32200</v>
      </c>
      <c r="S276" s="42">
        <f t="shared" si="54"/>
        <v>124.8388746803069</v>
      </c>
      <c r="T276" s="42">
        <f t="shared" si="55"/>
        <v>117</v>
      </c>
      <c r="U276" s="42" t="str">
        <f t="shared" si="56"/>
        <v>Wee</v>
      </c>
      <c r="V276" s="42" t="str">
        <f t="shared" si="57"/>
        <v>kday</v>
      </c>
      <c r="W276" s="42">
        <f t="shared" si="58"/>
        <v>7</v>
      </c>
      <c r="X276" s="42">
        <f t="shared" si="59"/>
        <v>0.19700000000000001</v>
      </c>
      <c r="Y276" s="3">
        <f t="shared" si="60"/>
        <v>82</v>
      </c>
      <c r="Z276" s="3">
        <f t="shared" si="64"/>
        <v>7883</v>
      </c>
      <c r="AA276" s="3">
        <f t="shared" si="61"/>
        <v>1232.2489122187819</v>
      </c>
      <c r="AB276" s="3">
        <f t="shared" si="62"/>
        <v>0.99911573903365103</v>
      </c>
      <c r="AC276" s="3" t="str">
        <f t="shared" si="63"/>
        <v>Normal</v>
      </c>
    </row>
    <row r="277" spans="1:29" x14ac:dyDescent="0.2">
      <c r="A277" s="4">
        <v>895</v>
      </c>
      <c r="B277" s="5">
        <v>40788</v>
      </c>
      <c r="C277" s="4">
        <v>1</v>
      </c>
      <c r="D277" s="4">
        <v>0</v>
      </c>
      <c r="E277" s="4">
        <v>2</v>
      </c>
      <c r="F277" s="4">
        <v>18</v>
      </c>
      <c r="G277" s="4" t="b">
        <v>0</v>
      </c>
      <c r="H277" s="4">
        <v>3</v>
      </c>
      <c r="I277" s="4">
        <v>2</v>
      </c>
      <c r="J277" s="4">
        <v>0.18</v>
      </c>
      <c r="K277" s="4">
        <v>0.16669999999999999</v>
      </c>
      <c r="L277" s="4">
        <v>0.47</v>
      </c>
      <c r="M277" s="4">
        <v>0.29849999999999999</v>
      </c>
      <c r="N277" s="4">
        <v>2</v>
      </c>
      <c r="O277" s="4">
        <v>168</v>
      </c>
      <c r="P277" s="4">
        <v>170</v>
      </c>
      <c r="Q277" s="6" t="str">
        <f t="shared" si="52"/>
        <v>Weekday</v>
      </c>
      <c r="R277" s="42">
        <f t="shared" si="53"/>
        <v>32034</v>
      </c>
      <c r="S277" s="42">
        <f t="shared" si="54"/>
        <v>124.8388746803069</v>
      </c>
      <c r="T277" s="42">
        <f t="shared" si="55"/>
        <v>116</v>
      </c>
      <c r="U277" s="42" t="str">
        <f t="shared" si="56"/>
        <v>Wee</v>
      </c>
      <c r="V277" s="42" t="str">
        <f t="shared" si="57"/>
        <v>kday</v>
      </c>
      <c r="W277" s="42">
        <f t="shared" si="58"/>
        <v>7</v>
      </c>
      <c r="X277" s="42">
        <f t="shared" si="59"/>
        <v>0.16669999999999999</v>
      </c>
      <c r="Y277" s="3">
        <f t="shared" si="60"/>
        <v>82</v>
      </c>
      <c r="Z277" s="3">
        <f t="shared" si="64"/>
        <v>7883</v>
      </c>
      <c r="AA277" s="3">
        <f t="shared" si="61"/>
        <v>1232.2489122187819</v>
      </c>
      <c r="AB277" s="3">
        <f t="shared" si="62"/>
        <v>0.99911573903365103</v>
      </c>
      <c r="AC277" s="3" t="str">
        <f t="shared" si="63"/>
        <v>Normal</v>
      </c>
    </row>
    <row r="278" spans="1:29" x14ac:dyDescent="0.2">
      <c r="A278" s="4">
        <v>896</v>
      </c>
      <c r="B278" s="5">
        <v>40788</v>
      </c>
      <c r="C278" s="4">
        <v>1</v>
      </c>
      <c r="D278" s="4">
        <v>0</v>
      </c>
      <c r="E278" s="4">
        <v>2</v>
      </c>
      <c r="F278" s="4">
        <v>19</v>
      </c>
      <c r="G278" s="4" t="b">
        <v>0</v>
      </c>
      <c r="H278" s="4">
        <v>3</v>
      </c>
      <c r="I278" s="4">
        <v>3</v>
      </c>
      <c r="J278" s="4">
        <v>0.14000000000000001</v>
      </c>
      <c r="K278" s="4">
        <v>0.1212</v>
      </c>
      <c r="L278" s="4">
        <v>0.86</v>
      </c>
      <c r="M278" s="4">
        <v>0.25369999999999998</v>
      </c>
      <c r="N278" s="4">
        <v>1</v>
      </c>
      <c r="O278" s="4">
        <v>87</v>
      </c>
      <c r="P278" s="4">
        <v>88</v>
      </c>
      <c r="Q278" s="6" t="str">
        <f t="shared" si="52"/>
        <v>Weekday</v>
      </c>
      <c r="R278" s="42">
        <f t="shared" si="53"/>
        <v>31864</v>
      </c>
      <c r="S278" s="42">
        <f t="shared" si="54"/>
        <v>124.8388746803069</v>
      </c>
      <c r="T278" s="42">
        <f t="shared" si="55"/>
        <v>115</v>
      </c>
      <c r="U278" s="42" t="str">
        <f t="shared" si="56"/>
        <v>Wee</v>
      </c>
      <c r="V278" s="42" t="str">
        <f t="shared" si="57"/>
        <v>kday</v>
      </c>
      <c r="W278" s="42">
        <f t="shared" si="58"/>
        <v>7</v>
      </c>
      <c r="X278" s="42">
        <f t="shared" si="59"/>
        <v>0.1212</v>
      </c>
      <c r="Y278" s="3">
        <f t="shared" si="60"/>
        <v>82</v>
      </c>
      <c r="Z278" s="3">
        <f t="shared" si="64"/>
        <v>7883</v>
      </c>
      <c r="AA278" s="3">
        <f t="shared" si="61"/>
        <v>1232.2489122187819</v>
      </c>
      <c r="AB278" s="3">
        <f t="shared" si="62"/>
        <v>0.99911573903365103</v>
      </c>
      <c r="AC278" s="3" t="str">
        <f t="shared" si="63"/>
        <v>Normal</v>
      </c>
    </row>
    <row r="279" spans="1:29" x14ac:dyDescent="0.2">
      <c r="A279" s="4">
        <v>897</v>
      </c>
      <c r="B279" s="5">
        <v>40788</v>
      </c>
      <c r="C279" s="4">
        <v>1</v>
      </c>
      <c r="D279" s="4">
        <v>0</v>
      </c>
      <c r="E279" s="4">
        <v>2</v>
      </c>
      <c r="F279" s="4">
        <v>20</v>
      </c>
      <c r="G279" s="4" t="b">
        <v>0</v>
      </c>
      <c r="H279" s="4">
        <v>3</v>
      </c>
      <c r="I279" s="4">
        <v>3</v>
      </c>
      <c r="J279" s="4">
        <v>0.14000000000000001</v>
      </c>
      <c r="K279" s="4">
        <v>0.1515</v>
      </c>
      <c r="L279" s="4">
        <v>0.86</v>
      </c>
      <c r="M279" s="4">
        <v>0.16420000000000001</v>
      </c>
      <c r="N279" s="4">
        <v>0</v>
      </c>
      <c r="O279" s="4">
        <v>84</v>
      </c>
      <c r="P279" s="4">
        <v>84</v>
      </c>
      <c r="Q279" s="6" t="str">
        <f t="shared" si="52"/>
        <v>Weekday</v>
      </c>
      <c r="R279" s="42">
        <f t="shared" si="53"/>
        <v>31776</v>
      </c>
      <c r="S279" s="42">
        <f t="shared" si="54"/>
        <v>124.8388746803069</v>
      </c>
      <c r="T279" s="42">
        <f t="shared" si="55"/>
        <v>114</v>
      </c>
      <c r="U279" s="42" t="str">
        <f t="shared" si="56"/>
        <v>Wee</v>
      </c>
      <c r="V279" s="42" t="str">
        <f t="shared" si="57"/>
        <v>kday</v>
      </c>
      <c r="W279" s="42">
        <f t="shared" si="58"/>
        <v>7</v>
      </c>
      <c r="X279" s="42">
        <f t="shared" si="59"/>
        <v>0.1515</v>
      </c>
      <c r="Y279" s="3">
        <f t="shared" si="60"/>
        <v>82</v>
      </c>
      <c r="Z279" s="3">
        <f t="shared" si="64"/>
        <v>7883</v>
      </c>
      <c r="AA279" s="3">
        <f t="shared" si="61"/>
        <v>1232.2489122187819</v>
      </c>
      <c r="AB279" s="3">
        <f t="shared" si="62"/>
        <v>0.99911573903365103</v>
      </c>
      <c r="AC279" s="3" t="str">
        <f t="shared" si="63"/>
        <v>Normal</v>
      </c>
    </row>
    <row r="280" spans="1:29" x14ac:dyDescent="0.2">
      <c r="A280" s="4">
        <v>898</v>
      </c>
      <c r="B280" s="5">
        <v>40788</v>
      </c>
      <c r="C280" s="4">
        <v>1</v>
      </c>
      <c r="D280" s="4">
        <v>0</v>
      </c>
      <c r="E280" s="4">
        <v>2</v>
      </c>
      <c r="F280" s="4">
        <v>21</v>
      </c>
      <c r="G280" s="4" t="b">
        <v>0</v>
      </c>
      <c r="H280" s="4">
        <v>3</v>
      </c>
      <c r="I280" s="4">
        <v>2</v>
      </c>
      <c r="J280" s="4">
        <v>0.14000000000000001</v>
      </c>
      <c r="K280" s="4">
        <v>0.1515</v>
      </c>
      <c r="L280" s="4">
        <v>0.86</v>
      </c>
      <c r="M280" s="4">
        <v>0.16420000000000001</v>
      </c>
      <c r="N280" s="4">
        <v>0</v>
      </c>
      <c r="O280" s="4">
        <v>83</v>
      </c>
      <c r="P280" s="4">
        <v>83</v>
      </c>
      <c r="Q280" s="6" t="str">
        <f t="shared" si="52"/>
        <v>Weekday</v>
      </c>
      <c r="R280" s="42">
        <f t="shared" si="53"/>
        <v>31692</v>
      </c>
      <c r="S280" s="42">
        <f t="shared" si="54"/>
        <v>124.8388746803069</v>
      </c>
      <c r="T280" s="42">
        <f t="shared" si="55"/>
        <v>113</v>
      </c>
      <c r="U280" s="42" t="str">
        <f t="shared" si="56"/>
        <v>Wee</v>
      </c>
      <c r="V280" s="42" t="str">
        <f t="shared" si="57"/>
        <v>kday</v>
      </c>
      <c r="W280" s="42">
        <f t="shared" si="58"/>
        <v>7</v>
      </c>
      <c r="X280" s="42">
        <f t="shared" si="59"/>
        <v>0.1515</v>
      </c>
      <c r="Y280" s="3">
        <f t="shared" si="60"/>
        <v>82</v>
      </c>
      <c r="Z280" s="3">
        <f t="shared" si="64"/>
        <v>7883</v>
      </c>
      <c r="AA280" s="3">
        <f t="shared" si="61"/>
        <v>1232.2489122187819</v>
      </c>
      <c r="AB280" s="3">
        <f t="shared" si="62"/>
        <v>0.99911573903365103</v>
      </c>
      <c r="AC280" s="3" t="str">
        <f t="shared" si="63"/>
        <v>Normal</v>
      </c>
    </row>
    <row r="281" spans="1:29" x14ac:dyDescent="0.2">
      <c r="A281" s="4">
        <v>899</v>
      </c>
      <c r="B281" s="5">
        <v>40788</v>
      </c>
      <c r="C281" s="4">
        <v>1</v>
      </c>
      <c r="D281" s="4">
        <v>0</v>
      </c>
      <c r="E281" s="4">
        <v>2</v>
      </c>
      <c r="F281" s="4">
        <v>22</v>
      </c>
      <c r="G281" s="4" t="b">
        <v>0</v>
      </c>
      <c r="H281" s="4">
        <v>3</v>
      </c>
      <c r="I281" s="4">
        <v>3</v>
      </c>
      <c r="J281" s="4">
        <v>0.16</v>
      </c>
      <c r="K281" s="4">
        <v>0.16669999999999999</v>
      </c>
      <c r="L281" s="4">
        <v>0.8</v>
      </c>
      <c r="M281" s="4">
        <v>0.16420000000000001</v>
      </c>
      <c r="N281" s="4">
        <v>4</v>
      </c>
      <c r="O281" s="4">
        <v>42</v>
      </c>
      <c r="P281" s="4">
        <v>46</v>
      </c>
      <c r="Q281" s="6" t="str">
        <f t="shared" si="52"/>
        <v>Weekday</v>
      </c>
      <c r="R281" s="42">
        <f t="shared" si="53"/>
        <v>31609</v>
      </c>
      <c r="S281" s="42">
        <f t="shared" si="54"/>
        <v>124.8388746803069</v>
      </c>
      <c r="T281" s="42">
        <f t="shared" si="55"/>
        <v>112</v>
      </c>
      <c r="U281" s="42" t="str">
        <f t="shared" si="56"/>
        <v>Wee</v>
      </c>
      <c r="V281" s="42" t="str">
        <f t="shared" si="57"/>
        <v>kday</v>
      </c>
      <c r="W281" s="42">
        <f t="shared" si="58"/>
        <v>7</v>
      </c>
      <c r="X281" s="42">
        <f t="shared" si="59"/>
        <v>0.16669999999999999</v>
      </c>
      <c r="Y281" s="3">
        <f t="shared" si="60"/>
        <v>82</v>
      </c>
      <c r="Z281" s="3">
        <f t="shared" si="64"/>
        <v>7883</v>
      </c>
      <c r="AA281" s="3">
        <f t="shared" si="61"/>
        <v>1232.2489122187819</v>
      </c>
      <c r="AB281" s="3">
        <f t="shared" si="62"/>
        <v>0.99911573903365103</v>
      </c>
      <c r="AC281" s="3" t="str">
        <f t="shared" si="63"/>
        <v>Normal</v>
      </c>
    </row>
    <row r="282" spans="1:29" x14ac:dyDescent="0.2">
      <c r="A282" s="4">
        <v>900</v>
      </c>
      <c r="B282" s="5">
        <v>40788</v>
      </c>
      <c r="C282" s="4">
        <v>1</v>
      </c>
      <c r="D282" s="4">
        <v>0</v>
      </c>
      <c r="E282" s="4">
        <v>2</v>
      </c>
      <c r="F282" s="4">
        <v>23</v>
      </c>
      <c r="G282" s="4" t="b">
        <v>0</v>
      </c>
      <c r="H282" s="4">
        <v>3</v>
      </c>
      <c r="I282" s="4">
        <v>3</v>
      </c>
      <c r="J282" s="4">
        <v>0.16</v>
      </c>
      <c r="K282" s="4">
        <v>0.1515</v>
      </c>
      <c r="L282" s="4">
        <v>0.8</v>
      </c>
      <c r="M282" s="4">
        <v>0.19400000000000001</v>
      </c>
      <c r="N282" s="4">
        <v>0</v>
      </c>
      <c r="O282" s="4">
        <v>37</v>
      </c>
      <c r="P282" s="4">
        <v>37</v>
      </c>
      <c r="Q282" s="6" t="str">
        <f t="shared" si="52"/>
        <v>Weekday</v>
      </c>
      <c r="R282" s="42">
        <f t="shared" si="53"/>
        <v>31563</v>
      </c>
      <c r="S282" s="42">
        <f t="shared" si="54"/>
        <v>124.8388746803069</v>
      </c>
      <c r="T282" s="42">
        <f t="shared" si="55"/>
        <v>111</v>
      </c>
      <c r="U282" s="42" t="str">
        <f t="shared" si="56"/>
        <v>Wee</v>
      </c>
      <c r="V282" s="42" t="str">
        <f t="shared" si="57"/>
        <v>kday</v>
      </c>
      <c r="W282" s="42">
        <f t="shared" si="58"/>
        <v>7</v>
      </c>
      <c r="X282" s="42">
        <f t="shared" si="59"/>
        <v>0.1515</v>
      </c>
      <c r="Y282" s="3">
        <f t="shared" si="60"/>
        <v>82</v>
      </c>
      <c r="Z282" s="3">
        <f t="shared" si="64"/>
        <v>7883</v>
      </c>
      <c r="AA282" s="3">
        <f t="shared" si="61"/>
        <v>1232.2489122187819</v>
      </c>
      <c r="AB282" s="3">
        <f t="shared" si="62"/>
        <v>0.99911573903365103</v>
      </c>
      <c r="AC282" s="3" t="str">
        <f t="shared" si="63"/>
        <v>Normal</v>
      </c>
    </row>
    <row r="283" spans="1:29" x14ac:dyDescent="0.2">
      <c r="A283" s="4">
        <v>901</v>
      </c>
      <c r="B283" s="5">
        <v>40818</v>
      </c>
      <c r="C283" s="4">
        <v>1</v>
      </c>
      <c r="D283" s="4">
        <v>0</v>
      </c>
      <c r="E283" s="4">
        <v>2</v>
      </c>
      <c r="F283" s="4">
        <v>0</v>
      </c>
      <c r="G283" s="4" t="b">
        <v>0</v>
      </c>
      <c r="H283" s="4">
        <v>4</v>
      </c>
      <c r="I283" s="4">
        <v>3</v>
      </c>
      <c r="J283" s="4">
        <v>0.14000000000000001</v>
      </c>
      <c r="K283" s="4">
        <v>0.13639999999999999</v>
      </c>
      <c r="L283" s="4">
        <v>0.86</v>
      </c>
      <c r="M283" s="4">
        <v>0.19400000000000001</v>
      </c>
      <c r="N283" s="4">
        <v>0</v>
      </c>
      <c r="O283" s="4">
        <v>16</v>
      </c>
      <c r="P283" s="4">
        <v>16</v>
      </c>
      <c r="Q283" s="6" t="str">
        <f t="shared" si="52"/>
        <v>Weekday</v>
      </c>
      <c r="R283" s="42">
        <f t="shared" si="53"/>
        <v>31526</v>
      </c>
      <c r="S283" s="42">
        <f t="shared" si="54"/>
        <v>124.8388746803069</v>
      </c>
      <c r="T283" s="42">
        <f t="shared" si="55"/>
        <v>110</v>
      </c>
      <c r="U283" s="42" t="str">
        <f t="shared" si="56"/>
        <v>Wee</v>
      </c>
      <c r="V283" s="42" t="str">
        <f t="shared" si="57"/>
        <v>kday</v>
      </c>
      <c r="W283" s="42">
        <f t="shared" si="58"/>
        <v>7</v>
      </c>
      <c r="X283" s="42">
        <f t="shared" si="59"/>
        <v>0.13639999999999999</v>
      </c>
      <c r="Y283" s="3">
        <f t="shared" si="60"/>
        <v>82</v>
      </c>
      <c r="Z283" s="3">
        <f t="shared" si="64"/>
        <v>7883</v>
      </c>
      <c r="AA283" s="3">
        <f t="shared" si="61"/>
        <v>1232.2489122187819</v>
      </c>
      <c r="AB283" s="3">
        <f t="shared" si="62"/>
        <v>0.99911573903365103</v>
      </c>
      <c r="AC283" s="3" t="str">
        <f t="shared" si="63"/>
        <v>Normal</v>
      </c>
    </row>
    <row r="284" spans="1:29" x14ac:dyDescent="0.2">
      <c r="A284" s="4">
        <v>902</v>
      </c>
      <c r="B284" s="5">
        <v>40818</v>
      </c>
      <c r="C284" s="4">
        <v>1</v>
      </c>
      <c r="D284" s="4">
        <v>0</v>
      </c>
      <c r="E284" s="4">
        <v>2</v>
      </c>
      <c r="F284" s="4">
        <v>1</v>
      </c>
      <c r="G284" s="4" t="b">
        <v>0</v>
      </c>
      <c r="H284" s="4">
        <v>4</v>
      </c>
      <c r="I284" s="4">
        <v>3</v>
      </c>
      <c r="J284" s="4">
        <v>0.14000000000000001</v>
      </c>
      <c r="K284" s="4">
        <v>0.1515</v>
      </c>
      <c r="L284" s="4">
        <v>0.8</v>
      </c>
      <c r="M284" s="4">
        <v>0.1343</v>
      </c>
      <c r="N284" s="4">
        <v>0</v>
      </c>
      <c r="O284" s="4">
        <v>7</v>
      </c>
      <c r="P284" s="4">
        <v>7</v>
      </c>
      <c r="Q284" s="6" t="str">
        <f t="shared" si="52"/>
        <v>Weekday</v>
      </c>
      <c r="R284" s="42">
        <f t="shared" si="53"/>
        <v>31510</v>
      </c>
      <c r="S284" s="42">
        <f t="shared" si="54"/>
        <v>124.8388746803069</v>
      </c>
      <c r="T284" s="42">
        <f t="shared" si="55"/>
        <v>109</v>
      </c>
      <c r="U284" s="42" t="str">
        <f t="shared" si="56"/>
        <v>Wee</v>
      </c>
      <c r="V284" s="42" t="str">
        <f t="shared" si="57"/>
        <v>kday</v>
      </c>
      <c r="W284" s="42">
        <f t="shared" si="58"/>
        <v>7</v>
      </c>
      <c r="X284" s="42">
        <f t="shared" si="59"/>
        <v>0.1515</v>
      </c>
      <c r="Y284" s="3">
        <f t="shared" si="60"/>
        <v>82</v>
      </c>
      <c r="Z284" s="3">
        <f t="shared" si="64"/>
        <v>7883</v>
      </c>
      <c r="AA284" s="3">
        <f t="shared" si="61"/>
        <v>1232.2489122187819</v>
      </c>
      <c r="AB284" s="3">
        <f t="shared" si="62"/>
        <v>0.99911573903365103</v>
      </c>
      <c r="AC284" s="3" t="str">
        <f t="shared" si="63"/>
        <v>Normal</v>
      </c>
    </row>
    <row r="285" spans="1:29" x14ac:dyDescent="0.2">
      <c r="A285" s="4">
        <v>903</v>
      </c>
      <c r="B285" s="5">
        <v>40818</v>
      </c>
      <c r="C285" s="4">
        <v>1</v>
      </c>
      <c r="D285" s="4">
        <v>0</v>
      </c>
      <c r="E285" s="4">
        <v>2</v>
      </c>
      <c r="F285" s="4">
        <v>2</v>
      </c>
      <c r="G285" s="4" t="b">
        <v>0</v>
      </c>
      <c r="H285" s="4">
        <v>4</v>
      </c>
      <c r="I285" s="4">
        <v>3</v>
      </c>
      <c r="J285" s="4">
        <v>0.14000000000000001</v>
      </c>
      <c r="K285" s="4">
        <v>0.1515</v>
      </c>
      <c r="L285" s="4">
        <v>0.8</v>
      </c>
      <c r="M285" s="4">
        <v>0.1343</v>
      </c>
      <c r="N285" s="4">
        <v>0</v>
      </c>
      <c r="O285" s="4">
        <v>3</v>
      </c>
      <c r="P285" s="4">
        <v>3</v>
      </c>
      <c r="Q285" s="6" t="str">
        <f t="shared" si="52"/>
        <v>Weekday</v>
      </c>
      <c r="R285" s="42">
        <f t="shared" si="53"/>
        <v>31503</v>
      </c>
      <c r="S285" s="42">
        <f t="shared" si="54"/>
        <v>124.8388746803069</v>
      </c>
      <c r="T285" s="42">
        <f t="shared" si="55"/>
        <v>108</v>
      </c>
      <c r="U285" s="42" t="str">
        <f t="shared" si="56"/>
        <v>Wee</v>
      </c>
      <c r="V285" s="42" t="str">
        <f t="shared" si="57"/>
        <v>kday</v>
      </c>
      <c r="W285" s="42">
        <f t="shared" si="58"/>
        <v>7</v>
      </c>
      <c r="X285" s="42">
        <f t="shared" si="59"/>
        <v>0.1515</v>
      </c>
      <c r="Y285" s="3">
        <f t="shared" si="60"/>
        <v>82</v>
      </c>
      <c r="Z285" s="3">
        <f t="shared" si="64"/>
        <v>7883</v>
      </c>
      <c r="AA285" s="3">
        <f t="shared" si="61"/>
        <v>1232.2489122187819</v>
      </c>
      <c r="AB285" s="3">
        <f t="shared" si="62"/>
        <v>0.99911573903365103</v>
      </c>
      <c r="AC285" s="3" t="str">
        <f t="shared" si="63"/>
        <v>Normal</v>
      </c>
    </row>
    <row r="286" spans="1:29" x14ac:dyDescent="0.2">
      <c r="A286" s="4">
        <v>904</v>
      </c>
      <c r="B286" s="5">
        <v>40818</v>
      </c>
      <c r="C286" s="4">
        <v>1</v>
      </c>
      <c r="D286" s="4">
        <v>0</v>
      </c>
      <c r="E286" s="4">
        <v>2</v>
      </c>
      <c r="F286" s="4">
        <v>4</v>
      </c>
      <c r="G286" s="4" t="b">
        <v>0</v>
      </c>
      <c r="H286" s="4">
        <v>4</v>
      </c>
      <c r="I286" s="4">
        <v>2</v>
      </c>
      <c r="J286" s="4">
        <v>0.14000000000000001</v>
      </c>
      <c r="K286" s="4">
        <v>0.13639999999999999</v>
      </c>
      <c r="L286" s="4">
        <v>0.59</v>
      </c>
      <c r="M286" s="4">
        <v>0.22389999999999999</v>
      </c>
      <c r="N286" s="4">
        <v>0</v>
      </c>
      <c r="O286" s="4">
        <v>1</v>
      </c>
      <c r="P286" s="4">
        <v>1</v>
      </c>
      <c r="Q286" s="6" t="str">
        <f t="shared" si="52"/>
        <v>Weekday</v>
      </c>
      <c r="R286" s="42">
        <f t="shared" si="53"/>
        <v>31500</v>
      </c>
      <c r="S286" s="42">
        <f t="shared" si="54"/>
        <v>124.8388746803069</v>
      </c>
      <c r="T286" s="42">
        <f t="shared" si="55"/>
        <v>107</v>
      </c>
      <c r="U286" s="42" t="str">
        <f t="shared" si="56"/>
        <v>Wee</v>
      </c>
      <c r="V286" s="42" t="str">
        <f t="shared" si="57"/>
        <v>kday</v>
      </c>
      <c r="W286" s="42">
        <f t="shared" si="58"/>
        <v>7</v>
      </c>
      <c r="X286" s="42">
        <f t="shared" si="59"/>
        <v>0.13639999999999999</v>
      </c>
      <c r="Y286" s="3">
        <f t="shared" si="60"/>
        <v>82</v>
      </c>
      <c r="Z286" s="3">
        <f t="shared" si="64"/>
        <v>7883</v>
      </c>
      <c r="AA286" s="3">
        <f t="shared" si="61"/>
        <v>1232.2489122187819</v>
      </c>
      <c r="AB286" s="3">
        <f t="shared" si="62"/>
        <v>0.99911573903365103</v>
      </c>
      <c r="AC286" s="3" t="str">
        <f t="shared" si="63"/>
        <v>Normal</v>
      </c>
    </row>
    <row r="287" spans="1:29" x14ac:dyDescent="0.2">
      <c r="A287" s="4">
        <v>905</v>
      </c>
      <c r="B287" s="5">
        <v>40818</v>
      </c>
      <c r="C287" s="4">
        <v>1</v>
      </c>
      <c r="D287" s="4">
        <v>0</v>
      </c>
      <c r="E287" s="4">
        <v>2</v>
      </c>
      <c r="F287" s="4">
        <v>5</v>
      </c>
      <c r="G287" s="4" t="b">
        <v>0</v>
      </c>
      <c r="H287" s="4">
        <v>4</v>
      </c>
      <c r="I287" s="4">
        <v>2</v>
      </c>
      <c r="J287" s="4">
        <v>0.12</v>
      </c>
      <c r="K287" s="4">
        <v>0.1212</v>
      </c>
      <c r="L287" s="4">
        <v>0.5</v>
      </c>
      <c r="M287" s="4">
        <v>0.22389999999999999</v>
      </c>
      <c r="N287" s="4">
        <v>0</v>
      </c>
      <c r="O287" s="4">
        <v>6</v>
      </c>
      <c r="P287" s="4">
        <v>6</v>
      </c>
      <c r="Q287" s="6" t="str">
        <f t="shared" si="52"/>
        <v>Weekday</v>
      </c>
      <c r="R287" s="42">
        <f t="shared" si="53"/>
        <v>31499</v>
      </c>
      <c r="S287" s="42">
        <f t="shared" si="54"/>
        <v>124.8388746803069</v>
      </c>
      <c r="T287" s="42">
        <f t="shared" si="55"/>
        <v>106</v>
      </c>
      <c r="U287" s="42" t="str">
        <f t="shared" si="56"/>
        <v>Wee</v>
      </c>
      <c r="V287" s="42" t="str">
        <f t="shared" si="57"/>
        <v>kday</v>
      </c>
      <c r="W287" s="42">
        <f t="shared" si="58"/>
        <v>7</v>
      </c>
      <c r="X287" s="42">
        <f t="shared" si="59"/>
        <v>0.1212</v>
      </c>
      <c r="Y287" s="3">
        <f t="shared" si="60"/>
        <v>82</v>
      </c>
      <c r="Z287" s="3">
        <f t="shared" si="64"/>
        <v>7883</v>
      </c>
      <c r="AA287" s="3">
        <f t="shared" si="61"/>
        <v>1232.2489122187819</v>
      </c>
      <c r="AB287" s="3">
        <f t="shared" si="62"/>
        <v>0.99911573903365103</v>
      </c>
      <c r="AC287" s="3" t="str">
        <f t="shared" si="63"/>
        <v>Normal</v>
      </c>
    </row>
    <row r="288" spans="1:29" x14ac:dyDescent="0.2">
      <c r="A288" s="4">
        <v>906</v>
      </c>
      <c r="B288" s="5">
        <v>40818</v>
      </c>
      <c r="C288" s="4">
        <v>1</v>
      </c>
      <c r="D288" s="4">
        <v>0</v>
      </c>
      <c r="E288" s="4">
        <v>2</v>
      </c>
      <c r="F288" s="4">
        <v>6</v>
      </c>
      <c r="G288" s="4" t="b">
        <v>0</v>
      </c>
      <c r="H288" s="4">
        <v>4</v>
      </c>
      <c r="I288" s="4">
        <v>2</v>
      </c>
      <c r="J288" s="4">
        <v>0.12</v>
      </c>
      <c r="K288" s="4">
        <v>0.1212</v>
      </c>
      <c r="L288" s="4">
        <v>0.54</v>
      </c>
      <c r="M288" s="4">
        <v>0.28360000000000002</v>
      </c>
      <c r="N288" s="4">
        <v>0</v>
      </c>
      <c r="O288" s="4">
        <v>26</v>
      </c>
      <c r="P288" s="4">
        <v>26</v>
      </c>
      <c r="Q288" s="6" t="str">
        <f t="shared" si="52"/>
        <v>Weekday</v>
      </c>
      <c r="R288" s="42">
        <f t="shared" si="53"/>
        <v>31493</v>
      </c>
      <c r="S288" s="42">
        <f t="shared" si="54"/>
        <v>124.8388746803069</v>
      </c>
      <c r="T288" s="42">
        <f t="shared" si="55"/>
        <v>105</v>
      </c>
      <c r="U288" s="42" t="str">
        <f t="shared" si="56"/>
        <v>Wee</v>
      </c>
      <c r="V288" s="42" t="str">
        <f t="shared" si="57"/>
        <v>kday</v>
      </c>
      <c r="W288" s="42">
        <f t="shared" si="58"/>
        <v>7</v>
      </c>
      <c r="X288" s="42">
        <f t="shared" si="59"/>
        <v>0.1212</v>
      </c>
      <c r="Y288" s="3">
        <f t="shared" si="60"/>
        <v>82</v>
      </c>
      <c r="Z288" s="3">
        <f t="shared" si="64"/>
        <v>7883</v>
      </c>
      <c r="AA288" s="3">
        <f t="shared" si="61"/>
        <v>1232.2489122187819</v>
      </c>
      <c r="AB288" s="3">
        <f t="shared" si="62"/>
        <v>0.99911573903365103</v>
      </c>
      <c r="AC288" s="3" t="str">
        <f t="shared" si="63"/>
        <v>Normal</v>
      </c>
    </row>
    <row r="289" spans="1:29" x14ac:dyDescent="0.2">
      <c r="A289" s="4">
        <v>907</v>
      </c>
      <c r="B289" s="5">
        <v>40818</v>
      </c>
      <c r="C289" s="4">
        <v>1</v>
      </c>
      <c r="D289" s="4">
        <v>0</v>
      </c>
      <c r="E289" s="4">
        <v>2</v>
      </c>
      <c r="F289" s="4">
        <v>7</v>
      </c>
      <c r="G289" s="4" t="b">
        <v>0</v>
      </c>
      <c r="H289" s="4">
        <v>4</v>
      </c>
      <c r="I289" s="4">
        <v>1</v>
      </c>
      <c r="J289" s="4">
        <v>0.1</v>
      </c>
      <c r="K289" s="4">
        <v>7.5800000000000006E-2</v>
      </c>
      <c r="L289" s="4">
        <v>0.5</v>
      </c>
      <c r="M289" s="4">
        <v>0.41789999999999999</v>
      </c>
      <c r="N289" s="4">
        <v>0</v>
      </c>
      <c r="O289" s="4">
        <v>99</v>
      </c>
      <c r="P289" s="4">
        <v>99</v>
      </c>
      <c r="Q289" s="6" t="str">
        <f t="shared" si="52"/>
        <v>Weekday</v>
      </c>
      <c r="R289" s="42">
        <f t="shared" si="53"/>
        <v>31467</v>
      </c>
      <c r="S289" s="42">
        <f t="shared" si="54"/>
        <v>124.8388746803069</v>
      </c>
      <c r="T289" s="42">
        <f t="shared" si="55"/>
        <v>104</v>
      </c>
      <c r="U289" s="42" t="str">
        <f t="shared" si="56"/>
        <v>Wee</v>
      </c>
      <c r="V289" s="42" t="str">
        <f t="shared" si="57"/>
        <v>kday</v>
      </c>
      <c r="W289" s="42">
        <f t="shared" si="58"/>
        <v>7</v>
      </c>
      <c r="X289" s="42">
        <f t="shared" si="59"/>
        <v>7.5800000000000006E-2</v>
      </c>
      <c r="Y289" s="3">
        <f t="shared" si="60"/>
        <v>82</v>
      </c>
      <c r="Z289" s="3">
        <f t="shared" si="64"/>
        <v>7883</v>
      </c>
      <c r="AA289" s="3">
        <f t="shared" si="61"/>
        <v>1232.2489122187819</v>
      </c>
      <c r="AB289" s="3">
        <f t="shared" si="62"/>
        <v>0.99911573903365103</v>
      </c>
      <c r="AC289" s="3" t="str">
        <f t="shared" si="63"/>
        <v>Normal</v>
      </c>
    </row>
    <row r="290" spans="1:29" x14ac:dyDescent="0.2">
      <c r="A290" s="4">
        <v>908</v>
      </c>
      <c r="B290" s="5">
        <v>40818</v>
      </c>
      <c r="C290" s="4">
        <v>1</v>
      </c>
      <c r="D290" s="4">
        <v>0</v>
      </c>
      <c r="E290" s="4">
        <v>2</v>
      </c>
      <c r="F290" s="4">
        <v>8</v>
      </c>
      <c r="G290" s="4" t="b">
        <v>0</v>
      </c>
      <c r="H290" s="4">
        <v>4</v>
      </c>
      <c r="I290" s="4">
        <v>1</v>
      </c>
      <c r="J290" s="4">
        <v>0.1</v>
      </c>
      <c r="K290" s="4">
        <v>7.5800000000000006E-2</v>
      </c>
      <c r="L290" s="4">
        <v>0.49</v>
      </c>
      <c r="M290" s="4">
        <v>0.32840000000000003</v>
      </c>
      <c r="N290" s="4">
        <v>5</v>
      </c>
      <c r="O290" s="4">
        <v>173</v>
      </c>
      <c r="P290" s="4">
        <v>178</v>
      </c>
      <c r="Q290" s="6" t="str">
        <f t="shared" si="52"/>
        <v>Weekday</v>
      </c>
      <c r="R290" s="42">
        <f t="shared" si="53"/>
        <v>31368</v>
      </c>
      <c r="S290" s="42">
        <f t="shared" si="54"/>
        <v>124.8388746803069</v>
      </c>
      <c r="T290" s="42">
        <f t="shared" si="55"/>
        <v>103</v>
      </c>
      <c r="U290" s="42" t="str">
        <f t="shared" si="56"/>
        <v>Wee</v>
      </c>
      <c r="V290" s="42" t="str">
        <f t="shared" si="57"/>
        <v>kday</v>
      </c>
      <c r="W290" s="42">
        <f t="shared" si="58"/>
        <v>7</v>
      </c>
      <c r="X290" s="42">
        <f t="shared" si="59"/>
        <v>7.5800000000000006E-2</v>
      </c>
      <c r="Y290" s="3">
        <f t="shared" si="60"/>
        <v>82</v>
      </c>
      <c r="Z290" s="3">
        <f t="shared" si="64"/>
        <v>7883</v>
      </c>
      <c r="AA290" s="3">
        <f t="shared" si="61"/>
        <v>1232.2489122187819</v>
      </c>
      <c r="AB290" s="3">
        <f t="shared" si="62"/>
        <v>0.99911573903365103</v>
      </c>
      <c r="AC290" s="3" t="str">
        <f t="shared" si="63"/>
        <v>Normal</v>
      </c>
    </row>
    <row r="291" spans="1:29" x14ac:dyDescent="0.2">
      <c r="A291" s="4">
        <v>909</v>
      </c>
      <c r="B291" s="5">
        <v>40818</v>
      </c>
      <c r="C291" s="4">
        <v>1</v>
      </c>
      <c r="D291" s="4">
        <v>0</v>
      </c>
      <c r="E291" s="4">
        <v>2</v>
      </c>
      <c r="F291" s="4">
        <v>9</v>
      </c>
      <c r="G291" s="4" t="b">
        <v>0</v>
      </c>
      <c r="H291" s="4">
        <v>4</v>
      </c>
      <c r="I291" s="4">
        <v>1</v>
      </c>
      <c r="J291" s="4">
        <v>0.12</v>
      </c>
      <c r="K291" s="4">
        <v>0.1061</v>
      </c>
      <c r="L291" s="4">
        <v>0.42</v>
      </c>
      <c r="M291" s="4">
        <v>0.35820000000000002</v>
      </c>
      <c r="N291" s="4">
        <v>1</v>
      </c>
      <c r="O291" s="4">
        <v>121</v>
      </c>
      <c r="P291" s="4">
        <v>122</v>
      </c>
      <c r="Q291" s="6" t="str">
        <f t="shared" si="52"/>
        <v>Weekday</v>
      </c>
      <c r="R291" s="42">
        <f t="shared" si="53"/>
        <v>31190</v>
      </c>
      <c r="S291" s="42">
        <f t="shared" si="54"/>
        <v>124.8388746803069</v>
      </c>
      <c r="T291" s="42">
        <f t="shared" si="55"/>
        <v>102</v>
      </c>
      <c r="U291" s="42" t="str">
        <f t="shared" si="56"/>
        <v>Wee</v>
      </c>
      <c r="V291" s="42" t="str">
        <f t="shared" si="57"/>
        <v>kday</v>
      </c>
      <c r="W291" s="42">
        <f t="shared" si="58"/>
        <v>7</v>
      </c>
      <c r="X291" s="42">
        <f t="shared" si="59"/>
        <v>0.1061</v>
      </c>
      <c r="Y291" s="3">
        <f t="shared" si="60"/>
        <v>82</v>
      </c>
      <c r="Z291" s="3">
        <f t="shared" si="64"/>
        <v>7883</v>
      </c>
      <c r="AA291" s="3">
        <f t="shared" si="61"/>
        <v>1232.2489122187819</v>
      </c>
      <c r="AB291" s="3">
        <f t="shared" si="62"/>
        <v>0.99911573903365103</v>
      </c>
      <c r="AC291" s="3" t="str">
        <f t="shared" si="63"/>
        <v>Normal</v>
      </c>
    </row>
    <row r="292" spans="1:29" x14ac:dyDescent="0.2">
      <c r="A292" s="4">
        <v>910</v>
      </c>
      <c r="B292" s="5">
        <v>40818</v>
      </c>
      <c r="C292" s="4">
        <v>1</v>
      </c>
      <c r="D292" s="4">
        <v>0</v>
      </c>
      <c r="E292" s="4">
        <v>2</v>
      </c>
      <c r="F292" s="4">
        <v>10</v>
      </c>
      <c r="G292" s="4" t="b">
        <v>0</v>
      </c>
      <c r="H292" s="4">
        <v>4</v>
      </c>
      <c r="I292" s="4">
        <v>1</v>
      </c>
      <c r="J292" s="4">
        <v>0.12</v>
      </c>
      <c r="K292" s="4">
        <v>0.1061</v>
      </c>
      <c r="L292" s="4">
        <v>0.42</v>
      </c>
      <c r="M292" s="4">
        <v>0.29849999999999999</v>
      </c>
      <c r="N292" s="4">
        <v>1</v>
      </c>
      <c r="O292" s="4">
        <v>34</v>
      </c>
      <c r="P292" s="4">
        <v>35</v>
      </c>
      <c r="Q292" s="6" t="str">
        <f t="shared" si="52"/>
        <v>Weekday</v>
      </c>
      <c r="R292" s="42">
        <f t="shared" si="53"/>
        <v>31068</v>
      </c>
      <c r="S292" s="42">
        <f t="shared" si="54"/>
        <v>124.8388746803069</v>
      </c>
      <c r="T292" s="42">
        <f t="shared" si="55"/>
        <v>101</v>
      </c>
      <c r="U292" s="42" t="str">
        <f t="shared" si="56"/>
        <v>Wee</v>
      </c>
      <c r="V292" s="42" t="str">
        <f t="shared" si="57"/>
        <v>kday</v>
      </c>
      <c r="W292" s="42">
        <f t="shared" si="58"/>
        <v>7</v>
      </c>
      <c r="X292" s="42">
        <f t="shared" si="59"/>
        <v>0.1061</v>
      </c>
      <c r="Y292" s="3">
        <f t="shared" si="60"/>
        <v>82</v>
      </c>
      <c r="Z292" s="3">
        <f t="shared" si="64"/>
        <v>7883</v>
      </c>
      <c r="AA292" s="3">
        <f t="shared" si="61"/>
        <v>1232.2489122187819</v>
      </c>
      <c r="AB292" s="3">
        <f t="shared" si="62"/>
        <v>0.99911573903365103</v>
      </c>
      <c r="AC292" s="3" t="str">
        <f t="shared" si="63"/>
        <v>Normal</v>
      </c>
    </row>
    <row r="293" spans="1:29" x14ac:dyDescent="0.2">
      <c r="A293" s="4">
        <v>911</v>
      </c>
      <c r="B293" s="5">
        <v>40818</v>
      </c>
      <c r="C293" s="4">
        <v>1</v>
      </c>
      <c r="D293" s="4">
        <v>0</v>
      </c>
      <c r="E293" s="4">
        <v>2</v>
      </c>
      <c r="F293" s="4">
        <v>11</v>
      </c>
      <c r="G293" s="4" t="b">
        <v>0</v>
      </c>
      <c r="H293" s="4">
        <v>4</v>
      </c>
      <c r="I293" s="4">
        <v>1</v>
      </c>
      <c r="J293" s="4">
        <v>0.14000000000000001</v>
      </c>
      <c r="K293" s="4">
        <v>0.1212</v>
      </c>
      <c r="L293" s="4">
        <v>0.39</v>
      </c>
      <c r="M293" s="4">
        <v>0.35820000000000002</v>
      </c>
      <c r="N293" s="4">
        <v>1</v>
      </c>
      <c r="O293" s="4">
        <v>44</v>
      </c>
      <c r="P293" s="4">
        <v>45</v>
      </c>
      <c r="Q293" s="6" t="str">
        <f t="shared" si="52"/>
        <v>Weekday</v>
      </c>
      <c r="R293" s="42">
        <f t="shared" si="53"/>
        <v>31033</v>
      </c>
      <c r="S293" s="42">
        <f t="shared" si="54"/>
        <v>124.8388746803069</v>
      </c>
      <c r="T293" s="42">
        <f t="shared" si="55"/>
        <v>100</v>
      </c>
      <c r="U293" s="42" t="str">
        <f t="shared" si="56"/>
        <v>Wee</v>
      </c>
      <c r="V293" s="42" t="str">
        <f t="shared" si="57"/>
        <v>kday</v>
      </c>
      <c r="W293" s="42">
        <f t="shared" si="58"/>
        <v>7</v>
      </c>
      <c r="X293" s="42">
        <f t="shared" si="59"/>
        <v>0.1212</v>
      </c>
      <c r="Y293" s="3">
        <f t="shared" si="60"/>
        <v>82</v>
      </c>
      <c r="Z293" s="3">
        <f t="shared" si="64"/>
        <v>7883</v>
      </c>
      <c r="AA293" s="3">
        <f t="shared" si="61"/>
        <v>1232.2489122187819</v>
      </c>
      <c r="AB293" s="3">
        <f t="shared" si="62"/>
        <v>0.99911573903365103</v>
      </c>
      <c r="AC293" s="3" t="str">
        <f t="shared" si="63"/>
        <v>Normal</v>
      </c>
    </row>
    <row r="294" spans="1:29" x14ac:dyDescent="0.2">
      <c r="A294" s="4">
        <v>912</v>
      </c>
      <c r="B294" s="5">
        <v>40818</v>
      </c>
      <c r="C294" s="4">
        <v>1</v>
      </c>
      <c r="D294" s="4">
        <v>0</v>
      </c>
      <c r="E294" s="4">
        <v>2</v>
      </c>
      <c r="F294" s="4">
        <v>12</v>
      </c>
      <c r="G294" s="4" t="b">
        <v>0</v>
      </c>
      <c r="H294" s="4">
        <v>4</v>
      </c>
      <c r="I294" s="4">
        <v>1</v>
      </c>
      <c r="J294" s="4">
        <v>0.16</v>
      </c>
      <c r="K294" s="4">
        <v>0.13639999999999999</v>
      </c>
      <c r="L294" s="4">
        <v>0.34</v>
      </c>
      <c r="M294" s="4">
        <v>0.3881</v>
      </c>
      <c r="N294" s="4">
        <v>4</v>
      </c>
      <c r="O294" s="4">
        <v>65</v>
      </c>
      <c r="P294" s="4">
        <v>69</v>
      </c>
      <c r="Q294" s="6" t="str">
        <f t="shared" si="52"/>
        <v>Weekday</v>
      </c>
      <c r="R294" s="42">
        <f t="shared" si="53"/>
        <v>30988</v>
      </c>
      <c r="S294" s="42">
        <f t="shared" si="54"/>
        <v>124.8388746803069</v>
      </c>
      <c r="T294" s="42">
        <f t="shared" si="55"/>
        <v>99</v>
      </c>
      <c r="U294" s="42" t="str">
        <f t="shared" si="56"/>
        <v>Wee</v>
      </c>
      <c r="V294" s="42" t="str">
        <f t="shared" si="57"/>
        <v>kday</v>
      </c>
      <c r="W294" s="42">
        <f t="shared" si="58"/>
        <v>7</v>
      </c>
      <c r="X294" s="42">
        <f t="shared" si="59"/>
        <v>0.13639999999999999</v>
      </c>
      <c r="Y294" s="3">
        <f t="shared" si="60"/>
        <v>82</v>
      </c>
      <c r="Z294" s="3">
        <f t="shared" si="64"/>
        <v>7883</v>
      </c>
      <c r="AA294" s="3">
        <f t="shared" si="61"/>
        <v>1232.2489122187819</v>
      </c>
      <c r="AB294" s="3">
        <f t="shared" si="62"/>
        <v>0.99911573903365103</v>
      </c>
      <c r="AC294" s="3" t="str">
        <f t="shared" si="63"/>
        <v>Normal</v>
      </c>
    </row>
    <row r="295" spans="1:29" x14ac:dyDescent="0.2">
      <c r="A295" s="4">
        <v>913</v>
      </c>
      <c r="B295" s="5">
        <v>40818</v>
      </c>
      <c r="C295" s="4">
        <v>1</v>
      </c>
      <c r="D295" s="4">
        <v>0</v>
      </c>
      <c r="E295" s="4">
        <v>2</v>
      </c>
      <c r="F295" s="4">
        <v>13</v>
      </c>
      <c r="G295" s="4" t="b">
        <v>0</v>
      </c>
      <c r="H295" s="4">
        <v>4</v>
      </c>
      <c r="I295" s="4">
        <v>1</v>
      </c>
      <c r="J295" s="4">
        <v>0.18</v>
      </c>
      <c r="K295" s="4">
        <v>0.16669999999999999</v>
      </c>
      <c r="L295" s="4">
        <v>0.28999999999999998</v>
      </c>
      <c r="M295" s="4">
        <v>0.29849999999999999</v>
      </c>
      <c r="N295" s="4">
        <v>3</v>
      </c>
      <c r="O295" s="4">
        <v>59</v>
      </c>
      <c r="P295" s="4">
        <v>62</v>
      </c>
      <c r="Q295" s="6" t="str">
        <f t="shared" si="52"/>
        <v>Weekday</v>
      </c>
      <c r="R295" s="42">
        <f t="shared" si="53"/>
        <v>30919</v>
      </c>
      <c r="S295" s="42">
        <f t="shared" si="54"/>
        <v>124.8388746803069</v>
      </c>
      <c r="T295" s="42">
        <f t="shared" si="55"/>
        <v>98</v>
      </c>
      <c r="U295" s="42" t="str">
        <f t="shared" si="56"/>
        <v>Wee</v>
      </c>
      <c r="V295" s="42" t="str">
        <f t="shared" si="57"/>
        <v>kday</v>
      </c>
      <c r="W295" s="42">
        <f t="shared" si="58"/>
        <v>7</v>
      </c>
      <c r="X295" s="42">
        <f t="shared" si="59"/>
        <v>0.16669999999999999</v>
      </c>
      <c r="Y295" s="3">
        <f t="shared" si="60"/>
        <v>82</v>
      </c>
      <c r="Z295" s="3">
        <f t="shared" si="64"/>
        <v>7883</v>
      </c>
      <c r="AA295" s="3">
        <f t="shared" si="61"/>
        <v>1232.2489122187819</v>
      </c>
      <c r="AB295" s="3">
        <f t="shared" si="62"/>
        <v>0.99911573903365103</v>
      </c>
      <c r="AC295" s="3" t="str">
        <f t="shared" si="63"/>
        <v>Normal</v>
      </c>
    </row>
    <row r="296" spans="1:29" x14ac:dyDescent="0.2">
      <c r="A296" s="4">
        <v>914</v>
      </c>
      <c r="B296" s="5">
        <v>40818</v>
      </c>
      <c r="C296" s="4">
        <v>1</v>
      </c>
      <c r="D296" s="4">
        <v>0</v>
      </c>
      <c r="E296" s="4">
        <v>2</v>
      </c>
      <c r="F296" s="4">
        <v>14</v>
      </c>
      <c r="G296" s="4" t="b">
        <v>0</v>
      </c>
      <c r="H296" s="4">
        <v>4</v>
      </c>
      <c r="I296" s="4">
        <v>1</v>
      </c>
      <c r="J296" s="4">
        <v>0.2</v>
      </c>
      <c r="K296" s="4">
        <v>0.18179999999999999</v>
      </c>
      <c r="L296" s="4">
        <v>0.27</v>
      </c>
      <c r="M296" s="4">
        <v>0.28360000000000002</v>
      </c>
      <c r="N296" s="4">
        <v>6</v>
      </c>
      <c r="O296" s="4">
        <v>42</v>
      </c>
      <c r="P296" s="4">
        <v>48</v>
      </c>
      <c r="Q296" s="6" t="str">
        <f t="shared" si="52"/>
        <v>Weekday</v>
      </c>
      <c r="R296" s="42">
        <f t="shared" si="53"/>
        <v>30857</v>
      </c>
      <c r="S296" s="42">
        <f t="shared" si="54"/>
        <v>124.8388746803069</v>
      </c>
      <c r="T296" s="42">
        <f t="shared" si="55"/>
        <v>97</v>
      </c>
      <c r="U296" s="42" t="str">
        <f t="shared" si="56"/>
        <v>Wee</v>
      </c>
      <c r="V296" s="42" t="str">
        <f t="shared" si="57"/>
        <v>kday</v>
      </c>
      <c r="W296" s="42">
        <f t="shared" si="58"/>
        <v>7</v>
      </c>
      <c r="X296" s="42">
        <f t="shared" si="59"/>
        <v>0.18179999999999999</v>
      </c>
      <c r="Y296" s="3">
        <f t="shared" si="60"/>
        <v>82</v>
      </c>
      <c r="Z296" s="3">
        <f t="shared" si="64"/>
        <v>7883</v>
      </c>
      <c r="AA296" s="3">
        <f t="shared" si="61"/>
        <v>1232.2489122187819</v>
      </c>
      <c r="AB296" s="3">
        <f t="shared" si="62"/>
        <v>0.99911573903365103</v>
      </c>
      <c r="AC296" s="3" t="str">
        <f t="shared" si="63"/>
        <v>Normal</v>
      </c>
    </row>
    <row r="297" spans="1:29" x14ac:dyDescent="0.2">
      <c r="A297" s="4">
        <v>915</v>
      </c>
      <c r="B297" s="5">
        <v>40818</v>
      </c>
      <c r="C297" s="4">
        <v>1</v>
      </c>
      <c r="D297" s="4">
        <v>0</v>
      </c>
      <c r="E297" s="4">
        <v>2</v>
      </c>
      <c r="F297" s="4">
        <v>15</v>
      </c>
      <c r="G297" s="4" t="b">
        <v>0</v>
      </c>
      <c r="H297" s="4">
        <v>4</v>
      </c>
      <c r="I297" s="4">
        <v>1</v>
      </c>
      <c r="J297" s="4">
        <v>0.2</v>
      </c>
      <c r="K297" s="4">
        <v>0.19700000000000001</v>
      </c>
      <c r="L297" s="4">
        <v>0.25</v>
      </c>
      <c r="M297" s="4">
        <v>0.25369999999999998</v>
      </c>
      <c r="N297" s="4">
        <v>0</v>
      </c>
      <c r="O297" s="4">
        <v>50</v>
      </c>
      <c r="P297" s="4">
        <v>50</v>
      </c>
      <c r="Q297" s="6" t="str">
        <f t="shared" si="52"/>
        <v>Weekday</v>
      </c>
      <c r="R297" s="42">
        <f t="shared" si="53"/>
        <v>30809</v>
      </c>
      <c r="S297" s="42">
        <f t="shared" si="54"/>
        <v>124.8388746803069</v>
      </c>
      <c r="T297" s="42">
        <f t="shared" si="55"/>
        <v>96</v>
      </c>
      <c r="U297" s="42" t="str">
        <f t="shared" si="56"/>
        <v>Wee</v>
      </c>
      <c r="V297" s="42" t="str">
        <f t="shared" si="57"/>
        <v>kday</v>
      </c>
      <c r="W297" s="42">
        <f t="shared" si="58"/>
        <v>7</v>
      </c>
      <c r="X297" s="42">
        <f t="shared" si="59"/>
        <v>0.19700000000000001</v>
      </c>
      <c r="Y297" s="3">
        <f t="shared" si="60"/>
        <v>82</v>
      </c>
      <c r="Z297" s="3">
        <f t="shared" si="64"/>
        <v>7883</v>
      </c>
      <c r="AA297" s="3">
        <f t="shared" si="61"/>
        <v>1232.2489122187819</v>
      </c>
      <c r="AB297" s="3">
        <f t="shared" si="62"/>
        <v>0.99911573903365103</v>
      </c>
      <c r="AC297" s="3" t="str">
        <f t="shared" si="63"/>
        <v>Normal</v>
      </c>
    </row>
    <row r="298" spans="1:29" x14ac:dyDescent="0.2">
      <c r="A298" s="4">
        <v>916</v>
      </c>
      <c r="B298" s="5">
        <v>40818</v>
      </c>
      <c r="C298" s="4">
        <v>1</v>
      </c>
      <c r="D298" s="4">
        <v>0</v>
      </c>
      <c r="E298" s="4">
        <v>2</v>
      </c>
      <c r="F298" s="4">
        <v>16</v>
      </c>
      <c r="G298" s="4" t="b">
        <v>0</v>
      </c>
      <c r="H298" s="4">
        <v>4</v>
      </c>
      <c r="I298" s="4">
        <v>1</v>
      </c>
      <c r="J298" s="4">
        <v>0.2</v>
      </c>
      <c r="K298" s="4">
        <v>0.18179999999999999</v>
      </c>
      <c r="L298" s="4">
        <v>0.27</v>
      </c>
      <c r="M298" s="4">
        <v>0.29849999999999999</v>
      </c>
      <c r="N298" s="4">
        <v>4</v>
      </c>
      <c r="O298" s="4">
        <v>76</v>
      </c>
      <c r="P298" s="4">
        <v>80</v>
      </c>
      <c r="Q298" s="6" t="str">
        <f t="shared" si="52"/>
        <v>Weekday</v>
      </c>
      <c r="R298" s="42">
        <f t="shared" si="53"/>
        <v>30759</v>
      </c>
      <c r="S298" s="42">
        <f t="shared" si="54"/>
        <v>124.8388746803069</v>
      </c>
      <c r="T298" s="42">
        <f t="shared" si="55"/>
        <v>95</v>
      </c>
      <c r="U298" s="42" t="str">
        <f t="shared" si="56"/>
        <v>Wee</v>
      </c>
      <c r="V298" s="42" t="str">
        <f t="shared" si="57"/>
        <v>kday</v>
      </c>
      <c r="W298" s="42">
        <f t="shared" si="58"/>
        <v>7</v>
      </c>
      <c r="X298" s="42">
        <f t="shared" si="59"/>
        <v>0.18179999999999999</v>
      </c>
      <c r="Y298" s="3">
        <f t="shared" si="60"/>
        <v>82</v>
      </c>
      <c r="Z298" s="3">
        <f t="shared" si="64"/>
        <v>7883</v>
      </c>
      <c r="AA298" s="3">
        <f t="shared" si="61"/>
        <v>1232.2489122187819</v>
      </c>
      <c r="AB298" s="3">
        <f t="shared" si="62"/>
        <v>0.99911573903365103</v>
      </c>
      <c r="AC298" s="3" t="str">
        <f t="shared" si="63"/>
        <v>Normal</v>
      </c>
    </row>
    <row r="299" spans="1:29" x14ac:dyDescent="0.2">
      <c r="A299" s="4">
        <v>917</v>
      </c>
      <c r="B299" s="5">
        <v>40818</v>
      </c>
      <c r="C299" s="4">
        <v>1</v>
      </c>
      <c r="D299" s="4">
        <v>0</v>
      </c>
      <c r="E299" s="4">
        <v>2</v>
      </c>
      <c r="F299" s="4">
        <v>17</v>
      </c>
      <c r="G299" s="4" t="b">
        <v>0</v>
      </c>
      <c r="H299" s="4">
        <v>4</v>
      </c>
      <c r="I299" s="4">
        <v>1</v>
      </c>
      <c r="J299" s="4">
        <v>0.18</v>
      </c>
      <c r="K299" s="4">
        <v>0.18179999999999999</v>
      </c>
      <c r="L299" s="4">
        <v>0.26</v>
      </c>
      <c r="M299" s="4">
        <v>0.19400000000000001</v>
      </c>
      <c r="N299" s="4">
        <v>6</v>
      </c>
      <c r="O299" s="4">
        <v>159</v>
      </c>
      <c r="P299" s="4">
        <v>165</v>
      </c>
      <c r="Q299" s="6" t="str">
        <f t="shared" si="52"/>
        <v>Weekday</v>
      </c>
      <c r="R299" s="42">
        <f t="shared" si="53"/>
        <v>30679</v>
      </c>
      <c r="S299" s="42">
        <f t="shared" si="54"/>
        <v>124.8388746803069</v>
      </c>
      <c r="T299" s="42">
        <f t="shared" si="55"/>
        <v>94</v>
      </c>
      <c r="U299" s="42" t="str">
        <f t="shared" si="56"/>
        <v>Wee</v>
      </c>
      <c r="V299" s="42" t="str">
        <f t="shared" si="57"/>
        <v>kday</v>
      </c>
      <c r="W299" s="42">
        <f t="shared" si="58"/>
        <v>7</v>
      </c>
      <c r="X299" s="42">
        <f t="shared" si="59"/>
        <v>0.18179999999999999</v>
      </c>
      <c r="Y299" s="3">
        <f t="shared" si="60"/>
        <v>82</v>
      </c>
      <c r="Z299" s="3">
        <f t="shared" si="64"/>
        <v>7883</v>
      </c>
      <c r="AA299" s="3">
        <f t="shared" si="61"/>
        <v>1232.2489122187819</v>
      </c>
      <c r="AB299" s="3">
        <f t="shared" si="62"/>
        <v>0.99911573903365103</v>
      </c>
      <c r="AC299" s="3" t="str">
        <f t="shared" si="63"/>
        <v>Normal</v>
      </c>
    </row>
    <row r="300" spans="1:29" x14ac:dyDescent="0.2">
      <c r="A300" s="4">
        <v>918</v>
      </c>
      <c r="B300" s="5">
        <v>40818</v>
      </c>
      <c r="C300" s="4">
        <v>1</v>
      </c>
      <c r="D300" s="4">
        <v>0</v>
      </c>
      <c r="E300" s="4">
        <v>2</v>
      </c>
      <c r="F300" s="4">
        <v>18</v>
      </c>
      <c r="G300" s="4" t="b">
        <v>0</v>
      </c>
      <c r="H300" s="4">
        <v>4</v>
      </c>
      <c r="I300" s="4">
        <v>1</v>
      </c>
      <c r="J300" s="4">
        <v>0.16</v>
      </c>
      <c r="K300" s="4">
        <v>0.18179999999999999</v>
      </c>
      <c r="L300" s="4">
        <v>0.28000000000000003</v>
      </c>
      <c r="M300" s="4">
        <v>0.1343</v>
      </c>
      <c r="N300" s="4">
        <v>3</v>
      </c>
      <c r="O300" s="4">
        <v>157</v>
      </c>
      <c r="P300" s="4">
        <v>160</v>
      </c>
      <c r="Q300" s="6" t="str">
        <f t="shared" si="52"/>
        <v>Weekday</v>
      </c>
      <c r="R300" s="42">
        <f t="shared" si="53"/>
        <v>30514</v>
      </c>
      <c r="S300" s="42">
        <f t="shared" si="54"/>
        <v>124.8388746803069</v>
      </c>
      <c r="T300" s="42">
        <f t="shared" si="55"/>
        <v>93</v>
      </c>
      <c r="U300" s="42" t="str">
        <f t="shared" si="56"/>
        <v>Wee</v>
      </c>
      <c r="V300" s="42" t="str">
        <f t="shared" si="57"/>
        <v>kday</v>
      </c>
      <c r="W300" s="42">
        <f t="shared" si="58"/>
        <v>7</v>
      </c>
      <c r="X300" s="42">
        <f t="shared" si="59"/>
        <v>0.18179999999999999</v>
      </c>
      <c r="Y300" s="3">
        <f t="shared" si="60"/>
        <v>82</v>
      </c>
      <c r="Z300" s="3">
        <f t="shared" si="64"/>
        <v>7883</v>
      </c>
      <c r="AA300" s="3">
        <f t="shared" si="61"/>
        <v>1232.2489122187819</v>
      </c>
      <c r="AB300" s="3">
        <f t="shared" si="62"/>
        <v>0.99911573903365103</v>
      </c>
      <c r="AC300" s="3" t="str">
        <f t="shared" si="63"/>
        <v>Normal</v>
      </c>
    </row>
    <row r="301" spans="1:29" x14ac:dyDescent="0.2">
      <c r="A301" s="4">
        <v>919</v>
      </c>
      <c r="B301" s="5">
        <v>40818</v>
      </c>
      <c r="C301" s="4">
        <v>1</v>
      </c>
      <c r="D301" s="4">
        <v>0</v>
      </c>
      <c r="E301" s="4">
        <v>2</v>
      </c>
      <c r="F301" s="4">
        <v>19</v>
      </c>
      <c r="G301" s="4" t="b">
        <v>0</v>
      </c>
      <c r="H301" s="4">
        <v>4</v>
      </c>
      <c r="I301" s="4">
        <v>1</v>
      </c>
      <c r="J301" s="4">
        <v>0.14000000000000001</v>
      </c>
      <c r="K301" s="4">
        <v>0.16669999999999999</v>
      </c>
      <c r="L301" s="4">
        <v>0.28000000000000003</v>
      </c>
      <c r="M301" s="4">
        <v>0.1045</v>
      </c>
      <c r="N301" s="4">
        <v>2</v>
      </c>
      <c r="O301" s="4">
        <v>110</v>
      </c>
      <c r="P301" s="4">
        <v>112</v>
      </c>
      <c r="Q301" s="6" t="str">
        <f t="shared" si="52"/>
        <v>Weekday</v>
      </c>
      <c r="R301" s="42">
        <f t="shared" si="53"/>
        <v>30354</v>
      </c>
      <c r="S301" s="42">
        <f t="shared" si="54"/>
        <v>124.8388746803069</v>
      </c>
      <c r="T301" s="42">
        <f t="shared" si="55"/>
        <v>92</v>
      </c>
      <c r="U301" s="42" t="str">
        <f t="shared" si="56"/>
        <v>Wee</v>
      </c>
      <c r="V301" s="42" t="str">
        <f t="shared" si="57"/>
        <v>kday</v>
      </c>
      <c r="W301" s="42">
        <f t="shared" si="58"/>
        <v>7</v>
      </c>
      <c r="X301" s="42">
        <f t="shared" si="59"/>
        <v>0.16669999999999999</v>
      </c>
      <c r="Y301" s="3">
        <f t="shared" si="60"/>
        <v>82</v>
      </c>
      <c r="Z301" s="3">
        <f t="shared" si="64"/>
        <v>7883</v>
      </c>
      <c r="AA301" s="3">
        <f t="shared" si="61"/>
        <v>1232.2489122187819</v>
      </c>
      <c r="AB301" s="3">
        <f t="shared" si="62"/>
        <v>0.99911573903365103</v>
      </c>
      <c r="AC301" s="3" t="str">
        <f t="shared" si="63"/>
        <v>Normal</v>
      </c>
    </row>
    <row r="302" spans="1:29" x14ac:dyDescent="0.2">
      <c r="A302" s="4">
        <v>920</v>
      </c>
      <c r="B302" s="5">
        <v>40818</v>
      </c>
      <c r="C302" s="4">
        <v>1</v>
      </c>
      <c r="D302" s="4">
        <v>0</v>
      </c>
      <c r="E302" s="4">
        <v>2</v>
      </c>
      <c r="F302" s="4">
        <v>20</v>
      </c>
      <c r="G302" s="4" t="b">
        <v>0</v>
      </c>
      <c r="H302" s="4">
        <v>4</v>
      </c>
      <c r="I302" s="4">
        <v>1</v>
      </c>
      <c r="J302" s="4">
        <v>0.14000000000000001</v>
      </c>
      <c r="K302" s="4">
        <v>0.18179999999999999</v>
      </c>
      <c r="L302" s="4">
        <v>0.31</v>
      </c>
      <c r="M302" s="4">
        <v>8.9599999999999999E-2</v>
      </c>
      <c r="N302" s="4">
        <v>4</v>
      </c>
      <c r="O302" s="4">
        <v>93</v>
      </c>
      <c r="P302" s="4">
        <v>97</v>
      </c>
      <c r="Q302" s="6" t="str">
        <f t="shared" si="52"/>
        <v>Weekday</v>
      </c>
      <c r="R302" s="42">
        <f t="shared" si="53"/>
        <v>30242</v>
      </c>
      <c r="S302" s="42">
        <f t="shared" si="54"/>
        <v>124.8388746803069</v>
      </c>
      <c r="T302" s="42">
        <f t="shared" si="55"/>
        <v>91</v>
      </c>
      <c r="U302" s="42" t="str">
        <f t="shared" si="56"/>
        <v>Wee</v>
      </c>
      <c r="V302" s="42" t="str">
        <f t="shared" si="57"/>
        <v>kday</v>
      </c>
      <c r="W302" s="42">
        <f t="shared" si="58"/>
        <v>7</v>
      </c>
      <c r="X302" s="42">
        <f t="shared" si="59"/>
        <v>0.18179999999999999</v>
      </c>
      <c r="Y302" s="3">
        <f t="shared" si="60"/>
        <v>82</v>
      </c>
      <c r="Z302" s="3">
        <f t="shared" si="64"/>
        <v>7883</v>
      </c>
      <c r="AA302" s="3">
        <f t="shared" si="61"/>
        <v>1232.2489122187819</v>
      </c>
      <c r="AB302" s="3">
        <f t="shared" si="62"/>
        <v>0.99911573903365103</v>
      </c>
      <c r="AC302" s="3" t="str">
        <f t="shared" si="63"/>
        <v>Normal</v>
      </c>
    </row>
    <row r="303" spans="1:29" x14ac:dyDescent="0.2">
      <c r="A303" s="4">
        <v>921</v>
      </c>
      <c r="B303" s="5">
        <v>40818</v>
      </c>
      <c r="C303" s="4">
        <v>1</v>
      </c>
      <c r="D303" s="4">
        <v>0</v>
      </c>
      <c r="E303" s="4">
        <v>2</v>
      </c>
      <c r="F303" s="4">
        <v>21</v>
      </c>
      <c r="G303" s="4" t="b">
        <v>0</v>
      </c>
      <c r="H303" s="4">
        <v>4</v>
      </c>
      <c r="I303" s="4">
        <v>1</v>
      </c>
      <c r="J303" s="4">
        <v>0.14000000000000001</v>
      </c>
      <c r="K303" s="4">
        <v>0.21210000000000001</v>
      </c>
      <c r="L303" s="4">
        <v>0.39</v>
      </c>
      <c r="M303" s="4">
        <v>0</v>
      </c>
      <c r="N303" s="4">
        <v>2</v>
      </c>
      <c r="O303" s="4">
        <v>70</v>
      </c>
      <c r="P303" s="4">
        <v>72</v>
      </c>
      <c r="Q303" s="6" t="str">
        <f t="shared" si="52"/>
        <v>Weekday</v>
      </c>
      <c r="R303" s="42">
        <f t="shared" si="53"/>
        <v>30145</v>
      </c>
      <c r="S303" s="42">
        <f t="shared" si="54"/>
        <v>124.8388746803069</v>
      </c>
      <c r="T303" s="42">
        <f t="shared" si="55"/>
        <v>90</v>
      </c>
      <c r="U303" s="42" t="str">
        <f t="shared" si="56"/>
        <v>Wee</v>
      </c>
      <c r="V303" s="42" t="str">
        <f t="shared" si="57"/>
        <v>kday</v>
      </c>
      <c r="W303" s="42">
        <f t="shared" si="58"/>
        <v>7</v>
      </c>
      <c r="X303" s="42">
        <f t="shared" si="59"/>
        <v>0.21210000000000001</v>
      </c>
      <c r="Y303" s="3">
        <f t="shared" si="60"/>
        <v>82</v>
      </c>
      <c r="Z303" s="3">
        <f t="shared" si="64"/>
        <v>7883</v>
      </c>
      <c r="AA303" s="3">
        <f t="shared" si="61"/>
        <v>1232.2489122187819</v>
      </c>
      <c r="AB303" s="3">
        <f t="shared" si="62"/>
        <v>0.99911573903365103</v>
      </c>
      <c r="AC303" s="3" t="str">
        <f t="shared" si="63"/>
        <v>Normal</v>
      </c>
    </row>
    <row r="304" spans="1:29" x14ac:dyDescent="0.2">
      <c r="A304" s="4">
        <v>922</v>
      </c>
      <c r="B304" s="5">
        <v>40818</v>
      </c>
      <c r="C304" s="4">
        <v>1</v>
      </c>
      <c r="D304" s="4">
        <v>0</v>
      </c>
      <c r="E304" s="4">
        <v>2</v>
      </c>
      <c r="F304" s="4">
        <v>22</v>
      </c>
      <c r="G304" s="4" t="b">
        <v>0</v>
      </c>
      <c r="H304" s="4">
        <v>4</v>
      </c>
      <c r="I304" s="4">
        <v>1</v>
      </c>
      <c r="J304" s="4">
        <v>0.12</v>
      </c>
      <c r="K304" s="4">
        <v>0.19700000000000001</v>
      </c>
      <c r="L304" s="4">
        <v>0.39</v>
      </c>
      <c r="M304" s="4">
        <v>0</v>
      </c>
      <c r="N304" s="4">
        <v>4</v>
      </c>
      <c r="O304" s="4">
        <v>47</v>
      </c>
      <c r="P304" s="4">
        <v>51</v>
      </c>
      <c r="Q304" s="6" t="str">
        <f t="shared" si="52"/>
        <v>Weekday</v>
      </c>
      <c r="R304" s="42">
        <f t="shared" si="53"/>
        <v>30073</v>
      </c>
      <c r="S304" s="42">
        <f t="shared" si="54"/>
        <v>124.8388746803069</v>
      </c>
      <c r="T304" s="42">
        <f t="shared" si="55"/>
        <v>89</v>
      </c>
      <c r="U304" s="42" t="str">
        <f t="shared" si="56"/>
        <v>Wee</v>
      </c>
      <c r="V304" s="42" t="str">
        <f t="shared" si="57"/>
        <v>kday</v>
      </c>
      <c r="W304" s="42">
        <f t="shared" si="58"/>
        <v>7</v>
      </c>
      <c r="X304" s="42">
        <f t="shared" si="59"/>
        <v>0.19700000000000001</v>
      </c>
      <c r="Y304" s="3">
        <f t="shared" si="60"/>
        <v>82</v>
      </c>
      <c r="Z304" s="3">
        <f t="shared" si="64"/>
        <v>7883</v>
      </c>
      <c r="AA304" s="3">
        <f t="shared" si="61"/>
        <v>1232.2489122187819</v>
      </c>
      <c r="AB304" s="3">
        <f t="shared" si="62"/>
        <v>0.99911573903365103</v>
      </c>
      <c r="AC304" s="3" t="str">
        <f t="shared" si="63"/>
        <v>Normal</v>
      </c>
    </row>
    <row r="305" spans="1:29" x14ac:dyDescent="0.2">
      <c r="A305" s="4">
        <v>923</v>
      </c>
      <c r="B305" s="5">
        <v>40818</v>
      </c>
      <c r="C305" s="4">
        <v>1</v>
      </c>
      <c r="D305" s="4">
        <v>0</v>
      </c>
      <c r="E305" s="4">
        <v>2</v>
      </c>
      <c r="F305" s="4">
        <v>23</v>
      </c>
      <c r="G305" s="4" t="b">
        <v>0</v>
      </c>
      <c r="H305" s="4">
        <v>4</v>
      </c>
      <c r="I305" s="4">
        <v>1</v>
      </c>
      <c r="J305" s="4">
        <v>0.12</v>
      </c>
      <c r="K305" s="4">
        <v>0.1515</v>
      </c>
      <c r="L305" s="4">
        <v>0.42</v>
      </c>
      <c r="M305" s="4">
        <v>0.1045</v>
      </c>
      <c r="N305" s="4">
        <v>1</v>
      </c>
      <c r="O305" s="4">
        <v>33</v>
      </c>
      <c r="P305" s="4">
        <v>34</v>
      </c>
      <c r="Q305" s="6" t="str">
        <f t="shared" si="52"/>
        <v>Weekday</v>
      </c>
      <c r="R305" s="42">
        <f t="shared" si="53"/>
        <v>30022</v>
      </c>
      <c r="S305" s="42">
        <f t="shared" si="54"/>
        <v>124.8388746803069</v>
      </c>
      <c r="T305" s="42">
        <f t="shared" si="55"/>
        <v>88</v>
      </c>
      <c r="U305" s="42" t="str">
        <f t="shared" si="56"/>
        <v>Wee</v>
      </c>
      <c r="V305" s="42" t="str">
        <f t="shared" si="57"/>
        <v>kday</v>
      </c>
      <c r="W305" s="42">
        <f t="shared" si="58"/>
        <v>7</v>
      </c>
      <c r="X305" s="42">
        <f t="shared" si="59"/>
        <v>0.1515</v>
      </c>
      <c r="Y305" s="3">
        <f t="shared" si="60"/>
        <v>82</v>
      </c>
      <c r="Z305" s="3">
        <f t="shared" si="64"/>
        <v>7883</v>
      </c>
      <c r="AA305" s="3">
        <f t="shared" si="61"/>
        <v>1232.2489122187819</v>
      </c>
      <c r="AB305" s="3">
        <f t="shared" si="62"/>
        <v>0.99911573903365103</v>
      </c>
      <c r="AC305" s="3" t="str">
        <f t="shared" si="63"/>
        <v>Normal</v>
      </c>
    </row>
    <row r="306" spans="1:29" x14ac:dyDescent="0.2">
      <c r="A306" s="4">
        <v>924</v>
      </c>
      <c r="B306" s="5">
        <v>40849</v>
      </c>
      <c r="C306" s="4">
        <v>1</v>
      </c>
      <c r="D306" s="4">
        <v>0</v>
      </c>
      <c r="E306" s="4">
        <v>2</v>
      </c>
      <c r="F306" s="4">
        <v>0</v>
      </c>
      <c r="G306" s="4" t="b">
        <v>0</v>
      </c>
      <c r="H306" s="4">
        <v>5</v>
      </c>
      <c r="I306" s="4">
        <v>1</v>
      </c>
      <c r="J306" s="4">
        <v>0.1</v>
      </c>
      <c r="K306" s="4">
        <v>0.13639999999999999</v>
      </c>
      <c r="L306" s="4">
        <v>0.49</v>
      </c>
      <c r="M306" s="4">
        <v>0.1045</v>
      </c>
      <c r="N306" s="4">
        <v>2</v>
      </c>
      <c r="O306" s="4">
        <v>12</v>
      </c>
      <c r="P306" s="4">
        <v>14</v>
      </c>
      <c r="Q306" s="6" t="str">
        <f t="shared" si="52"/>
        <v>Weekday</v>
      </c>
      <c r="R306" s="42">
        <f t="shared" si="53"/>
        <v>29988</v>
      </c>
      <c r="S306" s="42">
        <f t="shared" si="54"/>
        <v>124.8388746803069</v>
      </c>
      <c r="T306" s="42">
        <f t="shared" si="55"/>
        <v>87</v>
      </c>
      <c r="U306" s="42" t="str">
        <f t="shared" si="56"/>
        <v>Wee</v>
      </c>
      <c r="V306" s="42" t="str">
        <f t="shared" si="57"/>
        <v>kday</v>
      </c>
      <c r="W306" s="42">
        <f t="shared" si="58"/>
        <v>7</v>
      </c>
      <c r="X306" s="42">
        <f t="shared" si="59"/>
        <v>0.13639999999999999</v>
      </c>
      <c r="Y306" s="3">
        <f t="shared" si="60"/>
        <v>82</v>
      </c>
      <c r="Z306" s="3">
        <f t="shared" si="64"/>
        <v>7883</v>
      </c>
      <c r="AA306" s="3">
        <f t="shared" si="61"/>
        <v>1232.2489122187819</v>
      </c>
      <c r="AB306" s="3">
        <f t="shared" si="62"/>
        <v>0.99911573903365103</v>
      </c>
      <c r="AC306" s="3" t="str">
        <f t="shared" si="63"/>
        <v>Normal</v>
      </c>
    </row>
    <row r="307" spans="1:29" x14ac:dyDescent="0.2">
      <c r="A307" s="4">
        <v>925</v>
      </c>
      <c r="B307" s="5">
        <v>40849</v>
      </c>
      <c r="C307" s="4">
        <v>1</v>
      </c>
      <c r="D307" s="4">
        <v>0</v>
      </c>
      <c r="E307" s="4">
        <v>2</v>
      </c>
      <c r="F307" s="4">
        <v>1</v>
      </c>
      <c r="G307" s="4" t="b">
        <v>0</v>
      </c>
      <c r="H307" s="4">
        <v>5</v>
      </c>
      <c r="I307" s="4">
        <v>1</v>
      </c>
      <c r="J307" s="4">
        <v>0.1</v>
      </c>
      <c r="K307" s="4">
        <v>0.13639999999999999</v>
      </c>
      <c r="L307" s="4">
        <v>0.54</v>
      </c>
      <c r="M307" s="4">
        <v>8.9599999999999999E-2</v>
      </c>
      <c r="N307" s="4">
        <v>1</v>
      </c>
      <c r="O307" s="4">
        <v>6</v>
      </c>
      <c r="P307" s="4">
        <v>7</v>
      </c>
      <c r="Q307" s="6" t="str">
        <f t="shared" si="52"/>
        <v>Weekday</v>
      </c>
      <c r="R307" s="42">
        <f t="shared" si="53"/>
        <v>29974</v>
      </c>
      <c r="S307" s="42">
        <f t="shared" si="54"/>
        <v>124.8388746803069</v>
      </c>
      <c r="T307" s="42">
        <f t="shared" si="55"/>
        <v>86</v>
      </c>
      <c r="U307" s="42" t="str">
        <f t="shared" si="56"/>
        <v>Wee</v>
      </c>
      <c r="V307" s="42" t="str">
        <f t="shared" si="57"/>
        <v>kday</v>
      </c>
      <c r="W307" s="42">
        <f t="shared" si="58"/>
        <v>7</v>
      </c>
      <c r="X307" s="42">
        <f t="shared" si="59"/>
        <v>0.13639999999999999</v>
      </c>
      <c r="Y307" s="3">
        <f t="shared" si="60"/>
        <v>82</v>
      </c>
      <c r="Z307" s="3">
        <f t="shared" si="64"/>
        <v>7883</v>
      </c>
      <c r="AA307" s="3">
        <f t="shared" si="61"/>
        <v>1232.2489122187819</v>
      </c>
      <c r="AB307" s="3">
        <f t="shared" si="62"/>
        <v>0.99911573903365103</v>
      </c>
      <c r="AC307" s="3" t="str">
        <f t="shared" si="63"/>
        <v>Normal</v>
      </c>
    </row>
    <row r="308" spans="1:29" x14ac:dyDescent="0.2">
      <c r="A308" s="4">
        <v>926</v>
      </c>
      <c r="B308" s="5">
        <v>40849</v>
      </c>
      <c r="C308" s="4">
        <v>1</v>
      </c>
      <c r="D308" s="4">
        <v>0</v>
      </c>
      <c r="E308" s="4">
        <v>2</v>
      </c>
      <c r="F308" s="4">
        <v>2</v>
      </c>
      <c r="G308" s="4" t="b">
        <v>0</v>
      </c>
      <c r="H308" s="4">
        <v>5</v>
      </c>
      <c r="I308" s="4">
        <v>1</v>
      </c>
      <c r="J308" s="4">
        <v>0.1</v>
      </c>
      <c r="K308" s="4">
        <v>0.13639999999999999</v>
      </c>
      <c r="L308" s="4">
        <v>0.54</v>
      </c>
      <c r="M308" s="4">
        <v>8.9599999999999999E-2</v>
      </c>
      <c r="N308" s="4">
        <v>0</v>
      </c>
      <c r="O308" s="4">
        <v>3</v>
      </c>
      <c r="P308" s="4">
        <v>3</v>
      </c>
      <c r="Q308" s="6" t="str">
        <f t="shared" si="52"/>
        <v>Weekday</v>
      </c>
      <c r="R308" s="42">
        <f t="shared" si="53"/>
        <v>29967</v>
      </c>
      <c r="S308" s="42">
        <f t="shared" si="54"/>
        <v>124.8388746803069</v>
      </c>
      <c r="T308" s="42">
        <f t="shared" si="55"/>
        <v>85</v>
      </c>
      <c r="U308" s="42" t="str">
        <f t="shared" si="56"/>
        <v>Wee</v>
      </c>
      <c r="V308" s="42" t="str">
        <f t="shared" si="57"/>
        <v>kday</v>
      </c>
      <c r="W308" s="42">
        <f t="shared" si="58"/>
        <v>7</v>
      </c>
      <c r="X308" s="42">
        <f t="shared" si="59"/>
        <v>0.13639999999999999</v>
      </c>
      <c r="Y308" s="3">
        <f t="shared" si="60"/>
        <v>82</v>
      </c>
      <c r="Z308" s="3">
        <f t="shared" si="64"/>
        <v>7883</v>
      </c>
      <c r="AA308" s="3">
        <f t="shared" si="61"/>
        <v>1232.2489122187819</v>
      </c>
      <c r="AB308" s="3">
        <f t="shared" si="62"/>
        <v>0.99911573903365103</v>
      </c>
      <c r="AC308" s="3" t="str">
        <f t="shared" si="63"/>
        <v>Normal</v>
      </c>
    </row>
    <row r="309" spans="1:29" x14ac:dyDescent="0.2">
      <c r="A309" s="4">
        <v>927</v>
      </c>
      <c r="B309" s="5">
        <v>40849</v>
      </c>
      <c r="C309" s="4">
        <v>1</v>
      </c>
      <c r="D309" s="4">
        <v>0</v>
      </c>
      <c r="E309" s="4">
        <v>2</v>
      </c>
      <c r="F309" s="4">
        <v>5</v>
      </c>
      <c r="G309" s="4" t="b">
        <v>0</v>
      </c>
      <c r="H309" s="4">
        <v>5</v>
      </c>
      <c r="I309" s="4">
        <v>1</v>
      </c>
      <c r="J309" s="4">
        <v>0.08</v>
      </c>
      <c r="K309" s="4">
        <v>0.1212</v>
      </c>
      <c r="L309" s="4">
        <v>0.63</v>
      </c>
      <c r="M309" s="4">
        <v>8.9599999999999999E-2</v>
      </c>
      <c r="N309" s="4">
        <v>0</v>
      </c>
      <c r="O309" s="4">
        <v>4</v>
      </c>
      <c r="P309" s="4">
        <v>4</v>
      </c>
      <c r="Q309" s="6" t="str">
        <f t="shared" si="52"/>
        <v>Weekday</v>
      </c>
      <c r="R309" s="42">
        <f t="shared" si="53"/>
        <v>29964</v>
      </c>
      <c r="S309" s="42">
        <f t="shared" si="54"/>
        <v>124.8388746803069</v>
      </c>
      <c r="T309" s="42">
        <f t="shared" si="55"/>
        <v>84</v>
      </c>
      <c r="U309" s="42" t="str">
        <f t="shared" si="56"/>
        <v>Wee</v>
      </c>
      <c r="V309" s="42" t="str">
        <f t="shared" si="57"/>
        <v>kday</v>
      </c>
      <c r="W309" s="42">
        <f t="shared" si="58"/>
        <v>7</v>
      </c>
      <c r="X309" s="42">
        <f t="shared" si="59"/>
        <v>0.1212</v>
      </c>
      <c r="Y309" s="3">
        <f t="shared" si="60"/>
        <v>82</v>
      </c>
      <c r="Z309" s="3">
        <f t="shared" si="64"/>
        <v>7883</v>
      </c>
      <c r="AA309" s="3">
        <f t="shared" si="61"/>
        <v>1232.2489122187819</v>
      </c>
      <c r="AB309" s="3">
        <f t="shared" si="62"/>
        <v>0.99911573903365103</v>
      </c>
      <c r="AC309" s="3" t="str">
        <f t="shared" si="63"/>
        <v>Normal</v>
      </c>
    </row>
    <row r="310" spans="1:29" x14ac:dyDescent="0.2">
      <c r="A310" s="4">
        <v>928</v>
      </c>
      <c r="B310" s="5">
        <v>40849</v>
      </c>
      <c r="C310" s="4">
        <v>1</v>
      </c>
      <c r="D310" s="4">
        <v>0</v>
      </c>
      <c r="E310" s="4">
        <v>2</v>
      </c>
      <c r="F310" s="4">
        <v>6</v>
      </c>
      <c r="G310" s="4" t="b">
        <v>0</v>
      </c>
      <c r="H310" s="4">
        <v>5</v>
      </c>
      <c r="I310" s="4">
        <v>1</v>
      </c>
      <c r="J310" s="4">
        <v>0.1</v>
      </c>
      <c r="K310" s="4">
        <v>0.18179999999999999</v>
      </c>
      <c r="L310" s="4">
        <v>0.68</v>
      </c>
      <c r="M310" s="4">
        <v>0</v>
      </c>
      <c r="N310" s="4">
        <v>1</v>
      </c>
      <c r="O310" s="4">
        <v>23</v>
      </c>
      <c r="P310" s="4">
        <v>24</v>
      </c>
      <c r="Q310" s="6" t="str">
        <f t="shared" si="52"/>
        <v>Weekday</v>
      </c>
      <c r="R310" s="42">
        <f t="shared" si="53"/>
        <v>29960</v>
      </c>
      <c r="S310" s="42">
        <f t="shared" si="54"/>
        <v>124.8388746803069</v>
      </c>
      <c r="T310" s="42">
        <f t="shared" si="55"/>
        <v>83</v>
      </c>
      <c r="U310" s="42" t="str">
        <f t="shared" si="56"/>
        <v>Wee</v>
      </c>
      <c r="V310" s="42" t="str">
        <f t="shared" si="57"/>
        <v>kday</v>
      </c>
      <c r="W310" s="42">
        <f t="shared" si="58"/>
        <v>7</v>
      </c>
      <c r="X310" s="42">
        <f t="shared" si="59"/>
        <v>0.18179999999999999</v>
      </c>
      <c r="Y310" s="3">
        <f t="shared" si="60"/>
        <v>82</v>
      </c>
      <c r="Z310" s="3">
        <f t="shared" si="64"/>
        <v>7883</v>
      </c>
      <c r="AA310" s="3">
        <f t="shared" si="61"/>
        <v>1232.2489122187819</v>
      </c>
      <c r="AB310" s="3">
        <f t="shared" si="62"/>
        <v>0.99911573903365103</v>
      </c>
      <c r="AC310" s="3" t="str">
        <f t="shared" si="63"/>
        <v>Normal</v>
      </c>
    </row>
    <row r="311" spans="1:29" x14ac:dyDescent="0.2">
      <c r="A311" s="4">
        <v>929</v>
      </c>
      <c r="B311" s="5">
        <v>40849</v>
      </c>
      <c r="C311" s="4">
        <v>1</v>
      </c>
      <c r="D311" s="4">
        <v>0</v>
      </c>
      <c r="E311" s="4">
        <v>2</v>
      </c>
      <c r="F311" s="4">
        <v>7</v>
      </c>
      <c r="G311" s="4" t="b">
        <v>0</v>
      </c>
      <c r="H311" s="4">
        <v>5</v>
      </c>
      <c r="I311" s="4">
        <v>1</v>
      </c>
      <c r="J311" s="4">
        <v>0.08</v>
      </c>
      <c r="K311" s="4">
        <v>0.16669999999999999</v>
      </c>
      <c r="L311" s="4">
        <v>0.73</v>
      </c>
      <c r="M311" s="4">
        <v>0</v>
      </c>
      <c r="N311" s="4">
        <v>1</v>
      </c>
      <c r="O311" s="4">
        <v>73</v>
      </c>
      <c r="P311" s="4">
        <v>74</v>
      </c>
      <c r="Q311" s="6" t="str">
        <f t="shared" si="52"/>
        <v>Weekday</v>
      </c>
      <c r="R311" s="42">
        <f t="shared" si="53"/>
        <v>29936</v>
      </c>
      <c r="S311" s="42">
        <f t="shared" si="54"/>
        <v>124.8388746803069</v>
      </c>
      <c r="T311" s="42">
        <f t="shared" si="55"/>
        <v>82</v>
      </c>
      <c r="U311" s="42" t="str">
        <f t="shared" si="56"/>
        <v>Wee</v>
      </c>
      <c r="V311" s="42" t="str">
        <f t="shared" si="57"/>
        <v>kday</v>
      </c>
      <c r="W311" s="42">
        <f t="shared" si="58"/>
        <v>7</v>
      </c>
      <c r="X311" s="42">
        <f t="shared" si="59"/>
        <v>0.16669999999999999</v>
      </c>
      <c r="Y311" s="3">
        <f t="shared" si="60"/>
        <v>82</v>
      </c>
      <c r="Z311" s="3">
        <f t="shared" si="64"/>
        <v>7883</v>
      </c>
      <c r="AA311" s="3">
        <f t="shared" si="61"/>
        <v>1232.2489122187819</v>
      </c>
      <c r="AB311" s="3">
        <f t="shared" si="62"/>
        <v>0.99911573903365103</v>
      </c>
      <c r="AC311" s="3" t="str">
        <f t="shared" si="63"/>
        <v>Normal</v>
      </c>
    </row>
    <row r="312" spans="1:29" x14ac:dyDescent="0.2">
      <c r="A312" s="4">
        <v>930</v>
      </c>
      <c r="B312" s="5">
        <v>40849</v>
      </c>
      <c r="C312" s="4">
        <v>1</v>
      </c>
      <c r="D312" s="4">
        <v>0</v>
      </c>
      <c r="E312" s="4">
        <v>2</v>
      </c>
      <c r="F312" s="4">
        <v>8</v>
      </c>
      <c r="G312" s="4" t="b">
        <v>0</v>
      </c>
      <c r="H312" s="4">
        <v>5</v>
      </c>
      <c r="I312" s="4">
        <v>1</v>
      </c>
      <c r="J312" s="4">
        <v>0.1</v>
      </c>
      <c r="K312" s="4">
        <v>0.1212</v>
      </c>
      <c r="L312" s="4">
        <v>0.74</v>
      </c>
      <c r="M312" s="4">
        <v>0.16420000000000001</v>
      </c>
      <c r="N312" s="4">
        <v>4</v>
      </c>
      <c r="O312" s="4">
        <v>212</v>
      </c>
      <c r="P312" s="4">
        <v>216</v>
      </c>
      <c r="Q312" s="6" t="str">
        <f t="shared" si="52"/>
        <v>Weekday</v>
      </c>
      <c r="R312" s="42">
        <f t="shared" si="53"/>
        <v>29862</v>
      </c>
      <c r="S312" s="42">
        <f t="shared" si="54"/>
        <v>124.8388746803069</v>
      </c>
      <c r="T312" s="42">
        <f t="shared" si="55"/>
        <v>81</v>
      </c>
      <c r="U312" s="42" t="str">
        <f t="shared" si="56"/>
        <v>Wee</v>
      </c>
      <c r="V312" s="42" t="str">
        <f t="shared" si="57"/>
        <v>kday</v>
      </c>
      <c r="W312" s="42">
        <f t="shared" si="58"/>
        <v>7</v>
      </c>
      <c r="X312" s="42">
        <f t="shared" si="59"/>
        <v>0.1212</v>
      </c>
      <c r="Y312" s="3">
        <f t="shared" si="60"/>
        <v>82</v>
      </c>
      <c r="Z312" s="3">
        <f t="shared" si="64"/>
        <v>7883</v>
      </c>
      <c r="AA312" s="3">
        <f t="shared" si="61"/>
        <v>1232.2489122187819</v>
      </c>
      <c r="AB312" s="3">
        <f t="shared" si="62"/>
        <v>0.99911573903365103</v>
      </c>
      <c r="AC312" s="3" t="str">
        <f t="shared" si="63"/>
        <v>Normal</v>
      </c>
    </row>
    <row r="313" spans="1:29" x14ac:dyDescent="0.2">
      <c r="A313" s="4">
        <v>931</v>
      </c>
      <c r="B313" s="5">
        <v>40849</v>
      </c>
      <c r="C313" s="4">
        <v>1</v>
      </c>
      <c r="D313" s="4">
        <v>0</v>
      </c>
      <c r="E313" s="4">
        <v>2</v>
      </c>
      <c r="F313" s="4">
        <v>9</v>
      </c>
      <c r="G313" s="4" t="b">
        <v>0</v>
      </c>
      <c r="H313" s="4">
        <v>5</v>
      </c>
      <c r="I313" s="4">
        <v>1</v>
      </c>
      <c r="J313" s="4">
        <v>0.12</v>
      </c>
      <c r="K313" s="4">
        <v>0.1212</v>
      </c>
      <c r="L313" s="4">
        <v>0.74</v>
      </c>
      <c r="M313" s="4">
        <v>0.22389999999999999</v>
      </c>
      <c r="N313" s="4">
        <v>8</v>
      </c>
      <c r="O313" s="4">
        <v>132</v>
      </c>
      <c r="P313" s="4">
        <v>140</v>
      </c>
      <c r="Q313" s="6" t="str">
        <f t="shared" si="52"/>
        <v>Weekday</v>
      </c>
      <c r="R313" s="42">
        <f t="shared" si="53"/>
        <v>29646</v>
      </c>
      <c r="S313" s="42">
        <f t="shared" si="54"/>
        <v>124.8388746803069</v>
      </c>
      <c r="T313" s="42">
        <f t="shared" si="55"/>
        <v>80</v>
      </c>
      <c r="U313" s="42" t="str">
        <f t="shared" si="56"/>
        <v>Wee</v>
      </c>
      <c r="V313" s="42" t="str">
        <f t="shared" si="57"/>
        <v>kday</v>
      </c>
      <c r="W313" s="42">
        <f t="shared" si="58"/>
        <v>7</v>
      </c>
      <c r="X313" s="42">
        <f t="shared" si="59"/>
        <v>0.1212</v>
      </c>
      <c r="Y313" s="3">
        <f t="shared" si="60"/>
        <v>82</v>
      </c>
      <c r="Z313" s="3">
        <f t="shared" si="64"/>
        <v>7883</v>
      </c>
      <c r="AA313" s="3">
        <f t="shared" si="61"/>
        <v>1232.2489122187819</v>
      </c>
      <c r="AB313" s="3">
        <f t="shared" si="62"/>
        <v>0.99911573903365103</v>
      </c>
      <c r="AC313" s="3" t="str">
        <f t="shared" si="63"/>
        <v>Normal</v>
      </c>
    </row>
    <row r="314" spans="1:29" x14ac:dyDescent="0.2">
      <c r="A314" s="4">
        <v>932</v>
      </c>
      <c r="B314" s="5">
        <v>40849</v>
      </c>
      <c r="C314" s="4">
        <v>1</v>
      </c>
      <c r="D314" s="4">
        <v>0</v>
      </c>
      <c r="E314" s="4">
        <v>2</v>
      </c>
      <c r="F314" s="4">
        <v>10</v>
      </c>
      <c r="G314" s="4" t="b">
        <v>0</v>
      </c>
      <c r="H314" s="4">
        <v>5</v>
      </c>
      <c r="I314" s="4">
        <v>1</v>
      </c>
      <c r="J314" s="4">
        <v>0.14000000000000001</v>
      </c>
      <c r="K314" s="4">
        <v>0.13639999999999999</v>
      </c>
      <c r="L314" s="4">
        <v>0.69</v>
      </c>
      <c r="M314" s="4">
        <v>0.19400000000000001</v>
      </c>
      <c r="N314" s="4">
        <v>5</v>
      </c>
      <c r="O314" s="4">
        <v>39</v>
      </c>
      <c r="P314" s="4">
        <v>44</v>
      </c>
      <c r="Q314" s="6" t="str">
        <f t="shared" si="52"/>
        <v>Weekday</v>
      </c>
      <c r="R314" s="42">
        <f t="shared" si="53"/>
        <v>29506</v>
      </c>
      <c r="S314" s="42">
        <f t="shared" si="54"/>
        <v>124.8388746803069</v>
      </c>
      <c r="T314" s="42">
        <f t="shared" si="55"/>
        <v>79</v>
      </c>
      <c r="U314" s="42" t="str">
        <f t="shared" si="56"/>
        <v>Wee</v>
      </c>
      <c r="V314" s="42" t="str">
        <f t="shared" si="57"/>
        <v>kday</v>
      </c>
      <c r="W314" s="42">
        <f t="shared" si="58"/>
        <v>7</v>
      </c>
      <c r="X314" s="42">
        <f t="shared" si="59"/>
        <v>0.13639999999999999</v>
      </c>
      <c r="Y314" s="3">
        <f t="shared" si="60"/>
        <v>82</v>
      </c>
      <c r="Z314" s="3">
        <f t="shared" si="64"/>
        <v>7883</v>
      </c>
      <c r="AA314" s="3">
        <f t="shared" si="61"/>
        <v>1232.2489122187819</v>
      </c>
      <c r="AB314" s="3">
        <f t="shared" si="62"/>
        <v>0.99911573903365103</v>
      </c>
      <c r="AC314" s="3" t="str">
        <f t="shared" si="63"/>
        <v>Normal</v>
      </c>
    </row>
    <row r="315" spans="1:29" x14ac:dyDescent="0.2">
      <c r="A315" s="4">
        <v>933</v>
      </c>
      <c r="B315" s="5">
        <v>40849</v>
      </c>
      <c r="C315" s="4">
        <v>1</v>
      </c>
      <c r="D315" s="4">
        <v>0</v>
      </c>
      <c r="E315" s="4">
        <v>2</v>
      </c>
      <c r="F315" s="4">
        <v>11</v>
      </c>
      <c r="G315" s="4" t="b">
        <v>0</v>
      </c>
      <c r="H315" s="4">
        <v>5</v>
      </c>
      <c r="I315" s="4">
        <v>1</v>
      </c>
      <c r="J315" s="4">
        <v>0.22</v>
      </c>
      <c r="K315" s="4">
        <v>0.2273</v>
      </c>
      <c r="L315" s="4">
        <v>0.47</v>
      </c>
      <c r="M315" s="4">
        <v>0.1343</v>
      </c>
      <c r="N315" s="4">
        <v>12</v>
      </c>
      <c r="O315" s="4">
        <v>52</v>
      </c>
      <c r="P315" s="4">
        <v>64</v>
      </c>
      <c r="Q315" s="6" t="str">
        <f t="shared" si="52"/>
        <v>Weekday</v>
      </c>
      <c r="R315" s="42">
        <f t="shared" si="53"/>
        <v>29462</v>
      </c>
      <c r="S315" s="42">
        <f t="shared" si="54"/>
        <v>124.8388746803069</v>
      </c>
      <c r="T315" s="42">
        <f t="shared" si="55"/>
        <v>78</v>
      </c>
      <c r="U315" s="42" t="str">
        <f t="shared" si="56"/>
        <v>Wee</v>
      </c>
      <c r="V315" s="42" t="str">
        <f t="shared" si="57"/>
        <v>kday</v>
      </c>
      <c r="W315" s="42">
        <f t="shared" si="58"/>
        <v>7</v>
      </c>
      <c r="X315" s="42">
        <f t="shared" si="59"/>
        <v>0.2273</v>
      </c>
      <c r="Y315" s="3">
        <f t="shared" si="60"/>
        <v>82</v>
      </c>
      <c r="Z315" s="3">
        <f t="shared" si="64"/>
        <v>7883</v>
      </c>
      <c r="AA315" s="3">
        <f t="shared" si="61"/>
        <v>1232.2489122187819</v>
      </c>
      <c r="AB315" s="3">
        <f t="shared" si="62"/>
        <v>0.99911573903365103</v>
      </c>
      <c r="AC315" s="3" t="str">
        <f t="shared" si="63"/>
        <v>Normal</v>
      </c>
    </row>
    <row r="316" spans="1:29" x14ac:dyDescent="0.2">
      <c r="A316" s="4">
        <v>934</v>
      </c>
      <c r="B316" s="5">
        <v>40849</v>
      </c>
      <c r="C316" s="4">
        <v>1</v>
      </c>
      <c r="D316" s="4">
        <v>0</v>
      </c>
      <c r="E316" s="4">
        <v>2</v>
      </c>
      <c r="F316" s="4">
        <v>12</v>
      </c>
      <c r="G316" s="4" t="b">
        <v>0</v>
      </c>
      <c r="H316" s="4">
        <v>5</v>
      </c>
      <c r="I316" s="4">
        <v>1</v>
      </c>
      <c r="J316" s="4">
        <v>0.22</v>
      </c>
      <c r="K316" s="4">
        <v>0.2273</v>
      </c>
      <c r="L316" s="4">
        <v>0.47</v>
      </c>
      <c r="M316" s="4">
        <v>0.1343</v>
      </c>
      <c r="N316" s="4">
        <v>7</v>
      </c>
      <c r="O316" s="4">
        <v>64</v>
      </c>
      <c r="P316" s="4">
        <v>71</v>
      </c>
      <c r="Q316" s="6" t="str">
        <f t="shared" si="52"/>
        <v>Weekday</v>
      </c>
      <c r="R316" s="42">
        <f t="shared" si="53"/>
        <v>29398</v>
      </c>
      <c r="S316" s="42">
        <f t="shared" si="54"/>
        <v>124.8388746803069</v>
      </c>
      <c r="T316" s="42">
        <f t="shared" si="55"/>
        <v>77</v>
      </c>
      <c r="U316" s="42" t="str">
        <f t="shared" si="56"/>
        <v>Wee</v>
      </c>
      <c r="V316" s="42" t="str">
        <f t="shared" si="57"/>
        <v>kday</v>
      </c>
      <c r="W316" s="42">
        <f t="shared" si="58"/>
        <v>7</v>
      </c>
      <c r="X316" s="42">
        <f t="shared" si="59"/>
        <v>0.2273</v>
      </c>
      <c r="Y316" s="3">
        <f t="shared" si="60"/>
        <v>82</v>
      </c>
      <c r="Z316" s="3">
        <f t="shared" si="64"/>
        <v>7883</v>
      </c>
      <c r="AA316" s="3">
        <f t="shared" si="61"/>
        <v>1232.2489122187819</v>
      </c>
      <c r="AB316" s="3">
        <f t="shared" si="62"/>
        <v>0.99911573903365103</v>
      </c>
      <c r="AC316" s="3" t="str">
        <f t="shared" si="63"/>
        <v>Normal</v>
      </c>
    </row>
    <row r="317" spans="1:29" x14ac:dyDescent="0.2">
      <c r="A317" s="4">
        <v>935</v>
      </c>
      <c r="B317" s="5">
        <v>40849</v>
      </c>
      <c r="C317" s="4">
        <v>1</v>
      </c>
      <c r="D317" s="4">
        <v>0</v>
      </c>
      <c r="E317" s="4">
        <v>2</v>
      </c>
      <c r="F317" s="4">
        <v>13</v>
      </c>
      <c r="G317" s="4" t="b">
        <v>0</v>
      </c>
      <c r="H317" s="4">
        <v>5</v>
      </c>
      <c r="I317" s="4">
        <v>1</v>
      </c>
      <c r="J317" s="4">
        <v>0.24</v>
      </c>
      <c r="K317" s="4">
        <v>0.2273</v>
      </c>
      <c r="L317" s="4">
        <v>0.35</v>
      </c>
      <c r="M317" s="4">
        <v>0.19400000000000001</v>
      </c>
      <c r="N317" s="4">
        <v>21</v>
      </c>
      <c r="O317" s="4">
        <v>89</v>
      </c>
      <c r="P317" s="4">
        <v>110</v>
      </c>
      <c r="Q317" s="6" t="str">
        <f t="shared" si="52"/>
        <v>Weekday</v>
      </c>
      <c r="R317" s="42">
        <f t="shared" si="53"/>
        <v>29327</v>
      </c>
      <c r="S317" s="42">
        <f t="shared" si="54"/>
        <v>124.8388746803069</v>
      </c>
      <c r="T317" s="42">
        <f t="shared" si="55"/>
        <v>76</v>
      </c>
      <c r="U317" s="42" t="str">
        <f t="shared" si="56"/>
        <v>Wee</v>
      </c>
      <c r="V317" s="42" t="str">
        <f t="shared" si="57"/>
        <v>kday</v>
      </c>
      <c r="W317" s="42">
        <f t="shared" si="58"/>
        <v>7</v>
      </c>
      <c r="X317" s="42">
        <f t="shared" si="59"/>
        <v>0.2273</v>
      </c>
      <c r="Y317" s="3">
        <f t="shared" si="60"/>
        <v>82</v>
      </c>
      <c r="Z317" s="3">
        <f t="shared" si="64"/>
        <v>7883</v>
      </c>
      <c r="AA317" s="3">
        <f t="shared" si="61"/>
        <v>1232.2489122187819</v>
      </c>
      <c r="AB317" s="3">
        <f t="shared" si="62"/>
        <v>0.99911573903365103</v>
      </c>
      <c r="AC317" s="3" t="str">
        <f t="shared" si="63"/>
        <v>Normal</v>
      </c>
    </row>
    <row r="318" spans="1:29" x14ac:dyDescent="0.2">
      <c r="A318" s="4">
        <v>936</v>
      </c>
      <c r="B318" s="5">
        <v>40849</v>
      </c>
      <c r="C318" s="4">
        <v>1</v>
      </c>
      <c r="D318" s="4">
        <v>0</v>
      </c>
      <c r="E318" s="4">
        <v>2</v>
      </c>
      <c r="F318" s="4">
        <v>14</v>
      </c>
      <c r="G318" s="4" t="b">
        <v>0</v>
      </c>
      <c r="H318" s="4">
        <v>5</v>
      </c>
      <c r="I318" s="4">
        <v>1</v>
      </c>
      <c r="J318" s="4">
        <v>0.3</v>
      </c>
      <c r="K318" s="4">
        <v>0.28789999999999999</v>
      </c>
      <c r="L318" s="4">
        <v>0.26</v>
      </c>
      <c r="M318" s="4">
        <v>0.25369999999999998</v>
      </c>
      <c r="N318" s="4">
        <v>17</v>
      </c>
      <c r="O318" s="4">
        <v>67</v>
      </c>
      <c r="P318" s="4">
        <v>84</v>
      </c>
      <c r="Q318" s="6" t="str">
        <f t="shared" si="52"/>
        <v>Weekday</v>
      </c>
      <c r="R318" s="42">
        <f t="shared" si="53"/>
        <v>29217</v>
      </c>
      <c r="S318" s="42">
        <f t="shared" si="54"/>
        <v>124.8388746803069</v>
      </c>
      <c r="T318" s="42">
        <f t="shared" si="55"/>
        <v>75</v>
      </c>
      <c r="U318" s="42" t="str">
        <f t="shared" si="56"/>
        <v>Wee</v>
      </c>
      <c r="V318" s="42" t="str">
        <f t="shared" si="57"/>
        <v>kday</v>
      </c>
      <c r="W318" s="42">
        <f t="shared" si="58"/>
        <v>7</v>
      </c>
      <c r="X318" s="42">
        <f t="shared" si="59"/>
        <v>0.28789999999999999</v>
      </c>
      <c r="Y318" s="3">
        <f t="shared" si="60"/>
        <v>82</v>
      </c>
      <c r="Z318" s="3">
        <f t="shared" si="64"/>
        <v>7883</v>
      </c>
      <c r="AA318" s="3">
        <f t="shared" si="61"/>
        <v>1232.2489122187819</v>
      </c>
      <c r="AB318" s="3">
        <f t="shared" si="62"/>
        <v>0.99911573903365103</v>
      </c>
      <c r="AC318" s="3" t="str">
        <f t="shared" si="63"/>
        <v>Normal</v>
      </c>
    </row>
    <row r="319" spans="1:29" x14ac:dyDescent="0.2">
      <c r="A319" s="4">
        <v>937</v>
      </c>
      <c r="B319" s="5">
        <v>40849</v>
      </c>
      <c r="C319" s="4">
        <v>1</v>
      </c>
      <c r="D319" s="4">
        <v>0</v>
      </c>
      <c r="E319" s="4">
        <v>2</v>
      </c>
      <c r="F319" s="4">
        <v>15</v>
      </c>
      <c r="G319" s="4" t="b">
        <v>0</v>
      </c>
      <c r="H319" s="4">
        <v>5</v>
      </c>
      <c r="I319" s="4">
        <v>1</v>
      </c>
      <c r="J319" s="4">
        <v>0.32</v>
      </c>
      <c r="K319" s="4">
        <v>0.31819999999999998</v>
      </c>
      <c r="L319" s="4">
        <v>0.21</v>
      </c>
      <c r="M319" s="4">
        <v>0.16420000000000001</v>
      </c>
      <c r="N319" s="4">
        <v>12</v>
      </c>
      <c r="O319" s="4">
        <v>62</v>
      </c>
      <c r="P319" s="4">
        <v>74</v>
      </c>
      <c r="Q319" s="6" t="str">
        <f t="shared" si="52"/>
        <v>Weekday</v>
      </c>
      <c r="R319" s="42">
        <f t="shared" si="53"/>
        <v>29133</v>
      </c>
      <c r="S319" s="42">
        <f t="shared" si="54"/>
        <v>124.8388746803069</v>
      </c>
      <c r="T319" s="42">
        <f t="shared" si="55"/>
        <v>74</v>
      </c>
      <c r="U319" s="42" t="str">
        <f t="shared" si="56"/>
        <v>Wee</v>
      </c>
      <c r="V319" s="42" t="str">
        <f t="shared" si="57"/>
        <v>kday</v>
      </c>
      <c r="W319" s="42">
        <f t="shared" si="58"/>
        <v>7</v>
      </c>
      <c r="X319" s="42">
        <f t="shared" si="59"/>
        <v>0.31819999999999998</v>
      </c>
      <c r="Y319" s="3">
        <f t="shared" si="60"/>
        <v>82</v>
      </c>
      <c r="Z319" s="3">
        <f t="shared" si="64"/>
        <v>7883</v>
      </c>
      <c r="AA319" s="3">
        <f t="shared" si="61"/>
        <v>1232.2489122187819</v>
      </c>
      <c r="AB319" s="3">
        <f t="shared" si="62"/>
        <v>0.99911573903365103</v>
      </c>
      <c r="AC319" s="3" t="str">
        <f t="shared" si="63"/>
        <v>Normal</v>
      </c>
    </row>
    <row r="320" spans="1:29" x14ac:dyDescent="0.2">
      <c r="A320" s="4">
        <v>938</v>
      </c>
      <c r="B320" s="5">
        <v>40849</v>
      </c>
      <c r="C320" s="4">
        <v>1</v>
      </c>
      <c r="D320" s="4">
        <v>0</v>
      </c>
      <c r="E320" s="4">
        <v>2</v>
      </c>
      <c r="F320" s="4">
        <v>16</v>
      </c>
      <c r="G320" s="4" t="b">
        <v>0</v>
      </c>
      <c r="H320" s="4">
        <v>5</v>
      </c>
      <c r="I320" s="4">
        <v>1</v>
      </c>
      <c r="J320" s="4">
        <v>0.3</v>
      </c>
      <c r="K320" s="4">
        <v>0.28789999999999999</v>
      </c>
      <c r="L320" s="4">
        <v>0.28000000000000003</v>
      </c>
      <c r="M320" s="4">
        <v>0.19400000000000001</v>
      </c>
      <c r="N320" s="4">
        <v>14</v>
      </c>
      <c r="O320" s="4">
        <v>111</v>
      </c>
      <c r="P320" s="4">
        <v>125</v>
      </c>
      <c r="Q320" s="6" t="str">
        <f t="shared" si="52"/>
        <v>Weekday</v>
      </c>
      <c r="R320" s="42">
        <f t="shared" si="53"/>
        <v>29059</v>
      </c>
      <c r="S320" s="42">
        <f t="shared" si="54"/>
        <v>124.8388746803069</v>
      </c>
      <c r="T320" s="42">
        <f t="shared" si="55"/>
        <v>73</v>
      </c>
      <c r="U320" s="42" t="str">
        <f t="shared" si="56"/>
        <v>Wee</v>
      </c>
      <c r="V320" s="42" t="str">
        <f t="shared" si="57"/>
        <v>kday</v>
      </c>
      <c r="W320" s="42">
        <f t="shared" si="58"/>
        <v>7</v>
      </c>
      <c r="X320" s="42">
        <f t="shared" si="59"/>
        <v>0.28789999999999999</v>
      </c>
      <c r="Y320" s="3">
        <f t="shared" si="60"/>
        <v>82</v>
      </c>
      <c r="Z320" s="3">
        <f t="shared" si="64"/>
        <v>7883</v>
      </c>
      <c r="AA320" s="3">
        <f t="shared" si="61"/>
        <v>1232.2489122187819</v>
      </c>
      <c r="AB320" s="3">
        <f t="shared" si="62"/>
        <v>0.99911573903365103</v>
      </c>
      <c r="AC320" s="3" t="str">
        <f t="shared" si="63"/>
        <v>Normal</v>
      </c>
    </row>
    <row r="321" spans="1:29" x14ac:dyDescent="0.2">
      <c r="A321" s="4">
        <v>939</v>
      </c>
      <c r="B321" s="5">
        <v>40849</v>
      </c>
      <c r="C321" s="4">
        <v>1</v>
      </c>
      <c r="D321" s="4">
        <v>0</v>
      </c>
      <c r="E321" s="4">
        <v>2</v>
      </c>
      <c r="F321" s="4">
        <v>17</v>
      </c>
      <c r="G321" s="4" t="b">
        <v>0</v>
      </c>
      <c r="H321" s="4">
        <v>5</v>
      </c>
      <c r="I321" s="4">
        <v>1</v>
      </c>
      <c r="J321" s="4">
        <v>0.3</v>
      </c>
      <c r="K321" s="4">
        <v>0.33329999999999999</v>
      </c>
      <c r="L321" s="4">
        <v>0.24</v>
      </c>
      <c r="M321" s="4">
        <v>0</v>
      </c>
      <c r="N321" s="4">
        <v>18</v>
      </c>
      <c r="O321" s="4">
        <v>193</v>
      </c>
      <c r="P321" s="4">
        <v>211</v>
      </c>
      <c r="Q321" s="6" t="str">
        <f t="shared" si="52"/>
        <v>Weekday</v>
      </c>
      <c r="R321" s="42">
        <f t="shared" si="53"/>
        <v>28934</v>
      </c>
      <c r="S321" s="42">
        <f t="shared" si="54"/>
        <v>124.8388746803069</v>
      </c>
      <c r="T321" s="42">
        <f t="shared" si="55"/>
        <v>72</v>
      </c>
      <c r="U321" s="42" t="str">
        <f t="shared" si="56"/>
        <v>Wee</v>
      </c>
      <c r="V321" s="42" t="str">
        <f t="shared" si="57"/>
        <v>kday</v>
      </c>
      <c r="W321" s="42">
        <f t="shared" si="58"/>
        <v>7</v>
      </c>
      <c r="X321" s="42">
        <f t="shared" si="59"/>
        <v>0.33329999999999999</v>
      </c>
      <c r="Y321" s="3">
        <f t="shared" si="60"/>
        <v>82</v>
      </c>
      <c r="Z321" s="3">
        <f t="shared" si="64"/>
        <v>7883</v>
      </c>
      <c r="AA321" s="3">
        <f t="shared" si="61"/>
        <v>1232.2489122187819</v>
      </c>
      <c r="AB321" s="3">
        <f t="shared" si="62"/>
        <v>0.99911573903365103</v>
      </c>
      <c r="AC321" s="3" t="str">
        <f t="shared" si="63"/>
        <v>Normal</v>
      </c>
    </row>
    <row r="322" spans="1:29" x14ac:dyDescent="0.2">
      <c r="A322" s="4">
        <v>940</v>
      </c>
      <c r="B322" s="5">
        <v>40849</v>
      </c>
      <c r="C322" s="4">
        <v>1</v>
      </c>
      <c r="D322" s="4">
        <v>0</v>
      </c>
      <c r="E322" s="4">
        <v>2</v>
      </c>
      <c r="F322" s="4">
        <v>18</v>
      </c>
      <c r="G322" s="4" t="b">
        <v>0</v>
      </c>
      <c r="H322" s="4">
        <v>5</v>
      </c>
      <c r="I322" s="4">
        <v>1</v>
      </c>
      <c r="J322" s="4">
        <v>0.28000000000000003</v>
      </c>
      <c r="K322" s="4">
        <v>0.31819999999999998</v>
      </c>
      <c r="L322" s="4">
        <v>0.28000000000000003</v>
      </c>
      <c r="M322" s="4">
        <v>0</v>
      </c>
      <c r="N322" s="4">
        <v>9</v>
      </c>
      <c r="O322" s="4">
        <v>165</v>
      </c>
      <c r="P322" s="4">
        <v>174</v>
      </c>
      <c r="Q322" s="6" t="str">
        <f t="shared" si="52"/>
        <v>Weekday</v>
      </c>
      <c r="R322" s="42">
        <f t="shared" si="53"/>
        <v>28723</v>
      </c>
      <c r="S322" s="42">
        <f t="shared" si="54"/>
        <v>124.8388746803069</v>
      </c>
      <c r="T322" s="42">
        <f t="shared" si="55"/>
        <v>71</v>
      </c>
      <c r="U322" s="42" t="str">
        <f t="shared" si="56"/>
        <v>Wee</v>
      </c>
      <c r="V322" s="42" t="str">
        <f t="shared" si="57"/>
        <v>kday</v>
      </c>
      <c r="W322" s="42">
        <f t="shared" si="58"/>
        <v>7</v>
      </c>
      <c r="X322" s="42">
        <f t="shared" si="59"/>
        <v>0.31819999999999998</v>
      </c>
      <c r="Y322" s="3">
        <f t="shared" si="60"/>
        <v>82</v>
      </c>
      <c r="Z322" s="3">
        <f t="shared" si="64"/>
        <v>7883</v>
      </c>
      <c r="AA322" s="3">
        <f t="shared" si="61"/>
        <v>1232.2489122187819</v>
      </c>
      <c r="AB322" s="3">
        <f t="shared" si="62"/>
        <v>0.99911573903365103</v>
      </c>
      <c r="AC322" s="3" t="str">
        <f t="shared" si="63"/>
        <v>Normal</v>
      </c>
    </row>
    <row r="323" spans="1:29" x14ac:dyDescent="0.2">
      <c r="A323" s="4">
        <v>941</v>
      </c>
      <c r="B323" s="5">
        <v>40849</v>
      </c>
      <c r="C323" s="4">
        <v>1</v>
      </c>
      <c r="D323" s="4">
        <v>0</v>
      </c>
      <c r="E323" s="4">
        <v>2</v>
      </c>
      <c r="F323" s="4">
        <v>19</v>
      </c>
      <c r="G323" s="4" t="b">
        <v>0</v>
      </c>
      <c r="H323" s="4">
        <v>5</v>
      </c>
      <c r="I323" s="4">
        <v>1</v>
      </c>
      <c r="J323" s="4">
        <v>0.26</v>
      </c>
      <c r="K323" s="4">
        <v>0.30299999999999999</v>
      </c>
      <c r="L323" s="4">
        <v>0.33</v>
      </c>
      <c r="M323" s="4">
        <v>0</v>
      </c>
      <c r="N323" s="4">
        <v>7</v>
      </c>
      <c r="O323" s="4">
        <v>94</v>
      </c>
      <c r="P323" s="4">
        <v>101</v>
      </c>
      <c r="Q323" s="6" t="str">
        <f t="shared" ref="Q323:Q386" si="65">IF(H323=0,"Weekend",IF(H323=6,"Weekend","Weekday"))</f>
        <v>Weekday</v>
      </c>
      <c r="R323" s="42">
        <f t="shared" ref="R323:R386" si="66">SUM(P323:P712)</f>
        <v>28549</v>
      </c>
      <c r="S323" s="42">
        <f t="shared" ref="S323:S386" si="67">AVERAGE($P$2:$P$392)</f>
        <v>124.8388746803069</v>
      </c>
      <c r="T323" s="42">
        <f t="shared" ref="T323:T386" si="68">COUNT(P323:P713)</f>
        <v>70</v>
      </c>
      <c r="U323" s="42" t="str">
        <f t="shared" ref="U323:U386" si="69">LEFT(Q324,3)</f>
        <v>Wee</v>
      </c>
      <c r="V323" s="42" t="str">
        <f t="shared" ref="V323:V386" si="70">RIGHT(Q324,4)</f>
        <v>kday</v>
      </c>
      <c r="W323" s="42">
        <f t="shared" ref="W323:W386" si="71">LEN(Q323)</f>
        <v>7</v>
      </c>
      <c r="X323" s="42">
        <f t="shared" ref="X323:X386" si="72">INDEX(K:K,MATCH(A323,A:A,0))</f>
        <v>0.30299999999999999</v>
      </c>
      <c r="Y323" s="3">
        <f t="shared" ref="Y323:Y386" si="73">COUNTIF(P:P,"&gt;100")</f>
        <v>82</v>
      </c>
      <c r="Z323" s="3">
        <f t="shared" si="64"/>
        <v>7883</v>
      </c>
      <c r="AA323" s="3">
        <f t="shared" ref="AA323:AA386" si="74">STDEV(P:P)</f>
        <v>1232.2489122187819</v>
      </c>
      <c r="AB323" s="3">
        <f t="shared" ref="AB323:AB386" si="75">CORREL(J:J,P:P)</f>
        <v>0.99911573903365103</v>
      </c>
      <c r="AC323" s="3" t="str">
        <f t="shared" ref="AC323:AC386" si="76">IF(ABS(P323-AVERAGE($P$2:$P$784))&gt;2*STDEV($P$2:$P$784),"ANOMALY","Normal")</f>
        <v>Normal</v>
      </c>
    </row>
    <row r="324" spans="1:29" x14ac:dyDescent="0.2">
      <c r="A324" s="4">
        <v>942</v>
      </c>
      <c r="B324" s="5">
        <v>40849</v>
      </c>
      <c r="C324" s="4">
        <v>1</v>
      </c>
      <c r="D324" s="4">
        <v>0</v>
      </c>
      <c r="E324" s="4">
        <v>2</v>
      </c>
      <c r="F324" s="4">
        <v>20</v>
      </c>
      <c r="G324" s="4" t="b">
        <v>0</v>
      </c>
      <c r="H324" s="4">
        <v>5</v>
      </c>
      <c r="I324" s="4">
        <v>1</v>
      </c>
      <c r="J324" s="4">
        <v>0.22</v>
      </c>
      <c r="K324" s="4">
        <v>0.2273</v>
      </c>
      <c r="L324" s="4">
        <v>0.55000000000000004</v>
      </c>
      <c r="M324" s="4">
        <v>0.1343</v>
      </c>
      <c r="N324" s="4">
        <v>2</v>
      </c>
      <c r="O324" s="4">
        <v>61</v>
      </c>
      <c r="P324" s="4">
        <v>63</v>
      </c>
      <c r="Q324" s="6" t="str">
        <f t="shared" si="65"/>
        <v>Weekday</v>
      </c>
      <c r="R324" s="42">
        <f t="shared" si="66"/>
        <v>28448</v>
      </c>
      <c r="S324" s="42">
        <f t="shared" si="67"/>
        <v>124.8388746803069</v>
      </c>
      <c r="T324" s="42">
        <f t="shared" si="68"/>
        <v>69</v>
      </c>
      <c r="U324" s="42" t="str">
        <f t="shared" si="69"/>
        <v>Wee</v>
      </c>
      <c r="V324" s="42" t="str">
        <f t="shared" si="70"/>
        <v>kday</v>
      </c>
      <c r="W324" s="42">
        <f t="shared" si="71"/>
        <v>7</v>
      </c>
      <c r="X324" s="42">
        <f t="shared" si="72"/>
        <v>0.2273</v>
      </c>
      <c r="Y324" s="3">
        <f t="shared" si="73"/>
        <v>82</v>
      </c>
      <c r="Z324" s="3">
        <f t="shared" ref="Z324:Z387" si="77">SUMIF(Q:Q,"Weekend",P:P)</f>
        <v>7883</v>
      </c>
      <c r="AA324" s="3">
        <f t="shared" si="74"/>
        <v>1232.2489122187819</v>
      </c>
      <c r="AB324" s="3">
        <f t="shared" si="75"/>
        <v>0.99911573903365103</v>
      </c>
      <c r="AC324" s="3" t="str">
        <f t="shared" si="76"/>
        <v>Normal</v>
      </c>
    </row>
    <row r="325" spans="1:29" x14ac:dyDescent="0.2">
      <c r="A325" s="4">
        <v>943</v>
      </c>
      <c r="B325" s="5">
        <v>40849</v>
      </c>
      <c r="C325" s="4">
        <v>1</v>
      </c>
      <c r="D325" s="4">
        <v>0</v>
      </c>
      <c r="E325" s="4">
        <v>2</v>
      </c>
      <c r="F325" s="4">
        <v>21</v>
      </c>
      <c r="G325" s="4" t="b">
        <v>0</v>
      </c>
      <c r="H325" s="4">
        <v>5</v>
      </c>
      <c r="I325" s="4">
        <v>1</v>
      </c>
      <c r="J325" s="4">
        <v>0.2</v>
      </c>
      <c r="K325" s="4">
        <v>0.21210000000000001</v>
      </c>
      <c r="L325" s="4">
        <v>0.59</v>
      </c>
      <c r="M325" s="4">
        <v>0.1343</v>
      </c>
      <c r="N325" s="4">
        <v>1</v>
      </c>
      <c r="O325" s="4">
        <v>46</v>
      </c>
      <c r="P325" s="4">
        <v>47</v>
      </c>
      <c r="Q325" s="6" t="str">
        <f t="shared" si="65"/>
        <v>Weekday</v>
      </c>
      <c r="R325" s="42">
        <f t="shared" si="66"/>
        <v>28385</v>
      </c>
      <c r="S325" s="42">
        <f t="shared" si="67"/>
        <v>124.8388746803069</v>
      </c>
      <c r="T325" s="42">
        <f t="shared" si="68"/>
        <v>68</v>
      </c>
      <c r="U325" s="42" t="str">
        <f t="shared" si="69"/>
        <v>Wee</v>
      </c>
      <c r="V325" s="42" t="str">
        <f t="shared" si="70"/>
        <v>kday</v>
      </c>
      <c r="W325" s="42">
        <f t="shared" si="71"/>
        <v>7</v>
      </c>
      <c r="X325" s="42">
        <f t="shared" si="72"/>
        <v>0.21210000000000001</v>
      </c>
      <c r="Y325" s="3">
        <f t="shared" si="73"/>
        <v>82</v>
      </c>
      <c r="Z325" s="3">
        <f t="shared" si="77"/>
        <v>7883</v>
      </c>
      <c r="AA325" s="3">
        <f t="shared" si="74"/>
        <v>1232.2489122187819</v>
      </c>
      <c r="AB325" s="3">
        <f t="shared" si="75"/>
        <v>0.99911573903365103</v>
      </c>
      <c r="AC325" s="3" t="str">
        <f t="shared" si="76"/>
        <v>Normal</v>
      </c>
    </row>
    <row r="326" spans="1:29" x14ac:dyDescent="0.2">
      <c r="A326" s="4">
        <v>944</v>
      </c>
      <c r="B326" s="5">
        <v>40849</v>
      </c>
      <c r="C326" s="4">
        <v>1</v>
      </c>
      <c r="D326" s="4">
        <v>0</v>
      </c>
      <c r="E326" s="4">
        <v>2</v>
      </c>
      <c r="F326" s="4">
        <v>22</v>
      </c>
      <c r="G326" s="4" t="b">
        <v>0</v>
      </c>
      <c r="H326" s="4">
        <v>5</v>
      </c>
      <c r="I326" s="4">
        <v>1</v>
      </c>
      <c r="J326" s="4">
        <v>0.2</v>
      </c>
      <c r="K326" s="4">
        <v>0.2273</v>
      </c>
      <c r="L326" s="4">
        <v>0.64</v>
      </c>
      <c r="M326" s="4">
        <v>8.9599999999999999E-2</v>
      </c>
      <c r="N326" s="4">
        <v>2</v>
      </c>
      <c r="O326" s="4">
        <v>41</v>
      </c>
      <c r="P326" s="4">
        <v>43</v>
      </c>
      <c r="Q326" s="6" t="str">
        <f t="shared" si="65"/>
        <v>Weekday</v>
      </c>
      <c r="R326" s="42">
        <f t="shared" si="66"/>
        <v>28338</v>
      </c>
      <c r="S326" s="42">
        <f t="shared" si="67"/>
        <v>124.8388746803069</v>
      </c>
      <c r="T326" s="42">
        <f t="shared" si="68"/>
        <v>67</v>
      </c>
      <c r="U326" s="42" t="str">
        <f t="shared" si="69"/>
        <v>Wee</v>
      </c>
      <c r="V326" s="42" t="str">
        <f t="shared" si="70"/>
        <v>kday</v>
      </c>
      <c r="W326" s="42">
        <f t="shared" si="71"/>
        <v>7</v>
      </c>
      <c r="X326" s="42">
        <f t="shared" si="72"/>
        <v>0.2273</v>
      </c>
      <c r="Y326" s="3">
        <f t="shared" si="73"/>
        <v>82</v>
      </c>
      <c r="Z326" s="3">
        <f t="shared" si="77"/>
        <v>7883</v>
      </c>
      <c r="AA326" s="3">
        <f t="shared" si="74"/>
        <v>1232.2489122187819</v>
      </c>
      <c r="AB326" s="3">
        <f t="shared" si="75"/>
        <v>0.99911573903365103</v>
      </c>
      <c r="AC326" s="3" t="str">
        <f t="shared" si="76"/>
        <v>Normal</v>
      </c>
    </row>
    <row r="327" spans="1:29" x14ac:dyDescent="0.2">
      <c r="A327" s="4">
        <v>945</v>
      </c>
      <c r="B327" s="5">
        <v>40849</v>
      </c>
      <c r="C327" s="4">
        <v>1</v>
      </c>
      <c r="D327" s="4">
        <v>0</v>
      </c>
      <c r="E327" s="4">
        <v>2</v>
      </c>
      <c r="F327" s="4">
        <v>23</v>
      </c>
      <c r="G327" s="4" t="b">
        <v>0</v>
      </c>
      <c r="H327" s="4">
        <v>5</v>
      </c>
      <c r="I327" s="4">
        <v>1</v>
      </c>
      <c r="J327" s="4">
        <v>0.18</v>
      </c>
      <c r="K327" s="4">
        <v>0.2424</v>
      </c>
      <c r="L327" s="4">
        <v>0.69</v>
      </c>
      <c r="M327" s="4">
        <v>0</v>
      </c>
      <c r="N327" s="4">
        <v>5</v>
      </c>
      <c r="O327" s="4">
        <v>48</v>
      </c>
      <c r="P327" s="4">
        <v>53</v>
      </c>
      <c r="Q327" s="6" t="str">
        <f t="shared" si="65"/>
        <v>Weekday</v>
      </c>
      <c r="R327" s="42">
        <f t="shared" si="66"/>
        <v>28295</v>
      </c>
      <c r="S327" s="42">
        <f t="shared" si="67"/>
        <v>124.8388746803069</v>
      </c>
      <c r="T327" s="42">
        <f t="shared" si="68"/>
        <v>66</v>
      </c>
      <c r="U327" s="42" t="str">
        <f t="shared" si="69"/>
        <v>Wee</v>
      </c>
      <c r="V327" s="42" t="str">
        <f t="shared" si="70"/>
        <v>kend</v>
      </c>
      <c r="W327" s="42">
        <f t="shared" si="71"/>
        <v>7</v>
      </c>
      <c r="X327" s="42">
        <f t="shared" si="72"/>
        <v>0.2424</v>
      </c>
      <c r="Y327" s="3">
        <f t="shared" si="73"/>
        <v>82</v>
      </c>
      <c r="Z327" s="3">
        <f t="shared" si="77"/>
        <v>7883</v>
      </c>
      <c r="AA327" s="3">
        <f t="shared" si="74"/>
        <v>1232.2489122187819</v>
      </c>
      <c r="AB327" s="3">
        <f t="shared" si="75"/>
        <v>0.99911573903365103</v>
      </c>
      <c r="AC327" s="3" t="str">
        <f t="shared" si="76"/>
        <v>Normal</v>
      </c>
    </row>
    <row r="328" spans="1:29" x14ac:dyDescent="0.2">
      <c r="A328" s="4">
        <v>946</v>
      </c>
      <c r="B328" s="5">
        <v>40879</v>
      </c>
      <c r="C328" s="4">
        <v>1</v>
      </c>
      <c r="D328" s="4">
        <v>0</v>
      </c>
      <c r="E328" s="4">
        <v>2</v>
      </c>
      <c r="F328" s="4">
        <v>0</v>
      </c>
      <c r="G328" s="4" t="b">
        <v>0</v>
      </c>
      <c r="H328" s="4">
        <v>6</v>
      </c>
      <c r="I328" s="4">
        <v>1</v>
      </c>
      <c r="J328" s="4">
        <v>0.16</v>
      </c>
      <c r="K328" s="4">
        <v>0.19700000000000001</v>
      </c>
      <c r="L328" s="4">
        <v>0.69</v>
      </c>
      <c r="M328" s="4">
        <v>8.9599999999999999E-2</v>
      </c>
      <c r="N328" s="4">
        <v>3</v>
      </c>
      <c r="O328" s="4">
        <v>27</v>
      </c>
      <c r="P328" s="4">
        <v>30</v>
      </c>
      <c r="Q328" s="6" t="str">
        <f t="shared" si="65"/>
        <v>Weekend</v>
      </c>
      <c r="R328" s="42">
        <f t="shared" si="66"/>
        <v>28242</v>
      </c>
      <c r="S328" s="42">
        <f t="shared" si="67"/>
        <v>124.8388746803069</v>
      </c>
      <c r="T328" s="42">
        <f t="shared" si="68"/>
        <v>65</v>
      </c>
      <c r="U328" s="42" t="str">
        <f t="shared" si="69"/>
        <v>Wee</v>
      </c>
      <c r="V328" s="42" t="str">
        <f t="shared" si="70"/>
        <v>kend</v>
      </c>
      <c r="W328" s="42">
        <f t="shared" si="71"/>
        <v>7</v>
      </c>
      <c r="X328" s="42">
        <f t="shared" si="72"/>
        <v>0.19700000000000001</v>
      </c>
      <c r="Y328" s="3">
        <f t="shared" si="73"/>
        <v>82</v>
      </c>
      <c r="Z328" s="3">
        <f t="shared" si="77"/>
        <v>7883</v>
      </c>
      <c r="AA328" s="3">
        <f t="shared" si="74"/>
        <v>1232.2489122187819</v>
      </c>
      <c r="AB328" s="3">
        <f t="shared" si="75"/>
        <v>0.99911573903365103</v>
      </c>
      <c r="AC328" s="3" t="str">
        <f t="shared" si="76"/>
        <v>Normal</v>
      </c>
    </row>
    <row r="329" spans="1:29" x14ac:dyDescent="0.2">
      <c r="A329" s="4">
        <v>947</v>
      </c>
      <c r="B329" s="5">
        <v>40879</v>
      </c>
      <c r="C329" s="4">
        <v>1</v>
      </c>
      <c r="D329" s="4">
        <v>0</v>
      </c>
      <c r="E329" s="4">
        <v>2</v>
      </c>
      <c r="F329" s="4">
        <v>1</v>
      </c>
      <c r="G329" s="4" t="b">
        <v>0</v>
      </c>
      <c r="H329" s="4">
        <v>6</v>
      </c>
      <c r="I329" s="4">
        <v>1</v>
      </c>
      <c r="J329" s="4">
        <v>0.14000000000000001</v>
      </c>
      <c r="K329" s="4">
        <v>0.21210000000000001</v>
      </c>
      <c r="L329" s="4">
        <v>0.86</v>
      </c>
      <c r="M329" s="4">
        <v>0</v>
      </c>
      <c r="N329" s="4">
        <v>2</v>
      </c>
      <c r="O329" s="4">
        <v>22</v>
      </c>
      <c r="P329" s="4">
        <v>24</v>
      </c>
      <c r="Q329" s="6" t="str">
        <f t="shared" si="65"/>
        <v>Weekend</v>
      </c>
      <c r="R329" s="42">
        <f t="shared" si="66"/>
        <v>28212</v>
      </c>
      <c r="S329" s="42">
        <f t="shared" si="67"/>
        <v>124.8388746803069</v>
      </c>
      <c r="T329" s="42">
        <f t="shared" si="68"/>
        <v>64</v>
      </c>
      <c r="U329" s="42" t="str">
        <f t="shared" si="69"/>
        <v>Wee</v>
      </c>
      <c r="V329" s="42" t="str">
        <f t="shared" si="70"/>
        <v>kend</v>
      </c>
      <c r="W329" s="42">
        <f t="shared" si="71"/>
        <v>7</v>
      </c>
      <c r="X329" s="42">
        <f t="shared" si="72"/>
        <v>0.21210000000000001</v>
      </c>
      <c r="Y329" s="3">
        <f t="shared" si="73"/>
        <v>82</v>
      </c>
      <c r="Z329" s="3">
        <f t="shared" si="77"/>
        <v>7883</v>
      </c>
      <c r="AA329" s="3">
        <f t="shared" si="74"/>
        <v>1232.2489122187819</v>
      </c>
      <c r="AB329" s="3">
        <f t="shared" si="75"/>
        <v>0.99911573903365103</v>
      </c>
      <c r="AC329" s="3" t="str">
        <f t="shared" si="76"/>
        <v>Normal</v>
      </c>
    </row>
    <row r="330" spans="1:29" x14ac:dyDescent="0.2">
      <c r="A330" s="4">
        <v>948</v>
      </c>
      <c r="B330" s="5">
        <v>40879</v>
      </c>
      <c r="C330" s="4">
        <v>1</v>
      </c>
      <c r="D330" s="4">
        <v>0</v>
      </c>
      <c r="E330" s="4">
        <v>2</v>
      </c>
      <c r="F330" s="4">
        <v>2</v>
      </c>
      <c r="G330" s="4" t="b">
        <v>0</v>
      </c>
      <c r="H330" s="4">
        <v>6</v>
      </c>
      <c r="I330" s="4">
        <v>1</v>
      </c>
      <c r="J330" s="4">
        <v>0.14000000000000001</v>
      </c>
      <c r="K330" s="4">
        <v>0.21210000000000001</v>
      </c>
      <c r="L330" s="4">
        <v>0.8</v>
      </c>
      <c r="M330" s="4">
        <v>0</v>
      </c>
      <c r="N330" s="4">
        <v>2</v>
      </c>
      <c r="O330" s="4">
        <v>13</v>
      </c>
      <c r="P330" s="4">
        <v>15</v>
      </c>
      <c r="Q330" s="6" t="str">
        <f t="shared" si="65"/>
        <v>Weekend</v>
      </c>
      <c r="R330" s="42">
        <f t="shared" si="66"/>
        <v>28188</v>
      </c>
      <c r="S330" s="42">
        <f t="shared" si="67"/>
        <v>124.8388746803069</v>
      </c>
      <c r="T330" s="42">
        <f t="shared" si="68"/>
        <v>63</v>
      </c>
      <c r="U330" s="42" t="str">
        <f t="shared" si="69"/>
        <v>Wee</v>
      </c>
      <c r="V330" s="42" t="str">
        <f t="shared" si="70"/>
        <v>kend</v>
      </c>
      <c r="W330" s="42">
        <f t="shared" si="71"/>
        <v>7</v>
      </c>
      <c r="X330" s="42">
        <f t="shared" si="72"/>
        <v>0.21210000000000001</v>
      </c>
      <c r="Y330" s="3">
        <f t="shared" si="73"/>
        <v>82</v>
      </c>
      <c r="Z330" s="3">
        <f t="shared" si="77"/>
        <v>7883</v>
      </c>
      <c r="AA330" s="3">
        <f t="shared" si="74"/>
        <v>1232.2489122187819</v>
      </c>
      <c r="AB330" s="3">
        <f t="shared" si="75"/>
        <v>0.99911573903365103</v>
      </c>
      <c r="AC330" s="3" t="str">
        <f t="shared" si="76"/>
        <v>Normal</v>
      </c>
    </row>
    <row r="331" spans="1:29" x14ac:dyDescent="0.2">
      <c r="A331" s="4">
        <v>949</v>
      </c>
      <c r="B331" s="5">
        <v>40879</v>
      </c>
      <c r="C331" s="4">
        <v>1</v>
      </c>
      <c r="D331" s="4">
        <v>0</v>
      </c>
      <c r="E331" s="4">
        <v>2</v>
      </c>
      <c r="F331" s="4">
        <v>3</v>
      </c>
      <c r="G331" s="4" t="b">
        <v>0</v>
      </c>
      <c r="H331" s="4">
        <v>6</v>
      </c>
      <c r="I331" s="4">
        <v>1</v>
      </c>
      <c r="J331" s="4">
        <v>0.12</v>
      </c>
      <c r="K331" s="4">
        <v>0.19700000000000001</v>
      </c>
      <c r="L331" s="4">
        <v>0.8</v>
      </c>
      <c r="M331" s="4">
        <v>0</v>
      </c>
      <c r="N331" s="4">
        <v>3</v>
      </c>
      <c r="O331" s="4">
        <v>7</v>
      </c>
      <c r="P331" s="4">
        <v>10</v>
      </c>
      <c r="Q331" s="6" t="str">
        <f t="shared" si="65"/>
        <v>Weekend</v>
      </c>
      <c r="R331" s="42">
        <f t="shared" si="66"/>
        <v>28173</v>
      </c>
      <c r="S331" s="42">
        <f t="shared" si="67"/>
        <v>124.8388746803069</v>
      </c>
      <c r="T331" s="42">
        <f t="shared" si="68"/>
        <v>62</v>
      </c>
      <c r="U331" s="42" t="str">
        <f t="shared" si="69"/>
        <v>Wee</v>
      </c>
      <c r="V331" s="42" t="str">
        <f t="shared" si="70"/>
        <v>kend</v>
      </c>
      <c r="W331" s="42">
        <f t="shared" si="71"/>
        <v>7</v>
      </c>
      <c r="X331" s="42">
        <f t="shared" si="72"/>
        <v>0.19700000000000001</v>
      </c>
      <c r="Y331" s="3">
        <f t="shared" si="73"/>
        <v>82</v>
      </c>
      <c r="Z331" s="3">
        <f t="shared" si="77"/>
        <v>7883</v>
      </c>
      <c r="AA331" s="3">
        <f t="shared" si="74"/>
        <v>1232.2489122187819</v>
      </c>
      <c r="AB331" s="3">
        <f t="shared" si="75"/>
        <v>0.99911573903365103</v>
      </c>
      <c r="AC331" s="3" t="str">
        <f t="shared" si="76"/>
        <v>Normal</v>
      </c>
    </row>
    <row r="332" spans="1:29" x14ac:dyDescent="0.2">
      <c r="A332" s="4">
        <v>950</v>
      </c>
      <c r="B332" s="5">
        <v>40879</v>
      </c>
      <c r="C332" s="4">
        <v>1</v>
      </c>
      <c r="D332" s="4">
        <v>0</v>
      </c>
      <c r="E332" s="4">
        <v>2</v>
      </c>
      <c r="F332" s="4">
        <v>4</v>
      </c>
      <c r="G332" s="4" t="b">
        <v>0</v>
      </c>
      <c r="H332" s="4">
        <v>6</v>
      </c>
      <c r="I332" s="4">
        <v>1</v>
      </c>
      <c r="J332" s="4">
        <v>0.12</v>
      </c>
      <c r="K332" s="4">
        <v>0.16669999999999999</v>
      </c>
      <c r="L332" s="4">
        <v>0.74</v>
      </c>
      <c r="M332" s="4">
        <v>8.9599999999999999E-2</v>
      </c>
      <c r="N332" s="4">
        <v>0</v>
      </c>
      <c r="O332" s="4">
        <v>4</v>
      </c>
      <c r="P332" s="4">
        <v>4</v>
      </c>
      <c r="Q332" s="6" t="str">
        <f t="shared" si="65"/>
        <v>Weekend</v>
      </c>
      <c r="R332" s="42">
        <f t="shared" si="66"/>
        <v>28163</v>
      </c>
      <c r="S332" s="42">
        <f t="shared" si="67"/>
        <v>124.8388746803069</v>
      </c>
      <c r="T332" s="42">
        <f t="shared" si="68"/>
        <v>61</v>
      </c>
      <c r="U332" s="42" t="str">
        <f t="shared" si="69"/>
        <v>Wee</v>
      </c>
      <c r="V332" s="42" t="str">
        <f t="shared" si="70"/>
        <v>kend</v>
      </c>
      <c r="W332" s="42">
        <f t="shared" si="71"/>
        <v>7</v>
      </c>
      <c r="X332" s="42">
        <f t="shared" si="72"/>
        <v>0.16669999999999999</v>
      </c>
      <c r="Y332" s="3">
        <f t="shared" si="73"/>
        <v>82</v>
      </c>
      <c r="Z332" s="3">
        <f t="shared" si="77"/>
        <v>7883</v>
      </c>
      <c r="AA332" s="3">
        <f t="shared" si="74"/>
        <v>1232.2489122187819</v>
      </c>
      <c r="AB332" s="3">
        <f t="shared" si="75"/>
        <v>0.99911573903365103</v>
      </c>
      <c r="AC332" s="3" t="str">
        <f t="shared" si="76"/>
        <v>Normal</v>
      </c>
    </row>
    <row r="333" spans="1:29" x14ac:dyDescent="0.2">
      <c r="A333" s="4">
        <v>951</v>
      </c>
      <c r="B333" s="5">
        <v>40879</v>
      </c>
      <c r="C333" s="4">
        <v>1</v>
      </c>
      <c r="D333" s="4">
        <v>0</v>
      </c>
      <c r="E333" s="4">
        <v>2</v>
      </c>
      <c r="F333" s="4">
        <v>5</v>
      </c>
      <c r="G333" s="4" t="b">
        <v>0</v>
      </c>
      <c r="H333" s="4">
        <v>6</v>
      </c>
      <c r="I333" s="4">
        <v>1</v>
      </c>
      <c r="J333" s="4">
        <v>0.12</v>
      </c>
      <c r="K333" s="4">
        <v>0.16669999999999999</v>
      </c>
      <c r="L333" s="4">
        <v>0.74</v>
      </c>
      <c r="M333" s="4">
        <v>8.9599999999999999E-2</v>
      </c>
      <c r="N333" s="4">
        <v>0</v>
      </c>
      <c r="O333" s="4">
        <v>1</v>
      </c>
      <c r="P333" s="4">
        <v>1</v>
      </c>
      <c r="Q333" s="6" t="str">
        <f t="shared" si="65"/>
        <v>Weekend</v>
      </c>
      <c r="R333" s="42">
        <f t="shared" si="66"/>
        <v>28159</v>
      </c>
      <c r="S333" s="42">
        <f t="shared" si="67"/>
        <v>124.8388746803069</v>
      </c>
      <c r="T333" s="42">
        <f t="shared" si="68"/>
        <v>60</v>
      </c>
      <c r="U333" s="42" t="str">
        <f t="shared" si="69"/>
        <v>Wee</v>
      </c>
      <c r="V333" s="42" t="str">
        <f t="shared" si="70"/>
        <v>kend</v>
      </c>
      <c r="W333" s="42">
        <f t="shared" si="71"/>
        <v>7</v>
      </c>
      <c r="X333" s="42">
        <f t="shared" si="72"/>
        <v>0.16669999999999999</v>
      </c>
      <c r="Y333" s="3">
        <f t="shared" si="73"/>
        <v>82</v>
      </c>
      <c r="Z333" s="3">
        <f t="shared" si="77"/>
        <v>7883</v>
      </c>
      <c r="AA333" s="3">
        <f t="shared" si="74"/>
        <v>1232.2489122187819</v>
      </c>
      <c r="AB333" s="3">
        <f t="shared" si="75"/>
        <v>0.99911573903365103</v>
      </c>
      <c r="AC333" s="3" t="str">
        <f t="shared" si="76"/>
        <v>Normal</v>
      </c>
    </row>
    <row r="334" spans="1:29" x14ac:dyDescent="0.2">
      <c r="A334" s="4">
        <v>952</v>
      </c>
      <c r="B334" s="5">
        <v>40879</v>
      </c>
      <c r="C334" s="4">
        <v>1</v>
      </c>
      <c r="D334" s="4">
        <v>0</v>
      </c>
      <c r="E334" s="4">
        <v>2</v>
      </c>
      <c r="F334" s="4">
        <v>6</v>
      </c>
      <c r="G334" s="4" t="b">
        <v>0</v>
      </c>
      <c r="H334" s="4">
        <v>6</v>
      </c>
      <c r="I334" s="4">
        <v>1</v>
      </c>
      <c r="J334" s="4">
        <v>0.12</v>
      </c>
      <c r="K334" s="4">
        <v>0.13639999999999999</v>
      </c>
      <c r="L334" s="4">
        <v>0.93</v>
      </c>
      <c r="M334" s="4">
        <v>0.19400000000000001</v>
      </c>
      <c r="N334" s="4">
        <v>1</v>
      </c>
      <c r="O334" s="4">
        <v>1</v>
      </c>
      <c r="P334" s="4">
        <v>2</v>
      </c>
      <c r="Q334" s="6" t="str">
        <f t="shared" si="65"/>
        <v>Weekend</v>
      </c>
      <c r="R334" s="42">
        <f t="shared" si="66"/>
        <v>28158</v>
      </c>
      <c r="S334" s="42">
        <f t="shared" si="67"/>
        <v>124.8388746803069</v>
      </c>
      <c r="T334" s="42">
        <f t="shared" si="68"/>
        <v>59</v>
      </c>
      <c r="U334" s="42" t="str">
        <f t="shared" si="69"/>
        <v>Wee</v>
      </c>
      <c r="V334" s="42" t="str">
        <f t="shared" si="70"/>
        <v>kend</v>
      </c>
      <c r="W334" s="42">
        <f t="shared" si="71"/>
        <v>7</v>
      </c>
      <c r="X334" s="42">
        <f t="shared" si="72"/>
        <v>0.13639999999999999</v>
      </c>
      <c r="Y334" s="3">
        <f t="shared" si="73"/>
        <v>82</v>
      </c>
      <c r="Z334" s="3">
        <f t="shared" si="77"/>
        <v>7883</v>
      </c>
      <c r="AA334" s="3">
        <f t="shared" si="74"/>
        <v>1232.2489122187819</v>
      </c>
      <c r="AB334" s="3">
        <f t="shared" si="75"/>
        <v>0.99911573903365103</v>
      </c>
      <c r="AC334" s="3" t="str">
        <f t="shared" si="76"/>
        <v>Normal</v>
      </c>
    </row>
    <row r="335" spans="1:29" x14ac:dyDescent="0.2">
      <c r="A335" s="4">
        <v>953</v>
      </c>
      <c r="B335" s="5">
        <v>40879</v>
      </c>
      <c r="C335" s="4">
        <v>1</v>
      </c>
      <c r="D335" s="4">
        <v>0</v>
      </c>
      <c r="E335" s="4">
        <v>2</v>
      </c>
      <c r="F335" s="4">
        <v>7</v>
      </c>
      <c r="G335" s="4" t="b">
        <v>0</v>
      </c>
      <c r="H335" s="4">
        <v>6</v>
      </c>
      <c r="I335" s="4">
        <v>1</v>
      </c>
      <c r="J335" s="4">
        <v>0.12</v>
      </c>
      <c r="K335" s="4">
        <v>0.1515</v>
      </c>
      <c r="L335" s="4">
        <v>0.8</v>
      </c>
      <c r="M335" s="4">
        <v>0.1045</v>
      </c>
      <c r="N335" s="4">
        <v>2</v>
      </c>
      <c r="O335" s="4">
        <v>9</v>
      </c>
      <c r="P335" s="4">
        <v>11</v>
      </c>
      <c r="Q335" s="6" t="str">
        <f t="shared" si="65"/>
        <v>Weekend</v>
      </c>
      <c r="R335" s="42">
        <f t="shared" si="66"/>
        <v>28156</v>
      </c>
      <c r="S335" s="42">
        <f t="shared" si="67"/>
        <v>124.8388746803069</v>
      </c>
      <c r="T335" s="42">
        <f t="shared" si="68"/>
        <v>58</v>
      </c>
      <c r="U335" s="42" t="str">
        <f t="shared" si="69"/>
        <v>Wee</v>
      </c>
      <c r="V335" s="42" t="str">
        <f t="shared" si="70"/>
        <v>kend</v>
      </c>
      <c r="W335" s="42">
        <f t="shared" si="71"/>
        <v>7</v>
      </c>
      <c r="X335" s="42">
        <f t="shared" si="72"/>
        <v>0.1515</v>
      </c>
      <c r="Y335" s="3">
        <f t="shared" si="73"/>
        <v>82</v>
      </c>
      <c r="Z335" s="3">
        <f t="shared" si="77"/>
        <v>7883</v>
      </c>
      <c r="AA335" s="3">
        <f t="shared" si="74"/>
        <v>1232.2489122187819</v>
      </c>
      <c r="AB335" s="3">
        <f t="shared" si="75"/>
        <v>0.99911573903365103</v>
      </c>
      <c r="AC335" s="3" t="str">
        <f t="shared" si="76"/>
        <v>Normal</v>
      </c>
    </row>
    <row r="336" spans="1:29" x14ac:dyDescent="0.2">
      <c r="A336" s="4">
        <v>954</v>
      </c>
      <c r="B336" s="5">
        <v>40879</v>
      </c>
      <c r="C336" s="4">
        <v>1</v>
      </c>
      <c r="D336" s="4">
        <v>0</v>
      </c>
      <c r="E336" s="4">
        <v>2</v>
      </c>
      <c r="F336" s="4">
        <v>8</v>
      </c>
      <c r="G336" s="4" t="b">
        <v>0</v>
      </c>
      <c r="H336" s="4">
        <v>6</v>
      </c>
      <c r="I336" s="4">
        <v>1</v>
      </c>
      <c r="J336" s="4">
        <v>0.14000000000000001</v>
      </c>
      <c r="K336" s="4">
        <v>0.1515</v>
      </c>
      <c r="L336" s="4">
        <v>0.86</v>
      </c>
      <c r="M336" s="4">
        <v>0.1343</v>
      </c>
      <c r="N336" s="4">
        <v>2</v>
      </c>
      <c r="O336" s="4">
        <v>28</v>
      </c>
      <c r="P336" s="4">
        <v>30</v>
      </c>
      <c r="Q336" s="6" t="str">
        <f t="shared" si="65"/>
        <v>Weekend</v>
      </c>
      <c r="R336" s="42">
        <f t="shared" si="66"/>
        <v>28145</v>
      </c>
      <c r="S336" s="42">
        <f t="shared" si="67"/>
        <v>124.8388746803069</v>
      </c>
      <c r="T336" s="42">
        <f t="shared" si="68"/>
        <v>57</v>
      </c>
      <c r="U336" s="42" t="str">
        <f t="shared" si="69"/>
        <v>Wee</v>
      </c>
      <c r="V336" s="42" t="str">
        <f t="shared" si="70"/>
        <v>kend</v>
      </c>
      <c r="W336" s="42">
        <f t="shared" si="71"/>
        <v>7</v>
      </c>
      <c r="X336" s="42">
        <f t="shared" si="72"/>
        <v>0.1515</v>
      </c>
      <c r="Y336" s="3">
        <f t="shared" si="73"/>
        <v>82</v>
      </c>
      <c r="Z336" s="3">
        <f t="shared" si="77"/>
        <v>7883</v>
      </c>
      <c r="AA336" s="3">
        <f t="shared" si="74"/>
        <v>1232.2489122187819</v>
      </c>
      <c r="AB336" s="3">
        <f t="shared" si="75"/>
        <v>0.99911573903365103</v>
      </c>
      <c r="AC336" s="3" t="str">
        <f t="shared" si="76"/>
        <v>Normal</v>
      </c>
    </row>
    <row r="337" spans="1:29" x14ac:dyDescent="0.2">
      <c r="A337" s="4">
        <v>955</v>
      </c>
      <c r="B337" s="5">
        <v>40879</v>
      </c>
      <c r="C337" s="4">
        <v>1</v>
      </c>
      <c r="D337" s="4">
        <v>0</v>
      </c>
      <c r="E337" s="4">
        <v>2</v>
      </c>
      <c r="F337" s="4">
        <v>9</v>
      </c>
      <c r="G337" s="4" t="b">
        <v>0</v>
      </c>
      <c r="H337" s="4">
        <v>6</v>
      </c>
      <c r="I337" s="4">
        <v>1</v>
      </c>
      <c r="J337" s="4">
        <v>0.16</v>
      </c>
      <c r="K337" s="4">
        <v>0.18179999999999999</v>
      </c>
      <c r="L337" s="4">
        <v>0.64</v>
      </c>
      <c r="M337" s="4">
        <v>0.1343</v>
      </c>
      <c r="N337" s="4">
        <v>5</v>
      </c>
      <c r="O337" s="4">
        <v>38</v>
      </c>
      <c r="P337" s="4">
        <v>43</v>
      </c>
      <c r="Q337" s="6" t="str">
        <f t="shared" si="65"/>
        <v>Weekend</v>
      </c>
      <c r="R337" s="42">
        <f t="shared" si="66"/>
        <v>28115</v>
      </c>
      <c r="S337" s="42">
        <f t="shared" si="67"/>
        <v>124.8388746803069</v>
      </c>
      <c r="T337" s="42">
        <f t="shared" si="68"/>
        <v>56</v>
      </c>
      <c r="U337" s="42" t="str">
        <f t="shared" si="69"/>
        <v>Wee</v>
      </c>
      <c r="V337" s="42" t="str">
        <f t="shared" si="70"/>
        <v>kend</v>
      </c>
      <c r="W337" s="42">
        <f t="shared" si="71"/>
        <v>7</v>
      </c>
      <c r="X337" s="42">
        <f t="shared" si="72"/>
        <v>0.18179999999999999</v>
      </c>
      <c r="Y337" s="3">
        <f t="shared" si="73"/>
        <v>82</v>
      </c>
      <c r="Z337" s="3">
        <f t="shared" si="77"/>
        <v>7883</v>
      </c>
      <c r="AA337" s="3">
        <f t="shared" si="74"/>
        <v>1232.2489122187819</v>
      </c>
      <c r="AB337" s="3">
        <f t="shared" si="75"/>
        <v>0.99911573903365103</v>
      </c>
      <c r="AC337" s="3" t="str">
        <f t="shared" si="76"/>
        <v>Normal</v>
      </c>
    </row>
    <row r="338" spans="1:29" x14ac:dyDescent="0.2">
      <c r="A338" s="4">
        <v>956</v>
      </c>
      <c r="B338" s="5">
        <v>40879</v>
      </c>
      <c r="C338" s="4">
        <v>1</v>
      </c>
      <c r="D338" s="4">
        <v>0</v>
      </c>
      <c r="E338" s="4">
        <v>2</v>
      </c>
      <c r="F338" s="4">
        <v>10</v>
      </c>
      <c r="G338" s="4" t="b">
        <v>0</v>
      </c>
      <c r="H338" s="4">
        <v>6</v>
      </c>
      <c r="I338" s="4">
        <v>1</v>
      </c>
      <c r="J338" s="4">
        <v>0.22</v>
      </c>
      <c r="K338" s="4">
        <v>0.21210000000000001</v>
      </c>
      <c r="L338" s="4">
        <v>0.41</v>
      </c>
      <c r="M338" s="4">
        <v>0.25369999999999998</v>
      </c>
      <c r="N338" s="4">
        <v>13</v>
      </c>
      <c r="O338" s="4">
        <v>71</v>
      </c>
      <c r="P338" s="4">
        <v>84</v>
      </c>
      <c r="Q338" s="6" t="str">
        <f t="shared" si="65"/>
        <v>Weekend</v>
      </c>
      <c r="R338" s="42">
        <f t="shared" si="66"/>
        <v>28072</v>
      </c>
      <c r="S338" s="42">
        <f t="shared" si="67"/>
        <v>124.8388746803069</v>
      </c>
      <c r="T338" s="42">
        <f t="shared" si="68"/>
        <v>55</v>
      </c>
      <c r="U338" s="42" t="str">
        <f t="shared" si="69"/>
        <v>Wee</v>
      </c>
      <c r="V338" s="42" t="str">
        <f t="shared" si="70"/>
        <v>kend</v>
      </c>
      <c r="W338" s="42">
        <f t="shared" si="71"/>
        <v>7</v>
      </c>
      <c r="X338" s="42">
        <f t="shared" si="72"/>
        <v>0.21210000000000001</v>
      </c>
      <c r="Y338" s="3">
        <f t="shared" si="73"/>
        <v>82</v>
      </c>
      <c r="Z338" s="3">
        <f t="shared" si="77"/>
        <v>7883</v>
      </c>
      <c r="AA338" s="3">
        <f t="shared" si="74"/>
        <v>1232.2489122187819</v>
      </c>
      <c r="AB338" s="3">
        <f t="shared" si="75"/>
        <v>0.99911573903365103</v>
      </c>
      <c r="AC338" s="3" t="str">
        <f t="shared" si="76"/>
        <v>Normal</v>
      </c>
    </row>
    <row r="339" spans="1:29" x14ac:dyDescent="0.2">
      <c r="A339" s="4">
        <v>957</v>
      </c>
      <c r="B339" s="5">
        <v>40879</v>
      </c>
      <c r="C339" s="4">
        <v>1</v>
      </c>
      <c r="D339" s="4">
        <v>0</v>
      </c>
      <c r="E339" s="4">
        <v>2</v>
      </c>
      <c r="F339" s="4">
        <v>11</v>
      </c>
      <c r="G339" s="4" t="b">
        <v>0</v>
      </c>
      <c r="H339" s="4">
        <v>6</v>
      </c>
      <c r="I339" s="4">
        <v>1</v>
      </c>
      <c r="J339" s="4">
        <v>0.3</v>
      </c>
      <c r="K339" s="4">
        <v>0.2727</v>
      </c>
      <c r="L339" s="4">
        <v>0.28000000000000003</v>
      </c>
      <c r="M339" s="4">
        <v>0.32840000000000003</v>
      </c>
      <c r="N339" s="4">
        <v>30</v>
      </c>
      <c r="O339" s="4">
        <v>84</v>
      </c>
      <c r="P339" s="4">
        <v>114</v>
      </c>
      <c r="Q339" s="6" t="str">
        <f t="shared" si="65"/>
        <v>Weekend</v>
      </c>
      <c r="R339" s="42">
        <f t="shared" si="66"/>
        <v>27988</v>
      </c>
      <c r="S339" s="42">
        <f t="shared" si="67"/>
        <v>124.8388746803069</v>
      </c>
      <c r="T339" s="42">
        <f t="shared" si="68"/>
        <v>54</v>
      </c>
      <c r="U339" s="42" t="str">
        <f t="shared" si="69"/>
        <v>Wee</v>
      </c>
      <c r="V339" s="42" t="str">
        <f t="shared" si="70"/>
        <v>kend</v>
      </c>
      <c r="W339" s="42">
        <f t="shared" si="71"/>
        <v>7</v>
      </c>
      <c r="X339" s="42">
        <f t="shared" si="72"/>
        <v>0.2727</v>
      </c>
      <c r="Y339" s="3">
        <f t="shared" si="73"/>
        <v>82</v>
      </c>
      <c r="Z339" s="3">
        <f t="shared" si="77"/>
        <v>7883</v>
      </c>
      <c r="AA339" s="3">
        <f t="shared" si="74"/>
        <v>1232.2489122187819</v>
      </c>
      <c r="AB339" s="3">
        <f t="shared" si="75"/>
        <v>0.99911573903365103</v>
      </c>
      <c r="AC339" s="3" t="str">
        <f t="shared" si="76"/>
        <v>Normal</v>
      </c>
    </row>
    <row r="340" spans="1:29" x14ac:dyDescent="0.2">
      <c r="A340" s="4">
        <v>958</v>
      </c>
      <c r="B340" s="5">
        <v>40879</v>
      </c>
      <c r="C340" s="4">
        <v>1</v>
      </c>
      <c r="D340" s="4">
        <v>0</v>
      </c>
      <c r="E340" s="4">
        <v>2</v>
      </c>
      <c r="F340" s="4">
        <v>12</v>
      </c>
      <c r="G340" s="4" t="b">
        <v>0</v>
      </c>
      <c r="H340" s="4">
        <v>6</v>
      </c>
      <c r="I340" s="4">
        <v>1</v>
      </c>
      <c r="J340" s="4">
        <v>0.3</v>
      </c>
      <c r="K340" s="4">
        <v>0.2727</v>
      </c>
      <c r="L340" s="4">
        <v>0.39</v>
      </c>
      <c r="M340" s="4">
        <v>0.4627</v>
      </c>
      <c r="N340" s="4">
        <v>27</v>
      </c>
      <c r="O340" s="4">
        <v>93</v>
      </c>
      <c r="P340" s="4">
        <v>120</v>
      </c>
      <c r="Q340" s="6" t="str">
        <f t="shared" si="65"/>
        <v>Weekend</v>
      </c>
      <c r="R340" s="42">
        <f t="shared" si="66"/>
        <v>27874</v>
      </c>
      <c r="S340" s="42">
        <f t="shared" si="67"/>
        <v>124.8388746803069</v>
      </c>
      <c r="T340" s="42">
        <f t="shared" si="68"/>
        <v>53</v>
      </c>
      <c r="U340" s="42" t="str">
        <f t="shared" si="69"/>
        <v>Wee</v>
      </c>
      <c r="V340" s="42" t="str">
        <f t="shared" si="70"/>
        <v>kend</v>
      </c>
      <c r="W340" s="42">
        <f t="shared" si="71"/>
        <v>7</v>
      </c>
      <c r="X340" s="42">
        <f t="shared" si="72"/>
        <v>0.2727</v>
      </c>
      <c r="Y340" s="3">
        <f t="shared" si="73"/>
        <v>82</v>
      </c>
      <c r="Z340" s="3">
        <f t="shared" si="77"/>
        <v>7883</v>
      </c>
      <c r="AA340" s="3">
        <f t="shared" si="74"/>
        <v>1232.2489122187819</v>
      </c>
      <c r="AB340" s="3">
        <f t="shared" si="75"/>
        <v>0.99911573903365103</v>
      </c>
      <c r="AC340" s="3" t="str">
        <f t="shared" si="76"/>
        <v>Normal</v>
      </c>
    </row>
    <row r="341" spans="1:29" x14ac:dyDescent="0.2">
      <c r="A341" s="4">
        <v>959</v>
      </c>
      <c r="B341" s="5">
        <v>40879</v>
      </c>
      <c r="C341" s="4">
        <v>1</v>
      </c>
      <c r="D341" s="4">
        <v>0</v>
      </c>
      <c r="E341" s="4">
        <v>2</v>
      </c>
      <c r="F341" s="4">
        <v>13</v>
      </c>
      <c r="G341" s="4" t="b">
        <v>0</v>
      </c>
      <c r="H341" s="4">
        <v>6</v>
      </c>
      <c r="I341" s="4">
        <v>1</v>
      </c>
      <c r="J341" s="4">
        <v>0.3</v>
      </c>
      <c r="K341" s="4">
        <v>0.2727</v>
      </c>
      <c r="L341" s="4">
        <v>0.39</v>
      </c>
      <c r="M341" s="4">
        <v>0.41789999999999999</v>
      </c>
      <c r="N341" s="4">
        <v>32</v>
      </c>
      <c r="O341" s="4">
        <v>103</v>
      </c>
      <c r="P341" s="4">
        <v>135</v>
      </c>
      <c r="Q341" s="6" t="str">
        <f t="shared" si="65"/>
        <v>Weekend</v>
      </c>
      <c r="R341" s="42">
        <f t="shared" si="66"/>
        <v>27754</v>
      </c>
      <c r="S341" s="42">
        <f t="shared" si="67"/>
        <v>124.8388746803069</v>
      </c>
      <c r="T341" s="42">
        <f t="shared" si="68"/>
        <v>52</v>
      </c>
      <c r="U341" s="42" t="str">
        <f t="shared" si="69"/>
        <v>Wee</v>
      </c>
      <c r="V341" s="42" t="str">
        <f t="shared" si="70"/>
        <v>kend</v>
      </c>
      <c r="W341" s="42">
        <f t="shared" si="71"/>
        <v>7</v>
      </c>
      <c r="X341" s="42">
        <f t="shared" si="72"/>
        <v>0.2727</v>
      </c>
      <c r="Y341" s="3">
        <f t="shared" si="73"/>
        <v>82</v>
      </c>
      <c r="Z341" s="3">
        <f t="shared" si="77"/>
        <v>7883</v>
      </c>
      <c r="AA341" s="3">
        <f t="shared" si="74"/>
        <v>1232.2489122187819</v>
      </c>
      <c r="AB341" s="3">
        <f t="shared" si="75"/>
        <v>0.99911573903365103</v>
      </c>
      <c r="AC341" s="3" t="str">
        <f t="shared" si="76"/>
        <v>Normal</v>
      </c>
    </row>
    <row r="342" spans="1:29" x14ac:dyDescent="0.2">
      <c r="A342" s="4">
        <v>960</v>
      </c>
      <c r="B342" s="5">
        <v>40879</v>
      </c>
      <c r="C342" s="4">
        <v>1</v>
      </c>
      <c r="D342" s="4">
        <v>0</v>
      </c>
      <c r="E342" s="4">
        <v>2</v>
      </c>
      <c r="F342" s="4">
        <v>14</v>
      </c>
      <c r="G342" s="4" t="b">
        <v>0</v>
      </c>
      <c r="H342" s="4">
        <v>6</v>
      </c>
      <c r="I342" s="4">
        <v>1</v>
      </c>
      <c r="J342" s="4">
        <v>0.34</v>
      </c>
      <c r="K342" s="4">
        <v>0.31819999999999998</v>
      </c>
      <c r="L342" s="4">
        <v>0.31</v>
      </c>
      <c r="M342" s="4">
        <v>0.28360000000000002</v>
      </c>
      <c r="N342" s="4">
        <v>30</v>
      </c>
      <c r="O342" s="4">
        <v>90</v>
      </c>
      <c r="P342" s="4">
        <v>120</v>
      </c>
      <c r="Q342" s="6" t="str">
        <f t="shared" si="65"/>
        <v>Weekend</v>
      </c>
      <c r="R342" s="42">
        <f t="shared" si="66"/>
        <v>27619</v>
      </c>
      <c r="S342" s="42">
        <f t="shared" si="67"/>
        <v>124.8388746803069</v>
      </c>
      <c r="T342" s="42">
        <f t="shared" si="68"/>
        <v>51</v>
      </c>
      <c r="U342" s="42" t="str">
        <f t="shared" si="69"/>
        <v>Wee</v>
      </c>
      <c r="V342" s="42" t="str">
        <f t="shared" si="70"/>
        <v>kend</v>
      </c>
      <c r="W342" s="42">
        <f t="shared" si="71"/>
        <v>7</v>
      </c>
      <c r="X342" s="42">
        <f t="shared" si="72"/>
        <v>0.31819999999999998</v>
      </c>
      <c r="Y342" s="3">
        <f t="shared" si="73"/>
        <v>82</v>
      </c>
      <c r="Z342" s="3">
        <f t="shared" si="77"/>
        <v>7883</v>
      </c>
      <c r="AA342" s="3">
        <f t="shared" si="74"/>
        <v>1232.2489122187819</v>
      </c>
      <c r="AB342" s="3">
        <f t="shared" si="75"/>
        <v>0.99911573903365103</v>
      </c>
      <c r="AC342" s="3" t="str">
        <f t="shared" si="76"/>
        <v>Normal</v>
      </c>
    </row>
    <row r="343" spans="1:29" x14ac:dyDescent="0.2">
      <c r="A343" s="4">
        <v>961</v>
      </c>
      <c r="B343" s="5">
        <v>40879</v>
      </c>
      <c r="C343" s="4">
        <v>1</v>
      </c>
      <c r="D343" s="4">
        <v>0</v>
      </c>
      <c r="E343" s="4">
        <v>2</v>
      </c>
      <c r="F343" s="4">
        <v>15</v>
      </c>
      <c r="G343" s="4" t="b">
        <v>0</v>
      </c>
      <c r="H343" s="4">
        <v>6</v>
      </c>
      <c r="I343" s="4">
        <v>1</v>
      </c>
      <c r="J343" s="4">
        <v>0.34</v>
      </c>
      <c r="K343" s="4">
        <v>0.30299999999999999</v>
      </c>
      <c r="L343" s="4">
        <v>0.28999999999999998</v>
      </c>
      <c r="M343" s="4">
        <v>0.41789999999999999</v>
      </c>
      <c r="N343" s="4">
        <v>47</v>
      </c>
      <c r="O343" s="4">
        <v>127</v>
      </c>
      <c r="P343" s="4">
        <v>174</v>
      </c>
      <c r="Q343" s="6" t="str">
        <f t="shared" si="65"/>
        <v>Weekend</v>
      </c>
      <c r="R343" s="42">
        <f t="shared" si="66"/>
        <v>27499</v>
      </c>
      <c r="S343" s="42">
        <f t="shared" si="67"/>
        <v>124.8388746803069</v>
      </c>
      <c r="T343" s="42">
        <f t="shared" si="68"/>
        <v>50</v>
      </c>
      <c r="U343" s="42" t="str">
        <f t="shared" si="69"/>
        <v>Wee</v>
      </c>
      <c r="V343" s="42" t="str">
        <f t="shared" si="70"/>
        <v>kend</v>
      </c>
      <c r="W343" s="42">
        <f t="shared" si="71"/>
        <v>7</v>
      </c>
      <c r="X343" s="42">
        <f t="shared" si="72"/>
        <v>0.30299999999999999</v>
      </c>
      <c r="Y343" s="3">
        <f t="shared" si="73"/>
        <v>82</v>
      </c>
      <c r="Z343" s="3">
        <f t="shared" si="77"/>
        <v>7883</v>
      </c>
      <c r="AA343" s="3">
        <f t="shared" si="74"/>
        <v>1232.2489122187819</v>
      </c>
      <c r="AB343" s="3">
        <f t="shared" si="75"/>
        <v>0.99911573903365103</v>
      </c>
      <c r="AC343" s="3" t="str">
        <f t="shared" si="76"/>
        <v>Normal</v>
      </c>
    </row>
    <row r="344" spans="1:29" x14ac:dyDescent="0.2">
      <c r="A344" s="4">
        <v>962</v>
      </c>
      <c r="B344" s="5">
        <v>40879</v>
      </c>
      <c r="C344" s="4">
        <v>1</v>
      </c>
      <c r="D344" s="4">
        <v>0</v>
      </c>
      <c r="E344" s="4">
        <v>2</v>
      </c>
      <c r="F344" s="4">
        <v>16</v>
      </c>
      <c r="G344" s="4" t="b">
        <v>0</v>
      </c>
      <c r="H344" s="4">
        <v>6</v>
      </c>
      <c r="I344" s="4">
        <v>1</v>
      </c>
      <c r="J344" s="4">
        <v>0.34</v>
      </c>
      <c r="K344" s="4">
        <v>0.30299999999999999</v>
      </c>
      <c r="L344" s="4">
        <v>0.28999999999999998</v>
      </c>
      <c r="M344" s="4">
        <v>0.41789999999999999</v>
      </c>
      <c r="N344" s="4">
        <v>42</v>
      </c>
      <c r="O344" s="4">
        <v>103</v>
      </c>
      <c r="P344" s="4">
        <v>145</v>
      </c>
      <c r="Q344" s="6" t="str">
        <f t="shared" si="65"/>
        <v>Weekend</v>
      </c>
      <c r="R344" s="42">
        <f t="shared" si="66"/>
        <v>27325</v>
      </c>
      <c r="S344" s="42">
        <f t="shared" si="67"/>
        <v>124.8388746803069</v>
      </c>
      <c r="T344" s="42">
        <f t="shared" si="68"/>
        <v>49</v>
      </c>
      <c r="U344" s="42" t="str">
        <f t="shared" si="69"/>
        <v>Wee</v>
      </c>
      <c r="V344" s="42" t="str">
        <f t="shared" si="70"/>
        <v>kend</v>
      </c>
      <c r="W344" s="42">
        <f t="shared" si="71"/>
        <v>7</v>
      </c>
      <c r="X344" s="42">
        <f t="shared" si="72"/>
        <v>0.30299999999999999</v>
      </c>
      <c r="Y344" s="3">
        <f t="shared" si="73"/>
        <v>82</v>
      </c>
      <c r="Z344" s="3">
        <f t="shared" si="77"/>
        <v>7883</v>
      </c>
      <c r="AA344" s="3">
        <f t="shared" si="74"/>
        <v>1232.2489122187819</v>
      </c>
      <c r="AB344" s="3">
        <f t="shared" si="75"/>
        <v>0.99911573903365103</v>
      </c>
      <c r="AC344" s="3" t="str">
        <f t="shared" si="76"/>
        <v>Normal</v>
      </c>
    </row>
    <row r="345" spans="1:29" x14ac:dyDescent="0.2">
      <c r="A345" s="4">
        <v>963</v>
      </c>
      <c r="B345" s="5">
        <v>40879</v>
      </c>
      <c r="C345" s="4">
        <v>1</v>
      </c>
      <c r="D345" s="4">
        <v>0</v>
      </c>
      <c r="E345" s="4">
        <v>2</v>
      </c>
      <c r="F345" s="4">
        <v>17</v>
      </c>
      <c r="G345" s="4" t="b">
        <v>0</v>
      </c>
      <c r="H345" s="4">
        <v>6</v>
      </c>
      <c r="I345" s="4">
        <v>1</v>
      </c>
      <c r="J345" s="4">
        <v>0.32</v>
      </c>
      <c r="K345" s="4">
        <v>0.28789999999999999</v>
      </c>
      <c r="L345" s="4">
        <v>0.31</v>
      </c>
      <c r="M345" s="4">
        <v>0.52239999999999998</v>
      </c>
      <c r="N345" s="4">
        <v>24</v>
      </c>
      <c r="O345" s="4">
        <v>113</v>
      </c>
      <c r="P345" s="4">
        <v>137</v>
      </c>
      <c r="Q345" s="6" t="str">
        <f t="shared" si="65"/>
        <v>Weekend</v>
      </c>
      <c r="R345" s="42">
        <f t="shared" si="66"/>
        <v>27180</v>
      </c>
      <c r="S345" s="42">
        <f t="shared" si="67"/>
        <v>124.8388746803069</v>
      </c>
      <c r="T345" s="42">
        <f t="shared" si="68"/>
        <v>48</v>
      </c>
      <c r="U345" s="42" t="str">
        <f t="shared" si="69"/>
        <v>Wee</v>
      </c>
      <c r="V345" s="42" t="str">
        <f t="shared" si="70"/>
        <v>kend</v>
      </c>
      <c r="W345" s="42">
        <f t="shared" si="71"/>
        <v>7</v>
      </c>
      <c r="X345" s="42">
        <f t="shared" si="72"/>
        <v>0.28789999999999999</v>
      </c>
      <c r="Y345" s="3">
        <f t="shared" si="73"/>
        <v>82</v>
      </c>
      <c r="Z345" s="3">
        <f t="shared" si="77"/>
        <v>7883</v>
      </c>
      <c r="AA345" s="3">
        <f t="shared" si="74"/>
        <v>1232.2489122187819</v>
      </c>
      <c r="AB345" s="3">
        <f t="shared" si="75"/>
        <v>0.99911573903365103</v>
      </c>
      <c r="AC345" s="3" t="str">
        <f t="shared" si="76"/>
        <v>Normal</v>
      </c>
    </row>
    <row r="346" spans="1:29" x14ac:dyDescent="0.2">
      <c r="A346" s="4">
        <v>964</v>
      </c>
      <c r="B346" s="5">
        <v>40879</v>
      </c>
      <c r="C346" s="4">
        <v>1</v>
      </c>
      <c r="D346" s="4">
        <v>0</v>
      </c>
      <c r="E346" s="4">
        <v>2</v>
      </c>
      <c r="F346" s="4">
        <v>18</v>
      </c>
      <c r="G346" s="4" t="b">
        <v>0</v>
      </c>
      <c r="H346" s="4">
        <v>6</v>
      </c>
      <c r="I346" s="4">
        <v>1</v>
      </c>
      <c r="J346" s="4">
        <v>0.28000000000000003</v>
      </c>
      <c r="K346" s="4">
        <v>0.2576</v>
      </c>
      <c r="L346" s="4">
        <v>0.38</v>
      </c>
      <c r="M346" s="4">
        <v>0.32840000000000003</v>
      </c>
      <c r="N346" s="4">
        <v>4</v>
      </c>
      <c r="O346" s="4">
        <v>60</v>
      </c>
      <c r="P346" s="4">
        <v>64</v>
      </c>
      <c r="Q346" s="6" t="str">
        <f t="shared" si="65"/>
        <v>Weekend</v>
      </c>
      <c r="R346" s="42">
        <f t="shared" si="66"/>
        <v>27043</v>
      </c>
      <c r="S346" s="42">
        <f t="shared" si="67"/>
        <v>124.8388746803069</v>
      </c>
      <c r="T346" s="42">
        <f t="shared" si="68"/>
        <v>47</v>
      </c>
      <c r="U346" s="42" t="str">
        <f t="shared" si="69"/>
        <v>Wee</v>
      </c>
      <c r="V346" s="42" t="str">
        <f t="shared" si="70"/>
        <v>kend</v>
      </c>
      <c r="W346" s="42">
        <f t="shared" si="71"/>
        <v>7</v>
      </c>
      <c r="X346" s="42">
        <f t="shared" si="72"/>
        <v>0.2576</v>
      </c>
      <c r="Y346" s="3">
        <f t="shared" si="73"/>
        <v>82</v>
      </c>
      <c r="Z346" s="3">
        <f t="shared" si="77"/>
        <v>7883</v>
      </c>
      <c r="AA346" s="3">
        <f t="shared" si="74"/>
        <v>1232.2489122187819</v>
      </c>
      <c r="AB346" s="3">
        <f t="shared" si="75"/>
        <v>0.99911573903365103</v>
      </c>
      <c r="AC346" s="3" t="str">
        <f t="shared" si="76"/>
        <v>Normal</v>
      </c>
    </row>
    <row r="347" spans="1:29" x14ac:dyDescent="0.2">
      <c r="A347" s="4">
        <v>965</v>
      </c>
      <c r="B347" s="5">
        <v>40879</v>
      </c>
      <c r="C347" s="4">
        <v>1</v>
      </c>
      <c r="D347" s="4">
        <v>0</v>
      </c>
      <c r="E347" s="4">
        <v>2</v>
      </c>
      <c r="F347" s="4">
        <v>19</v>
      </c>
      <c r="G347" s="4" t="b">
        <v>0</v>
      </c>
      <c r="H347" s="4">
        <v>6</v>
      </c>
      <c r="I347" s="4">
        <v>1</v>
      </c>
      <c r="J347" s="4">
        <v>0.28000000000000003</v>
      </c>
      <c r="K347" s="4">
        <v>0.2727</v>
      </c>
      <c r="L347" s="4">
        <v>0.38</v>
      </c>
      <c r="M347" s="4">
        <v>0.16420000000000001</v>
      </c>
      <c r="N347" s="4">
        <v>2</v>
      </c>
      <c r="O347" s="4">
        <v>39</v>
      </c>
      <c r="P347" s="4">
        <v>41</v>
      </c>
      <c r="Q347" s="6" t="str">
        <f t="shared" si="65"/>
        <v>Weekend</v>
      </c>
      <c r="R347" s="42">
        <f t="shared" si="66"/>
        <v>26979</v>
      </c>
      <c r="S347" s="42">
        <f t="shared" si="67"/>
        <v>124.8388746803069</v>
      </c>
      <c r="T347" s="42">
        <f t="shared" si="68"/>
        <v>46</v>
      </c>
      <c r="U347" s="42" t="str">
        <f t="shared" si="69"/>
        <v>Wee</v>
      </c>
      <c r="V347" s="42" t="str">
        <f t="shared" si="70"/>
        <v>kend</v>
      </c>
      <c r="W347" s="42">
        <f t="shared" si="71"/>
        <v>7</v>
      </c>
      <c r="X347" s="42">
        <f t="shared" si="72"/>
        <v>0.2727</v>
      </c>
      <c r="Y347" s="3">
        <f t="shared" si="73"/>
        <v>82</v>
      </c>
      <c r="Z347" s="3">
        <f t="shared" si="77"/>
        <v>7883</v>
      </c>
      <c r="AA347" s="3">
        <f t="shared" si="74"/>
        <v>1232.2489122187819</v>
      </c>
      <c r="AB347" s="3">
        <f t="shared" si="75"/>
        <v>0.99911573903365103</v>
      </c>
      <c r="AC347" s="3" t="str">
        <f t="shared" si="76"/>
        <v>Normal</v>
      </c>
    </row>
    <row r="348" spans="1:29" x14ac:dyDescent="0.2">
      <c r="A348" s="4">
        <v>966</v>
      </c>
      <c r="B348" s="5">
        <v>40879</v>
      </c>
      <c r="C348" s="4">
        <v>1</v>
      </c>
      <c r="D348" s="4">
        <v>0</v>
      </c>
      <c r="E348" s="4">
        <v>2</v>
      </c>
      <c r="F348" s="4">
        <v>20</v>
      </c>
      <c r="G348" s="4" t="b">
        <v>0</v>
      </c>
      <c r="H348" s="4">
        <v>6</v>
      </c>
      <c r="I348" s="4">
        <v>1</v>
      </c>
      <c r="J348" s="4">
        <v>0.26</v>
      </c>
      <c r="K348" s="4">
        <v>0.2576</v>
      </c>
      <c r="L348" s="4">
        <v>0.41</v>
      </c>
      <c r="M348" s="4">
        <v>0.22389999999999999</v>
      </c>
      <c r="N348" s="4">
        <v>1</v>
      </c>
      <c r="O348" s="4">
        <v>39</v>
      </c>
      <c r="P348" s="4">
        <v>40</v>
      </c>
      <c r="Q348" s="6" t="str">
        <f t="shared" si="65"/>
        <v>Weekend</v>
      </c>
      <c r="R348" s="42">
        <f t="shared" si="66"/>
        <v>26938</v>
      </c>
      <c r="S348" s="42">
        <f t="shared" si="67"/>
        <v>124.8388746803069</v>
      </c>
      <c r="T348" s="42">
        <f t="shared" si="68"/>
        <v>45</v>
      </c>
      <c r="U348" s="42" t="str">
        <f t="shared" si="69"/>
        <v>Wee</v>
      </c>
      <c r="V348" s="42" t="str">
        <f t="shared" si="70"/>
        <v>kend</v>
      </c>
      <c r="W348" s="42">
        <f t="shared" si="71"/>
        <v>7</v>
      </c>
      <c r="X348" s="42">
        <f t="shared" si="72"/>
        <v>0.2576</v>
      </c>
      <c r="Y348" s="3">
        <f t="shared" si="73"/>
        <v>82</v>
      </c>
      <c r="Z348" s="3">
        <f t="shared" si="77"/>
        <v>7883</v>
      </c>
      <c r="AA348" s="3">
        <f t="shared" si="74"/>
        <v>1232.2489122187819</v>
      </c>
      <c r="AB348" s="3">
        <f t="shared" si="75"/>
        <v>0.99911573903365103</v>
      </c>
      <c r="AC348" s="3" t="str">
        <f t="shared" si="76"/>
        <v>Normal</v>
      </c>
    </row>
    <row r="349" spans="1:29" x14ac:dyDescent="0.2">
      <c r="A349" s="4">
        <v>967</v>
      </c>
      <c r="B349" s="5">
        <v>40879</v>
      </c>
      <c r="C349" s="4">
        <v>1</v>
      </c>
      <c r="D349" s="4">
        <v>0</v>
      </c>
      <c r="E349" s="4">
        <v>2</v>
      </c>
      <c r="F349" s="4">
        <v>21</v>
      </c>
      <c r="G349" s="4" t="b">
        <v>0</v>
      </c>
      <c r="H349" s="4">
        <v>6</v>
      </c>
      <c r="I349" s="4">
        <v>1</v>
      </c>
      <c r="J349" s="4">
        <v>0.26</v>
      </c>
      <c r="K349" s="4">
        <v>0.30299999999999999</v>
      </c>
      <c r="L349" s="4">
        <v>0.41</v>
      </c>
      <c r="M349" s="4">
        <v>0</v>
      </c>
      <c r="N349" s="4">
        <v>9</v>
      </c>
      <c r="O349" s="4">
        <v>42</v>
      </c>
      <c r="P349" s="4">
        <v>51</v>
      </c>
      <c r="Q349" s="6" t="str">
        <f t="shared" si="65"/>
        <v>Weekend</v>
      </c>
      <c r="R349" s="42">
        <f t="shared" si="66"/>
        <v>26898</v>
      </c>
      <c r="S349" s="42">
        <f t="shared" si="67"/>
        <v>124.8388746803069</v>
      </c>
      <c r="T349" s="42">
        <f t="shared" si="68"/>
        <v>44</v>
      </c>
      <c r="U349" s="42" t="str">
        <f t="shared" si="69"/>
        <v>Wee</v>
      </c>
      <c r="V349" s="42" t="str">
        <f t="shared" si="70"/>
        <v>kend</v>
      </c>
      <c r="W349" s="42">
        <f t="shared" si="71"/>
        <v>7</v>
      </c>
      <c r="X349" s="42">
        <f t="shared" si="72"/>
        <v>0.30299999999999999</v>
      </c>
      <c r="Y349" s="3">
        <f t="shared" si="73"/>
        <v>82</v>
      </c>
      <c r="Z349" s="3">
        <f t="shared" si="77"/>
        <v>7883</v>
      </c>
      <c r="AA349" s="3">
        <f t="shared" si="74"/>
        <v>1232.2489122187819</v>
      </c>
      <c r="AB349" s="3">
        <f t="shared" si="75"/>
        <v>0.99911573903365103</v>
      </c>
      <c r="AC349" s="3" t="str">
        <f t="shared" si="76"/>
        <v>Normal</v>
      </c>
    </row>
    <row r="350" spans="1:29" x14ac:dyDescent="0.2">
      <c r="A350" s="4">
        <v>968</v>
      </c>
      <c r="B350" s="5">
        <v>40879</v>
      </c>
      <c r="C350" s="4">
        <v>1</v>
      </c>
      <c r="D350" s="4">
        <v>0</v>
      </c>
      <c r="E350" s="4">
        <v>2</v>
      </c>
      <c r="F350" s="4">
        <v>22</v>
      </c>
      <c r="G350" s="4" t="b">
        <v>0</v>
      </c>
      <c r="H350" s="4">
        <v>6</v>
      </c>
      <c r="I350" s="4">
        <v>1</v>
      </c>
      <c r="J350" s="4">
        <v>0.24</v>
      </c>
      <c r="K350" s="4">
        <v>0.2576</v>
      </c>
      <c r="L350" s="4">
        <v>0.44</v>
      </c>
      <c r="M350" s="4">
        <v>8.9599999999999999E-2</v>
      </c>
      <c r="N350" s="4">
        <v>6</v>
      </c>
      <c r="O350" s="4">
        <v>39</v>
      </c>
      <c r="P350" s="4">
        <v>45</v>
      </c>
      <c r="Q350" s="6" t="str">
        <f t="shared" si="65"/>
        <v>Weekend</v>
      </c>
      <c r="R350" s="42">
        <f t="shared" si="66"/>
        <v>26847</v>
      </c>
      <c r="S350" s="42">
        <f t="shared" si="67"/>
        <v>124.8388746803069</v>
      </c>
      <c r="T350" s="42">
        <f t="shared" si="68"/>
        <v>43</v>
      </c>
      <c r="U350" s="42" t="str">
        <f t="shared" si="69"/>
        <v>Wee</v>
      </c>
      <c r="V350" s="42" t="str">
        <f t="shared" si="70"/>
        <v>kend</v>
      </c>
      <c r="W350" s="42">
        <f t="shared" si="71"/>
        <v>7</v>
      </c>
      <c r="X350" s="42">
        <f t="shared" si="72"/>
        <v>0.2576</v>
      </c>
      <c r="Y350" s="3">
        <f t="shared" si="73"/>
        <v>82</v>
      </c>
      <c r="Z350" s="3">
        <f t="shared" si="77"/>
        <v>7883</v>
      </c>
      <c r="AA350" s="3">
        <f t="shared" si="74"/>
        <v>1232.2489122187819</v>
      </c>
      <c r="AB350" s="3">
        <f t="shared" si="75"/>
        <v>0.99911573903365103</v>
      </c>
      <c r="AC350" s="3" t="str">
        <f t="shared" si="76"/>
        <v>Normal</v>
      </c>
    </row>
    <row r="351" spans="1:29" x14ac:dyDescent="0.2">
      <c r="A351" s="4">
        <v>969</v>
      </c>
      <c r="B351" s="5">
        <v>40879</v>
      </c>
      <c r="C351" s="4">
        <v>1</v>
      </c>
      <c r="D351" s="4">
        <v>0</v>
      </c>
      <c r="E351" s="4">
        <v>2</v>
      </c>
      <c r="F351" s="4">
        <v>23</v>
      </c>
      <c r="G351" s="4" t="b">
        <v>0</v>
      </c>
      <c r="H351" s="4">
        <v>6</v>
      </c>
      <c r="I351" s="4">
        <v>1</v>
      </c>
      <c r="J351" s="4">
        <v>0.22</v>
      </c>
      <c r="K351" s="4">
        <v>0.2273</v>
      </c>
      <c r="L351" s="4">
        <v>0.51</v>
      </c>
      <c r="M351" s="4">
        <v>0.1343</v>
      </c>
      <c r="N351" s="4">
        <v>1</v>
      </c>
      <c r="O351" s="4">
        <v>31</v>
      </c>
      <c r="P351" s="4">
        <v>32</v>
      </c>
      <c r="Q351" s="6" t="str">
        <f t="shared" si="65"/>
        <v>Weekend</v>
      </c>
      <c r="R351" s="42">
        <f t="shared" si="66"/>
        <v>26802</v>
      </c>
      <c r="S351" s="42">
        <f t="shared" si="67"/>
        <v>124.8388746803069</v>
      </c>
      <c r="T351" s="42">
        <f t="shared" si="68"/>
        <v>42</v>
      </c>
      <c r="U351" s="42" t="str">
        <f t="shared" si="69"/>
        <v>Wee</v>
      </c>
      <c r="V351" s="42" t="str">
        <f t="shared" si="70"/>
        <v>kend</v>
      </c>
      <c r="W351" s="42">
        <f t="shared" si="71"/>
        <v>7</v>
      </c>
      <c r="X351" s="42">
        <f t="shared" si="72"/>
        <v>0.2273</v>
      </c>
      <c r="Y351" s="3">
        <f t="shared" si="73"/>
        <v>82</v>
      </c>
      <c r="Z351" s="3">
        <f t="shared" si="77"/>
        <v>7883</v>
      </c>
      <c r="AA351" s="3">
        <f t="shared" si="74"/>
        <v>1232.2489122187819</v>
      </c>
      <c r="AB351" s="3">
        <f t="shared" si="75"/>
        <v>0.99911573903365103</v>
      </c>
      <c r="AC351" s="3" t="str">
        <f t="shared" si="76"/>
        <v>Normal</v>
      </c>
    </row>
    <row r="352" spans="1:29" x14ac:dyDescent="0.2">
      <c r="A352" s="4">
        <v>970</v>
      </c>
      <c r="B352" s="4" t="s">
        <v>86</v>
      </c>
      <c r="C352" s="4">
        <v>1</v>
      </c>
      <c r="D352" s="4">
        <v>0</v>
      </c>
      <c r="E352" s="4">
        <v>2</v>
      </c>
      <c r="F352" s="4">
        <v>0</v>
      </c>
      <c r="G352" s="4" t="b">
        <v>0</v>
      </c>
      <c r="H352" s="4">
        <v>0</v>
      </c>
      <c r="I352" s="4">
        <v>1</v>
      </c>
      <c r="J352" s="4">
        <v>0.2</v>
      </c>
      <c r="K352" s="4">
        <v>0.2273</v>
      </c>
      <c r="L352" s="4">
        <v>0.64</v>
      </c>
      <c r="M352" s="4">
        <v>0.1045</v>
      </c>
      <c r="N352" s="4">
        <v>5</v>
      </c>
      <c r="O352" s="4">
        <v>34</v>
      </c>
      <c r="P352" s="4">
        <v>39</v>
      </c>
      <c r="Q352" s="6" t="str">
        <f t="shared" si="65"/>
        <v>Weekend</v>
      </c>
      <c r="R352" s="42">
        <f t="shared" si="66"/>
        <v>26770</v>
      </c>
      <c r="S352" s="42">
        <f t="shared" si="67"/>
        <v>124.8388746803069</v>
      </c>
      <c r="T352" s="42">
        <f t="shared" si="68"/>
        <v>41</v>
      </c>
      <c r="U352" s="42" t="str">
        <f t="shared" si="69"/>
        <v>Wee</v>
      </c>
      <c r="V352" s="42" t="str">
        <f t="shared" si="70"/>
        <v>kend</v>
      </c>
      <c r="W352" s="42">
        <f t="shared" si="71"/>
        <v>7</v>
      </c>
      <c r="X352" s="42">
        <f t="shared" si="72"/>
        <v>0.2273</v>
      </c>
      <c r="Y352" s="3">
        <f t="shared" si="73"/>
        <v>82</v>
      </c>
      <c r="Z352" s="3">
        <f t="shared" si="77"/>
        <v>7883</v>
      </c>
      <c r="AA352" s="3">
        <f t="shared" si="74"/>
        <v>1232.2489122187819</v>
      </c>
      <c r="AB352" s="3">
        <f t="shared" si="75"/>
        <v>0.99911573903365103</v>
      </c>
      <c r="AC352" s="3" t="str">
        <f t="shared" si="76"/>
        <v>Normal</v>
      </c>
    </row>
    <row r="353" spans="1:29" x14ac:dyDescent="0.2">
      <c r="A353" s="4">
        <v>971</v>
      </c>
      <c r="B353" s="4" t="s">
        <v>86</v>
      </c>
      <c r="C353" s="4">
        <v>1</v>
      </c>
      <c r="D353" s="4">
        <v>0</v>
      </c>
      <c r="E353" s="4">
        <v>2</v>
      </c>
      <c r="F353" s="4">
        <v>1</v>
      </c>
      <c r="G353" s="4" t="b">
        <v>0</v>
      </c>
      <c r="H353" s="4">
        <v>0</v>
      </c>
      <c r="I353" s="4">
        <v>1</v>
      </c>
      <c r="J353" s="4">
        <v>0.2</v>
      </c>
      <c r="K353" s="4">
        <v>0.2273</v>
      </c>
      <c r="L353" s="4">
        <v>0.59</v>
      </c>
      <c r="M353" s="4">
        <v>8.9599999999999999E-2</v>
      </c>
      <c r="N353" s="4">
        <v>1</v>
      </c>
      <c r="O353" s="4">
        <v>23</v>
      </c>
      <c r="P353" s="4">
        <v>24</v>
      </c>
      <c r="Q353" s="6" t="str">
        <f t="shared" si="65"/>
        <v>Weekend</v>
      </c>
      <c r="R353" s="42">
        <f t="shared" si="66"/>
        <v>26731</v>
      </c>
      <c r="S353" s="42">
        <f t="shared" si="67"/>
        <v>124.8388746803069</v>
      </c>
      <c r="T353" s="42">
        <f t="shared" si="68"/>
        <v>40</v>
      </c>
      <c r="U353" s="42" t="str">
        <f t="shared" si="69"/>
        <v>Wee</v>
      </c>
      <c r="V353" s="42" t="str">
        <f t="shared" si="70"/>
        <v>kend</v>
      </c>
      <c r="W353" s="42">
        <f t="shared" si="71"/>
        <v>7</v>
      </c>
      <c r="X353" s="42">
        <f t="shared" si="72"/>
        <v>0.2273</v>
      </c>
      <c r="Y353" s="3">
        <f t="shared" si="73"/>
        <v>82</v>
      </c>
      <c r="Z353" s="3">
        <f t="shared" si="77"/>
        <v>7883</v>
      </c>
      <c r="AA353" s="3">
        <f t="shared" si="74"/>
        <v>1232.2489122187819</v>
      </c>
      <c r="AB353" s="3">
        <f t="shared" si="75"/>
        <v>0.99911573903365103</v>
      </c>
      <c r="AC353" s="3" t="str">
        <f t="shared" si="76"/>
        <v>Normal</v>
      </c>
    </row>
    <row r="354" spans="1:29" x14ac:dyDescent="0.2">
      <c r="A354" s="4">
        <v>972</v>
      </c>
      <c r="B354" s="4" t="s">
        <v>86</v>
      </c>
      <c r="C354" s="4">
        <v>1</v>
      </c>
      <c r="D354" s="4">
        <v>0</v>
      </c>
      <c r="E354" s="4">
        <v>2</v>
      </c>
      <c r="F354" s="4">
        <v>2</v>
      </c>
      <c r="G354" s="4" t="b">
        <v>0</v>
      </c>
      <c r="H354" s="4">
        <v>0</v>
      </c>
      <c r="I354" s="4">
        <v>2</v>
      </c>
      <c r="J354" s="4">
        <v>0.2</v>
      </c>
      <c r="K354" s="4">
        <v>0.2273</v>
      </c>
      <c r="L354" s="4">
        <v>0.75</v>
      </c>
      <c r="M354" s="4">
        <v>8.9599999999999999E-2</v>
      </c>
      <c r="N354" s="4">
        <v>1</v>
      </c>
      <c r="O354" s="4">
        <v>19</v>
      </c>
      <c r="P354" s="4">
        <v>20</v>
      </c>
      <c r="Q354" s="6" t="str">
        <f t="shared" si="65"/>
        <v>Weekend</v>
      </c>
      <c r="R354" s="42">
        <f t="shared" si="66"/>
        <v>26707</v>
      </c>
      <c r="S354" s="42">
        <f t="shared" si="67"/>
        <v>124.8388746803069</v>
      </c>
      <c r="T354" s="42">
        <f t="shared" si="68"/>
        <v>39</v>
      </c>
      <c r="U354" s="42" t="str">
        <f t="shared" si="69"/>
        <v>Wee</v>
      </c>
      <c r="V354" s="42" t="str">
        <f t="shared" si="70"/>
        <v>kend</v>
      </c>
      <c r="W354" s="42">
        <f t="shared" si="71"/>
        <v>7</v>
      </c>
      <c r="X354" s="42">
        <f t="shared" si="72"/>
        <v>0.2273</v>
      </c>
      <c r="Y354" s="3">
        <f t="shared" si="73"/>
        <v>82</v>
      </c>
      <c r="Z354" s="3">
        <f t="shared" si="77"/>
        <v>7883</v>
      </c>
      <c r="AA354" s="3">
        <f t="shared" si="74"/>
        <v>1232.2489122187819</v>
      </c>
      <c r="AB354" s="3">
        <f t="shared" si="75"/>
        <v>0.99911573903365103</v>
      </c>
      <c r="AC354" s="3" t="str">
        <f t="shared" si="76"/>
        <v>Normal</v>
      </c>
    </row>
    <row r="355" spans="1:29" x14ac:dyDescent="0.2">
      <c r="A355" s="4">
        <v>973</v>
      </c>
      <c r="B355" s="4" t="s">
        <v>86</v>
      </c>
      <c r="C355" s="4">
        <v>1</v>
      </c>
      <c r="D355" s="4">
        <v>0</v>
      </c>
      <c r="E355" s="4">
        <v>2</v>
      </c>
      <c r="F355" s="4">
        <v>3</v>
      </c>
      <c r="G355" s="4" t="b">
        <v>0</v>
      </c>
      <c r="H355" s="4">
        <v>0</v>
      </c>
      <c r="I355" s="4">
        <v>2</v>
      </c>
      <c r="J355" s="4">
        <v>0.2</v>
      </c>
      <c r="K355" s="4">
        <v>0.2273</v>
      </c>
      <c r="L355" s="4">
        <v>0.69</v>
      </c>
      <c r="M355" s="4">
        <v>0.1045</v>
      </c>
      <c r="N355" s="4">
        <v>4</v>
      </c>
      <c r="O355" s="4">
        <v>8</v>
      </c>
      <c r="P355" s="4">
        <v>12</v>
      </c>
      <c r="Q355" s="6" t="str">
        <f t="shared" si="65"/>
        <v>Weekend</v>
      </c>
      <c r="R355" s="42">
        <f t="shared" si="66"/>
        <v>26687</v>
      </c>
      <c r="S355" s="42">
        <f t="shared" si="67"/>
        <v>124.8388746803069</v>
      </c>
      <c r="T355" s="42">
        <f t="shared" si="68"/>
        <v>38</v>
      </c>
      <c r="U355" s="42" t="str">
        <f t="shared" si="69"/>
        <v>Wee</v>
      </c>
      <c r="V355" s="42" t="str">
        <f t="shared" si="70"/>
        <v>kend</v>
      </c>
      <c r="W355" s="42">
        <f t="shared" si="71"/>
        <v>7</v>
      </c>
      <c r="X355" s="42">
        <f t="shared" si="72"/>
        <v>0.2273</v>
      </c>
      <c r="Y355" s="3">
        <f t="shared" si="73"/>
        <v>82</v>
      </c>
      <c r="Z355" s="3">
        <f t="shared" si="77"/>
        <v>7883</v>
      </c>
      <c r="AA355" s="3">
        <f t="shared" si="74"/>
        <v>1232.2489122187819</v>
      </c>
      <c r="AB355" s="3">
        <f t="shared" si="75"/>
        <v>0.99911573903365103</v>
      </c>
      <c r="AC355" s="3" t="str">
        <f t="shared" si="76"/>
        <v>Normal</v>
      </c>
    </row>
    <row r="356" spans="1:29" x14ac:dyDescent="0.2">
      <c r="A356" s="4">
        <v>974</v>
      </c>
      <c r="B356" s="4" t="s">
        <v>86</v>
      </c>
      <c r="C356" s="4">
        <v>1</v>
      </c>
      <c r="D356" s="4">
        <v>0</v>
      </c>
      <c r="E356" s="4">
        <v>2</v>
      </c>
      <c r="F356" s="4">
        <v>4</v>
      </c>
      <c r="G356" s="4" t="b">
        <v>0</v>
      </c>
      <c r="H356" s="4">
        <v>0</v>
      </c>
      <c r="I356" s="4">
        <v>2</v>
      </c>
      <c r="J356" s="4">
        <v>0.2</v>
      </c>
      <c r="K356" s="4">
        <v>0.21210000000000001</v>
      </c>
      <c r="L356" s="4">
        <v>0.69</v>
      </c>
      <c r="M356" s="4">
        <v>0.16420000000000001</v>
      </c>
      <c r="N356" s="4">
        <v>0</v>
      </c>
      <c r="O356" s="4">
        <v>2</v>
      </c>
      <c r="P356" s="4">
        <v>2</v>
      </c>
      <c r="Q356" s="6" t="str">
        <f t="shared" si="65"/>
        <v>Weekend</v>
      </c>
      <c r="R356" s="42">
        <f t="shared" si="66"/>
        <v>26675</v>
      </c>
      <c r="S356" s="42">
        <f t="shared" si="67"/>
        <v>124.8388746803069</v>
      </c>
      <c r="T356" s="42">
        <f t="shared" si="68"/>
        <v>37</v>
      </c>
      <c r="U356" s="42" t="str">
        <f t="shared" si="69"/>
        <v>Wee</v>
      </c>
      <c r="V356" s="42" t="str">
        <f t="shared" si="70"/>
        <v>kend</v>
      </c>
      <c r="W356" s="42">
        <f t="shared" si="71"/>
        <v>7</v>
      </c>
      <c r="X356" s="42">
        <f t="shared" si="72"/>
        <v>0.21210000000000001</v>
      </c>
      <c r="Y356" s="3">
        <f t="shared" si="73"/>
        <v>82</v>
      </c>
      <c r="Z356" s="3">
        <f t="shared" si="77"/>
        <v>7883</v>
      </c>
      <c r="AA356" s="3">
        <f t="shared" si="74"/>
        <v>1232.2489122187819</v>
      </c>
      <c r="AB356" s="3">
        <f t="shared" si="75"/>
        <v>0.99911573903365103</v>
      </c>
      <c r="AC356" s="3" t="str">
        <f t="shared" si="76"/>
        <v>Normal</v>
      </c>
    </row>
    <row r="357" spans="1:29" x14ac:dyDescent="0.2">
      <c r="A357" s="4">
        <v>975</v>
      </c>
      <c r="B357" s="4" t="s">
        <v>86</v>
      </c>
      <c r="C357" s="4">
        <v>1</v>
      </c>
      <c r="D357" s="4">
        <v>0</v>
      </c>
      <c r="E357" s="4">
        <v>2</v>
      </c>
      <c r="F357" s="4">
        <v>6</v>
      </c>
      <c r="G357" s="4" t="b">
        <v>0</v>
      </c>
      <c r="H357" s="4">
        <v>0</v>
      </c>
      <c r="I357" s="4">
        <v>2</v>
      </c>
      <c r="J357" s="4">
        <v>0.2</v>
      </c>
      <c r="K357" s="4">
        <v>0.21210000000000001</v>
      </c>
      <c r="L357" s="4">
        <v>0.69</v>
      </c>
      <c r="M357" s="4">
        <v>0.1343</v>
      </c>
      <c r="N357" s="4">
        <v>2</v>
      </c>
      <c r="O357" s="4">
        <v>3</v>
      </c>
      <c r="P357" s="4">
        <v>5</v>
      </c>
      <c r="Q357" s="6" t="str">
        <f t="shared" si="65"/>
        <v>Weekend</v>
      </c>
      <c r="R357" s="42">
        <f t="shared" si="66"/>
        <v>26673</v>
      </c>
      <c r="S357" s="42">
        <f t="shared" si="67"/>
        <v>124.8388746803069</v>
      </c>
      <c r="T357" s="42">
        <f t="shared" si="68"/>
        <v>36</v>
      </c>
      <c r="U357" s="42" t="str">
        <f t="shared" si="69"/>
        <v>Wee</v>
      </c>
      <c r="V357" s="42" t="str">
        <f t="shared" si="70"/>
        <v>kend</v>
      </c>
      <c r="W357" s="42">
        <f t="shared" si="71"/>
        <v>7</v>
      </c>
      <c r="X357" s="42">
        <f t="shared" si="72"/>
        <v>0.21210000000000001</v>
      </c>
      <c r="Y357" s="3">
        <f t="shared" si="73"/>
        <v>82</v>
      </c>
      <c r="Z357" s="3">
        <f t="shared" si="77"/>
        <v>7883</v>
      </c>
      <c r="AA357" s="3">
        <f t="shared" si="74"/>
        <v>1232.2489122187819</v>
      </c>
      <c r="AB357" s="3">
        <f t="shared" si="75"/>
        <v>0.99911573903365103</v>
      </c>
      <c r="AC357" s="3" t="str">
        <f t="shared" si="76"/>
        <v>Normal</v>
      </c>
    </row>
    <row r="358" spans="1:29" x14ac:dyDescent="0.2">
      <c r="A358" s="4">
        <v>976</v>
      </c>
      <c r="B358" s="4" t="s">
        <v>86</v>
      </c>
      <c r="C358" s="4">
        <v>1</v>
      </c>
      <c r="D358" s="4">
        <v>0</v>
      </c>
      <c r="E358" s="4">
        <v>2</v>
      </c>
      <c r="F358" s="4">
        <v>7</v>
      </c>
      <c r="G358" s="4" t="b">
        <v>0</v>
      </c>
      <c r="H358" s="4">
        <v>0</v>
      </c>
      <c r="I358" s="4">
        <v>2</v>
      </c>
      <c r="J358" s="4">
        <v>0.22</v>
      </c>
      <c r="K358" s="4">
        <v>0.2727</v>
      </c>
      <c r="L358" s="4">
        <v>0.55000000000000004</v>
      </c>
      <c r="M358" s="4">
        <v>0</v>
      </c>
      <c r="N358" s="4">
        <v>0</v>
      </c>
      <c r="O358" s="4">
        <v>3</v>
      </c>
      <c r="P358" s="4">
        <v>3</v>
      </c>
      <c r="Q358" s="6" t="str">
        <f t="shared" si="65"/>
        <v>Weekend</v>
      </c>
      <c r="R358" s="42">
        <f t="shared" si="66"/>
        <v>26668</v>
      </c>
      <c r="S358" s="42">
        <f t="shared" si="67"/>
        <v>124.8388746803069</v>
      </c>
      <c r="T358" s="42">
        <f t="shared" si="68"/>
        <v>35</v>
      </c>
      <c r="U358" s="42" t="str">
        <f t="shared" si="69"/>
        <v>Wee</v>
      </c>
      <c r="V358" s="42" t="str">
        <f t="shared" si="70"/>
        <v>kend</v>
      </c>
      <c r="W358" s="42">
        <f t="shared" si="71"/>
        <v>7</v>
      </c>
      <c r="X358" s="42">
        <f t="shared" si="72"/>
        <v>0.2727</v>
      </c>
      <c r="Y358" s="3">
        <f t="shared" si="73"/>
        <v>82</v>
      </c>
      <c r="Z358" s="3">
        <f t="shared" si="77"/>
        <v>7883</v>
      </c>
      <c r="AA358" s="3">
        <f t="shared" si="74"/>
        <v>1232.2489122187819</v>
      </c>
      <c r="AB358" s="3">
        <f t="shared" si="75"/>
        <v>0.99911573903365103</v>
      </c>
      <c r="AC358" s="3" t="str">
        <f t="shared" si="76"/>
        <v>Normal</v>
      </c>
    </row>
    <row r="359" spans="1:29" x14ac:dyDescent="0.2">
      <c r="A359" s="4">
        <v>977</v>
      </c>
      <c r="B359" s="4" t="s">
        <v>86</v>
      </c>
      <c r="C359" s="4">
        <v>1</v>
      </c>
      <c r="D359" s="4">
        <v>0</v>
      </c>
      <c r="E359" s="4">
        <v>2</v>
      </c>
      <c r="F359" s="4">
        <v>8</v>
      </c>
      <c r="G359" s="4" t="b">
        <v>0</v>
      </c>
      <c r="H359" s="4">
        <v>0</v>
      </c>
      <c r="I359" s="4">
        <v>2</v>
      </c>
      <c r="J359" s="4">
        <v>0.22</v>
      </c>
      <c r="K359" s="4">
        <v>0.2273</v>
      </c>
      <c r="L359" s="4">
        <v>0.64</v>
      </c>
      <c r="M359" s="4">
        <v>0.19400000000000001</v>
      </c>
      <c r="N359" s="4">
        <v>1</v>
      </c>
      <c r="O359" s="4">
        <v>11</v>
      </c>
      <c r="P359" s="4">
        <v>12</v>
      </c>
      <c r="Q359" s="6" t="str">
        <f t="shared" si="65"/>
        <v>Weekend</v>
      </c>
      <c r="R359" s="42">
        <f t="shared" si="66"/>
        <v>26665</v>
      </c>
      <c r="S359" s="42">
        <f t="shared" si="67"/>
        <v>124.8388746803069</v>
      </c>
      <c r="T359" s="42">
        <f t="shared" si="68"/>
        <v>34</v>
      </c>
      <c r="U359" s="42" t="str">
        <f t="shared" si="69"/>
        <v>Wee</v>
      </c>
      <c r="V359" s="42" t="str">
        <f t="shared" si="70"/>
        <v>kend</v>
      </c>
      <c r="W359" s="42">
        <f t="shared" si="71"/>
        <v>7</v>
      </c>
      <c r="X359" s="42">
        <f t="shared" si="72"/>
        <v>0.2273</v>
      </c>
      <c r="Y359" s="3">
        <f t="shared" si="73"/>
        <v>82</v>
      </c>
      <c r="Z359" s="3">
        <f t="shared" si="77"/>
        <v>7883</v>
      </c>
      <c r="AA359" s="3">
        <f t="shared" si="74"/>
        <v>1232.2489122187819</v>
      </c>
      <c r="AB359" s="3">
        <f t="shared" si="75"/>
        <v>0.99911573903365103</v>
      </c>
      <c r="AC359" s="3" t="str">
        <f t="shared" si="76"/>
        <v>Normal</v>
      </c>
    </row>
    <row r="360" spans="1:29" x14ac:dyDescent="0.2">
      <c r="A360" s="4">
        <v>978</v>
      </c>
      <c r="B360" s="4" t="s">
        <v>86</v>
      </c>
      <c r="C360" s="4">
        <v>1</v>
      </c>
      <c r="D360" s="4">
        <v>0</v>
      </c>
      <c r="E360" s="4">
        <v>2</v>
      </c>
      <c r="F360" s="4">
        <v>9</v>
      </c>
      <c r="G360" s="4" t="b">
        <v>0</v>
      </c>
      <c r="H360" s="4">
        <v>0</v>
      </c>
      <c r="I360" s="4">
        <v>2</v>
      </c>
      <c r="J360" s="4">
        <v>0.24</v>
      </c>
      <c r="K360" s="4">
        <v>0.2273</v>
      </c>
      <c r="L360" s="4">
        <v>0.6</v>
      </c>
      <c r="M360" s="4">
        <v>0.22389999999999999</v>
      </c>
      <c r="N360" s="4">
        <v>12</v>
      </c>
      <c r="O360" s="4">
        <v>35</v>
      </c>
      <c r="P360" s="4">
        <v>47</v>
      </c>
      <c r="Q360" s="6" t="str">
        <f t="shared" si="65"/>
        <v>Weekend</v>
      </c>
      <c r="R360" s="42">
        <f t="shared" si="66"/>
        <v>26653</v>
      </c>
      <c r="S360" s="42">
        <f t="shared" si="67"/>
        <v>124.8388746803069</v>
      </c>
      <c r="T360" s="42">
        <f t="shared" si="68"/>
        <v>33</v>
      </c>
      <c r="U360" s="42" t="str">
        <f t="shared" si="69"/>
        <v>Wee</v>
      </c>
      <c r="V360" s="42" t="str">
        <f t="shared" si="70"/>
        <v>kend</v>
      </c>
      <c r="W360" s="42">
        <f t="shared" si="71"/>
        <v>7</v>
      </c>
      <c r="X360" s="42">
        <f t="shared" si="72"/>
        <v>0.2273</v>
      </c>
      <c r="Y360" s="3">
        <f t="shared" si="73"/>
        <v>82</v>
      </c>
      <c r="Z360" s="3">
        <f t="shared" si="77"/>
        <v>7883</v>
      </c>
      <c r="AA360" s="3">
        <f t="shared" si="74"/>
        <v>1232.2489122187819</v>
      </c>
      <c r="AB360" s="3">
        <f t="shared" si="75"/>
        <v>0.99911573903365103</v>
      </c>
      <c r="AC360" s="3" t="str">
        <f t="shared" si="76"/>
        <v>Normal</v>
      </c>
    </row>
    <row r="361" spans="1:29" x14ac:dyDescent="0.2">
      <c r="A361" s="4">
        <v>979</v>
      </c>
      <c r="B361" s="4" t="s">
        <v>86</v>
      </c>
      <c r="C361" s="4">
        <v>1</v>
      </c>
      <c r="D361" s="4">
        <v>0</v>
      </c>
      <c r="E361" s="4">
        <v>2</v>
      </c>
      <c r="F361" s="4">
        <v>10</v>
      </c>
      <c r="G361" s="4" t="b">
        <v>0</v>
      </c>
      <c r="H361" s="4">
        <v>0</v>
      </c>
      <c r="I361" s="4">
        <v>1</v>
      </c>
      <c r="J361" s="4">
        <v>0.3</v>
      </c>
      <c r="K361" s="4">
        <v>0.2727</v>
      </c>
      <c r="L361" s="4">
        <v>0.45</v>
      </c>
      <c r="M361" s="4">
        <v>0.32840000000000003</v>
      </c>
      <c r="N361" s="4">
        <v>19</v>
      </c>
      <c r="O361" s="4">
        <v>86</v>
      </c>
      <c r="P361" s="4">
        <v>105</v>
      </c>
      <c r="Q361" s="6" t="str">
        <f t="shared" si="65"/>
        <v>Weekend</v>
      </c>
      <c r="R361" s="42">
        <f t="shared" si="66"/>
        <v>26606</v>
      </c>
      <c r="S361" s="42">
        <f t="shared" si="67"/>
        <v>124.8388746803069</v>
      </c>
      <c r="T361" s="42">
        <f t="shared" si="68"/>
        <v>32</v>
      </c>
      <c r="U361" s="42" t="str">
        <f t="shared" si="69"/>
        <v>Wee</v>
      </c>
      <c r="V361" s="42" t="str">
        <f t="shared" si="70"/>
        <v>kend</v>
      </c>
      <c r="W361" s="42">
        <f t="shared" si="71"/>
        <v>7</v>
      </c>
      <c r="X361" s="42">
        <f t="shared" si="72"/>
        <v>0.2727</v>
      </c>
      <c r="Y361" s="3">
        <f t="shared" si="73"/>
        <v>82</v>
      </c>
      <c r="Z361" s="3">
        <f t="shared" si="77"/>
        <v>7883</v>
      </c>
      <c r="AA361" s="3">
        <f t="shared" si="74"/>
        <v>1232.2489122187819</v>
      </c>
      <c r="AB361" s="3">
        <f t="shared" si="75"/>
        <v>0.99911573903365103</v>
      </c>
      <c r="AC361" s="3" t="str">
        <f t="shared" si="76"/>
        <v>Normal</v>
      </c>
    </row>
    <row r="362" spans="1:29" x14ac:dyDescent="0.2">
      <c r="A362" s="4">
        <v>980</v>
      </c>
      <c r="B362" s="4" t="s">
        <v>86</v>
      </c>
      <c r="C362" s="4">
        <v>1</v>
      </c>
      <c r="D362" s="4">
        <v>0</v>
      </c>
      <c r="E362" s="4">
        <v>2</v>
      </c>
      <c r="F362" s="4">
        <v>11</v>
      </c>
      <c r="G362" s="4" t="b">
        <v>0</v>
      </c>
      <c r="H362" s="4">
        <v>0</v>
      </c>
      <c r="I362" s="4">
        <v>1</v>
      </c>
      <c r="J362" s="4">
        <v>0.32</v>
      </c>
      <c r="K362" s="4">
        <v>0.28789999999999999</v>
      </c>
      <c r="L362" s="4">
        <v>0.39</v>
      </c>
      <c r="M362" s="4">
        <v>0.44779999999999998</v>
      </c>
      <c r="N362" s="4">
        <v>26</v>
      </c>
      <c r="O362" s="4">
        <v>86</v>
      </c>
      <c r="P362" s="4">
        <v>112</v>
      </c>
      <c r="Q362" s="6" t="str">
        <f t="shared" si="65"/>
        <v>Weekend</v>
      </c>
      <c r="R362" s="42">
        <f t="shared" si="66"/>
        <v>26501</v>
      </c>
      <c r="S362" s="42">
        <f t="shared" si="67"/>
        <v>124.8388746803069</v>
      </c>
      <c r="T362" s="42">
        <f t="shared" si="68"/>
        <v>31</v>
      </c>
      <c r="U362" s="42" t="str">
        <f t="shared" si="69"/>
        <v>Wee</v>
      </c>
      <c r="V362" s="42" t="str">
        <f t="shared" si="70"/>
        <v>kend</v>
      </c>
      <c r="W362" s="42">
        <f t="shared" si="71"/>
        <v>7</v>
      </c>
      <c r="X362" s="42">
        <f t="shared" si="72"/>
        <v>0.28789999999999999</v>
      </c>
      <c r="Y362" s="3">
        <f t="shared" si="73"/>
        <v>82</v>
      </c>
      <c r="Z362" s="3">
        <f t="shared" si="77"/>
        <v>7883</v>
      </c>
      <c r="AA362" s="3">
        <f t="shared" si="74"/>
        <v>1232.2489122187819</v>
      </c>
      <c r="AB362" s="3">
        <f t="shared" si="75"/>
        <v>0.99911573903365103</v>
      </c>
      <c r="AC362" s="3" t="str">
        <f t="shared" si="76"/>
        <v>Normal</v>
      </c>
    </row>
    <row r="363" spans="1:29" x14ac:dyDescent="0.2">
      <c r="A363" s="4">
        <v>981</v>
      </c>
      <c r="B363" s="4" t="s">
        <v>86</v>
      </c>
      <c r="C363" s="4">
        <v>1</v>
      </c>
      <c r="D363" s="4">
        <v>0</v>
      </c>
      <c r="E363" s="4">
        <v>2</v>
      </c>
      <c r="F363" s="4">
        <v>12</v>
      </c>
      <c r="G363" s="4" t="b">
        <v>0</v>
      </c>
      <c r="H363" s="4">
        <v>0</v>
      </c>
      <c r="I363" s="4">
        <v>1</v>
      </c>
      <c r="J363" s="4">
        <v>0.36</v>
      </c>
      <c r="K363" s="4">
        <v>0.31819999999999998</v>
      </c>
      <c r="L363" s="4">
        <v>0.32</v>
      </c>
      <c r="M363" s="4">
        <v>0.4627</v>
      </c>
      <c r="N363" s="4">
        <v>58</v>
      </c>
      <c r="O363" s="4">
        <v>94</v>
      </c>
      <c r="P363" s="4">
        <v>152</v>
      </c>
      <c r="Q363" s="6" t="str">
        <f t="shared" si="65"/>
        <v>Weekend</v>
      </c>
      <c r="R363" s="42">
        <f t="shared" si="66"/>
        <v>26389</v>
      </c>
      <c r="S363" s="42">
        <f t="shared" si="67"/>
        <v>124.8388746803069</v>
      </c>
      <c r="T363" s="42">
        <f t="shared" si="68"/>
        <v>30</v>
      </c>
      <c r="U363" s="42" t="str">
        <f t="shared" si="69"/>
        <v>Wee</v>
      </c>
      <c r="V363" s="42" t="str">
        <f t="shared" si="70"/>
        <v>kend</v>
      </c>
      <c r="W363" s="42">
        <f t="shared" si="71"/>
        <v>7</v>
      </c>
      <c r="X363" s="42">
        <f t="shared" si="72"/>
        <v>0.31819999999999998</v>
      </c>
      <c r="Y363" s="3">
        <f t="shared" si="73"/>
        <v>82</v>
      </c>
      <c r="Z363" s="3">
        <f t="shared" si="77"/>
        <v>7883</v>
      </c>
      <c r="AA363" s="3">
        <f t="shared" si="74"/>
        <v>1232.2489122187819</v>
      </c>
      <c r="AB363" s="3">
        <f t="shared" si="75"/>
        <v>0.99911573903365103</v>
      </c>
      <c r="AC363" s="3" t="str">
        <f t="shared" si="76"/>
        <v>Normal</v>
      </c>
    </row>
    <row r="364" spans="1:29" x14ac:dyDescent="0.2">
      <c r="A364" s="4">
        <v>982</v>
      </c>
      <c r="B364" s="4" t="s">
        <v>86</v>
      </c>
      <c r="C364" s="4">
        <v>1</v>
      </c>
      <c r="D364" s="4">
        <v>0</v>
      </c>
      <c r="E364" s="4">
        <v>2</v>
      </c>
      <c r="F364" s="4">
        <v>13</v>
      </c>
      <c r="G364" s="4" t="b">
        <v>0</v>
      </c>
      <c r="H364" s="4">
        <v>0</v>
      </c>
      <c r="I364" s="4">
        <v>1</v>
      </c>
      <c r="J364" s="4">
        <v>0.38</v>
      </c>
      <c r="K364" s="4">
        <v>0.39389999999999997</v>
      </c>
      <c r="L364" s="4">
        <v>0.28999999999999998</v>
      </c>
      <c r="M364" s="4">
        <v>0.35820000000000002</v>
      </c>
      <c r="N364" s="4">
        <v>62</v>
      </c>
      <c r="O364" s="4">
        <v>92</v>
      </c>
      <c r="P364" s="4">
        <v>154</v>
      </c>
      <c r="Q364" s="6" t="str">
        <f t="shared" si="65"/>
        <v>Weekend</v>
      </c>
      <c r="R364" s="42">
        <f t="shared" si="66"/>
        <v>26237</v>
      </c>
      <c r="S364" s="42">
        <f t="shared" si="67"/>
        <v>124.8388746803069</v>
      </c>
      <c r="T364" s="42">
        <f t="shared" si="68"/>
        <v>29</v>
      </c>
      <c r="U364" s="42" t="str">
        <f t="shared" si="69"/>
        <v>Wee</v>
      </c>
      <c r="V364" s="42" t="str">
        <f t="shared" si="70"/>
        <v>kend</v>
      </c>
      <c r="W364" s="42">
        <f t="shared" si="71"/>
        <v>7</v>
      </c>
      <c r="X364" s="42">
        <f t="shared" si="72"/>
        <v>0.39389999999999997</v>
      </c>
      <c r="Y364" s="3">
        <f t="shared" si="73"/>
        <v>82</v>
      </c>
      <c r="Z364" s="3">
        <f t="shared" si="77"/>
        <v>7883</v>
      </c>
      <c r="AA364" s="3">
        <f t="shared" si="74"/>
        <v>1232.2489122187819</v>
      </c>
      <c r="AB364" s="3">
        <f t="shared" si="75"/>
        <v>0.99911573903365103</v>
      </c>
      <c r="AC364" s="3" t="str">
        <f t="shared" si="76"/>
        <v>Normal</v>
      </c>
    </row>
    <row r="365" spans="1:29" x14ac:dyDescent="0.2">
      <c r="A365" s="4">
        <v>983</v>
      </c>
      <c r="B365" s="4" t="s">
        <v>86</v>
      </c>
      <c r="C365" s="4">
        <v>1</v>
      </c>
      <c r="D365" s="4">
        <v>0</v>
      </c>
      <c r="E365" s="4">
        <v>2</v>
      </c>
      <c r="F365" s="4">
        <v>14</v>
      </c>
      <c r="G365" s="4" t="b">
        <v>0</v>
      </c>
      <c r="H365" s="4">
        <v>0</v>
      </c>
      <c r="I365" s="4">
        <v>2</v>
      </c>
      <c r="J365" s="4">
        <v>0.4</v>
      </c>
      <c r="K365" s="4">
        <v>0.40910000000000002</v>
      </c>
      <c r="L365" s="4">
        <v>0.3</v>
      </c>
      <c r="M365" s="4">
        <v>0.41789999999999999</v>
      </c>
      <c r="N365" s="4">
        <v>51</v>
      </c>
      <c r="O365" s="4">
        <v>110</v>
      </c>
      <c r="P365" s="4">
        <v>161</v>
      </c>
      <c r="Q365" s="6" t="str">
        <f t="shared" si="65"/>
        <v>Weekend</v>
      </c>
      <c r="R365" s="42">
        <f t="shared" si="66"/>
        <v>26083</v>
      </c>
      <c r="S365" s="42">
        <f t="shared" si="67"/>
        <v>124.8388746803069</v>
      </c>
      <c r="T365" s="42">
        <f t="shared" si="68"/>
        <v>28</v>
      </c>
      <c r="U365" s="42" t="str">
        <f t="shared" si="69"/>
        <v>Wee</v>
      </c>
      <c r="V365" s="42" t="str">
        <f t="shared" si="70"/>
        <v>kend</v>
      </c>
      <c r="W365" s="42">
        <f t="shared" si="71"/>
        <v>7</v>
      </c>
      <c r="X365" s="42">
        <f t="shared" si="72"/>
        <v>0.40910000000000002</v>
      </c>
      <c r="Y365" s="3">
        <f t="shared" si="73"/>
        <v>82</v>
      </c>
      <c r="Z365" s="3">
        <f t="shared" si="77"/>
        <v>7883</v>
      </c>
      <c r="AA365" s="3">
        <f t="shared" si="74"/>
        <v>1232.2489122187819</v>
      </c>
      <c r="AB365" s="3">
        <f t="shared" si="75"/>
        <v>0.99911573903365103</v>
      </c>
      <c r="AC365" s="3" t="str">
        <f t="shared" si="76"/>
        <v>Normal</v>
      </c>
    </row>
    <row r="366" spans="1:29" x14ac:dyDescent="0.2">
      <c r="A366" s="4">
        <v>984</v>
      </c>
      <c r="B366" s="4" t="s">
        <v>86</v>
      </c>
      <c r="C366" s="4">
        <v>1</v>
      </c>
      <c r="D366" s="4">
        <v>0</v>
      </c>
      <c r="E366" s="4">
        <v>2</v>
      </c>
      <c r="F366" s="4">
        <v>15</v>
      </c>
      <c r="G366" s="4" t="b">
        <v>0</v>
      </c>
      <c r="H366" s="4">
        <v>0</v>
      </c>
      <c r="I366" s="4">
        <v>2</v>
      </c>
      <c r="J366" s="4">
        <v>0.4</v>
      </c>
      <c r="K366" s="4">
        <v>0.40910000000000002</v>
      </c>
      <c r="L366" s="4">
        <v>0.3</v>
      </c>
      <c r="M366" s="4">
        <v>0.29849999999999999</v>
      </c>
      <c r="N366" s="4">
        <v>40</v>
      </c>
      <c r="O366" s="4">
        <v>122</v>
      </c>
      <c r="P366" s="4">
        <v>162</v>
      </c>
      <c r="Q366" s="6" t="str">
        <f t="shared" si="65"/>
        <v>Weekend</v>
      </c>
      <c r="R366" s="42">
        <f t="shared" si="66"/>
        <v>25922</v>
      </c>
      <c r="S366" s="42">
        <f t="shared" si="67"/>
        <v>124.8388746803069</v>
      </c>
      <c r="T366" s="42">
        <f t="shared" si="68"/>
        <v>27</v>
      </c>
      <c r="U366" s="42" t="str">
        <f t="shared" si="69"/>
        <v>Wee</v>
      </c>
      <c r="V366" s="42" t="str">
        <f t="shared" si="70"/>
        <v>kend</v>
      </c>
      <c r="W366" s="42">
        <f t="shared" si="71"/>
        <v>7</v>
      </c>
      <c r="X366" s="42">
        <f t="shared" si="72"/>
        <v>0.40910000000000002</v>
      </c>
      <c r="Y366" s="3">
        <f t="shared" si="73"/>
        <v>82</v>
      </c>
      <c r="Z366" s="3">
        <f t="shared" si="77"/>
        <v>7883</v>
      </c>
      <c r="AA366" s="3">
        <f t="shared" si="74"/>
        <v>1232.2489122187819</v>
      </c>
      <c r="AB366" s="3">
        <f t="shared" si="75"/>
        <v>0.99911573903365103</v>
      </c>
      <c r="AC366" s="3" t="str">
        <f t="shared" si="76"/>
        <v>Normal</v>
      </c>
    </row>
    <row r="367" spans="1:29" x14ac:dyDescent="0.2">
      <c r="A367" s="4">
        <v>985</v>
      </c>
      <c r="B367" s="4" t="s">
        <v>86</v>
      </c>
      <c r="C367" s="4">
        <v>1</v>
      </c>
      <c r="D367" s="4">
        <v>0</v>
      </c>
      <c r="E367" s="4">
        <v>2</v>
      </c>
      <c r="F367" s="4">
        <v>16</v>
      </c>
      <c r="G367" s="4" t="b">
        <v>0</v>
      </c>
      <c r="H367" s="4">
        <v>0</v>
      </c>
      <c r="I367" s="4">
        <v>2</v>
      </c>
      <c r="J367" s="4">
        <v>0.42</v>
      </c>
      <c r="K367" s="4">
        <v>0.42420000000000002</v>
      </c>
      <c r="L367" s="4">
        <v>0.28000000000000003</v>
      </c>
      <c r="M367" s="4">
        <v>0.32840000000000003</v>
      </c>
      <c r="N367" s="4">
        <v>28</v>
      </c>
      <c r="O367" s="4">
        <v>106</v>
      </c>
      <c r="P367" s="4">
        <v>134</v>
      </c>
      <c r="Q367" s="6" t="str">
        <f t="shared" si="65"/>
        <v>Weekend</v>
      </c>
      <c r="R367" s="42">
        <f t="shared" si="66"/>
        <v>25760</v>
      </c>
      <c r="S367" s="42">
        <f t="shared" si="67"/>
        <v>124.8388746803069</v>
      </c>
      <c r="T367" s="42">
        <f t="shared" si="68"/>
        <v>26</v>
      </c>
      <c r="U367" s="42" t="str">
        <f t="shared" si="69"/>
        <v>Wee</v>
      </c>
      <c r="V367" s="42" t="str">
        <f t="shared" si="70"/>
        <v>kend</v>
      </c>
      <c r="W367" s="42">
        <f t="shared" si="71"/>
        <v>7</v>
      </c>
      <c r="X367" s="42">
        <f t="shared" si="72"/>
        <v>0.42420000000000002</v>
      </c>
      <c r="Y367" s="3">
        <f t="shared" si="73"/>
        <v>82</v>
      </c>
      <c r="Z367" s="3">
        <f t="shared" si="77"/>
        <v>7883</v>
      </c>
      <c r="AA367" s="3">
        <f t="shared" si="74"/>
        <v>1232.2489122187819</v>
      </c>
      <c r="AB367" s="3">
        <f t="shared" si="75"/>
        <v>0.99911573903365103</v>
      </c>
      <c r="AC367" s="3" t="str">
        <f t="shared" si="76"/>
        <v>Normal</v>
      </c>
    </row>
    <row r="368" spans="1:29" x14ac:dyDescent="0.2">
      <c r="A368" s="4">
        <v>986</v>
      </c>
      <c r="B368" s="4" t="s">
        <v>86</v>
      </c>
      <c r="C368" s="4">
        <v>1</v>
      </c>
      <c r="D368" s="4">
        <v>0</v>
      </c>
      <c r="E368" s="4">
        <v>2</v>
      </c>
      <c r="F368" s="4">
        <v>17</v>
      </c>
      <c r="G368" s="4" t="b">
        <v>0</v>
      </c>
      <c r="H368" s="4">
        <v>0</v>
      </c>
      <c r="I368" s="4">
        <v>1</v>
      </c>
      <c r="J368" s="4">
        <v>0.42</v>
      </c>
      <c r="K368" s="4">
        <v>0.42420000000000002</v>
      </c>
      <c r="L368" s="4">
        <v>0.28000000000000003</v>
      </c>
      <c r="M368" s="4">
        <v>0.32840000000000003</v>
      </c>
      <c r="N368" s="4">
        <v>30</v>
      </c>
      <c r="O368" s="4">
        <v>95</v>
      </c>
      <c r="P368" s="4">
        <v>125</v>
      </c>
      <c r="Q368" s="6" t="str">
        <f t="shared" si="65"/>
        <v>Weekend</v>
      </c>
      <c r="R368" s="42">
        <f t="shared" si="66"/>
        <v>25626</v>
      </c>
      <c r="S368" s="42">
        <f t="shared" si="67"/>
        <v>124.8388746803069</v>
      </c>
      <c r="T368" s="42">
        <f t="shared" si="68"/>
        <v>25</v>
      </c>
      <c r="U368" s="42" t="str">
        <f t="shared" si="69"/>
        <v>Wee</v>
      </c>
      <c r="V368" s="42" t="str">
        <f t="shared" si="70"/>
        <v>kend</v>
      </c>
      <c r="W368" s="42">
        <f t="shared" si="71"/>
        <v>7</v>
      </c>
      <c r="X368" s="42">
        <f t="shared" si="72"/>
        <v>0.42420000000000002</v>
      </c>
      <c r="Y368" s="3">
        <f t="shared" si="73"/>
        <v>82</v>
      </c>
      <c r="Z368" s="3">
        <f t="shared" si="77"/>
        <v>7883</v>
      </c>
      <c r="AA368" s="3">
        <f t="shared" si="74"/>
        <v>1232.2489122187819</v>
      </c>
      <c r="AB368" s="3">
        <f t="shared" si="75"/>
        <v>0.99911573903365103</v>
      </c>
      <c r="AC368" s="3" t="str">
        <f t="shared" si="76"/>
        <v>Normal</v>
      </c>
    </row>
    <row r="369" spans="1:29" x14ac:dyDescent="0.2">
      <c r="A369" s="4">
        <v>987</v>
      </c>
      <c r="B369" s="4" t="s">
        <v>86</v>
      </c>
      <c r="C369" s="4">
        <v>1</v>
      </c>
      <c r="D369" s="4">
        <v>0</v>
      </c>
      <c r="E369" s="4">
        <v>2</v>
      </c>
      <c r="F369" s="4">
        <v>18</v>
      </c>
      <c r="G369" s="4" t="b">
        <v>0</v>
      </c>
      <c r="H369" s="4">
        <v>0</v>
      </c>
      <c r="I369" s="4">
        <v>1</v>
      </c>
      <c r="J369" s="4">
        <v>0.4</v>
      </c>
      <c r="K369" s="4">
        <v>0.40910000000000002</v>
      </c>
      <c r="L369" s="4">
        <v>0.32</v>
      </c>
      <c r="M369" s="4">
        <v>0.29849999999999999</v>
      </c>
      <c r="N369" s="4">
        <v>17</v>
      </c>
      <c r="O369" s="4">
        <v>78</v>
      </c>
      <c r="P369" s="4">
        <v>95</v>
      </c>
      <c r="Q369" s="6" t="str">
        <f t="shared" si="65"/>
        <v>Weekend</v>
      </c>
      <c r="R369" s="42">
        <f t="shared" si="66"/>
        <v>25501</v>
      </c>
      <c r="S369" s="42">
        <f t="shared" si="67"/>
        <v>124.8388746803069</v>
      </c>
      <c r="T369" s="42">
        <f t="shared" si="68"/>
        <v>24</v>
      </c>
      <c r="U369" s="42" t="str">
        <f t="shared" si="69"/>
        <v>Wee</v>
      </c>
      <c r="V369" s="42" t="str">
        <f t="shared" si="70"/>
        <v>kend</v>
      </c>
      <c r="W369" s="42">
        <f t="shared" si="71"/>
        <v>7</v>
      </c>
      <c r="X369" s="42">
        <f t="shared" si="72"/>
        <v>0.40910000000000002</v>
      </c>
      <c r="Y369" s="3">
        <f t="shared" si="73"/>
        <v>82</v>
      </c>
      <c r="Z369" s="3">
        <f t="shared" si="77"/>
        <v>7883</v>
      </c>
      <c r="AA369" s="3">
        <f t="shared" si="74"/>
        <v>1232.2489122187819</v>
      </c>
      <c r="AB369" s="3">
        <f t="shared" si="75"/>
        <v>0.99911573903365103</v>
      </c>
      <c r="AC369" s="3" t="str">
        <f t="shared" si="76"/>
        <v>Normal</v>
      </c>
    </row>
    <row r="370" spans="1:29" x14ac:dyDescent="0.2">
      <c r="A370" s="4">
        <v>988</v>
      </c>
      <c r="B370" s="4" t="s">
        <v>86</v>
      </c>
      <c r="C370" s="4">
        <v>1</v>
      </c>
      <c r="D370" s="4">
        <v>0</v>
      </c>
      <c r="E370" s="4">
        <v>2</v>
      </c>
      <c r="F370" s="4">
        <v>19</v>
      </c>
      <c r="G370" s="4" t="b">
        <v>0</v>
      </c>
      <c r="H370" s="4">
        <v>0</v>
      </c>
      <c r="I370" s="4">
        <v>1</v>
      </c>
      <c r="J370" s="4">
        <v>0.4</v>
      </c>
      <c r="K370" s="4">
        <v>0.40910000000000002</v>
      </c>
      <c r="L370" s="4">
        <v>0.35</v>
      </c>
      <c r="M370" s="4">
        <v>0.28360000000000002</v>
      </c>
      <c r="N370" s="4">
        <v>11</v>
      </c>
      <c r="O370" s="4">
        <v>50</v>
      </c>
      <c r="P370" s="4">
        <v>61</v>
      </c>
      <c r="Q370" s="6" t="str">
        <f t="shared" si="65"/>
        <v>Weekend</v>
      </c>
      <c r="R370" s="42">
        <f t="shared" si="66"/>
        <v>25406</v>
      </c>
      <c r="S370" s="42">
        <f t="shared" si="67"/>
        <v>124.8388746803069</v>
      </c>
      <c r="T370" s="42">
        <f t="shared" si="68"/>
        <v>23</v>
      </c>
      <c r="U370" s="42" t="str">
        <f t="shared" si="69"/>
        <v>Wee</v>
      </c>
      <c r="V370" s="42" t="str">
        <f t="shared" si="70"/>
        <v>kend</v>
      </c>
      <c r="W370" s="42">
        <f t="shared" si="71"/>
        <v>7</v>
      </c>
      <c r="X370" s="42">
        <f t="shared" si="72"/>
        <v>0.40910000000000002</v>
      </c>
      <c r="Y370" s="3">
        <f t="shared" si="73"/>
        <v>82</v>
      </c>
      <c r="Z370" s="3">
        <f t="shared" si="77"/>
        <v>7883</v>
      </c>
      <c r="AA370" s="3">
        <f t="shared" si="74"/>
        <v>1232.2489122187819</v>
      </c>
      <c r="AB370" s="3">
        <f t="shared" si="75"/>
        <v>0.99911573903365103</v>
      </c>
      <c r="AC370" s="3" t="str">
        <f t="shared" si="76"/>
        <v>Normal</v>
      </c>
    </row>
    <row r="371" spans="1:29" x14ac:dyDescent="0.2">
      <c r="A371" s="4">
        <v>989</v>
      </c>
      <c r="B371" s="4" t="s">
        <v>86</v>
      </c>
      <c r="C371" s="4">
        <v>1</v>
      </c>
      <c r="D371" s="4">
        <v>0</v>
      </c>
      <c r="E371" s="4">
        <v>2</v>
      </c>
      <c r="F371" s="4">
        <v>20</v>
      </c>
      <c r="G371" s="4" t="b">
        <v>0</v>
      </c>
      <c r="H371" s="4">
        <v>0</v>
      </c>
      <c r="I371" s="4">
        <v>1</v>
      </c>
      <c r="J371" s="4">
        <v>0.4</v>
      </c>
      <c r="K371" s="4">
        <v>0.40910000000000002</v>
      </c>
      <c r="L371" s="4">
        <v>0.35</v>
      </c>
      <c r="M371" s="4">
        <v>0.32840000000000003</v>
      </c>
      <c r="N371" s="4">
        <v>15</v>
      </c>
      <c r="O371" s="4">
        <v>32</v>
      </c>
      <c r="P371" s="4">
        <v>47</v>
      </c>
      <c r="Q371" s="6" t="str">
        <f t="shared" si="65"/>
        <v>Weekend</v>
      </c>
      <c r="R371" s="42">
        <f t="shared" si="66"/>
        <v>25345</v>
      </c>
      <c r="S371" s="42">
        <f t="shared" si="67"/>
        <v>124.8388746803069</v>
      </c>
      <c r="T371" s="42">
        <f t="shared" si="68"/>
        <v>22</v>
      </c>
      <c r="U371" s="42" t="str">
        <f t="shared" si="69"/>
        <v>Wee</v>
      </c>
      <c r="V371" s="42" t="str">
        <f t="shared" si="70"/>
        <v>kend</v>
      </c>
      <c r="W371" s="42">
        <f t="shared" si="71"/>
        <v>7</v>
      </c>
      <c r="X371" s="42">
        <f t="shared" si="72"/>
        <v>0.40910000000000002</v>
      </c>
      <c r="Y371" s="3">
        <f t="shared" si="73"/>
        <v>82</v>
      </c>
      <c r="Z371" s="3">
        <f t="shared" si="77"/>
        <v>7883</v>
      </c>
      <c r="AA371" s="3">
        <f t="shared" si="74"/>
        <v>1232.2489122187819</v>
      </c>
      <c r="AB371" s="3">
        <f t="shared" si="75"/>
        <v>0.99911573903365103</v>
      </c>
      <c r="AC371" s="3" t="str">
        <f t="shared" si="76"/>
        <v>Normal</v>
      </c>
    </row>
    <row r="372" spans="1:29" x14ac:dyDescent="0.2">
      <c r="A372" s="4">
        <v>990</v>
      </c>
      <c r="B372" s="4" t="s">
        <v>86</v>
      </c>
      <c r="C372" s="4">
        <v>1</v>
      </c>
      <c r="D372" s="4">
        <v>0</v>
      </c>
      <c r="E372" s="4">
        <v>2</v>
      </c>
      <c r="F372" s="4">
        <v>21</v>
      </c>
      <c r="G372" s="4" t="b">
        <v>0</v>
      </c>
      <c r="H372" s="4">
        <v>0</v>
      </c>
      <c r="I372" s="4">
        <v>1</v>
      </c>
      <c r="J372" s="4">
        <v>0.4</v>
      </c>
      <c r="K372" s="4">
        <v>0.40910000000000002</v>
      </c>
      <c r="L372" s="4">
        <v>0.35</v>
      </c>
      <c r="M372" s="4">
        <v>0.35820000000000002</v>
      </c>
      <c r="N372" s="4">
        <v>6</v>
      </c>
      <c r="O372" s="4">
        <v>45</v>
      </c>
      <c r="P372" s="4">
        <v>51</v>
      </c>
      <c r="Q372" s="6" t="str">
        <f t="shared" si="65"/>
        <v>Weekend</v>
      </c>
      <c r="R372" s="42">
        <f t="shared" si="66"/>
        <v>25298</v>
      </c>
      <c r="S372" s="42">
        <f t="shared" si="67"/>
        <v>124.8388746803069</v>
      </c>
      <c r="T372" s="42">
        <f t="shared" si="68"/>
        <v>21</v>
      </c>
      <c r="U372" s="42" t="str">
        <f t="shared" si="69"/>
        <v>Wee</v>
      </c>
      <c r="V372" s="42" t="str">
        <f t="shared" si="70"/>
        <v>kend</v>
      </c>
      <c r="W372" s="42">
        <f t="shared" si="71"/>
        <v>7</v>
      </c>
      <c r="X372" s="42">
        <f t="shared" si="72"/>
        <v>0.40910000000000002</v>
      </c>
      <c r="Y372" s="3">
        <f t="shared" si="73"/>
        <v>82</v>
      </c>
      <c r="Z372" s="3">
        <f t="shared" si="77"/>
        <v>7883</v>
      </c>
      <c r="AA372" s="3">
        <f t="shared" si="74"/>
        <v>1232.2489122187819</v>
      </c>
      <c r="AB372" s="3">
        <f t="shared" si="75"/>
        <v>0.99911573903365103</v>
      </c>
      <c r="AC372" s="3" t="str">
        <f t="shared" si="76"/>
        <v>Normal</v>
      </c>
    </row>
    <row r="373" spans="1:29" x14ac:dyDescent="0.2">
      <c r="A373" s="4">
        <v>991</v>
      </c>
      <c r="B373" s="4" t="s">
        <v>86</v>
      </c>
      <c r="C373" s="4">
        <v>1</v>
      </c>
      <c r="D373" s="4">
        <v>0</v>
      </c>
      <c r="E373" s="4">
        <v>2</v>
      </c>
      <c r="F373" s="4">
        <v>22</v>
      </c>
      <c r="G373" s="4" t="b">
        <v>0</v>
      </c>
      <c r="H373" s="4">
        <v>0</v>
      </c>
      <c r="I373" s="4">
        <v>1</v>
      </c>
      <c r="J373" s="4">
        <v>0.4</v>
      </c>
      <c r="K373" s="4">
        <v>0.40910000000000002</v>
      </c>
      <c r="L373" s="4">
        <v>0.35</v>
      </c>
      <c r="M373" s="4">
        <v>0.29849999999999999</v>
      </c>
      <c r="N373" s="4">
        <v>5</v>
      </c>
      <c r="O373" s="4">
        <v>31</v>
      </c>
      <c r="P373" s="4">
        <v>36</v>
      </c>
      <c r="Q373" s="6" t="str">
        <f t="shared" si="65"/>
        <v>Weekend</v>
      </c>
      <c r="R373" s="42">
        <f t="shared" si="66"/>
        <v>25247</v>
      </c>
      <c r="S373" s="42">
        <f t="shared" si="67"/>
        <v>124.8388746803069</v>
      </c>
      <c r="T373" s="42">
        <f t="shared" si="68"/>
        <v>20</v>
      </c>
      <c r="U373" s="42" t="str">
        <f t="shared" si="69"/>
        <v>Wee</v>
      </c>
      <c r="V373" s="42" t="str">
        <f t="shared" si="70"/>
        <v>kend</v>
      </c>
      <c r="W373" s="42">
        <f t="shared" si="71"/>
        <v>7</v>
      </c>
      <c r="X373" s="42">
        <f t="shared" si="72"/>
        <v>0.40910000000000002</v>
      </c>
      <c r="Y373" s="3">
        <f t="shared" si="73"/>
        <v>82</v>
      </c>
      <c r="Z373" s="3">
        <f t="shared" si="77"/>
        <v>7883</v>
      </c>
      <c r="AA373" s="3">
        <f t="shared" si="74"/>
        <v>1232.2489122187819</v>
      </c>
      <c r="AB373" s="3">
        <f t="shared" si="75"/>
        <v>0.99911573903365103</v>
      </c>
      <c r="AC373" s="3" t="str">
        <f t="shared" si="76"/>
        <v>Normal</v>
      </c>
    </row>
    <row r="374" spans="1:29" x14ac:dyDescent="0.2">
      <c r="A374" s="4">
        <v>992</v>
      </c>
      <c r="B374" s="4" t="s">
        <v>86</v>
      </c>
      <c r="C374" s="4">
        <v>1</v>
      </c>
      <c r="D374" s="4">
        <v>0</v>
      </c>
      <c r="E374" s="4">
        <v>2</v>
      </c>
      <c r="F374" s="4">
        <v>23</v>
      </c>
      <c r="G374" s="4" t="b">
        <v>0</v>
      </c>
      <c r="H374" s="4">
        <v>0</v>
      </c>
      <c r="I374" s="4">
        <v>1</v>
      </c>
      <c r="J374" s="4">
        <v>0.4</v>
      </c>
      <c r="K374" s="4">
        <v>0.40910000000000002</v>
      </c>
      <c r="L374" s="4">
        <v>0.35</v>
      </c>
      <c r="M374" s="4">
        <v>0.35820000000000002</v>
      </c>
      <c r="N374" s="4">
        <v>3</v>
      </c>
      <c r="O374" s="4">
        <v>27</v>
      </c>
      <c r="P374" s="4">
        <v>30</v>
      </c>
      <c r="Q374" s="6" t="str">
        <f t="shared" si="65"/>
        <v>Weekend</v>
      </c>
      <c r="R374" s="42">
        <f t="shared" si="66"/>
        <v>25211</v>
      </c>
      <c r="S374" s="42">
        <f t="shared" si="67"/>
        <v>124.8388746803069</v>
      </c>
      <c r="T374" s="42">
        <f t="shared" si="68"/>
        <v>19</v>
      </c>
      <c r="U374" s="42" t="str">
        <f t="shared" si="69"/>
        <v>Wee</v>
      </c>
      <c r="V374" s="42" t="str">
        <f t="shared" si="70"/>
        <v>kday</v>
      </c>
      <c r="W374" s="42">
        <f t="shared" si="71"/>
        <v>7</v>
      </c>
      <c r="X374" s="42">
        <f t="shared" si="72"/>
        <v>0.40910000000000002</v>
      </c>
      <c r="Y374" s="3">
        <f t="shared" si="73"/>
        <v>82</v>
      </c>
      <c r="Z374" s="3">
        <f t="shared" si="77"/>
        <v>7883</v>
      </c>
      <c r="AA374" s="3">
        <f t="shared" si="74"/>
        <v>1232.2489122187819</v>
      </c>
      <c r="AB374" s="3">
        <f t="shared" si="75"/>
        <v>0.99911573903365103</v>
      </c>
      <c r="AC374" s="3" t="str">
        <f t="shared" si="76"/>
        <v>Normal</v>
      </c>
    </row>
    <row r="375" spans="1:29" x14ac:dyDescent="0.2">
      <c r="A375" s="4">
        <v>993</v>
      </c>
      <c r="B375" s="4" t="s">
        <v>87</v>
      </c>
      <c r="C375" s="4">
        <v>1</v>
      </c>
      <c r="D375" s="4">
        <v>0</v>
      </c>
      <c r="E375" s="4">
        <v>2</v>
      </c>
      <c r="F375" s="4">
        <v>0</v>
      </c>
      <c r="G375" s="4" t="b">
        <v>0</v>
      </c>
      <c r="H375" s="4">
        <v>1</v>
      </c>
      <c r="I375" s="4">
        <v>1</v>
      </c>
      <c r="J375" s="4">
        <v>0.38</v>
      </c>
      <c r="K375" s="4">
        <v>0.39389999999999997</v>
      </c>
      <c r="L375" s="4">
        <v>0.37</v>
      </c>
      <c r="M375" s="4">
        <v>0.35820000000000002</v>
      </c>
      <c r="N375" s="4">
        <v>3</v>
      </c>
      <c r="O375" s="4">
        <v>8</v>
      </c>
      <c r="P375" s="4">
        <v>11</v>
      </c>
      <c r="Q375" s="6" t="str">
        <f t="shared" si="65"/>
        <v>Weekday</v>
      </c>
      <c r="R375" s="42">
        <f t="shared" si="66"/>
        <v>25181</v>
      </c>
      <c r="S375" s="42">
        <f t="shared" si="67"/>
        <v>124.8388746803069</v>
      </c>
      <c r="T375" s="42">
        <f t="shared" si="68"/>
        <v>18</v>
      </c>
      <c r="U375" s="42" t="str">
        <f t="shared" si="69"/>
        <v>Wee</v>
      </c>
      <c r="V375" s="42" t="str">
        <f t="shared" si="70"/>
        <v>kday</v>
      </c>
      <c r="W375" s="42">
        <f t="shared" si="71"/>
        <v>7</v>
      </c>
      <c r="X375" s="42">
        <f t="shared" si="72"/>
        <v>0.39389999999999997</v>
      </c>
      <c r="Y375" s="3">
        <f t="shared" si="73"/>
        <v>82</v>
      </c>
      <c r="Z375" s="3">
        <f t="shared" si="77"/>
        <v>7883</v>
      </c>
      <c r="AA375" s="3">
        <f t="shared" si="74"/>
        <v>1232.2489122187819</v>
      </c>
      <c r="AB375" s="3">
        <f t="shared" si="75"/>
        <v>0.99911573903365103</v>
      </c>
      <c r="AC375" s="3" t="str">
        <f t="shared" si="76"/>
        <v>Normal</v>
      </c>
    </row>
    <row r="376" spans="1:29" x14ac:dyDescent="0.2">
      <c r="A376" s="4">
        <v>994</v>
      </c>
      <c r="B376" s="4" t="s">
        <v>87</v>
      </c>
      <c r="C376" s="4">
        <v>1</v>
      </c>
      <c r="D376" s="4">
        <v>0</v>
      </c>
      <c r="E376" s="4">
        <v>2</v>
      </c>
      <c r="F376" s="4">
        <v>1</v>
      </c>
      <c r="G376" s="4" t="b">
        <v>0</v>
      </c>
      <c r="H376" s="4">
        <v>1</v>
      </c>
      <c r="I376" s="4">
        <v>1</v>
      </c>
      <c r="J376" s="4">
        <v>0.38</v>
      </c>
      <c r="K376" s="4">
        <v>0.39389999999999997</v>
      </c>
      <c r="L376" s="4">
        <v>0.37</v>
      </c>
      <c r="M376" s="4">
        <v>0.35820000000000002</v>
      </c>
      <c r="N376" s="4">
        <v>1</v>
      </c>
      <c r="O376" s="4">
        <v>6</v>
      </c>
      <c r="P376" s="4">
        <v>7</v>
      </c>
      <c r="Q376" s="6" t="str">
        <f t="shared" si="65"/>
        <v>Weekday</v>
      </c>
      <c r="R376" s="42">
        <f t="shared" si="66"/>
        <v>25170</v>
      </c>
      <c r="S376" s="42">
        <f t="shared" si="67"/>
        <v>124.8388746803069</v>
      </c>
      <c r="T376" s="42">
        <f t="shared" si="68"/>
        <v>17</v>
      </c>
      <c r="U376" s="42" t="str">
        <f t="shared" si="69"/>
        <v>Wee</v>
      </c>
      <c r="V376" s="42" t="str">
        <f t="shared" si="70"/>
        <v>kday</v>
      </c>
      <c r="W376" s="42">
        <f t="shared" si="71"/>
        <v>7</v>
      </c>
      <c r="X376" s="42">
        <f t="shared" si="72"/>
        <v>0.39389999999999997</v>
      </c>
      <c r="Y376" s="3">
        <f t="shared" si="73"/>
        <v>82</v>
      </c>
      <c r="Z376" s="3">
        <f t="shared" si="77"/>
        <v>7883</v>
      </c>
      <c r="AA376" s="3">
        <f t="shared" si="74"/>
        <v>1232.2489122187819</v>
      </c>
      <c r="AB376" s="3">
        <f t="shared" si="75"/>
        <v>0.99911573903365103</v>
      </c>
      <c r="AC376" s="3" t="str">
        <f t="shared" si="76"/>
        <v>Normal</v>
      </c>
    </row>
    <row r="377" spans="1:29" x14ac:dyDescent="0.2">
      <c r="A377" s="4">
        <v>995</v>
      </c>
      <c r="B377" s="4" t="s">
        <v>87</v>
      </c>
      <c r="C377" s="4">
        <v>1</v>
      </c>
      <c r="D377" s="4">
        <v>0</v>
      </c>
      <c r="E377" s="4">
        <v>2</v>
      </c>
      <c r="F377" s="4">
        <v>2</v>
      </c>
      <c r="G377" s="4" t="b">
        <v>0</v>
      </c>
      <c r="H377" s="4">
        <v>1</v>
      </c>
      <c r="I377" s="4">
        <v>1</v>
      </c>
      <c r="J377" s="4">
        <v>0.36</v>
      </c>
      <c r="K377" s="4">
        <v>0.33329999999999999</v>
      </c>
      <c r="L377" s="4">
        <v>0.4</v>
      </c>
      <c r="M377" s="4">
        <v>0.29849999999999999</v>
      </c>
      <c r="N377" s="4">
        <v>0</v>
      </c>
      <c r="O377" s="4">
        <v>2</v>
      </c>
      <c r="P377" s="4">
        <v>2</v>
      </c>
      <c r="Q377" s="6" t="str">
        <f t="shared" si="65"/>
        <v>Weekday</v>
      </c>
      <c r="R377" s="42">
        <f t="shared" si="66"/>
        <v>25163</v>
      </c>
      <c r="S377" s="42">
        <f t="shared" si="67"/>
        <v>124.8388746803069</v>
      </c>
      <c r="T377" s="42">
        <f t="shared" si="68"/>
        <v>16</v>
      </c>
      <c r="U377" s="42" t="str">
        <f t="shared" si="69"/>
        <v>Wee</v>
      </c>
      <c r="V377" s="42" t="str">
        <f t="shared" si="70"/>
        <v>kday</v>
      </c>
      <c r="W377" s="42">
        <f t="shared" si="71"/>
        <v>7</v>
      </c>
      <c r="X377" s="42">
        <f t="shared" si="72"/>
        <v>0.33329999999999999</v>
      </c>
      <c r="Y377" s="3">
        <f t="shared" si="73"/>
        <v>82</v>
      </c>
      <c r="Z377" s="3">
        <f t="shared" si="77"/>
        <v>7883</v>
      </c>
      <c r="AA377" s="3">
        <f t="shared" si="74"/>
        <v>1232.2489122187819</v>
      </c>
      <c r="AB377" s="3">
        <f t="shared" si="75"/>
        <v>0.99911573903365103</v>
      </c>
      <c r="AC377" s="3" t="str">
        <f t="shared" si="76"/>
        <v>Normal</v>
      </c>
    </row>
    <row r="378" spans="1:29" x14ac:dyDescent="0.2">
      <c r="A378" s="4">
        <v>996</v>
      </c>
      <c r="B378" s="4" t="s">
        <v>87</v>
      </c>
      <c r="C378" s="4">
        <v>1</v>
      </c>
      <c r="D378" s="4">
        <v>0</v>
      </c>
      <c r="E378" s="4">
        <v>2</v>
      </c>
      <c r="F378" s="4">
        <v>3</v>
      </c>
      <c r="G378" s="4" t="b">
        <v>0</v>
      </c>
      <c r="H378" s="4">
        <v>1</v>
      </c>
      <c r="I378" s="4">
        <v>1</v>
      </c>
      <c r="J378" s="4">
        <v>0.34</v>
      </c>
      <c r="K378" s="4">
        <v>0.31819999999999998</v>
      </c>
      <c r="L378" s="4">
        <v>0.46</v>
      </c>
      <c r="M378" s="4">
        <v>0.22389999999999999</v>
      </c>
      <c r="N378" s="4">
        <v>1</v>
      </c>
      <c r="O378" s="4">
        <v>1</v>
      </c>
      <c r="P378" s="4">
        <v>2</v>
      </c>
      <c r="Q378" s="6" t="str">
        <f t="shared" si="65"/>
        <v>Weekday</v>
      </c>
      <c r="R378" s="42">
        <f t="shared" si="66"/>
        <v>25161</v>
      </c>
      <c r="S378" s="42">
        <f t="shared" si="67"/>
        <v>124.8388746803069</v>
      </c>
      <c r="T378" s="42">
        <f t="shared" si="68"/>
        <v>15</v>
      </c>
      <c r="U378" s="42" t="str">
        <f t="shared" si="69"/>
        <v>Wee</v>
      </c>
      <c r="V378" s="42" t="str">
        <f t="shared" si="70"/>
        <v>kday</v>
      </c>
      <c r="W378" s="42">
        <f t="shared" si="71"/>
        <v>7</v>
      </c>
      <c r="X378" s="42">
        <f t="shared" si="72"/>
        <v>0.31819999999999998</v>
      </c>
      <c r="Y378" s="3">
        <f t="shared" si="73"/>
        <v>82</v>
      </c>
      <c r="Z378" s="3">
        <f t="shared" si="77"/>
        <v>7883</v>
      </c>
      <c r="AA378" s="3">
        <f t="shared" si="74"/>
        <v>1232.2489122187819</v>
      </c>
      <c r="AB378" s="3">
        <f t="shared" si="75"/>
        <v>0.99911573903365103</v>
      </c>
      <c r="AC378" s="3" t="str">
        <f t="shared" si="76"/>
        <v>Normal</v>
      </c>
    </row>
    <row r="379" spans="1:29" x14ac:dyDescent="0.2">
      <c r="A379" s="4">
        <v>997</v>
      </c>
      <c r="B379" s="4" t="s">
        <v>87</v>
      </c>
      <c r="C379" s="4">
        <v>1</v>
      </c>
      <c r="D379" s="4">
        <v>0</v>
      </c>
      <c r="E379" s="4">
        <v>2</v>
      </c>
      <c r="F379" s="4">
        <v>4</v>
      </c>
      <c r="G379" s="4" t="b">
        <v>0</v>
      </c>
      <c r="H379" s="4">
        <v>1</v>
      </c>
      <c r="I379" s="4">
        <v>1</v>
      </c>
      <c r="J379" s="4">
        <v>0.32</v>
      </c>
      <c r="K379" s="4">
        <v>0.30299999999999999</v>
      </c>
      <c r="L379" s="4">
        <v>0.53</v>
      </c>
      <c r="M379" s="4">
        <v>0.28360000000000002</v>
      </c>
      <c r="N379" s="4">
        <v>0</v>
      </c>
      <c r="O379" s="4">
        <v>2</v>
      </c>
      <c r="P379" s="4">
        <v>2</v>
      </c>
      <c r="Q379" s="6" t="str">
        <f t="shared" si="65"/>
        <v>Weekday</v>
      </c>
      <c r="R379" s="42">
        <f t="shared" si="66"/>
        <v>25159</v>
      </c>
      <c r="S379" s="42">
        <f t="shared" si="67"/>
        <v>124.8388746803069</v>
      </c>
      <c r="T379" s="42">
        <f t="shared" si="68"/>
        <v>14</v>
      </c>
      <c r="U379" s="42" t="str">
        <f t="shared" si="69"/>
        <v>Wee</v>
      </c>
      <c r="V379" s="42" t="str">
        <f t="shared" si="70"/>
        <v>kday</v>
      </c>
      <c r="W379" s="42">
        <f t="shared" si="71"/>
        <v>7</v>
      </c>
      <c r="X379" s="42">
        <f t="shared" si="72"/>
        <v>0.30299999999999999</v>
      </c>
      <c r="Y379" s="3">
        <f t="shared" si="73"/>
        <v>82</v>
      </c>
      <c r="Z379" s="3">
        <f t="shared" si="77"/>
        <v>7883</v>
      </c>
      <c r="AA379" s="3">
        <f t="shared" si="74"/>
        <v>1232.2489122187819</v>
      </c>
      <c r="AB379" s="3">
        <f t="shared" si="75"/>
        <v>0.99911573903365103</v>
      </c>
      <c r="AC379" s="3" t="str">
        <f t="shared" si="76"/>
        <v>Normal</v>
      </c>
    </row>
    <row r="380" spans="1:29" x14ac:dyDescent="0.2">
      <c r="A380" s="4">
        <v>998</v>
      </c>
      <c r="B380" s="4" t="s">
        <v>87</v>
      </c>
      <c r="C380" s="4">
        <v>1</v>
      </c>
      <c r="D380" s="4">
        <v>0</v>
      </c>
      <c r="E380" s="4">
        <v>2</v>
      </c>
      <c r="F380" s="4">
        <v>5</v>
      </c>
      <c r="G380" s="4" t="b">
        <v>0</v>
      </c>
      <c r="H380" s="4">
        <v>1</v>
      </c>
      <c r="I380" s="4">
        <v>1</v>
      </c>
      <c r="J380" s="4">
        <v>0.32</v>
      </c>
      <c r="K380" s="4">
        <v>0.30299999999999999</v>
      </c>
      <c r="L380" s="4">
        <v>0.53</v>
      </c>
      <c r="M380" s="4">
        <v>0.28360000000000002</v>
      </c>
      <c r="N380" s="4">
        <v>0</v>
      </c>
      <c r="O380" s="4">
        <v>3</v>
      </c>
      <c r="P380" s="4">
        <v>3</v>
      </c>
      <c r="Q380" s="6" t="str">
        <f t="shared" si="65"/>
        <v>Weekday</v>
      </c>
      <c r="R380" s="42">
        <f t="shared" si="66"/>
        <v>25157</v>
      </c>
      <c r="S380" s="42">
        <f t="shared" si="67"/>
        <v>124.8388746803069</v>
      </c>
      <c r="T380" s="42">
        <f t="shared" si="68"/>
        <v>13</v>
      </c>
      <c r="U380" s="42" t="str">
        <f t="shared" si="69"/>
        <v>Wee</v>
      </c>
      <c r="V380" s="42" t="str">
        <f t="shared" si="70"/>
        <v>kday</v>
      </c>
      <c r="W380" s="42">
        <f t="shared" si="71"/>
        <v>7</v>
      </c>
      <c r="X380" s="42">
        <f t="shared" si="72"/>
        <v>0.30299999999999999</v>
      </c>
      <c r="Y380" s="3">
        <f t="shared" si="73"/>
        <v>82</v>
      </c>
      <c r="Z380" s="3">
        <f t="shared" si="77"/>
        <v>7883</v>
      </c>
      <c r="AA380" s="3">
        <f t="shared" si="74"/>
        <v>1232.2489122187819</v>
      </c>
      <c r="AB380" s="3">
        <f t="shared" si="75"/>
        <v>0.99911573903365103</v>
      </c>
      <c r="AC380" s="3" t="str">
        <f t="shared" si="76"/>
        <v>Normal</v>
      </c>
    </row>
    <row r="381" spans="1:29" x14ac:dyDescent="0.2">
      <c r="A381" s="4">
        <v>999</v>
      </c>
      <c r="B381" s="4" t="s">
        <v>87</v>
      </c>
      <c r="C381" s="4">
        <v>1</v>
      </c>
      <c r="D381" s="4">
        <v>0</v>
      </c>
      <c r="E381" s="4">
        <v>2</v>
      </c>
      <c r="F381" s="4">
        <v>6</v>
      </c>
      <c r="G381" s="4" t="b">
        <v>0</v>
      </c>
      <c r="H381" s="4">
        <v>1</v>
      </c>
      <c r="I381" s="4">
        <v>1</v>
      </c>
      <c r="J381" s="4">
        <v>0.34</v>
      </c>
      <c r="K381" s="4">
        <v>0.30299999999999999</v>
      </c>
      <c r="L381" s="4">
        <v>0.46</v>
      </c>
      <c r="M381" s="4">
        <v>0.29849999999999999</v>
      </c>
      <c r="N381" s="4">
        <v>1</v>
      </c>
      <c r="O381" s="4">
        <v>25</v>
      </c>
      <c r="P381" s="4">
        <v>26</v>
      </c>
      <c r="Q381" s="6" t="str">
        <f t="shared" si="65"/>
        <v>Weekday</v>
      </c>
      <c r="R381" s="42">
        <f t="shared" si="66"/>
        <v>25154</v>
      </c>
      <c r="S381" s="42">
        <f t="shared" si="67"/>
        <v>124.8388746803069</v>
      </c>
      <c r="T381" s="42">
        <f t="shared" si="68"/>
        <v>12</v>
      </c>
      <c r="U381" s="42" t="str">
        <f t="shared" si="69"/>
        <v>Wee</v>
      </c>
      <c r="V381" s="42" t="str">
        <f t="shared" si="70"/>
        <v>kday</v>
      </c>
      <c r="W381" s="42">
        <f t="shared" si="71"/>
        <v>7</v>
      </c>
      <c r="X381" s="42">
        <f t="shared" si="72"/>
        <v>0.30299999999999999</v>
      </c>
      <c r="Y381" s="3">
        <f t="shared" si="73"/>
        <v>82</v>
      </c>
      <c r="Z381" s="3">
        <f t="shared" si="77"/>
        <v>7883</v>
      </c>
      <c r="AA381" s="3">
        <f t="shared" si="74"/>
        <v>1232.2489122187819</v>
      </c>
      <c r="AB381" s="3">
        <f t="shared" si="75"/>
        <v>0.99911573903365103</v>
      </c>
      <c r="AC381" s="3" t="str">
        <f t="shared" si="76"/>
        <v>Normal</v>
      </c>
    </row>
    <row r="382" spans="1:29" x14ac:dyDescent="0.2">
      <c r="A382" s="4">
        <v>1000</v>
      </c>
      <c r="B382" s="4" t="s">
        <v>87</v>
      </c>
      <c r="C382" s="4">
        <v>1</v>
      </c>
      <c r="D382" s="4">
        <v>0</v>
      </c>
      <c r="E382" s="4">
        <v>2</v>
      </c>
      <c r="F382" s="4">
        <v>7</v>
      </c>
      <c r="G382" s="4" t="b">
        <v>0</v>
      </c>
      <c r="H382" s="4">
        <v>1</v>
      </c>
      <c r="I382" s="4">
        <v>1</v>
      </c>
      <c r="J382" s="4">
        <v>0.34</v>
      </c>
      <c r="K382" s="4">
        <v>0.30299999999999999</v>
      </c>
      <c r="L382" s="4">
        <v>0.46</v>
      </c>
      <c r="M382" s="4">
        <v>0.29849999999999999</v>
      </c>
      <c r="N382" s="4">
        <v>2</v>
      </c>
      <c r="O382" s="4">
        <v>96</v>
      </c>
      <c r="P382" s="4">
        <v>98</v>
      </c>
      <c r="Q382" s="6" t="str">
        <f t="shared" si="65"/>
        <v>Weekday</v>
      </c>
      <c r="R382" s="42">
        <f t="shared" si="66"/>
        <v>25128</v>
      </c>
      <c r="S382" s="42">
        <f t="shared" si="67"/>
        <v>124.8388746803069</v>
      </c>
      <c r="T382" s="42">
        <f t="shared" si="68"/>
        <v>11</v>
      </c>
      <c r="U382" s="42" t="str">
        <f t="shared" si="69"/>
        <v>Wee</v>
      </c>
      <c r="V382" s="42" t="str">
        <f t="shared" si="70"/>
        <v>kday</v>
      </c>
      <c r="W382" s="42">
        <f t="shared" si="71"/>
        <v>7</v>
      </c>
      <c r="X382" s="42">
        <f t="shared" si="72"/>
        <v>0.30299999999999999</v>
      </c>
      <c r="Y382" s="3">
        <f t="shared" si="73"/>
        <v>82</v>
      </c>
      <c r="Z382" s="3">
        <f t="shared" si="77"/>
        <v>7883</v>
      </c>
      <c r="AA382" s="3">
        <f t="shared" si="74"/>
        <v>1232.2489122187819</v>
      </c>
      <c r="AB382" s="3">
        <f t="shared" si="75"/>
        <v>0.99911573903365103</v>
      </c>
      <c r="AC382" s="3" t="str">
        <f t="shared" si="76"/>
        <v>Normal</v>
      </c>
    </row>
    <row r="383" spans="1:29" x14ac:dyDescent="0.2">
      <c r="A383" s="4">
        <v>611</v>
      </c>
      <c r="B383" s="4" t="s">
        <v>42</v>
      </c>
      <c r="C383" s="4">
        <v>1</v>
      </c>
      <c r="D383" s="4">
        <v>0</v>
      </c>
      <c r="E383" s="4">
        <v>1</v>
      </c>
      <c r="F383" s="4">
        <v>16</v>
      </c>
      <c r="G383" s="4" t="b">
        <v>0</v>
      </c>
      <c r="H383" s="4">
        <v>5</v>
      </c>
      <c r="I383" s="4">
        <v>1</v>
      </c>
      <c r="J383" s="4">
        <v>0.22</v>
      </c>
      <c r="K383" s="4">
        <v>0.2727</v>
      </c>
      <c r="L383" s="4">
        <v>0.8</v>
      </c>
      <c r="M383" s="4">
        <v>0</v>
      </c>
      <c r="N383" s="4">
        <v>10</v>
      </c>
      <c r="O383" s="4">
        <v>70</v>
      </c>
      <c r="P383" s="4">
        <v>80</v>
      </c>
      <c r="Q383" s="6" t="str">
        <f t="shared" si="65"/>
        <v>Weekday</v>
      </c>
      <c r="R383" s="42">
        <f t="shared" si="66"/>
        <v>25030</v>
      </c>
      <c r="S383" s="42">
        <f t="shared" si="67"/>
        <v>124.8388746803069</v>
      </c>
      <c r="T383" s="42">
        <f t="shared" si="68"/>
        <v>10</v>
      </c>
      <c r="U383" s="42" t="str">
        <f t="shared" si="69"/>
        <v>Wee</v>
      </c>
      <c r="V383" s="42" t="str">
        <f t="shared" si="70"/>
        <v>kday</v>
      </c>
      <c r="W383" s="42">
        <f t="shared" si="71"/>
        <v>7</v>
      </c>
      <c r="X383" s="42">
        <f t="shared" si="72"/>
        <v>0.2727</v>
      </c>
      <c r="Y383" s="3">
        <f t="shared" si="73"/>
        <v>82</v>
      </c>
      <c r="Z383" s="3">
        <f t="shared" si="77"/>
        <v>7883</v>
      </c>
      <c r="AA383" s="3">
        <f t="shared" si="74"/>
        <v>1232.2489122187819</v>
      </c>
      <c r="AB383" s="3">
        <f t="shared" si="75"/>
        <v>0.99911573903365103</v>
      </c>
      <c r="AC383" s="3" t="str">
        <f t="shared" si="76"/>
        <v>Normal</v>
      </c>
    </row>
    <row r="384" spans="1:29" x14ac:dyDescent="0.2">
      <c r="A384" s="4">
        <v>612</v>
      </c>
      <c r="B384" s="4" t="s">
        <v>42</v>
      </c>
      <c r="C384" s="4">
        <v>1</v>
      </c>
      <c r="D384" s="4">
        <v>0</v>
      </c>
      <c r="E384" s="4">
        <v>1</v>
      </c>
      <c r="F384" s="4">
        <v>17</v>
      </c>
      <c r="G384" s="4" t="b">
        <v>0</v>
      </c>
      <c r="H384" s="4">
        <v>5</v>
      </c>
      <c r="I384" s="4">
        <v>1</v>
      </c>
      <c r="J384" s="4">
        <v>0.24</v>
      </c>
      <c r="K384" s="4">
        <v>0.2424</v>
      </c>
      <c r="L384" s="4">
        <v>0.75</v>
      </c>
      <c r="M384" s="4">
        <v>0.1343</v>
      </c>
      <c r="N384" s="4">
        <v>2</v>
      </c>
      <c r="O384" s="4">
        <v>147</v>
      </c>
      <c r="P384" s="4">
        <v>149</v>
      </c>
      <c r="Q384" s="6" t="str">
        <f t="shared" si="65"/>
        <v>Weekday</v>
      </c>
      <c r="R384" s="42">
        <f t="shared" si="66"/>
        <v>24950</v>
      </c>
      <c r="S384" s="42">
        <f t="shared" si="67"/>
        <v>124.8388746803069</v>
      </c>
      <c r="T384" s="42">
        <f t="shared" si="68"/>
        <v>9</v>
      </c>
      <c r="U384" s="42" t="str">
        <f t="shared" si="69"/>
        <v>Wee</v>
      </c>
      <c r="V384" s="42" t="str">
        <f t="shared" si="70"/>
        <v>kday</v>
      </c>
      <c r="W384" s="42">
        <f t="shared" si="71"/>
        <v>7</v>
      </c>
      <c r="X384" s="42">
        <f t="shared" si="72"/>
        <v>0.2424</v>
      </c>
      <c r="Y384" s="3">
        <f t="shared" si="73"/>
        <v>82</v>
      </c>
      <c r="Z384" s="3">
        <f t="shared" si="77"/>
        <v>7883</v>
      </c>
      <c r="AA384" s="3">
        <f t="shared" si="74"/>
        <v>1232.2489122187819</v>
      </c>
      <c r="AB384" s="3">
        <f t="shared" si="75"/>
        <v>0.99911573903365103</v>
      </c>
      <c r="AC384" s="3" t="str">
        <f t="shared" si="76"/>
        <v>Normal</v>
      </c>
    </row>
    <row r="385" spans="1:29" x14ac:dyDescent="0.2">
      <c r="A385" s="4">
        <v>613</v>
      </c>
      <c r="B385" s="4" t="s">
        <v>42</v>
      </c>
      <c r="C385" s="4">
        <v>1</v>
      </c>
      <c r="D385" s="4">
        <v>0</v>
      </c>
      <c r="E385" s="4">
        <v>1</v>
      </c>
      <c r="F385" s="4">
        <v>18</v>
      </c>
      <c r="G385" s="4" t="b">
        <v>0</v>
      </c>
      <c r="H385" s="4">
        <v>5</v>
      </c>
      <c r="I385" s="4">
        <v>1</v>
      </c>
      <c r="J385" s="4">
        <v>0.24</v>
      </c>
      <c r="K385" s="4">
        <v>0.2273</v>
      </c>
      <c r="L385" s="4">
        <v>0.75</v>
      </c>
      <c r="M385" s="4">
        <v>0.19400000000000001</v>
      </c>
      <c r="N385" s="4">
        <v>2</v>
      </c>
      <c r="O385" s="4">
        <v>107</v>
      </c>
      <c r="P385" s="4">
        <v>109</v>
      </c>
      <c r="Q385" s="6" t="str">
        <f t="shared" si="65"/>
        <v>Weekday</v>
      </c>
      <c r="R385" s="42">
        <f t="shared" si="66"/>
        <v>24801</v>
      </c>
      <c r="S385" s="42">
        <f t="shared" si="67"/>
        <v>124.8388746803069</v>
      </c>
      <c r="T385" s="42">
        <f t="shared" si="68"/>
        <v>8</v>
      </c>
      <c r="U385" s="42" t="str">
        <f t="shared" si="69"/>
        <v>Wee</v>
      </c>
      <c r="V385" s="42" t="str">
        <f t="shared" si="70"/>
        <v>kday</v>
      </c>
      <c r="W385" s="42">
        <f t="shared" si="71"/>
        <v>7</v>
      </c>
      <c r="X385" s="42">
        <f t="shared" si="72"/>
        <v>0.2273</v>
      </c>
      <c r="Y385" s="3">
        <f t="shared" si="73"/>
        <v>82</v>
      </c>
      <c r="Z385" s="3">
        <f t="shared" si="77"/>
        <v>7883</v>
      </c>
      <c r="AA385" s="3">
        <f t="shared" si="74"/>
        <v>1232.2489122187819</v>
      </c>
      <c r="AB385" s="3">
        <f t="shared" si="75"/>
        <v>0.99911573903365103</v>
      </c>
      <c r="AC385" s="3" t="str">
        <f t="shared" si="76"/>
        <v>Normal</v>
      </c>
    </row>
    <row r="386" spans="1:29" x14ac:dyDescent="0.2">
      <c r="A386" s="4">
        <v>614</v>
      </c>
      <c r="B386" s="4" t="s">
        <v>42</v>
      </c>
      <c r="C386" s="4">
        <v>1</v>
      </c>
      <c r="D386" s="4">
        <v>0</v>
      </c>
      <c r="E386" s="4">
        <v>1</v>
      </c>
      <c r="F386" s="4">
        <v>19</v>
      </c>
      <c r="G386" s="4" t="b">
        <v>0</v>
      </c>
      <c r="H386" s="4">
        <v>5</v>
      </c>
      <c r="I386" s="4">
        <v>2</v>
      </c>
      <c r="J386" s="4">
        <v>0.24</v>
      </c>
      <c r="K386" s="4">
        <v>0.2424</v>
      </c>
      <c r="L386" s="4">
        <v>0.75</v>
      </c>
      <c r="M386" s="4">
        <v>0.1343</v>
      </c>
      <c r="N386" s="4">
        <v>5</v>
      </c>
      <c r="O386" s="4">
        <v>84</v>
      </c>
      <c r="P386" s="4">
        <v>89</v>
      </c>
      <c r="Q386" s="6" t="str">
        <f t="shared" si="65"/>
        <v>Weekday</v>
      </c>
      <c r="R386" s="42">
        <f t="shared" si="66"/>
        <v>24692</v>
      </c>
      <c r="S386" s="42">
        <f t="shared" si="67"/>
        <v>124.8388746803069</v>
      </c>
      <c r="T386" s="42">
        <f t="shared" si="68"/>
        <v>7</v>
      </c>
      <c r="U386" s="42" t="str">
        <f t="shared" si="69"/>
        <v>Wee</v>
      </c>
      <c r="V386" s="42" t="str">
        <f t="shared" si="70"/>
        <v>kday</v>
      </c>
      <c r="W386" s="42">
        <f t="shared" si="71"/>
        <v>7</v>
      </c>
      <c r="X386" s="42">
        <f t="shared" si="72"/>
        <v>0.2424</v>
      </c>
      <c r="Y386" s="3">
        <f t="shared" si="73"/>
        <v>82</v>
      </c>
      <c r="Z386" s="3">
        <f t="shared" si="77"/>
        <v>7883</v>
      </c>
      <c r="AA386" s="3">
        <f t="shared" si="74"/>
        <v>1232.2489122187819</v>
      </c>
      <c r="AB386" s="3">
        <f t="shared" si="75"/>
        <v>0.99911573903365103</v>
      </c>
      <c r="AC386" s="3" t="str">
        <f t="shared" si="76"/>
        <v>Normal</v>
      </c>
    </row>
    <row r="387" spans="1:29" x14ac:dyDescent="0.2">
      <c r="A387" s="4">
        <v>615</v>
      </c>
      <c r="B387" s="4" t="s">
        <v>42</v>
      </c>
      <c r="C387" s="4">
        <v>1</v>
      </c>
      <c r="D387" s="4">
        <v>0</v>
      </c>
      <c r="E387" s="4">
        <v>1</v>
      </c>
      <c r="F387" s="4">
        <v>20</v>
      </c>
      <c r="G387" s="4" t="b">
        <v>0</v>
      </c>
      <c r="H387" s="4">
        <v>5</v>
      </c>
      <c r="I387" s="4">
        <v>2</v>
      </c>
      <c r="J387" s="4">
        <v>0.24</v>
      </c>
      <c r="K387" s="4">
        <v>0.2273</v>
      </c>
      <c r="L387" s="4">
        <v>0.7</v>
      </c>
      <c r="M387" s="4">
        <v>0.19400000000000001</v>
      </c>
      <c r="N387" s="4">
        <v>1</v>
      </c>
      <c r="O387" s="4">
        <v>61</v>
      </c>
      <c r="P387" s="4">
        <v>62</v>
      </c>
      <c r="Q387" s="6" t="str">
        <f t="shared" ref="Q387:Q391" si="78">IF(H387=0,"Weekend",IF(H387=6,"Weekend","Weekday"))</f>
        <v>Weekday</v>
      </c>
      <c r="R387" s="42">
        <f t="shared" ref="R387:R391" si="79">SUM(P387:P776)</f>
        <v>24603</v>
      </c>
      <c r="S387" s="42">
        <f t="shared" ref="S387:S391" si="80">AVERAGE($P$2:$P$392)</f>
        <v>124.8388746803069</v>
      </c>
      <c r="T387" s="42">
        <f t="shared" ref="T387:T391" si="81">COUNT(P387:P777)</f>
        <v>6</v>
      </c>
      <c r="U387" s="42" t="str">
        <f t="shared" ref="U387:U391" si="82">LEFT(Q388,3)</f>
        <v>Wee</v>
      </c>
      <c r="V387" s="42" t="str">
        <f t="shared" ref="V387:V391" si="83">RIGHT(Q388,4)</f>
        <v>kday</v>
      </c>
      <c r="W387" s="42">
        <f t="shared" ref="W387:W391" si="84">LEN(Q387)</f>
        <v>7</v>
      </c>
      <c r="X387" s="42">
        <f t="shared" ref="X387:X391" si="85">INDEX(K:K,MATCH(A387,A:A,0))</f>
        <v>0.2273</v>
      </c>
      <c r="Y387" s="3">
        <f t="shared" ref="Y387:Y391" si="86">COUNTIF(P:P,"&gt;100")</f>
        <v>82</v>
      </c>
      <c r="Z387" s="3">
        <f t="shared" si="77"/>
        <v>7883</v>
      </c>
      <c r="AA387" s="3">
        <f t="shared" ref="AA387:AA391" si="87">STDEV(P:P)</f>
        <v>1232.2489122187819</v>
      </c>
      <c r="AB387" s="3">
        <f t="shared" ref="AB387:AB391" si="88">CORREL(J:J,P:P)</f>
        <v>0.99911573903365103</v>
      </c>
      <c r="AC387" s="3" t="str">
        <f t="shared" ref="AC387:AC391" si="89">IF(ABS(P387-AVERAGE($P$2:$P$784))&gt;2*STDEV($P$2:$P$784),"ANOMALY","Normal")</f>
        <v>Normal</v>
      </c>
    </row>
    <row r="388" spans="1:29" x14ac:dyDescent="0.2">
      <c r="A388" s="4">
        <v>616</v>
      </c>
      <c r="B388" s="4" t="s">
        <v>42</v>
      </c>
      <c r="C388" s="4">
        <v>1</v>
      </c>
      <c r="D388" s="4">
        <v>0</v>
      </c>
      <c r="E388" s="4">
        <v>1</v>
      </c>
      <c r="F388" s="4">
        <v>21</v>
      </c>
      <c r="G388" s="4" t="b">
        <v>0</v>
      </c>
      <c r="H388" s="4">
        <v>5</v>
      </c>
      <c r="I388" s="4">
        <v>2</v>
      </c>
      <c r="J388" s="4">
        <v>0.22</v>
      </c>
      <c r="K388" s="4">
        <v>0.2273</v>
      </c>
      <c r="L388" s="4">
        <v>0.75</v>
      </c>
      <c r="M388" s="4">
        <v>0.1343</v>
      </c>
      <c r="N388" s="4">
        <v>1</v>
      </c>
      <c r="O388" s="4">
        <v>57</v>
      </c>
      <c r="P388" s="4">
        <v>58</v>
      </c>
      <c r="Q388" s="6" t="str">
        <f t="shared" si="78"/>
        <v>Weekday</v>
      </c>
      <c r="R388" s="42">
        <f t="shared" si="79"/>
        <v>24541</v>
      </c>
      <c r="S388" s="42">
        <f t="shared" si="80"/>
        <v>124.8388746803069</v>
      </c>
      <c r="T388" s="42">
        <f t="shared" si="81"/>
        <v>5</v>
      </c>
      <c r="U388" s="42" t="str">
        <f t="shared" si="82"/>
        <v>Wee</v>
      </c>
      <c r="V388" s="42" t="str">
        <f t="shared" si="83"/>
        <v>kday</v>
      </c>
      <c r="W388" s="42">
        <f t="shared" si="84"/>
        <v>7</v>
      </c>
      <c r="X388" s="42">
        <f t="shared" si="85"/>
        <v>0.2273</v>
      </c>
      <c r="Y388" s="3">
        <f t="shared" si="86"/>
        <v>82</v>
      </c>
      <c r="Z388" s="3">
        <f t="shared" ref="Z388:Z391" si="90">SUMIF(Q:Q,"Weekend",P:P)</f>
        <v>7883</v>
      </c>
      <c r="AA388" s="3">
        <f t="shared" si="87"/>
        <v>1232.2489122187819</v>
      </c>
      <c r="AB388" s="3">
        <f t="shared" si="88"/>
        <v>0.99911573903365103</v>
      </c>
      <c r="AC388" s="3" t="str">
        <f t="shared" si="89"/>
        <v>Normal</v>
      </c>
    </row>
    <row r="389" spans="1:29" x14ac:dyDescent="0.2">
      <c r="A389" s="4">
        <v>617</v>
      </c>
      <c r="B389" s="4" t="s">
        <v>42</v>
      </c>
      <c r="C389" s="4">
        <v>1</v>
      </c>
      <c r="D389" s="4">
        <v>0</v>
      </c>
      <c r="E389" s="4">
        <v>1</v>
      </c>
      <c r="F389" s="4">
        <v>22</v>
      </c>
      <c r="G389" s="4" t="b">
        <v>0</v>
      </c>
      <c r="H389" s="4">
        <v>5</v>
      </c>
      <c r="I389" s="4">
        <v>1</v>
      </c>
      <c r="J389" s="4">
        <v>0.24</v>
      </c>
      <c r="K389" s="4">
        <v>0.21210000000000001</v>
      </c>
      <c r="L389" s="4">
        <v>0.65</v>
      </c>
      <c r="M389" s="4">
        <v>0.35820000000000002</v>
      </c>
      <c r="N389" s="4">
        <v>0</v>
      </c>
      <c r="O389" s="4">
        <v>26</v>
      </c>
      <c r="P389" s="4">
        <v>26</v>
      </c>
      <c r="Q389" s="6" t="str">
        <f t="shared" si="78"/>
        <v>Weekday</v>
      </c>
      <c r="R389" s="42">
        <f t="shared" si="79"/>
        <v>24483</v>
      </c>
      <c r="S389" s="42">
        <f t="shared" si="80"/>
        <v>124.8388746803069</v>
      </c>
      <c r="T389" s="42">
        <f t="shared" si="81"/>
        <v>4</v>
      </c>
      <c r="U389" s="42" t="str">
        <f t="shared" si="82"/>
        <v>Wee</v>
      </c>
      <c r="V389" s="42" t="str">
        <f t="shared" si="83"/>
        <v>kday</v>
      </c>
      <c r="W389" s="42">
        <f t="shared" si="84"/>
        <v>7</v>
      </c>
      <c r="X389" s="42">
        <f t="shared" si="85"/>
        <v>0.21210000000000001</v>
      </c>
      <c r="Y389" s="3">
        <f t="shared" si="86"/>
        <v>82</v>
      </c>
      <c r="Z389" s="3">
        <f t="shared" si="90"/>
        <v>7883</v>
      </c>
      <c r="AA389" s="3">
        <f t="shared" si="87"/>
        <v>1232.2489122187819</v>
      </c>
      <c r="AB389" s="3">
        <f t="shared" si="88"/>
        <v>0.99911573903365103</v>
      </c>
      <c r="AC389" s="3" t="str">
        <f t="shared" si="89"/>
        <v>Normal</v>
      </c>
    </row>
    <row r="390" spans="1:29" x14ac:dyDescent="0.2">
      <c r="A390" s="4">
        <v>618</v>
      </c>
      <c r="B390" s="4" t="s">
        <v>42</v>
      </c>
      <c r="C390" s="4">
        <v>1</v>
      </c>
      <c r="D390" s="4">
        <v>0</v>
      </c>
      <c r="E390" s="4">
        <v>1</v>
      </c>
      <c r="F390" s="4">
        <v>23</v>
      </c>
      <c r="G390" s="4" t="b">
        <v>0</v>
      </c>
      <c r="H390" s="4">
        <v>5</v>
      </c>
      <c r="I390" s="4">
        <v>1</v>
      </c>
      <c r="J390" s="4">
        <v>0.24</v>
      </c>
      <c r="K390" s="4">
        <v>0.2273</v>
      </c>
      <c r="L390" s="4">
        <v>0.6</v>
      </c>
      <c r="M390" s="4">
        <v>0.22389999999999999</v>
      </c>
      <c r="N390" s="4">
        <v>1</v>
      </c>
      <c r="O390" s="4">
        <v>22</v>
      </c>
      <c r="P390" s="4">
        <v>23</v>
      </c>
      <c r="Q390" s="6" t="str">
        <f t="shared" si="78"/>
        <v>Weekday</v>
      </c>
      <c r="R390" s="42">
        <f t="shared" si="79"/>
        <v>24457</v>
      </c>
      <c r="S390" s="42">
        <f t="shared" si="80"/>
        <v>124.8388746803069</v>
      </c>
      <c r="T390" s="42">
        <f t="shared" si="81"/>
        <v>3</v>
      </c>
      <c r="U390" s="42" t="str">
        <f t="shared" si="82"/>
        <v>Wee</v>
      </c>
      <c r="V390" s="42" t="str">
        <f t="shared" si="83"/>
        <v>kend</v>
      </c>
      <c r="W390" s="42">
        <f t="shared" si="84"/>
        <v>7</v>
      </c>
      <c r="X390" s="42">
        <f t="shared" si="85"/>
        <v>0.2273</v>
      </c>
      <c r="Y390" s="3">
        <f t="shared" si="86"/>
        <v>82</v>
      </c>
      <c r="Z390" s="3">
        <f t="shared" si="90"/>
        <v>7883</v>
      </c>
      <c r="AA390" s="3">
        <f t="shared" si="87"/>
        <v>1232.2489122187819</v>
      </c>
      <c r="AB390" s="3">
        <f t="shared" si="88"/>
        <v>0.99911573903365103</v>
      </c>
      <c r="AC390" s="3" t="str">
        <f t="shared" si="89"/>
        <v>Normal</v>
      </c>
    </row>
    <row r="391" spans="1:29" x14ac:dyDescent="0.2">
      <c r="A391" s="4">
        <v>619</v>
      </c>
      <c r="B391" s="4" t="s">
        <v>83</v>
      </c>
      <c r="C391" s="4">
        <v>1</v>
      </c>
      <c r="D391" s="4">
        <v>0</v>
      </c>
      <c r="E391" s="4">
        <v>1</v>
      </c>
      <c r="F391" s="4">
        <v>0</v>
      </c>
      <c r="G391" s="4" t="b">
        <v>0</v>
      </c>
      <c r="H391" s="4">
        <v>6</v>
      </c>
      <c r="I391" s="4">
        <v>1</v>
      </c>
      <c r="J391" s="4">
        <v>0.22</v>
      </c>
      <c r="K391" s="4">
        <v>0.19700000000000001</v>
      </c>
      <c r="L391" s="4">
        <v>0.64</v>
      </c>
      <c r="M391" s="4">
        <v>0.35820000000000002</v>
      </c>
      <c r="N391" s="4">
        <v>2</v>
      </c>
      <c r="O391" s="4">
        <v>26</v>
      </c>
      <c r="P391" s="4">
        <v>28</v>
      </c>
      <c r="Q391" s="6" t="str">
        <f t="shared" si="78"/>
        <v>Weekend</v>
      </c>
      <c r="R391" s="42">
        <f t="shared" si="79"/>
        <v>24434</v>
      </c>
      <c r="S391" s="42">
        <f t="shared" si="80"/>
        <v>124.8388746803069</v>
      </c>
      <c r="T391" s="42">
        <f t="shared" si="81"/>
        <v>2</v>
      </c>
      <c r="U391" s="42" t="str">
        <f t="shared" si="82"/>
        <v/>
      </c>
      <c r="V391" s="42" t="str">
        <f t="shared" si="83"/>
        <v/>
      </c>
      <c r="W391" s="42">
        <f t="shared" si="84"/>
        <v>7</v>
      </c>
      <c r="X391" s="42">
        <f t="shared" si="85"/>
        <v>0.19700000000000001</v>
      </c>
      <c r="Y391" s="3">
        <f t="shared" si="86"/>
        <v>82</v>
      </c>
      <c r="Z391" s="3">
        <f t="shared" si="90"/>
        <v>7883</v>
      </c>
      <c r="AA391" s="3">
        <f t="shared" si="87"/>
        <v>1232.2489122187819</v>
      </c>
      <c r="AB391" s="3">
        <f t="shared" si="88"/>
        <v>0.99911573903365103</v>
      </c>
      <c r="AC391" s="3" t="str">
        <f t="shared" si="89"/>
        <v>Normal</v>
      </c>
    </row>
    <row r="392" spans="1:29" x14ac:dyDescent="0.2">
      <c r="A392" s="3">
        <f>SUM(A2:A391)</f>
        <v>314145</v>
      </c>
      <c r="B392" s="3"/>
      <c r="C392" s="3">
        <f>SUM(C2:C391)</f>
        <v>390</v>
      </c>
      <c r="D392" s="3">
        <f>SUM(D2:D391)</f>
        <v>0</v>
      </c>
      <c r="E392" s="3">
        <f>SUM(E2:E391)</f>
        <v>702</v>
      </c>
      <c r="F392" s="3">
        <f>SUM(F2:F391)</f>
        <v>4558</v>
      </c>
      <c r="G392" s="3">
        <f>SUM(G2:G391)</f>
        <v>0</v>
      </c>
      <c r="H392" s="3">
        <f>SUM(H2:H391)</f>
        <v>1166</v>
      </c>
      <c r="I392" s="3">
        <f>SUM(I2:I391)</f>
        <v>579</v>
      </c>
      <c r="J392" s="3">
        <f>SUM(J2:J391)</f>
        <v>85.8</v>
      </c>
      <c r="K392" s="3">
        <f>SUM(K2:K391)</f>
        <v>89.865299999999948</v>
      </c>
      <c r="L392" s="3">
        <f>SUM(L2:L391)</f>
        <v>239.3700000000004</v>
      </c>
      <c r="M392" s="3">
        <f>SUM(M2:M391)</f>
        <v>69.9722000000001</v>
      </c>
      <c r="N392" s="3">
        <f>SUM(N2:N391)</f>
        <v>2175</v>
      </c>
      <c r="O392" s="3">
        <f>SUM(O2:O391)</f>
        <v>22231</v>
      </c>
      <c r="P392" s="3">
        <f>SUM(P2:P391)</f>
        <v>24406</v>
      </c>
      <c r="Q392" s="3"/>
      <c r="R392" s="42"/>
      <c r="S392" s="42"/>
      <c r="T392" s="42"/>
      <c r="U392" s="42"/>
      <c r="V392" s="42"/>
      <c r="W392" s="42"/>
      <c r="X392" s="42"/>
      <c r="Y392" s="46"/>
      <c r="Z392" s="3"/>
      <c r="AA392" s="3"/>
      <c r="AB392" s="3"/>
      <c r="AC392" s="3"/>
    </row>
    <row r="393" spans="1:29" x14ac:dyDescent="0.2">
      <c r="Y393" s="47"/>
    </row>
    <row r="394" spans="1:29" x14ac:dyDescent="0.2">
      <c r="Y394" s="47"/>
    </row>
    <row r="395" spans="1:29" x14ac:dyDescent="0.2">
      <c r="Y395" s="47"/>
    </row>
    <row r="396" spans="1:29" x14ac:dyDescent="0.2">
      <c r="Y396" s="47"/>
    </row>
    <row r="397" spans="1:29" x14ac:dyDescent="0.2">
      <c r="Y397" s="47"/>
    </row>
  </sheetData>
  <conditionalFormatting sqref="Q1">
    <cfRule type="cellIs" dxfId="13" priority="21" operator="greaterThan">
      <formula>6</formula>
    </cfRule>
  </conditionalFormatting>
  <conditionalFormatting sqref="Q1:Q1048576">
    <cfRule type="cellIs" dxfId="12" priority="20" operator="greaterThan">
      <formula>5</formula>
    </cfRule>
  </conditionalFormatting>
  <conditionalFormatting sqref="R1:R1048576">
    <cfRule type="cellIs" dxfId="11" priority="15" operator="greaterThan">
      <formula>30000</formula>
    </cfRule>
  </conditionalFormatting>
  <conditionalFormatting sqref="S1:S1048576">
    <cfRule type="top10" dxfId="10" priority="14" rank="9"/>
  </conditionalFormatting>
  <conditionalFormatting sqref="T1:T1048576">
    <cfRule type="cellIs" dxfId="9" priority="12" operator="greaterThan">
      <formula>350</formula>
    </cfRule>
  </conditionalFormatting>
  <conditionalFormatting sqref="V1:V1048576">
    <cfRule type="cellIs" dxfId="8" priority="3" operator="greaterThan">
      <formula>3</formula>
    </cfRule>
  </conditionalFormatting>
  <conditionalFormatting sqref="W1:W1048576">
    <cfRule type="cellIs" dxfId="7" priority="2" operator="greaterThan">
      <formula>6</formula>
    </cfRule>
  </conditionalFormatting>
  <conditionalFormatting sqref="X1:X1048576">
    <cfRule type="cellIs" dxfId="6" priority="6" operator="greaterThan">
      <formula>0</formula>
    </cfRule>
  </conditionalFormatting>
  <conditionalFormatting sqref="Y1:Y1048576">
    <cfRule type="cellIs" dxfId="5" priority="1" operator="greaterThan">
      <formula>81</formula>
    </cfRule>
  </conditionalFormatting>
  <conditionalFormatting sqref="Z1:Z1048576">
    <cfRule type="cellIs" dxfId="4" priority="8" operator="greaterThan">
      <formula>7882</formula>
    </cfRule>
  </conditionalFormatting>
  <conditionalFormatting sqref="AA1:AA1048576">
    <cfRule type="cellIs" dxfId="3" priority="7" operator="greaterThan">
      <formula>1231</formula>
    </cfRule>
  </conditionalFormatting>
  <conditionalFormatting sqref="AB1:AB1048576">
    <cfRule type="cellIs" dxfId="2" priority="4" operator="greaterThan">
      <formula>0</formula>
    </cfRule>
  </conditionalFormatting>
  <conditionalFormatting sqref="AB2">
    <cfRule type="cellIs" dxfId="1" priority="5" operator="greaterThan">
      <formula>0</formula>
    </cfRule>
  </conditionalFormatting>
  <conditionalFormatting sqref="AC1:AC1048576">
    <cfRule type="containsText" dxfId="0" priority="22" operator="containsText" text="ANOMALY">
      <formula>NOT(ISERROR(SEARCH("ANOMALY",AC1)))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8693-25DE-4005-9273-5A7071F92047}">
  <dimension ref="R15"/>
  <sheetViews>
    <sheetView workbookViewId="0">
      <selection activeCell="R13" sqref="R13"/>
    </sheetView>
  </sheetViews>
  <sheetFormatPr defaultRowHeight="15" x14ac:dyDescent="0.2"/>
  <cols>
    <col min="18" max="18" width="12.375" bestFit="1" customWidth="1"/>
  </cols>
  <sheetData>
    <row r="15" spans="18:18" x14ac:dyDescent="0.2">
      <c r="R15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User Demand by Hour</vt:lpstr>
      <vt:lpstr>Demand by Weather Condition</vt:lpstr>
      <vt:lpstr>Sheet3</vt:lpstr>
      <vt:lpstr>Weekend vs Weekday Demand</vt:lpstr>
      <vt:lpstr>dataset_1</vt:lpstr>
      <vt:lpstr>Sheet1</vt:lpstr>
      <vt:lpstr>User Demand Over Time</vt:lpstr>
      <vt:lpstr>Average User Demand by Humidity</vt:lpstr>
      <vt:lpstr>Casual vs Registered Users</vt:lpstr>
      <vt:lpstr>dataset_2</vt:lpstr>
      <vt:lpstr>Sheet2</vt:lpstr>
      <vt:lpstr>Average User Demand by Hour</vt:lpstr>
      <vt:lpstr>Average User Demand by Weather</vt:lpstr>
      <vt:lpstr>Weekend vs Weekday User Demand</vt:lpstr>
      <vt:lpstr>dataset_3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 Rathore</cp:lastModifiedBy>
  <cp:revision/>
  <dcterms:created xsi:type="dcterms:W3CDTF">2026-05-17T09:01:17Z</dcterms:created>
  <dcterms:modified xsi:type="dcterms:W3CDTF">2026-05-24T11:57:04Z</dcterms:modified>
  <cp:category/>
  <cp:contentStatus/>
</cp:coreProperties>
</file>